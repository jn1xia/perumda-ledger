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metadata.xml" ContentType="application/vnd.openxmlformats-officedocument.spreadsheetml.sheetMetadata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URNAL JUNI 2026" sheetId="1" r:id="rId1"/>
  </sheets>
  <definedNames>
    <definedName name="_xlnm._FilterDatabase" localSheetId="0">'JURNAL JUNI 2026'!B3:H3543</definedName>
  </definedNames>
</workbook>
</file>

<file path=xl/comments1.xml><?xml version="1.0" encoding="utf-8"?>
<comments xmlns="http://schemas.openxmlformats.org/spreadsheetml/2006/main">
  <authors>
    <author>LENOVO AIO 3 22IAP7</author>
    <author>tc={54EE7951-7262-4200-6969-000000000000}</author>
    <author>ASUS</author>
    <author>lenovo</author>
    <author>tc={54EE7951-7262-4200-6969-000000000001}</author>
  </authors>
  <commentList>
    <comment ref="F340" authorId="0">
      <text>
        <t xml:space="preserve">LENOVO AIO 3 22IAP7:
Rp 1.887.000 penerimaan harian tgl 31 mei 2026 disetorkan tgl 2 juni 2026</t>
      </text>
    </comment>
    <comment ref="F3096" authorId="1">
      <text>
        <t/>
      </text>
    </comment>
    <comment ref="F3225" authorId="2">
      <text>
        <t xml:space="preserve">ASUS:
awalnya Rp3.900.000</t>
      </text>
    </comment>
    <comment ref="G3227" authorId="2">
      <text>
        <t xml:space="preserve">ASUS:
3.056.500</t>
      </text>
    </comment>
    <comment ref="B3318" authorId="2">
      <text>
        <t xml:space="preserve">ASUS:
sebelumnya 24</t>
      </text>
    </comment>
    <comment ref="B3321" authorId="2">
      <text>
        <t xml:space="preserve">ASUS:
sebelumnya 24</t>
      </text>
    </comment>
    <comment ref="B3338" authorId="3">
      <text>
        <t xml:space="preserve">lenovo:
sebelumnya tgl 30</t>
      </text>
    </comment>
    <comment ref="B3339" authorId="3">
      <text>
        <t xml:space="preserve">lenovo:
sebelumnya tgl 30</t>
      </text>
    </comment>
    <comment ref="B3340" authorId="3">
      <text>
        <t xml:space="preserve">lenovo:
sebelumnya tgl 30</t>
      </text>
    </comment>
    <comment ref="B3342" authorId="3">
      <text>
        <t xml:space="preserve">lenovo:
sebelumnya tgl 30</t>
      </text>
    </comment>
    <comment ref="F3480" authorId="4">
      <text>
        <t/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2">
    <numFmt numFmtId="41" formatCode="_-* #,##0_-;\-* #,##0_-;_-* &quot;-&quot;_-;_-@_-"/>
    <numFmt numFmtId="42" formatCode="_-&quot;Rp&quot;* #,##0_-;\-&quot;Rp&quot;* #,##0_-;_-&quot;Rp&quot;* &quot;-&quot;_-;_-@_-"/>
    <numFmt numFmtId="43" formatCode="_-* #,##0.00_-;\-* #,##0.00_-;_-* &quot;-&quot;??_-;_-@_-"/>
    <numFmt numFmtId="44" formatCode="_-&quot;Rp&quot;* #,##0.00_-;\-&quot;Rp&quot;* #,##0.00_-;_-&quot;Rp&quot;* &quot;-&quot;??_-;_-@_-"/>
    <numFmt numFmtId="56" formatCode="&quot;上午/下午 &quot;hh&quot;時&quot;mm&quot;分&quot;ss&quot;秒 &quot;"/>
    <numFmt numFmtId="164" formatCode="_(* #,##0_);_(* \(#,##0\);_(* &quot;-&quot;_);_(@_)"/>
    <numFmt numFmtId="165" formatCode="_(* #,##0.00_);_(* \(#,##0.00\);_(* &quot;-&quot;??_);_(@_)"/>
    <numFmt numFmtId="166" formatCode="_-* #,##0.00_-;\-* #,##0.00_-;_-* &quot;-&quot;_-;_-@_-"/>
    <numFmt numFmtId="167" formatCode="_-* #,##0.0_-;\-* #,##0.0_-;_-* &quot;-&quot;_-;_-@_-"/>
    <numFmt numFmtId="168" formatCode="_-* #,##0.00_-;\-* #,##0.00_-;_-* &quot;-&quot;?_-;_-@_-"/>
    <numFmt numFmtId="169" formatCode="_-&quot;Rp&quot;* #,##0.00_-;\-&quot;Rp&quot;* #,##0.00_-;_-&quot;Rp&quot;* &quot;-&quot;_-;_-@"/>
    <numFmt numFmtId="170" formatCode="_-&quot;Rp&quot;* #,##0.00_-;\(&quot;Rp&quot;* #,##0.00\);_-&quot;Rp&quot;* &quot;-&quot;_-;_-@_-"/>
    <numFmt numFmtId="171" formatCode="_-&quot;Rp&quot;* #,##0_-;\-&quot;Rp&quot;* #,##0_-;_-&quot;Rp&quot;* &quot;-&quot;_-;_-@"/>
    <numFmt numFmtId="172" formatCode="&quot;Rp&quot;#,##0"/>
    <numFmt numFmtId="173" formatCode="_-[$Rp-3809]* #,##0.00_-;\-[$Rp-3809]* #,##0.00_-;_-[$Rp-3809]* &quot;-&quot;??_-;_-@"/>
    <numFmt numFmtId="174" formatCode="_-&quot;Rp&quot;* #,##0.00_-;\-&quot;Rp&quot;* #,##0.00_-;_-&quot;Rp&quot;* &quot;-&quot;??_-;_-@"/>
    <numFmt numFmtId="175" formatCode="_-* #,##0_-;\-* #,##0_-;_-* &quot;-&quot;_-;_-@"/>
    <numFmt numFmtId="176" formatCode="_-&quot;Rp&quot;* #,##0.00_-;\(&quot;Rp&quot;* #,##0.00\);_-&quot;Rp&quot;* &quot;-&quot;_-;_-@"/>
    <numFmt numFmtId="177" formatCode="_-* #,##0.00_-;\-* #,##0.00_-;_-* &quot;-&quot;_-;_-@"/>
    <numFmt numFmtId="178" formatCode="_(* #,##0.00_);_(* \(#,##0.00\);_(* &quot;-&quot;_);_(@_)"/>
    <numFmt numFmtId="179" formatCode="_-[$Rp-3809]* #,##0_-;\-[$Rp-3809]* #,##0_-;_-[$Rp-3809]* &quot;-&quot;??_-;_-@"/>
    <numFmt numFmtId="180" formatCode="_-&quot;Rp&quot;* #,##0.00_-;\-&quot;Rp&quot;* #,##0.00_-;_-&quot;Rp&quot;* &quot;-&quot;_-;_-@_-"/>
    <numFmt numFmtId="181" formatCode="_(* #,##0.000000_);_(* \(#,##0.000000\);_(* &quot;-&quot;_);_(@_)"/>
    <numFmt numFmtId="182" formatCode="0.0%"/>
    <numFmt numFmtId="183" formatCode="_(&quot;Rp&quot;* #,##0_);_(&quot;Rp&quot;* \(#,##0\);_(&quot;Rp&quot;* &quot;-&quot;_);_(@_)"/>
    <numFmt numFmtId="184" formatCode="_-&quot;Rp&quot;* #,##0_-;\-&quot;Rp&quot;* #,##0_-;_-&quot;Rp&quot;* &quot;-&quot;??_-;_-@_-"/>
    <numFmt numFmtId="185" formatCode="0.00_ "/>
    <numFmt numFmtId="186" formatCode="_-* #,##0_-;\-* #,##0_-;_-* &quot;-&quot;??_-;_-@_-"/>
    <numFmt numFmtId="187" formatCode="_(* #,##0_);_(* \(#,##0\);_(* &quot;-&quot;??_);_(@_)"/>
    <numFmt numFmtId="188" formatCode="0.000%"/>
    <numFmt numFmtId="189" formatCode="0.0000"/>
    <numFmt numFmtId="190" formatCode="0.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Relationship Id="rId5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heetJ5" id="{54EE7950-7262-4200-6969-000000000000}" userId="SheetJ5" providerId="None"/>
  <person displayName="LENOVO AIO 3 22IAP7" id="{54EE7950-7262-4200-6969-000000000001}" userId="LENOVO AIO 3 22IAP7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threadedComments/threadedComment1.xml><?xml version="1.0" encoding="utf-8"?>
<ThreadedComments xmlns="http://schemas.microsoft.com/office/spreadsheetml/2018/threadedcomments">
  <threadedComment ref="F3096" id="{54EE7951-7262-4200-6969-000000000000}" personId="{54EE7950-7262-4200-6969-000000000001}">
    <text xml:space="preserve">Pusat Grosir+Pasar Murah </text>
  </threadedComment>
  <threadedComment ref="F3480" id="{54EE7951-7262-4200-6969-000000000001}" personId="{54EE7950-7262-4200-6969-000000000001}">
    <text xml:space="preserve">Pusat Grosir+Pasar Murah 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microsoft.com/office/2017/10/relationships/threadedComment" Target="../threadedComments/threadedComment1.xml"/><Relationship Id="rId3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3514"/>
  <sheetViews>
    <sheetView workbookViewId="0"/>
  </sheetViews>
  <sheetData>
    <row r="2">
      <c r="H2">
        <f>F2-G2</f>
        <v>0</v>
      </c>
    </row>
    <row r="3">
      <c r="B3" t="str">
        <v>Tgl</v>
      </c>
      <c r="D3" t="str">
        <v>Akun</v>
      </c>
      <c r="E3" t="str">
        <v>Sub Akun</v>
      </c>
      <c r="H3" t="str">
        <v>Keterangan</v>
      </c>
      <c r="I3" t="str">
        <v>Kategori</v>
      </c>
    </row>
    <row r="4">
      <c r="A4">
        <f>VLOOKUP(D4,COA!$B$3:$C$217,2,0)</f>
        <v>62020</v>
      </c>
      <c r="B4">
        <v>46174</v>
      </c>
      <c r="C4" t="str">
        <v>008</v>
      </c>
      <c r="D4" t="str">
        <v>Beban Pemeliharaan Bangunan Pasar</v>
      </c>
      <c r="E4" t="str">
        <v>Beban Pemeliharaan Bangunan Pasar</v>
      </c>
      <c r="F4">
        <v>750000</v>
      </c>
      <c r="H4" t="str">
        <v>Upah Pemotongan Pohon di Pasar Antasari</v>
      </c>
    </row>
    <row r="5">
      <c r="A5">
        <f>VLOOKUP(D5,COA!$B$3:$C$217,2,0)</f>
        <v>11101</v>
      </c>
      <c r="B5">
        <v>46174</v>
      </c>
      <c r="C5" t="str">
        <v>008</v>
      </c>
      <c r="D5" t="str">
        <v>Kas Kecil</v>
      </c>
      <c r="G5">
        <f>F4</f>
        <v>750000</v>
      </c>
      <c r="H5" t="str">
        <v>Upah Pemotongan Pohon di Pasar Antasari</v>
      </c>
    </row>
    <row r="6">
      <c r="A6">
        <f>VLOOKUP(D6,COA!$B$3:$C$217,2,0)</f>
        <v>61060</v>
      </c>
      <c r="B6">
        <v>46175</v>
      </c>
      <c r="C6" t="str">
        <v>007</v>
      </c>
      <c r="D6" t="str">
        <v>Beban Konsumsi Rapat dan Tamu</v>
      </c>
      <c r="E6" t="str">
        <v>Beban Makan Minum Rapat</v>
      </c>
      <c r="F6">
        <v>86500</v>
      </c>
      <c r="H6" t="str">
        <v>Konsumsi Rapat Koordinasi bersama Dewas</v>
      </c>
    </row>
    <row r="7">
      <c r="A7">
        <f>VLOOKUP(D7,COA!$B$3:$C$217,2,0)</f>
        <v>11101</v>
      </c>
      <c r="B7">
        <v>46175</v>
      </c>
      <c r="C7" t="str">
        <v>007</v>
      </c>
      <c r="D7" t="str">
        <v>Kas Kecil</v>
      </c>
      <c r="G7">
        <f>F6</f>
        <v>86500</v>
      </c>
      <c r="H7" t="str">
        <v>Konsumsi Rapat Koordinasi bersama Dewas</v>
      </c>
    </row>
    <row r="8">
      <c r="A8">
        <f>VLOOKUP(D8,COA!$B$3:$C$217,2,0)</f>
        <v>61060</v>
      </c>
      <c r="B8">
        <v>46175</v>
      </c>
      <c r="C8" t="str">
        <v>006</v>
      </c>
      <c r="D8" t="str">
        <v>Beban Konsumsi Rapat dan Tamu</v>
      </c>
      <c r="E8" t="str">
        <v>Beban Makan Minum Kunjungan Tamu/Sosialisasi Pedagang</v>
      </c>
      <c r="F8">
        <v>170000</v>
      </c>
      <c r="H8" t="str">
        <v>Konsumsi Tamu dari UPT Tapin</v>
      </c>
    </row>
    <row r="9">
      <c r="A9">
        <f>VLOOKUP(D9,COA!$B$3:$C$217,2,0)</f>
        <v>11101</v>
      </c>
      <c r="B9">
        <v>46175</v>
      </c>
      <c r="C9" t="str">
        <v>006</v>
      </c>
      <c r="D9" t="str">
        <v>Kas Kecil</v>
      </c>
      <c r="G9">
        <f>F8</f>
        <v>170000</v>
      </c>
      <c r="H9" t="str">
        <v>Konsumsi Tamu dari UPT Tapin</v>
      </c>
    </row>
    <row r="10">
      <c r="A10">
        <f>VLOOKUP(D10,COA!$B$3:$C$217,2,0)</f>
        <v>61040</v>
      </c>
      <c r="B10">
        <v>46175</v>
      </c>
      <c r="C10" t="str">
        <v>005</v>
      </c>
      <c r="D10" t="str">
        <v>Beban Alat Tulis Kantor</v>
      </c>
      <c r="E10" t="str">
        <v>Beban ATK</v>
      </c>
      <c r="F10">
        <v>90000</v>
      </c>
      <c r="H10" t="str">
        <v>Pembuatan Kartu Nama Direksi</v>
      </c>
    </row>
    <row r="11">
      <c r="A11">
        <f>VLOOKUP(D11,COA!$B$3:$C$217,2,0)</f>
        <v>11101</v>
      </c>
      <c r="B11">
        <v>46175</v>
      </c>
      <c r="C11" t="str">
        <v>005</v>
      </c>
      <c r="D11" t="str">
        <v>Kas Kecil</v>
      </c>
      <c r="G11">
        <f>F10</f>
        <v>90000</v>
      </c>
      <c r="H11" t="str">
        <v>Pembuatan Kartu Nama Direksi</v>
      </c>
    </row>
    <row r="12">
      <c r="A12">
        <f>VLOOKUP(D12,COA!$B$3:$C$217,2,0)</f>
        <v>62020</v>
      </c>
      <c r="B12">
        <v>46176</v>
      </c>
      <c r="C12" t="str">
        <v>002</v>
      </c>
      <c r="D12" t="str">
        <v>Beban Pemeliharaan Bangunan Pasar</v>
      </c>
      <c r="E12" t="str">
        <v>Beban Pemeliharaan Bangunan Pasar</v>
      </c>
      <c r="F12">
        <v>11896000</v>
      </c>
      <c r="H12" t="str">
        <v>Pembelian Logo Bamara di Pasar Antasari</v>
      </c>
    </row>
    <row r="13">
      <c r="A13">
        <f>VLOOKUP(D13,COA!$B$3:$C$217,2,0)</f>
        <v>80000</v>
      </c>
      <c r="B13">
        <v>46176</v>
      </c>
      <c r="C13" t="str">
        <v>002</v>
      </c>
      <c r="D13" t="str">
        <v>Beban di Luar Operasional</v>
      </c>
      <c r="E13" t="str">
        <v>Beban Administrasi Bank</v>
      </c>
      <c r="F13">
        <v>2500</v>
      </c>
      <c r="H13" t="str">
        <v>admin bank</v>
      </c>
    </row>
    <row r="14">
      <c r="A14">
        <f>VLOOKUP(D14,COA!$B$3:$C$217,2,0)</f>
        <v>11103</v>
      </c>
      <c r="B14">
        <v>46176</v>
      </c>
      <c r="C14" t="str">
        <v>002</v>
      </c>
      <c r="D14" t="str">
        <v>Bank Kalsel</v>
      </c>
      <c r="G14">
        <f>SUM(F12:F13)</f>
        <v>11898500</v>
      </c>
      <c r="H14" t="str">
        <v>Pembelian Logo Bamara di Pasar Antasari + admin</v>
      </c>
    </row>
    <row r="15">
      <c r="A15">
        <f>VLOOKUP(D15,COA!$B$3:$C$217,2,0)</f>
        <v>61040</v>
      </c>
      <c r="B15">
        <v>46176</v>
      </c>
      <c r="C15" t="str">
        <v>003</v>
      </c>
      <c r="D15" t="str">
        <v>Beban Alat Tulis Kantor</v>
      </c>
      <c r="E15" t="str">
        <v>Beban ATK</v>
      </c>
      <c r="F15">
        <v>4104000</v>
      </c>
      <c r="H15" t="str">
        <v>Pembelian Kertas Countinous</v>
      </c>
    </row>
    <row r="16">
      <c r="A16">
        <f>VLOOKUP(D16,COA!$B$3:$C$217,2,0)</f>
        <v>80000</v>
      </c>
      <c r="B16">
        <v>46176</v>
      </c>
      <c r="C16" t="str">
        <v>003</v>
      </c>
      <c r="D16" t="str">
        <v>Beban di Luar Operasional</v>
      </c>
      <c r="E16" t="str">
        <v>Beban Administrasi Bank</v>
      </c>
      <c r="F16">
        <v>2500</v>
      </c>
      <c r="H16" t="str">
        <v>admin bank</v>
      </c>
    </row>
    <row r="17">
      <c r="A17">
        <f>VLOOKUP(D17,COA!$B$3:$C$217,2,0)</f>
        <v>11103</v>
      </c>
      <c r="B17">
        <v>46176</v>
      </c>
      <c r="C17" t="str">
        <v>003</v>
      </c>
      <c r="D17" t="str">
        <v>Bank Kalsel</v>
      </c>
      <c r="G17">
        <f>SUM(F15:F16)</f>
        <v>4106500</v>
      </c>
      <c r="H17" t="str">
        <v>Pembelian Kertas Countinous+admin</v>
      </c>
    </row>
    <row r="18">
      <c r="A18">
        <f>VLOOKUP(D18,COA!$B$3:$C$217,2,0)</f>
        <v>11402</v>
      </c>
      <c r="B18">
        <v>46176</v>
      </c>
      <c r="C18" t="str">
        <v>001</v>
      </c>
      <c r="D18" t="str">
        <v>Persediaan Barang Dagang (Gas LPG)</v>
      </c>
      <c r="F18">
        <v>1220000</v>
      </c>
      <c r="H18" t="str">
        <v>Isi ulang gas elpiji 3 kg (80 buah * @15.250)</v>
      </c>
      <c r="I18" t="str">
        <v>BAPOK</v>
      </c>
    </row>
    <row r="19">
      <c r="A19">
        <f>VLOOKUP(D19,COA!$B$3:$C$217,2,0)</f>
        <v>80000</v>
      </c>
      <c r="B19">
        <v>46176</v>
      </c>
      <c r="C19" t="str">
        <v>001</v>
      </c>
      <c r="D19" t="str">
        <v>Beban di Luar Operasional</v>
      </c>
      <c r="E19" t="str">
        <v>Beban Administrasi Bank</v>
      </c>
      <c r="F19">
        <v>2500</v>
      </c>
      <c r="H19" t="str">
        <v>admin bank</v>
      </c>
    </row>
    <row r="20">
      <c r="A20">
        <f>VLOOKUP(D20,COA!$B$3:$C$217,2,0)</f>
        <v>11103</v>
      </c>
      <c r="B20">
        <v>46176</v>
      </c>
      <c r="C20" t="str">
        <v>001</v>
      </c>
      <c r="D20" t="str">
        <v>Bank Kalsel</v>
      </c>
      <c r="G20">
        <f>SUM(F18:F19)</f>
        <v>1222500</v>
      </c>
      <c r="H20" t="str">
        <v>Isi ulang gas elpiji 3 kg (80 buah * @15.250) + admin</v>
      </c>
    </row>
    <row r="21">
      <c r="A21">
        <f>VLOOKUP(D21,COA!$B$3:$C$217,2,0)</f>
        <v>61070</v>
      </c>
      <c r="B21">
        <v>46176</v>
      </c>
      <c r="C21" t="str">
        <v>004</v>
      </c>
      <c r="D21" t="str">
        <v>Beban Perlengkapan dan Pemeliharaan Kantor</v>
      </c>
      <c r="E21" t="str">
        <v>Beban Pemeliharaan Perlengkapan dan Peralatan Kantor</v>
      </c>
      <c r="F21">
        <v>430000</v>
      </c>
      <c r="H21" t="str">
        <v>Pembelian Kartu Memori Kamera</v>
      </c>
    </row>
    <row r="22">
      <c r="A22">
        <f>VLOOKUP(D22,COA!$B$3:$C$217,2,0)</f>
        <v>11103</v>
      </c>
      <c r="B22">
        <v>46176</v>
      </c>
      <c r="C22" t="str">
        <v>004</v>
      </c>
      <c r="D22" t="str">
        <v>Bank Kalsel</v>
      </c>
      <c r="G22">
        <f>SUM(F20:F21)</f>
        <v>430000</v>
      </c>
      <c r="H22" t="str">
        <v>Pembelian Kartu Memori Kamera</v>
      </c>
    </row>
    <row r="23">
      <c r="A23">
        <f>VLOOKUP(D23,COA!$B$3:$C$217,2,0)</f>
        <v>61060</v>
      </c>
      <c r="B23">
        <v>46177</v>
      </c>
      <c r="C23" t="str">
        <v>016</v>
      </c>
      <c r="D23" t="str">
        <v>Beban Konsumsi Rapat dan Tamu</v>
      </c>
      <c r="E23" t="str">
        <v>Beban Makan Minum Kunjungan Tamu/Sosialisasi Pedagang</v>
      </c>
      <c r="F23">
        <v>25000</v>
      </c>
      <c r="H23" t="str">
        <v>Konsumsi Pembayaran Air Galon Bamara</v>
      </c>
    </row>
    <row r="24">
      <c r="A24">
        <f>VLOOKUP(D24,COA!$B$3:$C$217,2,0)</f>
        <v>11101</v>
      </c>
      <c r="B24">
        <v>46177</v>
      </c>
      <c r="C24" t="str">
        <v>016</v>
      </c>
      <c r="D24" t="str">
        <v>Kas Kecil</v>
      </c>
      <c r="G24">
        <f>F23</f>
        <v>25000</v>
      </c>
      <c r="H24" t="str">
        <v>Konsumsi Pembayaran Air Galon Bamara</v>
      </c>
    </row>
    <row r="25">
      <c r="A25">
        <f>VLOOKUP(D25,COA!$B$3:$C$217,2,0)</f>
        <v>61040</v>
      </c>
      <c r="B25">
        <v>46177</v>
      </c>
      <c r="C25" t="str">
        <v>015</v>
      </c>
      <c r="D25" t="str">
        <v>Beban Alat Tulis Kantor</v>
      </c>
      <c r="E25" t="str">
        <v>Beban ATK</v>
      </c>
      <c r="F25">
        <v>150000</v>
      </c>
      <c r="H25" t="str">
        <v>Biaya Cetak Voucher BBM Dexlite</v>
      </c>
    </row>
    <row r="26">
      <c r="A26">
        <f>VLOOKUP(D26,COA!$B$3:$C$217,2,0)</f>
        <v>11101</v>
      </c>
      <c r="B26">
        <v>46177</v>
      </c>
      <c r="C26" t="str">
        <v>015</v>
      </c>
      <c r="D26" t="str">
        <v>Kas Kecil</v>
      </c>
      <c r="G26">
        <f>F25</f>
        <v>150000</v>
      </c>
      <c r="H26" t="str">
        <v>Biaya Cetak Voucher BBM Dexlite</v>
      </c>
    </row>
    <row r="27">
      <c r="A27">
        <f>VLOOKUP(D27,COA!$B$3:$C$217,2,0)</f>
        <v>62010</v>
      </c>
      <c r="B27">
        <v>46178</v>
      </c>
      <c r="C27" t="str">
        <v>018</v>
      </c>
      <c r="D27" t="str">
        <v>Beban Pemeliharaan Kendaraan Operasional</v>
      </c>
      <c r="E27" t="str">
        <v>Beban Pemeliharaan Mobil Truck</v>
      </c>
      <c r="F27">
        <v>999000</v>
      </c>
      <c r="H27" t="str">
        <v>Pembayaran Cartrack Mobil Operasional Truck</v>
      </c>
    </row>
    <row r="28">
      <c r="A28">
        <f>VLOOKUP(D28,COA!$B$3:$C$217,2,0)</f>
        <v>80000</v>
      </c>
      <c r="B28">
        <v>46178</v>
      </c>
      <c r="C28" t="str">
        <v>018</v>
      </c>
      <c r="D28" t="str">
        <v>Beban di Luar Operasional</v>
      </c>
      <c r="E28" t="str">
        <v>Beban Administrasi Bank</v>
      </c>
      <c r="F28">
        <v>2500</v>
      </c>
      <c r="H28" t="str">
        <v>admin bank</v>
      </c>
    </row>
    <row r="29">
      <c r="A29">
        <f>VLOOKUP(D29,COA!$B$3:$C$217,2,0)</f>
        <v>11103</v>
      </c>
      <c r="B29">
        <v>46178</v>
      </c>
      <c r="C29" t="str">
        <v>018</v>
      </c>
      <c r="D29" t="str">
        <v>Bank Kalsel</v>
      </c>
      <c r="G29">
        <f>SUM(F27:F28)</f>
        <v>1001500</v>
      </c>
      <c r="H29" t="str">
        <v>Pembayaran Cartrack Mobil Operasional Truck+admin</v>
      </c>
    </row>
    <row r="30">
      <c r="A30">
        <f>VLOOKUP(D30,COA!$B$3:$C$217,2,0)</f>
        <v>61060</v>
      </c>
      <c r="B30">
        <v>46178</v>
      </c>
      <c r="C30" t="str">
        <v>017</v>
      </c>
      <c r="D30" t="str">
        <v>Beban Konsumsi Rapat dan Tamu</v>
      </c>
      <c r="E30" t="str">
        <v>Beban Makan Minum Kegiatan Kantor</v>
      </c>
      <c r="F30">
        <v>98000</v>
      </c>
      <c r="H30" t="str">
        <v>Konsumsi Kegiatan Koordinasi dengan Keamanan Pasar Antasari terkait Pencurian AC Ramayana</v>
      </c>
    </row>
    <row r="31">
      <c r="A31">
        <f>VLOOKUP(D31,COA!$B$3:$C$217,2,0)</f>
        <v>11101</v>
      </c>
      <c r="B31">
        <v>46178</v>
      </c>
      <c r="C31" t="str">
        <v>017</v>
      </c>
      <c r="D31" t="str">
        <v>Kas Kecil</v>
      </c>
      <c r="G31">
        <f>F30</f>
        <v>98000</v>
      </c>
      <c r="H31" t="str">
        <v>Konsumsi Kegiatan Koordinasi dengan Keamanan Pasar Antasari terkait Pencurian AC Ramayana</v>
      </c>
    </row>
    <row r="32">
      <c r="A32">
        <f>VLOOKUP(D32,COA!$B$3:$C$217,2,0)</f>
        <v>61050</v>
      </c>
      <c r="B32">
        <v>46178</v>
      </c>
      <c r="C32" t="str">
        <v>014</v>
      </c>
      <c r="D32" t="str">
        <v>Beban Telepon/Listrik/Air/Wifi/Website</v>
      </c>
      <c r="E32" t="str">
        <v>Beban Air</v>
      </c>
      <c r="F32">
        <v>1203733</v>
      </c>
      <c r="H32" t="str">
        <v xml:space="preserve">Pembayaran PDAM Kantor </v>
      </c>
    </row>
    <row r="33">
      <c r="A33">
        <f>VLOOKUP(D33,COA!$B$3:$C$217,2,0)</f>
        <v>11103</v>
      </c>
      <c r="B33">
        <v>46178</v>
      </c>
      <c r="C33" t="str">
        <v>014</v>
      </c>
      <c r="D33" t="str">
        <v>Bank Kalsel</v>
      </c>
      <c r="G33">
        <f>SUM(F31:F32)</f>
        <v>1203733</v>
      </c>
      <c r="H33" t="str">
        <v xml:space="preserve">Pembayaran PDAM Kantor </v>
      </c>
    </row>
    <row r="34">
      <c r="A34">
        <f>VLOOKUP(D34,COA!$B$3:$C$217,2,0)</f>
        <v>61050</v>
      </c>
      <c r="B34">
        <v>46178</v>
      </c>
      <c r="C34" t="str">
        <v>014</v>
      </c>
      <c r="D34" t="str">
        <v>Beban Telepon/Listrik/Air/Wifi/Website</v>
      </c>
      <c r="E34" t="str">
        <v>Beban Listrik</v>
      </c>
      <c r="F34">
        <v>4581190</v>
      </c>
      <c r="H34" t="str">
        <v xml:space="preserve">Pembayaran Listrik Kantor </v>
      </c>
    </row>
    <row r="35">
      <c r="A35">
        <f>VLOOKUP(D35,COA!$B$3:$C$217,2,0)</f>
        <v>11103</v>
      </c>
      <c r="B35">
        <v>46178</v>
      </c>
      <c r="C35" t="str">
        <v>014</v>
      </c>
      <c r="D35" t="str">
        <v>Bank Kalsel</v>
      </c>
      <c r="G35">
        <f>SUM(F33:F34)</f>
        <v>4581190</v>
      </c>
      <c r="H35" t="str">
        <v xml:space="preserve">Pembayaran Listrik Kantor </v>
      </c>
    </row>
    <row r="36">
      <c r="A36">
        <f>VLOOKUP(D36,COA!$B$3:$C$217,2,0)</f>
        <v>61050</v>
      </c>
      <c r="B36">
        <v>46178</v>
      </c>
      <c r="C36" t="str">
        <v>014</v>
      </c>
      <c r="D36" t="str">
        <v>Beban Telepon/Listrik/Air/Wifi/Website</v>
      </c>
      <c r="E36" t="str">
        <v>Beban Wifi/Internet</v>
      </c>
      <c r="F36">
        <v>1393890</v>
      </c>
      <c r="H36" t="str">
        <v xml:space="preserve">Pembayaran Wifi Kantor </v>
      </c>
    </row>
    <row r="37">
      <c r="A37">
        <f>VLOOKUP(D37,COA!$B$3:$C$217,2,0)</f>
        <v>11103</v>
      </c>
      <c r="B37">
        <v>46178</v>
      </c>
      <c r="C37" t="str">
        <v>014</v>
      </c>
      <c r="D37" t="str">
        <v>Bank Kalsel</v>
      </c>
      <c r="G37">
        <f>SUM(F35:F36)</f>
        <v>1393890</v>
      </c>
      <c r="H37" t="str">
        <v xml:space="preserve">Pembayaran Wifi Kantor </v>
      </c>
    </row>
    <row r="38">
      <c r="A38">
        <f>VLOOKUP(D38,COA!$B$3:$C$217,2,0)</f>
        <v>62020</v>
      </c>
      <c r="B38">
        <v>46178</v>
      </c>
      <c r="C38" t="str">
        <v>013</v>
      </c>
      <c r="D38" t="str">
        <v>Beban Pemeliharaan Bangunan Pasar</v>
      </c>
      <c r="E38" t="str">
        <v>Beban Pemeliharaan Bangunan Pasar</v>
      </c>
      <c r="F38">
        <v>40966000</v>
      </c>
      <c r="H38" t="str">
        <v>TPAS Banjarbakula Bulan Mei 2026</v>
      </c>
    </row>
    <row r="39">
      <c r="A39">
        <f>VLOOKUP(D39,COA!$B$3:$C$217,2,0)</f>
        <v>11103</v>
      </c>
      <c r="B39">
        <v>46178</v>
      </c>
      <c r="C39" t="str">
        <v>013</v>
      </c>
      <c r="D39" t="str">
        <v>Bank Kalsel</v>
      </c>
      <c r="G39">
        <f>SUM(F37:F38)</f>
        <v>40966000</v>
      </c>
      <c r="H39" t="str">
        <v>TPAS Banjarbakula Bulan Mei 2026</v>
      </c>
    </row>
    <row r="40">
      <c r="A40">
        <f>VLOOKUP(D40,COA!$B$3:$C$217,2,0)</f>
        <v>61110</v>
      </c>
      <c r="B40">
        <v>46178</v>
      </c>
      <c r="C40" t="str">
        <v>012</v>
      </c>
      <c r="D40" t="str">
        <v>Beban Sewa Kendaraan</v>
      </c>
      <c r="E40" t="str">
        <v>Beban Sewa Mobil Operasional</v>
      </c>
      <c r="F40">
        <v>23849999</v>
      </c>
      <c r="H40" t="str">
        <v>Sewa Mobil Operasional 3 Buah</v>
      </c>
    </row>
    <row r="41">
      <c r="A41">
        <f>VLOOKUP(D41,COA!$B$3:$C$217,2,0)</f>
        <v>80000</v>
      </c>
      <c r="B41">
        <v>46178</v>
      </c>
      <c r="C41" t="str">
        <v>012</v>
      </c>
      <c r="D41" t="str">
        <v>Beban di Luar Operasional</v>
      </c>
      <c r="E41" t="str">
        <v>Beban Administrasi Bank</v>
      </c>
      <c r="F41">
        <v>2500</v>
      </c>
      <c r="H41" t="str">
        <v>admin bank</v>
      </c>
    </row>
    <row r="42">
      <c r="A42">
        <f>VLOOKUP(D42,COA!$B$3:$C$217,2,0)</f>
        <v>11103</v>
      </c>
      <c r="B42">
        <v>46178</v>
      </c>
      <c r="C42" t="str">
        <v>012</v>
      </c>
      <c r="D42" t="str">
        <v>Bank Kalsel</v>
      </c>
      <c r="G42">
        <f>SUM(F40:F41)</f>
        <v>23852499</v>
      </c>
      <c r="H42" t="str">
        <v>Sewa Mobil Operasional 3 Buah+admin</v>
      </c>
    </row>
    <row r="43">
      <c r="A43" t="str">
        <f>VLOOKUP(D43,COA!$B$3:$C$217,2,0)</f>
        <v>12203.1</v>
      </c>
      <c r="B43">
        <v>46178</v>
      </c>
      <c r="C43" t="str">
        <v>135</v>
      </c>
      <c r="D43" t="str">
        <v>Instalasi Listrik</v>
      </c>
      <c r="F43">
        <v>28862830</v>
      </c>
      <c r="H43" t="str">
        <v>Pemasangan Listrik Baru di Pasar Antasari 23.000 VA</v>
      </c>
    </row>
    <row r="44">
      <c r="A44">
        <f>VLOOKUP(D44,COA!$B$3:$C$217,2,0)</f>
        <v>80000</v>
      </c>
      <c r="B44">
        <v>46178</v>
      </c>
      <c r="C44" t="str">
        <v>135</v>
      </c>
      <c r="D44" t="str">
        <v>Beban di Luar Operasional</v>
      </c>
      <c r="E44" t="str">
        <v>Beban Administrasi Bank</v>
      </c>
      <c r="F44">
        <v>2500</v>
      </c>
      <c r="H44" t="str">
        <v>admin bank</v>
      </c>
    </row>
    <row r="45">
      <c r="A45">
        <f>VLOOKUP(D45,COA!$B$3:$C$217,2,0)</f>
        <v>11103</v>
      </c>
      <c r="B45">
        <v>46178</v>
      </c>
      <c r="C45" t="str">
        <v>135</v>
      </c>
      <c r="D45" t="str">
        <v>Bank Kalsel</v>
      </c>
      <c r="G45">
        <f>SUM(F43:F44)</f>
        <v>28865330</v>
      </c>
      <c r="H45" t="str">
        <v>Pemasangan Listrik Baru di Pasar Antasari+admin</v>
      </c>
    </row>
    <row r="46">
      <c r="A46">
        <f>VLOOKUP(D46,COA!$B$3:$C$217,2,0)</f>
        <v>62070</v>
      </c>
      <c r="B46">
        <v>46178</v>
      </c>
      <c r="C46" t="str">
        <v>009</v>
      </c>
      <c r="D46" t="str">
        <v>Beban Tunjangan Pegawai Operasional</v>
      </c>
      <c r="E46" t="str">
        <v>Beban Tunjangan Kesehatan (THL)</v>
      </c>
      <c r="F46">
        <v>22981164</v>
      </c>
      <c r="H46" t="str">
        <v>BPJS Kesehatan THL</v>
      </c>
    </row>
    <row r="47">
      <c r="A47">
        <f>VLOOKUP(D47,COA!$B$3:$C$217,2,0)</f>
        <v>80000</v>
      </c>
      <c r="B47">
        <v>46178</v>
      </c>
      <c r="C47" t="str">
        <v>009</v>
      </c>
      <c r="D47" t="str">
        <v>Beban di Luar Operasional</v>
      </c>
      <c r="E47" t="str">
        <v>Beban Administrasi Bank</v>
      </c>
      <c r="F47">
        <v>2500</v>
      </c>
      <c r="H47" t="str">
        <v>admin bank</v>
      </c>
    </row>
    <row r="48">
      <c r="A48">
        <f>VLOOKUP(D48,COA!$B$3:$C$217,2,0)</f>
        <v>11103</v>
      </c>
      <c r="B48">
        <v>46178</v>
      </c>
      <c r="C48" t="str">
        <v>009</v>
      </c>
      <c r="D48" t="str">
        <v>Bank Kalsel</v>
      </c>
      <c r="G48">
        <f>SUM(F46:F47)</f>
        <v>22983664</v>
      </c>
      <c r="H48" t="str">
        <v>BPJS Kesehatan THL</v>
      </c>
    </row>
    <row r="49">
      <c r="A49">
        <f>VLOOKUP(D49,COA!$B$3:$C$217,2,0)</f>
        <v>61020</v>
      </c>
      <c r="B49">
        <v>46178</v>
      </c>
      <c r="C49" t="str">
        <v>010</v>
      </c>
      <c r="D49" t="str">
        <v>Beban Tunjangan Pegawai Umum</v>
      </c>
      <c r="E49" t="str">
        <v>Beban Tunjangan Kesehatan (JKN)</v>
      </c>
      <c r="F49">
        <v>10389410</v>
      </c>
      <c r="H49" t="str">
        <v>BPJS Kesehatan Karyawan</v>
      </c>
    </row>
    <row r="50">
      <c r="A50">
        <f>VLOOKUP(D50,COA!$B$3:$C$217,2,0)</f>
        <v>11103</v>
      </c>
      <c r="B50">
        <v>46178</v>
      </c>
      <c r="C50" t="str">
        <v>010</v>
      </c>
      <c r="D50" t="str">
        <v>Bank Kalsel</v>
      </c>
      <c r="G50">
        <f>SUM(F48:F49)</f>
        <v>10389410</v>
      </c>
      <c r="H50" t="str">
        <v>BPJS Kesehatan Karyawan</v>
      </c>
    </row>
    <row r="51">
      <c r="A51">
        <f>VLOOKUP(D51,COA!$B$3:$C$217,2,0)</f>
        <v>61060</v>
      </c>
      <c r="B51">
        <v>46178</v>
      </c>
      <c r="C51" t="str">
        <v>011</v>
      </c>
      <c r="D51" t="str">
        <v>Beban Konsumsi Rapat dan Tamu</v>
      </c>
      <c r="E51" t="str">
        <v>Beban Makan Minum Kunjungan Tamu/Sosialisasi Pedagang</v>
      </c>
      <c r="F51">
        <v>1466000</v>
      </c>
      <c r="H51" t="str">
        <v>Konsumsi Makan Minum Kantor (Keperluan Loket)</v>
      </c>
    </row>
    <row r="52">
      <c r="A52">
        <f>VLOOKUP(D52,COA!$B$3:$C$217,2,0)</f>
        <v>80000</v>
      </c>
      <c r="B52">
        <v>46178</v>
      </c>
      <c r="C52" t="str">
        <v>011</v>
      </c>
      <c r="D52" t="str">
        <v>Beban di Luar Operasional</v>
      </c>
      <c r="E52" t="str">
        <v>Beban Administrasi Bank</v>
      </c>
      <c r="F52">
        <v>2500</v>
      </c>
      <c r="H52" t="str">
        <v>admin bank</v>
      </c>
    </row>
    <row r="53">
      <c r="A53">
        <f>VLOOKUP(D53,COA!$B$3:$C$217,2,0)</f>
        <v>11103</v>
      </c>
      <c r="B53">
        <v>46178</v>
      </c>
      <c r="C53" t="str">
        <v>011</v>
      </c>
      <c r="D53" t="str">
        <v>Bank Kalsel</v>
      </c>
      <c r="G53">
        <f>SUM(F51:F52)</f>
        <v>1468500</v>
      </c>
      <c r="H53" t="str">
        <v>Konsumsi Makan Minum Kantor (Keperluan Loket)+admin</v>
      </c>
    </row>
    <row r="54">
      <c r="A54">
        <f>VLOOKUP(D54,COA!$B$3:$C$217,2,0)</f>
        <v>61060</v>
      </c>
      <c r="B54">
        <v>46178</v>
      </c>
      <c r="C54" t="str">
        <v>020</v>
      </c>
      <c r="D54" t="str">
        <v>Beban Konsumsi Rapat dan Tamu</v>
      </c>
      <c r="E54" t="str">
        <v>Beban Makan Minum Kegiatan Kantor</v>
      </c>
      <c r="F54">
        <v>99500</v>
      </c>
      <c r="H54" t="str">
        <v>Konsumsi Kegiatan Kerja Bakti di Pasar Antasari</v>
      </c>
    </row>
    <row r="55">
      <c r="A55">
        <f>VLOOKUP(D55,COA!$B$3:$C$217,2,0)</f>
        <v>11101</v>
      </c>
      <c r="B55">
        <v>46178</v>
      </c>
      <c r="C55" t="str">
        <v>020</v>
      </c>
      <c r="D55" t="str">
        <v>Kas Kecil</v>
      </c>
      <c r="G55">
        <f>F54</f>
        <v>99500</v>
      </c>
      <c r="H55" t="str">
        <v>Konsumsi Kegiatan Kerja Bakti di Pasar Antasari</v>
      </c>
    </row>
    <row r="56">
      <c r="A56">
        <f>VLOOKUP(D56,COA!$B$3:$C$217,2,0)</f>
        <v>62020</v>
      </c>
      <c r="B56">
        <v>46178</v>
      </c>
      <c r="C56" t="str">
        <v>019</v>
      </c>
      <c r="D56" t="str">
        <v>Beban Pemeliharaan Bangunan Pasar</v>
      </c>
      <c r="E56" t="str">
        <v>Beban Pemeliharaan Bangunan Pasar</v>
      </c>
      <c r="F56">
        <v>1375860</v>
      </c>
      <c r="H56" t="str">
        <v>Pembelian Cat Kerja Bakti di Pasar Antasari</v>
      </c>
    </row>
    <row r="57">
      <c r="A57">
        <f>VLOOKUP(D57,COA!$B$3:$C$217,2,0)</f>
        <v>11103</v>
      </c>
      <c r="B57">
        <v>46178</v>
      </c>
      <c r="C57" t="str">
        <v>019</v>
      </c>
      <c r="D57" t="str">
        <v>Bank Kalsel</v>
      </c>
      <c r="G57">
        <f>SUM(F56:F56)</f>
        <v>1375860</v>
      </c>
      <c r="H57" t="str">
        <v>Pembelian Cat Kerja Bakti di Pasar Antasari</v>
      </c>
    </row>
    <row r="58">
      <c r="A58">
        <f>VLOOKUP(D58,COA!$B$3:$C$217,2,0)</f>
        <v>62020</v>
      </c>
      <c r="B58">
        <v>46178</v>
      </c>
      <c r="C58" t="str">
        <v>019</v>
      </c>
      <c r="D58" t="str">
        <v>Beban Pemeliharaan Bangunan Pasar</v>
      </c>
      <c r="E58" t="str">
        <v>Beban Pemeliharaan Bangunan Pasar</v>
      </c>
      <c r="F58">
        <v>43960</v>
      </c>
      <c r="H58" t="str">
        <v>Pembelian Kuas Cat Kerja Bakti di Pasar Antasari</v>
      </c>
    </row>
    <row r="59">
      <c r="A59">
        <f>VLOOKUP(D59,COA!$B$3:$C$217,2,0)</f>
        <v>11101</v>
      </c>
      <c r="B59">
        <v>46178</v>
      </c>
      <c r="C59" t="str">
        <v>019</v>
      </c>
      <c r="D59" t="str">
        <v>Kas Kecil</v>
      </c>
      <c r="G59">
        <f>SUM(F58:F58)</f>
        <v>43960</v>
      </c>
      <c r="H59" t="str">
        <v>Pembelian Kuas Cat Kerja Bakti di Pasar Antasari</v>
      </c>
    </row>
    <row r="60">
      <c r="A60">
        <f>VLOOKUP(D60,COA!$B$3:$C$217,2,0)</f>
        <v>61060</v>
      </c>
      <c r="B60">
        <v>46181</v>
      </c>
      <c r="C60" t="str">
        <v>024</v>
      </c>
      <c r="D60" t="str">
        <v>Beban Konsumsi Rapat dan Tamu</v>
      </c>
      <c r="E60" t="str">
        <v>Beban Makan Minum Rapat</v>
      </c>
      <c r="F60">
        <v>175000</v>
      </c>
      <c r="H60" t="str">
        <v>Konsumsi Kegiatan Rapat Internal (Kue Bingka)</v>
      </c>
    </row>
    <row r="61">
      <c r="A61">
        <f>VLOOKUP(D61,COA!$B$3:$C$217,2,0)</f>
        <v>11101</v>
      </c>
      <c r="B61">
        <v>46181</v>
      </c>
      <c r="C61" t="str">
        <v>024</v>
      </c>
      <c r="D61" t="str">
        <v>Kas Kecil</v>
      </c>
      <c r="G61">
        <f>F60</f>
        <v>175000</v>
      </c>
      <c r="H61" t="str">
        <v>Konsumsi Kegiatan Rapat Internal (Kue Bingka)</v>
      </c>
    </row>
    <row r="62">
      <c r="A62">
        <f>VLOOKUP(D62,COA!$B$3:$C$217,2,0)</f>
        <v>61060</v>
      </c>
      <c r="B62">
        <v>46181</v>
      </c>
      <c r="C62" t="str">
        <v>022</v>
      </c>
      <c r="D62" t="str">
        <v>Beban Konsumsi Rapat dan Tamu</v>
      </c>
      <c r="E62" t="str">
        <v>Beban Makan Minum Rapat</v>
      </c>
      <c r="F62">
        <v>50000</v>
      </c>
      <c r="H62" t="str">
        <v>Konsumsi Kegiatan Rapat Internal (Gorengan)</v>
      </c>
    </row>
    <row r="63">
      <c r="A63">
        <f>VLOOKUP(D63,COA!$B$3:$C$217,2,0)</f>
        <v>11101</v>
      </c>
      <c r="B63">
        <v>46181</v>
      </c>
      <c r="C63" t="str">
        <v>022</v>
      </c>
      <c r="D63" t="str">
        <v>Kas Kecil</v>
      </c>
      <c r="G63">
        <f>F62</f>
        <v>50000</v>
      </c>
      <c r="H63" t="str">
        <v>Konsumsi Kegiatan Rapat Internal (Gorengan)</v>
      </c>
    </row>
    <row r="64">
      <c r="A64">
        <f>VLOOKUP(D64,COA!$B$3:$C$217,2,0)</f>
        <v>61060</v>
      </c>
      <c r="B64">
        <v>46181</v>
      </c>
      <c r="C64" t="str">
        <v>021</v>
      </c>
      <c r="D64" t="str">
        <v>Beban Konsumsi Rapat dan Tamu</v>
      </c>
      <c r="E64" t="str">
        <v>Beban Makan Minum Rapat</v>
      </c>
      <c r="F64">
        <v>82000</v>
      </c>
      <c r="H64" t="str">
        <v>Konsumsi Kegiatan Rapat bersama Pengelola Listrik Pasar Antasari</v>
      </c>
    </row>
    <row r="65">
      <c r="A65">
        <f>VLOOKUP(D65,COA!$B$3:$C$217,2,0)</f>
        <v>11101</v>
      </c>
      <c r="B65">
        <v>46181</v>
      </c>
      <c r="C65" t="str">
        <v>021</v>
      </c>
      <c r="D65" t="str">
        <v>Kas Kecil</v>
      </c>
      <c r="G65">
        <f>F64</f>
        <v>82000</v>
      </c>
      <c r="H65" t="str">
        <v>Konsumsi Kegiatan Rapat bersama Pengelola Listrik Pasar Antasari</v>
      </c>
    </row>
    <row r="66">
      <c r="A66">
        <f>VLOOKUP(D66,COA!$B$3:$C$217,2,0)</f>
        <v>61060</v>
      </c>
      <c r="B66">
        <v>46181</v>
      </c>
      <c r="C66" t="str">
        <v>025</v>
      </c>
      <c r="D66" t="str">
        <v>Beban Konsumsi Rapat dan Tamu</v>
      </c>
      <c r="E66" t="str">
        <v>Beban Makan Minum Aktivitas Lapangan</v>
      </c>
      <c r="F66">
        <v>54000</v>
      </c>
      <c r="H66" t="str">
        <v>Konsumsi Kegiatan Lapangan pembagian SP ke EKS Pedagang</v>
      </c>
    </row>
    <row r="67">
      <c r="A67">
        <f>VLOOKUP(D67,COA!$B$3:$C$217,2,0)</f>
        <v>11101</v>
      </c>
      <c r="B67">
        <v>46181</v>
      </c>
      <c r="C67" t="str">
        <v>025</v>
      </c>
      <c r="D67" t="str">
        <v>Kas Kecil</v>
      </c>
      <c r="G67">
        <f>F66</f>
        <v>54000</v>
      </c>
      <c r="H67" t="str">
        <v>Konsumsi Kegiatan Lapangan pembagian SP ke EKS Pedagang</v>
      </c>
    </row>
    <row r="68">
      <c r="A68">
        <f>VLOOKUP(D68,COA!$B$3:$C$217,2,0)</f>
        <v>61060</v>
      </c>
      <c r="B68">
        <v>46181</v>
      </c>
      <c r="C68" t="str">
        <v>031</v>
      </c>
      <c r="D68" t="str">
        <v>Beban Konsumsi Rapat dan Tamu</v>
      </c>
      <c r="E68" t="str">
        <v>Beban Makan Minum Kunjungan Tamu/Sosialisasi Pedagang</v>
      </c>
      <c r="F68">
        <v>477300</v>
      </c>
      <c r="H68" t="str">
        <v>Pembelian Kebutuhan Dapur (Tissue,Sabun dll)</v>
      </c>
    </row>
    <row r="69">
      <c r="A69">
        <f>VLOOKUP(D69,COA!$B$3:$C$217,2,0)</f>
        <v>11101</v>
      </c>
      <c r="B69">
        <v>46181</v>
      </c>
      <c r="C69" t="str">
        <v>031</v>
      </c>
      <c r="D69" t="str">
        <v>Kas Kecil</v>
      </c>
      <c r="G69">
        <f>F68</f>
        <v>477300</v>
      </c>
      <c r="H69" t="str">
        <v>Pembelian Kebutuhan Dapur (Tissue,Sabun dll)</v>
      </c>
    </row>
    <row r="70">
      <c r="A70">
        <f>VLOOKUP(D70,COA!$B$3:$C$217,2,0)</f>
        <v>61140</v>
      </c>
      <c r="B70">
        <v>46181</v>
      </c>
      <c r="C70" t="str">
        <v>023</v>
      </c>
      <c r="D70" t="str">
        <v>Beban Umum Lain-lain</v>
      </c>
      <c r="E70" t="str">
        <v>Beban Kegiatan Olahraga Karyawan</v>
      </c>
      <c r="F70">
        <v>125000</v>
      </c>
      <c r="H70" t="str">
        <v>Pembelian Chok Bulu Tangkis</v>
      </c>
    </row>
    <row r="71">
      <c r="A71">
        <f>VLOOKUP(D71,COA!$B$3:$C$217,2,0)</f>
        <v>11101</v>
      </c>
      <c r="B71">
        <v>46181</v>
      </c>
      <c r="C71" t="str">
        <v>023</v>
      </c>
      <c r="D71" t="str">
        <v>Kas Kecil</v>
      </c>
      <c r="G71">
        <f>F70</f>
        <v>125000</v>
      </c>
      <c r="H71" t="str">
        <v>Pembelian Chok Bulu Tangkis</v>
      </c>
    </row>
    <row r="72">
      <c r="A72">
        <f>VLOOKUP(D72,COA!$B$3:$C$217,2,0)</f>
        <v>62050</v>
      </c>
      <c r="B72">
        <v>46181</v>
      </c>
      <c r="C72" t="str">
        <v>026</v>
      </c>
      <c r="D72" t="str">
        <v>Beban Barang Cetakan</v>
      </c>
      <c r="E72" t="str">
        <v>Beban Cetak Spanduk</v>
      </c>
      <c r="F72">
        <v>180000</v>
      </c>
      <c r="H72" t="str">
        <v>Cetak Spanduk Dilarang Parkir dan Drop Off Only</v>
      </c>
    </row>
    <row r="73">
      <c r="A73">
        <f>VLOOKUP(D73,COA!$B$3:$C$217,2,0)</f>
        <v>11101</v>
      </c>
      <c r="B73">
        <v>46181</v>
      </c>
      <c r="C73" t="str">
        <v>026</v>
      </c>
      <c r="D73" t="str">
        <v>Kas Kecil</v>
      </c>
      <c r="G73">
        <f>F72</f>
        <v>180000</v>
      </c>
      <c r="H73" t="str">
        <v>Cetak Spanduk Dilarang Parkir dan Drop Off Only</v>
      </c>
    </row>
    <row r="74">
      <c r="A74">
        <f>VLOOKUP(D74,COA!$B$3:$C$217,2,0)</f>
        <v>61060</v>
      </c>
      <c r="B74">
        <v>46182</v>
      </c>
      <c r="C74" t="str">
        <v>032</v>
      </c>
      <c r="D74" t="str">
        <v>Beban Konsumsi Rapat dan Tamu</v>
      </c>
      <c r="E74" t="str">
        <v>Beban Makan Minum Aktivitas Lapangan</v>
      </c>
      <c r="F74">
        <v>900000</v>
      </c>
      <c r="H74" t="str">
        <v>Konsumsi Kegiatan Penertiban Pedagang Antasari selama 3 hari</v>
      </c>
    </row>
    <row r="75">
      <c r="A75">
        <f>VLOOKUP(D75,COA!$B$3:$C$217,2,0)</f>
        <v>11101</v>
      </c>
      <c r="B75">
        <v>46182</v>
      </c>
      <c r="C75" t="str">
        <v>032</v>
      </c>
      <c r="D75" t="str">
        <v>Kas Kecil</v>
      </c>
      <c r="G75">
        <f>F74</f>
        <v>900000</v>
      </c>
      <c r="H75" t="str">
        <v>Konsumsi Kegiatan Penertiban Pedagang Antasari selama 3 hari</v>
      </c>
    </row>
    <row r="76">
      <c r="A76">
        <f>VLOOKUP(D76,COA!$B$3:$C$217,2,0)</f>
        <v>11401</v>
      </c>
      <c r="B76">
        <v>46182</v>
      </c>
      <c r="C76" t="str">
        <v>033</v>
      </c>
      <c r="D76" t="str">
        <v>Persediaan Barang Dagang (Bapok dan Gerai Inflasi)</v>
      </c>
      <c r="F76">
        <v>49274400</v>
      </c>
      <c r="H76" t="str">
        <v>Pembelian Telur Ayam Ras</v>
      </c>
      <c r="I76" t="str">
        <v>BAPOK</v>
      </c>
    </row>
    <row r="77">
      <c r="A77">
        <f>VLOOKUP(D77,COA!$B$3:$C$217,2,0)</f>
        <v>80000</v>
      </c>
      <c r="B77">
        <v>46182</v>
      </c>
      <c r="C77" t="str">
        <v>033</v>
      </c>
      <c r="D77" t="str">
        <v>Beban di Luar Operasional</v>
      </c>
      <c r="E77" t="str">
        <v>Beban Administrasi Bank</v>
      </c>
      <c r="F77">
        <v>2500</v>
      </c>
      <c r="H77" t="str">
        <v>admin bank</v>
      </c>
    </row>
    <row r="78">
      <c r="A78">
        <f>VLOOKUP(D78,COA!$B$3:$C$217,2,0)</f>
        <v>11103</v>
      </c>
      <c r="B78">
        <v>46182</v>
      </c>
      <c r="C78" t="str">
        <v>033</v>
      </c>
      <c r="D78" t="str">
        <v>Bank Kalsel</v>
      </c>
      <c r="G78">
        <f>SUM(F76:F77)</f>
        <v>49276900</v>
      </c>
      <c r="H78" t="str">
        <v>Pembelian Telur Ayam Ras+admin</v>
      </c>
    </row>
    <row r="79">
      <c r="A79">
        <f>VLOOKUP(D79,COA!$B$3:$C$217,2,0)</f>
        <v>61100</v>
      </c>
      <c r="B79">
        <v>46182</v>
      </c>
      <c r="C79" t="str">
        <v>027</v>
      </c>
      <c r="D79" t="str">
        <v>Beban Pendidikan, Pelatihan, dan Bimbingan Teknik</v>
      </c>
      <c r="E79" t="str">
        <v>Beban Diklat/Bimtek/Direksi dan Pegawai</v>
      </c>
      <c r="F79">
        <v>1800000</v>
      </c>
      <c r="H79" t="str">
        <v>Biaya Pelatihan Kepemimpinan SPI, Manager dan Kepala Pasar</v>
      </c>
    </row>
    <row r="80">
      <c r="A80">
        <f>VLOOKUP(D80,COA!$B$3:$C$217,2,0)</f>
        <v>80000</v>
      </c>
      <c r="B80">
        <v>46182</v>
      </c>
      <c r="C80" t="str">
        <v>027</v>
      </c>
      <c r="D80" t="str">
        <v>Beban di Luar Operasional</v>
      </c>
      <c r="E80" t="str">
        <v>Beban Administrasi Bank</v>
      </c>
      <c r="F80">
        <v>2500</v>
      </c>
      <c r="H80" t="str">
        <v>admin bank</v>
      </c>
    </row>
    <row r="81">
      <c r="A81">
        <f>VLOOKUP(D81,COA!$B$3:$C$217,2,0)</f>
        <v>11103</v>
      </c>
      <c r="B81">
        <v>46182</v>
      </c>
      <c r="C81" t="str">
        <v>027</v>
      </c>
      <c r="D81" t="str">
        <v>Bank Kalsel</v>
      </c>
      <c r="G81">
        <f>SUM(F79:F80)</f>
        <v>1802500</v>
      </c>
      <c r="H81" t="str">
        <v>Biaya Pelatihan Kepemimpinan SPI, Manager dan Kepala Pasar+admin</v>
      </c>
    </row>
    <row r="82">
      <c r="A82">
        <f>VLOOKUP(D82,COA!$B$3:$C$217,2,0)</f>
        <v>61030</v>
      </c>
      <c r="B82">
        <v>46182</v>
      </c>
      <c r="C82" t="str">
        <v>028</v>
      </c>
      <c r="D82" t="str">
        <v>Beban Kelengkapan Pegawai Kantor</v>
      </c>
      <c r="E82" t="str">
        <v>Beban PDH Karyawan</v>
      </c>
      <c r="F82">
        <v>4060000</v>
      </c>
      <c r="H82" t="str">
        <v xml:space="preserve">Pembayaran DP Baju Seragam Perumda </v>
      </c>
    </row>
    <row r="83">
      <c r="A83">
        <f>VLOOKUP(D83,COA!$B$3:$C$217,2,0)</f>
        <v>80000</v>
      </c>
      <c r="B83">
        <v>46182</v>
      </c>
      <c r="C83" t="str">
        <v>028</v>
      </c>
      <c r="D83" t="str">
        <v>Beban di Luar Operasional</v>
      </c>
      <c r="E83" t="str">
        <v>Beban Administrasi Bank</v>
      </c>
      <c r="F83">
        <v>2500</v>
      </c>
      <c r="H83" t="str">
        <v>admin bank</v>
      </c>
    </row>
    <row r="84">
      <c r="A84">
        <f>VLOOKUP(D84,COA!$B$3:$C$217,2,0)</f>
        <v>11103</v>
      </c>
      <c r="B84">
        <v>46182</v>
      </c>
      <c r="C84" t="str">
        <v>028</v>
      </c>
      <c r="D84" t="str">
        <v>Bank Kalsel</v>
      </c>
      <c r="G84">
        <f>SUM(F82:F83)</f>
        <v>4062500</v>
      </c>
      <c r="H84" t="str">
        <v>Pembayaran DP Baju Seragam Perumda +admin</v>
      </c>
    </row>
    <row r="85">
      <c r="A85">
        <f>VLOOKUP(D85,COA!$B$3:$C$217,2,0)</f>
        <v>61120</v>
      </c>
      <c r="B85">
        <v>46182</v>
      </c>
      <c r="C85" t="str">
        <v>029</v>
      </c>
      <c r="D85" t="str">
        <v>Beban Jasa Profesional/Konsultan/Tenaga Ahli</v>
      </c>
      <c r="E85" t="str">
        <v>Beban Konsultan Rencana Bisnis</v>
      </c>
      <c r="F85">
        <v>6000000</v>
      </c>
      <c r="H85" t="str">
        <v>Pembayaran Jasa Asistensi Pajak Masa April dan Mei 2026</v>
      </c>
    </row>
    <row r="86">
      <c r="A86">
        <f>VLOOKUP(D86,COA!$B$3:$C$217,2,0)</f>
        <v>80000</v>
      </c>
      <c r="B86">
        <v>46182</v>
      </c>
      <c r="C86" t="str">
        <v>029</v>
      </c>
      <c r="D86" t="str">
        <v>Beban di Luar Operasional</v>
      </c>
      <c r="E86" t="str">
        <v>Beban Administrasi Bank</v>
      </c>
      <c r="F86">
        <v>2500</v>
      </c>
      <c r="H86" t="str">
        <v>admin bank</v>
      </c>
    </row>
    <row r="87">
      <c r="A87">
        <f>VLOOKUP(D87,COA!$B$3:$C$217,2,0)</f>
        <v>11103</v>
      </c>
      <c r="B87">
        <v>46182</v>
      </c>
      <c r="C87" t="str">
        <v>029</v>
      </c>
      <c r="D87" t="str">
        <v>Bank Kalsel</v>
      </c>
      <c r="G87">
        <f>SUM(F85:F86)</f>
        <v>6002500</v>
      </c>
      <c r="H87" t="str">
        <v>Pembayaran Jasa Asistensi Pajak Masa April dan Mei 2026+admin</v>
      </c>
    </row>
    <row r="88">
      <c r="A88">
        <f>VLOOKUP(D88,COA!$B$3:$C$217,2,0)</f>
        <v>62020</v>
      </c>
      <c r="B88">
        <v>46182</v>
      </c>
      <c r="C88" t="str">
        <v>030</v>
      </c>
      <c r="D88" t="str">
        <v>Beban Pemeliharaan Bangunan Pasar</v>
      </c>
      <c r="E88" t="str">
        <v>Beban Pemeliharaan Bangunan Pasar</v>
      </c>
      <c r="F88">
        <v>1950000</v>
      </c>
      <c r="H88" t="str">
        <v>Pembelian Tiang Dilarang Parkir dan Drop Off Only</v>
      </c>
    </row>
    <row r="89">
      <c r="A89">
        <f>VLOOKUP(D89,COA!$B$3:$C$217,2,0)</f>
        <v>80000</v>
      </c>
      <c r="B89">
        <v>46182</v>
      </c>
      <c r="C89" t="str">
        <v>030</v>
      </c>
      <c r="D89" t="str">
        <v>Beban di Luar Operasional</v>
      </c>
      <c r="E89" t="str">
        <v>Beban Administrasi Bank</v>
      </c>
      <c r="F89">
        <v>2500</v>
      </c>
      <c r="H89" t="str">
        <v>admin bank</v>
      </c>
    </row>
    <row r="90">
      <c r="A90">
        <f>VLOOKUP(D90,COA!$B$3:$C$217,2,0)</f>
        <v>11103</v>
      </c>
      <c r="B90">
        <v>46182</v>
      </c>
      <c r="C90" t="str">
        <v>030</v>
      </c>
      <c r="D90" t="str">
        <v>Bank Kalsel</v>
      </c>
      <c r="G90">
        <f>SUM(F88:F89)</f>
        <v>1952500</v>
      </c>
      <c r="H90" t="str">
        <v>Pembelian Tiang Dilarang Parkir dan Drop Off Only+admin</v>
      </c>
    </row>
    <row r="91">
      <c r="A91">
        <f>VLOOKUP(D91,COA!$B$3:$C$217,2,0)</f>
        <v>61080</v>
      </c>
      <c r="B91">
        <v>46182</v>
      </c>
      <c r="C91" t="str">
        <v>035</v>
      </c>
      <c r="D91" t="str">
        <v>Beban Bahan Bakar Minyak</v>
      </c>
      <c r="E91" t="str">
        <v>Beban BBM Direksi</v>
      </c>
      <c r="F91">
        <v>2100000</v>
      </c>
      <c r="H91" t="str">
        <v xml:space="preserve">BBM Direksi </v>
      </c>
    </row>
    <row r="92">
      <c r="A92">
        <f>VLOOKUP(D92,COA!$B$3:$C$217,2,0)</f>
        <v>11103</v>
      </c>
      <c r="B92">
        <v>46182</v>
      </c>
      <c r="C92" t="str">
        <v>035</v>
      </c>
      <c r="D92" t="str">
        <v>Bank Kalsel</v>
      </c>
      <c r="G92">
        <f>SUM(F91:F91)</f>
        <v>2100000</v>
      </c>
      <c r="H92" t="str">
        <v xml:space="preserve">BBM Direksi </v>
      </c>
    </row>
    <row r="93">
      <c r="A93">
        <f>VLOOKUP(D93,COA!$B$3:$C$217,2,0)</f>
        <v>61080</v>
      </c>
      <c r="B93">
        <v>46182</v>
      </c>
      <c r="C93" t="str">
        <v>035</v>
      </c>
      <c r="D93" t="str">
        <v>Beban Bahan Bakar Minyak</v>
      </c>
      <c r="E93" t="str">
        <v>Beban BBM Mobil Keliling</v>
      </c>
      <c r="F93">
        <v>2700000</v>
      </c>
      <c r="H93" t="str">
        <v>BBM Mobil Loket Keliling</v>
      </c>
    </row>
    <row r="94">
      <c r="A94">
        <f>VLOOKUP(D94,COA!$B$3:$C$217,2,0)</f>
        <v>11103</v>
      </c>
      <c r="B94">
        <v>46182</v>
      </c>
      <c r="C94" t="str">
        <v>035</v>
      </c>
      <c r="D94" t="str">
        <v>Bank Kalsel</v>
      </c>
      <c r="G94">
        <f>SUM(F93:F93)</f>
        <v>2700000</v>
      </c>
      <c r="H94" t="str">
        <v>BBM Mobil Loket Keliling</v>
      </c>
    </row>
    <row r="95">
      <c r="A95">
        <f>VLOOKUP(D95,COA!$B$3:$C$217,2,0)</f>
        <v>61080</v>
      </c>
      <c r="B95">
        <v>46182</v>
      </c>
      <c r="C95" t="str">
        <v>035</v>
      </c>
      <c r="D95" t="str">
        <v>Beban Bahan Bakar Minyak</v>
      </c>
      <c r="E95" t="str">
        <v>Beban BBM Pick Up</v>
      </c>
      <c r="F95">
        <v>3900000</v>
      </c>
      <c r="H95" t="str">
        <v>BBM Pick Up</v>
      </c>
    </row>
    <row r="96">
      <c r="A96">
        <f>VLOOKUP(D96,COA!$B$3:$C$217,2,0)</f>
        <v>80000</v>
      </c>
      <c r="B96">
        <v>46182</v>
      </c>
      <c r="C96" t="str">
        <v>035</v>
      </c>
      <c r="D96" t="str">
        <v>Beban di Luar Operasional</v>
      </c>
      <c r="E96" t="str">
        <v>Beban Administrasi Bank</v>
      </c>
      <c r="F96">
        <v>2500</v>
      </c>
      <c r="H96" t="str">
        <v>admin bank</v>
      </c>
    </row>
    <row r="97">
      <c r="A97">
        <f>VLOOKUP(D97,COA!$B$3:$C$217,2,0)</f>
        <v>11103</v>
      </c>
      <c r="B97">
        <v>46182</v>
      </c>
      <c r="C97" t="str">
        <v>035</v>
      </c>
      <c r="D97" t="str">
        <v>Bank Kalsel</v>
      </c>
      <c r="G97">
        <f>SUM(F95:F96)</f>
        <v>3902500</v>
      </c>
      <c r="H97" t="str">
        <v>BBM Pick Up+admin</v>
      </c>
    </row>
    <row r="98">
      <c r="A98">
        <f>VLOOKUP(D98,COA!$B$3:$C$217,2,0)</f>
        <v>11501</v>
      </c>
      <c r="B98">
        <v>46182</v>
      </c>
      <c r="C98" t="str">
        <v>034</v>
      </c>
      <c r="D98" t="str">
        <v>BBM Dibayar di Muka</v>
      </c>
      <c r="F98">
        <v>50000000</v>
      </c>
      <c r="H98" t="str">
        <v>Penambahan Saldo BBM POM PAL 6</v>
      </c>
    </row>
    <row r="99">
      <c r="A99">
        <f>VLOOKUP(D99,COA!$B$3:$C$217,2,0)</f>
        <v>80000</v>
      </c>
      <c r="B99">
        <v>46182</v>
      </c>
      <c r="C99" t="str">
        <v>034</v>
      </c>
      <c r="D99" t="str">
        <v>Beban di Luar Operasional</v>
      </c>
      <c r="E99" t="str">
        <v>Beban Administrasi Bank</v>
      </c>
      <c r="F99">
        <v>2500</v>
      </c>
      <c r="H99" t="str">
        <v>admin bank</v>
      </c>
    </row>
    <row r="100">
      <c r="A100">
        <f>VLOOKUP(D100,COA!$B$3:$C$217,2,0)</f>
        <v>11103</v>
      </c>
      <c r="B100">
        <v>46182</v>
      </c>
      <c r="C100" t="str">
        <v>034</v>
      </c>
      <c r="D100" t="str">
        <v>Bank Kalsel</v>
      </c>
      <c r="G100">
        <f>SUM(F98:F99)</f>
        <v>50002500</v>
      </c>
      <c r="H100" t="str">
        <v xml:space="preserve">Penambahan Saldo BBM POM PAL 6 + admin </v>
      </c>
    </row>
    <row r="101">
      <c r="A101">
        <f>VLOOKUP(D101,COA!$B$3:$C$217,2,0)</f>
        <v>61040</v>
      </c>
      <c r="B101">
        <v>46182</v>
      </c>
      <c r="C101" t="str">
        <v>041</v>
      </c>
      <c r="D101" t="str">
        <v>Beban Alat Tulis Kantor</v>
      </c>
      <c r="E101" t="str">
        <v>Beban Benda Pos</v>
      </c>
      <c r="F101">
        <v>26900</v>
      </c>
      <c r="H101" t="str">
        <v>Pengiriman Dokumen Divisi Hukum Ke PT Jatinom Blitar</v>
      </c>
    </row>
    <row r="102">
      <c r="A102">
        <f>VLOOKUP(D102,COA!$B$3:$C$217,2,0)</f>
        <v>11101</v>
      </c>
      <c r="B102">
        <v>46182</v>
      </c>
      <c r="C102" t="str">
        <v>041</v>
      </c>
      <c r="D102" t="str">
        <v>Kas Kecil</v>
      </c>
      <c r="G102">
        <f>F101</f>
        <v>26900</v>
      </c>
      <c r="H102" t="str">
        <v>Pengiriman Dokumen Divisi Hukum Ke PT Jatinom Blitar</v>
      </c>
    </row>
    <row r="103">
      <c r="A103">
        <f>VLOOKUP(D103,COA!$B$3:$C$217,2,0)</f>
        <v>62090</v>
      </c>
      <c r="B103">
        <v>46183</v>
      </c>
      <c r="C103" t="str">
        <v>037</v>
      </c>
      <c r="D103" t="str">
        <v>Beban Insentif/ Kesejahteraan Pegawai</v>
      </c>
      <c r="E103" t="str">
        <v>Beban Lembur Karyawan</v>
      </c>
      <c r="F103">
        <v>5650000</v>
      </c>
      <c r="H103" t="str">
        <v>Lembur Karyawan Mei 2026</v>
      </c>
    </row>
    <row r="104">
      <c r="A104">
        <f>VLOOKUP(D104,COA!$B$3:$C$217,2,0)</f>
        <v>11103</v>
      </c>
      <c r="B104">
        <v>46183</v>
      </c>
      <c r="C104" t="str">
        <v>037</v>
      </c>
      <c r="D104" t="str">
        <v>Bank Kalsel</v>
      </c>
      <c r="G104">
        <f>SUM(F103:F103)</f>
        <v>5650000</v>
      </c>
      <c r="H104" t="str">
        <v>Lembur Karyawan Mei 2026</v>
      </c>
    </row>
    <row r="105">
      <c r="A105">
        <f>VLOOKUP(D105,COA!$B$3:$C$217,2,0)</f>
        <v>62090</v>
      </c>
      <c r="B105">
        <v>46183</v>
      </c>
      <c r="C105" t="str">
        <v>037</v>
      </c>
      <c r="D105" t="str">
        <v>Beban Insentif/ Kesejahteraan Pegawai</v>
      </c>
      <c r="E105" t="str">
        <v>Beban Lembur Tenaga Harian Lepas</v>
      </c>
      <c r="F105">
        <v>1050000</v>
      </c>
      <c r="H105" t="str">
        <v>Lembur THL Mei 2026</v>
      </c>
    </row>
    <row r="106">
      <c r="A106">
        <f>VLOOKUP(D106,COA!$B$3:$C$217,2,0)</f>
        <v>11103</v>
      </c>
      <c r="B106">
        <v>46183</v>
      </c>
      <c r="C106" t="str">
        <v>037</v>
      </c>
      <c r="D106" t="str">
        <v>Bank Kalsel</v>
      </c>
      <c r="G106">
        <f>SUM(F105:F105)</f>
        <v>1050000</v>
      </c>
      <c r="H106" t="str">
        <v>Lembur THL Mei 2026</v>
      </c>
    </row>
    <row r="107">
      <c r="A107">
        <f>VLOOKUP(D107,COA!$B$3:$C$217,2,0)</f>
        <v>61060</v>
      </c>
      <c r="B107">
        <v>46183</v>
      </c>
      <c r="C107" t="str">
        <v>044</v>
      </c>
      <c r="D107" t="str">
        <v>Beban Konsumsi Rapat dan Tamu</v>
      </c>
      <c r="E107" t="str">
        <v>Beban Makan Minum Rapat</v>
      </c>
      <c r="F107">
        <v>50000</v>
      </c>
      <c r="H107" t="str">
        <v>Konsumsi Kegiatan Rapat Piutang Zona 1,2 dan 3</v>
      </c>
    </row>
    <row r="108">
      <c r="A108">
        <f>VLOOKUP(D108,COA!$B$3:$C$217,2,0)</f>
        <v>11101</v>
      </c>
      <c r="B108">
        <v>46183</v>
      </c>
      <c r="C108" t="str">
        <v>044</v>
      </c>
      <c r="D108" t="str">
        <v>Kas Kecil</v>
      </c>
      <c r="G108">
        <f>F107</f>
        <v>50000</v>
      </c>
      <c r="H108" t="str">
        <v>Konsumsi Kegiatan Rapat Piutang Zona 1,2 dan 3</v>
      </c>
    </row>
    <row r="109">
      <c r="A109">
        <f>VLOOKUP(D109,COA!$B$3:$C$217,2,0)</f>
        <v>61070</v>
      </c>
      <c r="B109">
        <v>46183</v>
      </c>
      <c r="C109" t="str">
        <v>046</v>
      </c>
      <c r="D109" t="str">
        <v>Beban Perlengkapan dan Pemeliharaan Kantor</v>
      </c>
      <c r="E109" t="str">
        <v>Beban Pemeliharaan Perlengkapan dan Peralatan Kantor</v>
      </c>
      <c r="F109">
        <v>430000</v>
      </c>
      <c r="H109" t="str">
        <v>Pembelian Kebutuhan Kantor Plastik Hitam Sampah</v>
      </c>
    </row>
    <row r="110">
      <c r="A110">
        <f>VLOOKUP(D110,COA!$B$3:$C$217,2,0)</f>
        <v>80000</v>
      </c>
      <c r="B110">
        <v>46183</v>
      </c>
      <c r="C110" t="str">
        <v>046</v>
      </c>
      <c r="D110" t="str">
        <v>Beban di Luar Operasional</v>
      </c>
      <c r="E110" t="str">
        <v>Beban Administrasi Bank</v>
      </c>
      <c r="F110">
        <v>2500</v>
      </c>
      <c r="H110" t="str">
        <v>admin bank</v>
      </c>
    </row>
    <row r="111">
      <c r="A111">
        <f>VLOOKUP(D111,COA!$B$3:$C$217,2,0)</f>
        <v>11103</v>
      </c>
      <c r="B111">
        <v>46183</v>
      </c>
      <c r="C111" t="str">
        <v>046</v>
      </c>
      <c r="D111" t="str">
        <v>Bank Kalsel</v>
      </c>
      <c r="G111">
        <f>SUM(F109:F110)</f>
        <v>432500</v>
      </c>
      <c r="H111" t="str">
        <v>Pembelian Kebutuhan Kantor Plastik Hitam Sampah+admin</v>
      </c>
    </row>
    <row r="112">
      <c r="A112">
        <f>VLOOKUP(D112,COA!$B$3:$C$217,2,0)</f>
        <v>61070</v>
      </c>
      <c r="B112">
        <v>46183</v>
      </c>
      <c r="C112" t="str">
        <v>039</v>
      </c>
      <c r="D112" t="str">
        <v>Beban Perlengkapan dan Pemeliharaan Kantor</v>
      </c>
      <c r="E112" t="str">
        <v>Beban Pemeliharaan Perlengkapan dan Peralatan Kantor</v>
      </c>
      <c r="F112">
        <v>360000</v>
      </c>
      <c r="H112" t="str">
        <v>Pembelian Kebutuhan Kantor Kompor 2 Tungku Merk Rinnai</v>
      </c>
    </row>
    <row r="113">
      <c r="A113">
        <f>VLOOKUP(D113,COA!$B$3:$C$217,2,0)</f>
        <v>11103</v>
      </c>
      <c r="B113">
        <v>46183</v>
      </c>
      <c r="C113" t="str">
        <v>039</v>
      </c>
      <c r="D113" t="str">
        <v>Bank Kalsel</v>
      </c>
      <c r="G113">
        <f>F112</f>
        <v>360000</v>
      </c>
      <c r="H113" t="str">
        <v>Pembelian Kebutuhan Kantor Kompor 2 Tungku Merk Rinnai</v>
      </c>
    </row>
    <row r="114">
      <c r="A114" t="str">
        <f>VLOOKUP(D114,COA!$B$3:$C$217,2,0)</f>
        <v>12204.1</v>
      </c>
      <c r="B114">
        <v>46183</v>
      </c>
      <c r="C114" t="str">
        <v>039</v>
      </c>
      <c r="D114" t="str">
        <v>Peralatan</v>
      </c>
      <c r="F114">
        <v>1700000</v>
      </c>
      <c r="H114" t="str">
        <v>Pembelian Kulkas 1 Pintu Merk Sharp</v>
      </c>
    </row>
    <row r="115">
      <c r="A115">
        <f>VLOOKUP(D115,COA!$B$3:$C$217,2,0)</f>
        <v>80000</v>
      </c>
      <c r="B115">
        <v>46183</v>
      </c>
      <c r="C115" t="str">
        <v>039</v>
      </c>
      <c r="D115" t="str">
        <v>Beban di Luar Operasional</v>
      </c>
      <c r="E115" t="str">
        <v>Beban Administrasi Bank</v>
      </c>
      <c r="F115">
        <v>2500</v>
      </c>
      <c r="H115" t="str">
        <v>admin bank</v>
      </c>
    </row>
    <row r="116">
      <c r="A116">
        <f>VLOOKUP(D116,COA!$B$3:$C$217,2,0)</f>
        <v>11103</v>
      </c>
      <c r="B116">
        <v>46183</v>
      </c>
      <c r="C116" t="str">
        <v>039</v>
      </c>
      <c r="D116" t="str">
        <v>Bank Kalsel</v>
      </c>
      <c r="G116">
        <f>SUM(F114:F115)</f>
        <v>1702500</v>
      </c>
      <c r="H116" t="str">
        <v>Pembelian Kulkas 1 Pintu Merk Sharp+admin</v>
      </c>
    </row>
    <row r="117">
      <c r="A117">
        <f>VLOOKUP(D117,COA!$B$3:$C$217,2,0)</f>
        <v>61070</v>
      </c>
      <c r="B117">
        <v>46183</v>
      </c>
      <c r="C117" t="str">
        <v>045</v>
      </c>
      <c r="D117" t="str">
        <v>Beban Perlengkapan dan Pemeliharaan Kantor</v>
      </c>
      <c r="E117" t="str">
        <v>Beban Pemeliharaan Perlengkapan dan Peralatan Kantor</v>
      </c>
      <c r="F117">
        <v>150000</v>
      </c>
      <c r="H117" t="str">
        <v>Pembelian Kebutuhan Kantor Mouse</v>
      </c>
    </row>
    <row r="118">
      <c r="A118">
        <f>VLOOKUP(D118,COA!$B$3:$C$217,2,0)</f>
        <v>11103</v>
      </c>
      <c r="B118">
        <v>46183</v>
      </c>
      <c r="C118" t="str">
        <v>045</v>
      </c>
      <c r="D118" t="str">
        <v>Bank Kalsel</v>
      </c>
      <c r="G118">
        <f>F117</f>
        <v>150000</v>
      </c>
      <c r="H118" t="str">
        <v>Pembelian Kebutuhan Kantor Mouse</v>
      </c>
    </row>
    <row r="119">
      <c r="A119" t="str">
        <f>VLOOKUP(D119,COA!$B$3:$C$217,2,0)</f>
        <v>12204.1</v>
      </c>
      <c r="B119">
        <v>46183</v>
      </c>
      <c r="C119" t="str">
        <v>045</v>
      </c>
      <c r="D119" t="str">
        <v>Peralatan</v>
      </c>
      <c r="F119">
        <v>2150000</v>
      </c>
      <c r="H119" t="str">
        <v>Pembelian Printer G2730</v>
      </c>
    </row>
    <row r="120">
      <c r="A120">
        <f>VLOOKUP(D120,COA!$B$3:$C$217,2,0)</f>
        <v>80000</v>
      </c>
      <c r="B120">
        <v>46183</v>
      </c>
      <c r="C120" t="str">
        <v>045</v>
      </c>
      <c r="D120" t="str">
        <v>Beban di Luar Operasional</v>
      </c>
      <c r="E120" t="str">
        <v>Beban Administrasi Bank</v>
      </c>
      <c r="F120">
        <v>2500</v>
      </c>
      <c r="H120" t="str">
        <v>admin bank</v>
      </c>
    </row>
    <row r="121">
      <c r="A121">
        <f>VLOOKUP(D121,COA!$B$3:$C$217,2,0)</f>
        <v>11103</v>
      </c>
      <c r="B121">
        <v>46183</v>
      </c>
      <c r="C121" t="str">
        <v>045</v>
      </c>
      <c r="D121" t="str">
        <v>Bank Kalsel</v>
      </c>
      <c r="G121">
        <f>SUM(F119:F120)</f>
        <v>2152500</v>
      </c>
      <c r="H121" t="str">
        <v>Pembelian Printer G2730+admin</v>
      </c>
    </row>
    <row r="122">
      <c r="A122">
        <f>VLOOKUP(D122,COA!$B$3:$C$217,2,0)</f>
        <v>61040</v>
      </c>
      <c r="B122">
        <v>46183</v>
      </c>
      <c r="C122" t="str">
        <v>038</v>
      </c>
      <c r="D122" t="str">
        <v>Beban Alat Tulis Kantor</v>
      </c>
      <c r="E122" t="str">
        <v>Beban ATK</v>
      </c>
      <c r="F122">
        <v>4000000</v>
      </c>
      <c r="H122" t="str">
        <v>Pembelian Tinta Printer G2730</v>
      </c>
    </row>
    <row r="123">
      <c r="A123">
        <f>VLOOKUP(D123,COA!$B$3:$C$217,2,0)</f>
        <v>80000</v>
      </c>
      <c r="B123">
        <v>46183</v>
      </c>
      <c r="C123" t="str">
        <v>038</v>
      </c>
      <c r="D123" t="str">
        <v>Beban di Luar Operasional</v>
      </c>
      <c r="E123" t="str">
        <v>Beban Administrasi Bank</v>
      </c>
      <c r="F123">
        <v>2500</v>
      </c>
      <c r="H123" t="str">
        <v>admin bank</v>
      </c>
    </row>
    <row r="124">
      <c r="A124">
        <f>VLOOKUP(D124,COA!$B$3:$C$217,2,0)</f>
        <v>11103</v>
      </c>
      <c r="B124">
        <v>46183</v>
      </c>
      <c r="C124" t="str">
        <v>038</v>
      </c>
      <c r="D124" t="str">
        <v>Bank Kalsel</v>
      </c>
      <c r="G124">
        <f>SUM(F122:F123)</f>
        <v>4002500</v>
      </c>
      <c r="H124" t="str">
        <v>Pembelian Tinta Printer G2730+admin</v>
      </c>
    </row>
    <row r="125">
      <c r="A125">
        <f>VLOOKUP(D125,COA!$B$3:$C$217,2,0)</f>
        <v>62020</v>
      </c>
      <c r="B125">
        <v>46183</v>
      </c>
      <c r="C125" t="str">
        <v>040</v>
      </c>
      <c r="D125" t="str">
        <v>Beban Pemeliharaan Bangunan Pasar</v>
      </c>
      <c r="E125" t="str">
        <v>Beban Pemeliharaan Bangunan Pasar</v>
      </c>
      <c r="F125">
        <v>450000</v>
      </c>
      <c r="H125" t="str">
        <v>Upah Keamanan Gudang di Pasar Telawang</v>
      </c>
    </row>
    <row r="126">
      <c r="A126">
        <f>VLOOKUP(D126,COA!$B$3:$C$217,2,0)</f>
        <v>11103</v>
      </c>
      <c r="B126">
        <v>46183</v>
      </c>
      <c r="C126" t="str">
        <v>040</v>
      </c>
      <c r="D126" t="str">
        <v>Bank Kalsel</v>
      </c>
      <c r="G126">
        <f>F125</f>
        <v>450000</v>
      </c>
      <c r="H126" t="str">
        <v>Upah Keamanan Gudang di Pasar Telawang</v>
      </c>
    </row>
    <row r="127">
      <c r="A127">
        <f>VLOOKUP(D127,COA!$B$3:$C$217,2,0)</f>
        <v>61070</v>
      </c>
      <c r="B127">
        <v>46183</v>
      </c>
      <c r="C127" t="str">
        <v>043</v>
      </c>
      <c r="D127" t="str">
        <v>Beban Perlengkapan dan Pemeliharaan Kantor</v>
      </c>
      <c r="E127" t="str">
        <v>Beban Pemeliharaan Perlengkapan dan Peralatan Kantor</v>
      </c>
      <c r="F127">
        <v>200000</v>
      </c>
      <c r="H127" t="str">
        <v>Service Printer Kantor</v>
      </c>
    </row>
    <row r="128">
      <c r="A128">
        <f>VLOOKUP(D128,COA!$B$3:$C$217,2,0)</f>
        <v>11103</v>
      </c>
      <c r="B128">
        <v>46183</v>
      </c>
      <c r="C128" t="str">
        <v>043</v>
      </c>
      <c r="D128" t="str">
        <v>Bank Kalsel</v>
      </c>
      <c r="G128">
        <f>F127</f>
        <v>200000</v>
      </c>
      <c r="H128" t="str">
        <v>Service Printer Kantor</v>
      </c>
    </row>
    <row r="129">
      <c r="A129">
        <f>VLOOKUP(D129,COA!$B$3:$C$217,2,0)</f>
        <v>11402</v>
      </c>
      <c r="B129">
        <v>46183</v>
      </c>
      <c r="C129" t="str">
        <v>042</v>
      </c>
      <c r="D129" t="str">
        <v>Persediaan Barang Dagang (Gas LPG)</v>
      </c>
      <c r="F129">
        <v>1220000</v>
      </c>
      <c r="H129" t="str">
        <v>Isi ulang gas elpiji 3 kg (80 buah * @15.250)</v>
      </c>
      <c r="I129" t="str">
        <v>BAPOK</v>
      </c>
    </row>
    <row r="130">
      <c r="A130">
        <f>VLOOKUP(D130,COA!$B$3:$C$217,2,0)</f>
        <v>80000</v>
      </c>
      <c r="B130">
        <v>46183</v>
      </c>
      <c r="C130" t="str">
        <v>042</v>
      </c>
      <c r="D130" t="str">
        <v>Beban di Luar Operasional</v>
      </c>
      <c r="E130" t="str">
        <v>Beban Administrasi Bank</v>
      </c>
      <c r="F130">
        <v>2500</v>
      </c>
      <c r="H130" t="str">
        <v>admin bank</v>
      </c>
    </row>
    <row r="131">
      <c r="A131">
        <f>VLOOKUP(D131,COA!$B$3:$C$217,2,0)</f>
        <v>11103</v>
      </c>
      <c r="B131">
        <v>46183</v>
      </c>
      <c r="C131" t="str">
        <v>042</v>
      </c>
      <c r="D131" t="str">
        <v>Bank Kalsel</v>
      </c>
      <c r="G131">
        <f>SUM(F129:F130)</f>
        <v>1222500</v>
      </c>
      <c r="H131" t="str">
        <v>Isi ulang gas elpiji 3 kg (80 buah * @15.250) + admin</v>
      </c>
    </row>
    <row r="132">
      <c r="A132">
        <f>VLOOKUP(D132,COA!$B$3:$C$217,2,0)</f>
        <v>61060</v>
      </c>
      <c r="B132">
        <v>46183</v>
      </c>
      <c r="C132" t="str">
        <v>036</v>
      </c>
      <c r="D132" t="str">
        <v>Beban Konsumsi Rapat dan Tamu</v>
      </c>
      <c r="E132" t="str">
        <v>Beban Makan Minum Kunjungan Tamu/Sosialisasi Pedagang</v>
      </c>
      <c r="F132">
        <v>1035000</v>
      </c>
      <c r="H132" t="str">
        <v>Konsumsi Kunjungan Tamu Direksi dan Dewas</v>
      </c>
    </row>
    <row r="133">
      <c r="A133">
        <f>VLOOKUP(D133,COA!$B$3:$C$217,2,0)</f>
        <v>11101</v>
      </c>
      <c r="B133">
        <v>46183</v>
      </c>
      <c r="C133" t="str">
        <v>036</v>
      </c>
      <c r="D133" t="str">
        <v>Kas Kecil</v>
      </c>
      <c r="G133">
        <f>F132</f>
        <v>1035000</v>
      </c>
      <c r="H133" t="str">
        <v>Konsumsi Kunjungan Tamu Direksi dan Dewas</v>
      </c>
    </row>
    <row r="134">
      <c r="A134">
        <f>VLOOKUP(D134,COA!$B$3:$C$217,2,0)</f>
        <v>12300</v>
      </c>
      <c r="B134">
        <v>46183</v>
      </c>
      <c r="C134" t="str">
        <v>050</v>
      </c>
      <c r="D134" t="str">
        <v>Aset Dalam Penyelesaian</v>
      </c>
      <c r="F134">
        <v>617168000</v>
      </c>
      <c r="H134" t="str">
        <v>Termin I 30% pembayaran pengerjaan ex kebakaran pasar Harum Manis II</v>
      </c>
      <c r="I134" t="str">
        <v>INV</v>
      </c>
    </row>
    <row r="135">
      <c r="A135">
        <f>VLOOKUP(D135,COA!$B$3:$C$217,2,0)</f>
        <v>21500</v>
      </c>
      <c r="B135">
        <v>46183</v>
      </c>
      <c r="C135" t="str">
        <v>050</v>
      </c>
      <c r="D135" t="str">
        <v>Biaya yang Masih Harus Dibayar</v>
      </c>
      <c r="G135">
        <f>F134-G136</f>
        <v>432017600</v>
      </c>
      <c r="H135" t="str">
        <v>Termin I 30% pembayaran pengerjaan ex kebakaran pasar Harum Manis II</v>
      </c>
    </row>
    <row r="136">
      <c r="A136">
        <f>VLOOKUP(D136,COA!$B$3:$C$217,2,0)</f>
        <v>11103</v>
      </c>
      <c r="B136">
        <v>46183</v>
      </c>
      <c r="C136" t="str">
        <v>050</v>
      </c>
      <c r="D136" t="str">
        <v>Bank Kalsel</v>
      </c>
      <c r="G136">
        <v>185150400</v>
      </c>
      <c r="H136" t="str">
        <v>Termin I 30% pembayaran pengerjaan ex kebakaran pasar Harum Manis II</v>
      </c>
    </row>
    <row r="137">
      <c r="A137">
        <f>VLOOKUP(D137,COA!$B$3:$C$217,2,0)</f>
        <v>61070</v>
      </c>
      <c r="B137">
        <v>46184</v>
      </c>
      <c r="C137" t="str">
        <v>051</v>
      </c>
      <c r="D137" t="str">
        <v>Beban Perlengkapan dan Pemeliharaan Kantor</v>
      </c>
      <c r="E137" t="str">
        <v>Beban Pemeliharaan Perlengkapan dan Peralatan Kantor</v>
      </c>
      <c r="F137">
        <v>180000</v>
      </c>
      <c r="H137" t="str">
        <v xml:space="preserve">Pembayaran Pemasangan Braket TV dan Stop Kontak </v>
      </c>
    </row>
    <row r="138">
      <c r="A138">
        <f>VLOOKUP(D138,COA!$B$3:$C$217,2,0)</f>
        <v>11101</v>
      </c>
      <c r="B138">
        <v>46184</v>
      </c>
      <c r="C138" t="str">
        <v>051</v>
      </c>
      <c r="D138" t="str">
        <v>Kas Kecil</v>
      </c>
      <c r="G138">
        <f>F137</f>
        <v>180000</v>
      </c>
      <c r="H138" t="str">
        <v xml:space="preserve">Pembayaran Pemasangan Braket TV dan Stop Kontak </v>
      </c>
    </row>
    <row r="139">
      <c r="A139">
        <f>VLOOKUP(D139,COA!$B$3:$C$217,2,0)</f>
        <v>61060</v>
      </c>
      <c r="B139">
        <v>46184</v>
      </c>
      <c r="C139" t="str">
        <v>047</v>
      </c>
      <c r="D139" t="str">
        <v>Beban Konsumsi Rapat dan Tamu</v>
      </c>
      <c r="E139" t="str">
        <v>Beban Makan Minum Aktivitas Lapangan</v>
      </c>
      <c r="F139">
        <v>300000</v>
      </c>
      <c r="H139" t="str">
        <v xml:space="preserve">Konsumsi Pembersihan drainase di pasar teluk dalam </v>
      </c>
    </row>
    <row r="140">
      <c r="A140">
        <f>VLOOKUP(D140,COA!$B$3:$C$217,2,0)</f>
        <v>11101</v>
      </c>
      <c r="B140">
        <v>46184</v>
      </c>
      <c r="C140" t="str">
        <v>047</v>
      </c>
      <c r="D140" t="str">
        <v>Kas Kecil</v>
      </c>
      <c r="G140">
        <f>F139</f>
        <v>300000</v>
      </c>
      <c r="H140" t="str">
        <v xml:space="preserve">Konsumsi Pembersihan drainase di pasar teluk dalam </v>
      </c>
    </row>
    <row r="141">
      <c r="A141">
        <f>VLOOKUP(D141,COA!$B$3:$C$217,2,0)</f>
        <v>61060</v>
      </c>
      <c r="B141">
        <v>46184</v>
      </c>
      <c r="C141" t="str">
        <v>048</v>
      </c>
      <c r="D141" t="str">
        <v>Beban Konsumsi Rapat dan Tamu</v>
      </c>
      <c r="E141" t="str">
        <v>Beban Makan Minum Aktivitas Lapangan</v>
      </c>
      <c r="F141">
        <v>250000</v>
      </c>
      <c r="H141" t="str">
        <v>Konsumsi Pembersihan di Pasar Malabar</v>
      </c>
    </row>
    <row r="142">
      <c r="A142">
        <f>VLOOKUP(D142,COA!$B$3:$C$217,2,0)</f>
        <v>11101</v>
      </c>
      <c r="B142">
        <v>46184</v>
      </c>
      <c r="C142" t="str">
        <v>048</v>
      </c>
      <c r="D142" t="str">
        <v>Kas Kecil</v>
      </c>
      <c r="G142">
        <f>F141</f>
        <v>250000</v>
      </c>
      <c r="H142" t="str">
        <v>Konsumsi Pembersihan di Pasar Malabar</v>
      </c>
    </row>
    <row r="143">
      <c r="A143">
        <f>VLOOKUP(D143,COA!$B$3:$C$217,2,0)</f>
        <v>61040</v>
      </c>
      <c r="B143">
        <v>46184</v>
      </c>
      <c r="C143" t="str">
        <v>053</v>
      </c>
      <c r="D143" t="str">
        <v>Beban Alat Tulis Kantor</v>
      </c>
      <c r="E143" t="str">
        <v>Beban Benda Pos</v>
      </c>
      <c r="F143">
        <v>22000</v>
      </c>
      <c r="H143" t="str">
        <v xml:space="preserve">Biaya Pengiriman Paket Dokumen </v>
      </c>
    </row>
    <row r="144">
      <c r="A144">
        <f>VLOOKUP(D144,COA!$B$3:$C$217,2,0)</f>
        <v>11101</v>
      </c>
      <c r="B144">
        <v>46184</v>
      </c>
      <c r="C144" t="str">
        <v>053</v>
      </c>
      <c r="D144" t="str">
        <v>Kas Kecil</v>
      </c>
      <c r="G144">
        <f>F143</f>
        <v>22000</v>
      </c>
      <c r="H144" t="str">
        <v xml:space="preserve">Biaya Pengiriman Paket Dokumen </v>
      </c>
    </row>
    <row r="145">
      <c r="A145">
        <f>VLOOKUP(D145,COA!$B$3:$C$217,2,0)</f>
        <v>61140</v>
      </c>
      <c r="B145">
        <v>46184</v>
      </c>
      <c r="C145" t="str">
        <v>054</v>
      </c>
      <c r="D145" t="str">
        <v>Beban Umum Lain-lain</v>
      </c>
      <c r="E145" t="str">
        <v xml:space="preserve">Beban Jilid Laporan </v>
      </c>
      <c r="F145">
        <v>322000</v>
      </c>
      <c r="H145" t="str">
        <v>Biaya Jilid Spiral Laporan</v>
      </c>
    </row>
    <row r="146">
      <c r="A146">
        <f>VLOOKUP(D146,COA!$B$3:$C$217,2,0)</f>
        <v>11101</v>
      </c>
      <c r="B146">
        <v>46184</v>
      </c>
      <c r="C146" t="str">
        <v>054</v>
      </c>
      <c r="D146" t="str">
        <v>Kas Kecil</v>
      </c>
      <c r="G146">
        <f>F145</f>
        <v>322000</v>
      </c>
      <c r="H146" t="str">
        <v>Biaya Jilid Spiral Laporan</v>
      </c>
    </row>
    <row r="147">
      <c r="A147">
        <f>VLOOKUP(D147,COA!$B$3:$C$217,2,0)</f>
        <v>61140</v>
      </c>
      <c r="B147">
        <v>46184</v>
      </c>
      <c r="C147" t="str">
        <v>057</v>
      </c>
      <c r="D147" t="str">
        <v>Beban Umum Lain-lain</v>
      </c>
      <c r="E147" t="str">
        <v xml:space="preserve">Beban Jilid Laporan </v>
      </c>
      <c r="F147">
        <v>192000</v>
      </c>
      <c r="H147" t="str">
        <v>Biaya Jilid Spiral Laporan</v>
      </c>
    </row>
    <row r="148">
      <c r="A148">
        <f>VLOOKUP(D148,COA!$B$3:$C$217,2,0)</f>
        <v>11101</v>
      </c>
      <c r="B148">
        <v>46184</v>
      </c>
      <c r="C148" t="str">
        <v>057</v>
      </c>
      <c r="D148" t="str">
        <v>Kas Kecil</v>
      </c>
      <c r="G148">
        <f>F147</f>
        <v>192000</v>
      </c>
      <c r="H148" t="str">
        <v>Biaya Jilid Spiral Laporan</v>
      </c>
    </row>
    <row r="149">
      <c r="A149">
        <f>VLOOKUP(D149,COA!$B$3:$C$217,2,0)</f>
        <v>61070</v>
      </c>
      <c r="B149">
        <v>46185</v>
      </c>
      <c r="C149" t="str">
        <v>056</v>
      </c>
      <c r="D149" t="str">
        <v>Beban Perlengkapan dan Pemeliharaan Kantor</v>
      </c>
      <c r="E149" t="str">
        <v>Beban Pemeliharaan Perlengkapan dan Peralatan Kantor</v>
      </c>
      <c r="F149">
        <v>35000</v>
      </c>
      <c r="H149" t="str">
        <v>Pembelian Kabel 3 Meter</v>
      </c>
    </row>
    <row r="150">
      <c r="A150">
        <f>VLOOKUP(D150,COA!$B$3:$C$217,2,0)</f>
        <v>11101</v>
      </c>
      <c r="B150">
        <v>46185</v>
      </c>
      <c r="C150" t="str">
        <v>056</v>
      </c>
      <c r="D150" t="str">
        <v>Kas Kecil</v>
      </c>
      <c r="G150">
        <f>F149</f>
        <v>35000</v>
      </c>
      <c r="H150" t="str">
        <v>Pembelian Kabel 3 Meter</v>
      </c>
    </row>
    <row r="151">
      <c r="A151">
        <f>VLOOKUP(D151,COA!$B$3:$C$217,2,0)</f>
        <v>61060</v>
      </c>
      <c r="B151">
        <v>46185</v>
      </c>
      <c r="C151" t="str">
        <v>055</v>
      </c>
      <c r="D151" t="str">
        <v>Beban Konsumsi Rapat dan Tamu</v>
      </c>
      <c r="E151" t="str">
        <v>Beban Makan Minum Rapat</v>
      </c>
      <c r="F151">
        <v>393600</v>
      </c>
      <c r="H151" t="str">
        <v>Konsumsi Rapat Kinerja Evaluasi Bulan Mei 2026</v>
      </c>
    </row>
    <row r="152">
      <c r="A152">
        <f>VLOOKUP(D152,COA!$B$3:$C$217,2,0)</f>
        <v>11101</v>
      </c>
      <c r="B152">
        <v>46185</v>
      </c>
      <c r="C152" t="str">
        <v>055</v>
      </c>
      <c r="D152" t="str">
        <v>Kas Kecil</v>
      </c>
      <c r="G152">
        <f>F151</f>
        <v>393600</v>
      </c>
      <c r="H152" t="str">
        <v>Konsumsi Rapat Kinerja Evaluasi Bulan Mei 2026</v>
      </c>
    </row>
    <row r="153">
      <c r="A153">
        <f>VLOOKUP(D153,COA!$B$3:$C$217,2,0)</f>
        <v>61140</v>
      </c>
      <c r="B153">
        <v>46185</v>
      </c>
      <c r="C153" t="str">
        <v>060</v>
      </c>
      <c r="D153" t="str">
        <v>Beban Umum Lain-lain</v>
      </c>
      <c r="E153" t="str">
        <v>Beban Honorarium Narasumber</v>
      </c>
      <c r="F153">
        <v>1170000</v>
      </c>
      <c r="H153" t="str">
        <v>Beban Honorarium Narasumber google meeting bersama PT Jatinom</v>
      </c>
    </row>
    <row r="154">
      <c r="A154">
        <f>VLOOKUP(D154,COA!$B$3:$C$217,2,0)</f>
        <v>80000</v>
      </c>
      <c r="B154">
        <v>46185</v>
      </c>
      <c r="C154" t="str">
        <v>060</v>
      </c>
      <c r="D154" t="str">
        <v>Beban di Luar Operasional</v>
      </c>
      <c r="E154" t="str">
        <v>Beban Administrasi Bank</v>
      </c>
      <c r="F154">
        <v>6500</v>
      </c>
      <c r="H154" t="str">
        <v>admin bank</v>
      </c>
    </row>
    <row r="155">
      <c r="A155">
        <f>VLOOKUP(D155,COA!$B$3:$C$217,2,0)</f>
        <v>11103</v>
      </c>
      <c r="B155">
        <v>46185</v>
      </c>
      <c r="C155" t="str">
        <v>060</v>
      </c>
      <c r="D155" t="str">
        <v>Bank Kalsel</v>
      </c>
      <c r="G155">
        <f>SUM(F153:F154)</f>
        <v>1176500</v>
      </c>
      <c r="H155" t="str">
        <v>Beban Honorarium Narasumber google meeting bersama PT Jatinom+admin</v>
      </c>
    </row>
    <row r="156">
      <c r="A156">
        <f>VLOOKUP(D156,COA!$B$3:$C$217,2,0)</f>
        <v>61060</v>
      </c>
      <c r="B156">
        <v>46185</v>
      </c>
      <c r="C156" t="str">
        <v>058</v>
      </c>
      <c r="D156" t="str">
        <v>Beban Konsumsi Rapat dan Tamu</v>
      </c>
      <c r="E156" t="str">
        <v>Beban Makan Minum Kegiatan Kantor</v>
      </c>
      <c r="F156">
        <v>1600000</v>
      </c>
      <c r="H156" t="str">
        <v>Konsumsi Kegiatan Public Speaking</v>
      </c>
    </row>
    <row r="157">
      <c r="A157">
        <f>VLOOKUP(D157,COA!$B$3:$C$217,2,0)</f>
        <v>80000</v>
      </c>
      <c r="B157">
        <v>46185</v>
      </c>
      <c r="C157" t="str">
        <v>058</v>
      </c>
      <c r="D157" t="str">
        <v>Beban di Luar Operasional</v>
      </c>
      <c r="E157" t="str">
        <v>Beban Administrasi Bank</v>
      </c>
      <c r="F157">
        <v>6500</v>
      </c>
      <c r="H157" t="str">
        <v>admin bank</v>
      </c>
    </row>
    <row r="158">
      <c r="A158">
        <f>VLOOKUP(D158,COA!$B$3:$C$217,2,0)</f>
        <v>11103</v>
      </c>
      <c r="B158">
        <v>46185</v>
      </c>
      <c r="C158" t="str">
        <v>058</v>
      </c>
      <c r="D158" t="str">
        <v>Bank Kalsel</v>
      </c>
      <c r="G158">
        <f>SUM(F156:F157)</f>
        <v>1606500</v>
      </c>
      <c r="H158" t="str">
        <v>Konsumsi Kegiatan Public Speaking+admin</v>
      </c>
    </row>
    <row r="159">
      <c r="A159">
        <f>VLOOKUP(D159,COA!$B$3:$C$217,2,0)</f>
        <v>61110</v>
      </c>
      <c r="B159">
        <v>46185</v>
      </c>
      <c r="C159" t="str">
        <v>052</v>
      </c>
      <c r="D159" t="str">
        <v>Beban Sewa Kendaraan</v>
      </c>
      <c r="E159" t="str">
        <v>Beban Sewa Mobil Operasional</v>
      </c>
      <c r="F159">
        <v>7950000</v>
      </c>
      <c r="H159" t="str">
        <v>Pembayaran Sewa Mobil Operasioanal</v>
      </c>
    </row>
    <row r="160">
      <c r="A160">
        <f>VLOOKUP(D160,COA!$B$3:$C$217,2,0)</f>
        <v>80000</v>
      </c>
      <c r="B160">
        <v>46185</v>
      </c>
      <c r="C160" t="str">
        <v>052</v>
      </c>
      <c r="D160" t="str">
        <v>Beban di Luar Operasional</v>
      </c>
      <c r="E160" t="str">
        <v>Beban Administrasi Bank</v>
      </c>
      <c r="F160">
        <v>6500</v>
      </c>
      <c r="H160" t="str">
        <v>admin bank</v>
      </c>
    </row>
    <row r="161">
      <c r="A161">
        <f>VLOOKUP(D161,COA!$B$3:$C$217,2,0)</f>
        <v>11103</v>
      </c>
      <c r="B161">
        <v>46185</v>
      </c>
      <c r="C161" t="str">
        <v>052</v>
      </c>
      <c r="D161" t="str">
        <v>Bank Kalsel</v>
      </c>
      <c r="G161">
        <f>SUM(F159:F160)</f>
        <v>7956500</v>
      </c>
      <c r="H161" t="str">
        <v>Pembayaran Sewa Mobil Operasioanal+admin</v>
      </c>
    </row>
    <row r="162">
      <c r="A162">
        <f>VLOOKUP(D162,COA!$B$3:$C$217,2,0)</f>
        <v>61070</v>
      </c>
      <c r="B162">
        <v>46188</v>
      </c>
      <c r="C162" t="str">
        <v>063</v>
      </c>
      <c r="D162" t="str">
        <v>Beban Perlengkapan dan Pemeliharaan Kantor</v>
      </c>
      <c r="E162" t="str">
        <v>Beban Pemeliharaan Perlengkapan dan Peralatan Kantor</v>
      </c>
      <c r="F162">
        <v>100000</v>
      </c>
      <c r="H162" t="str">
        <v>Pembayaran Service Printer Kantor</v>
      </c>
    </row>
    <row r="163">
      <c r="A163">
        <f>VLOOKUP(D163,COA!$B$3:$C$217,2,0)</f>
        <v>11103</v>
      </c>
      <c r="B163">
        <v>46188</v>
      </c>
      <c r="C163" t="str">
        <v>063</v>
      </c>
      <c r="D163" t="str">
        <v>Bank Kalsel</v>
      </c>
      <c r="G163">
        <f>F162</f>
        <v>100000</v>
      </c>
      <c r="H163" t="str">
        <v>Pembayaran Service Printer Kantor</v>
      </c>
    </row>
    <row r="164">
      <c r="A164">
        <f>VLOOKUP(D164,COA!$B$3:$C$217,2,0)</f>
        <v>80000</v>
      </c>
      <c r="B164">
        <v>46188</v>
      </c>
      <c r="D164" t="str">
        <v>Beban di Luar Operasional</v>
      </c>
      <c r="E164" t="str">
        <v>Pajak Penghasilan</v>
      </c>
      <c r="F164">
        <v>364112437</v>
      </c>
      <c r="H164" t="str">
        <v xml:space="preserve">Pajak Penghasilan Perumda </v>
      </c>
    </row>
    <row r="165">
      <c r="A165">
        <f>VLOOKUP(D165,COA!$B$3:$C$217,2,0)</f>
        <v>11103</v>
      </c>
      <c r="B165">
        <v>46188</v>
      </c>
      <c r="D165" t="str">
        <v>Bank Kalsel</v>
      </c>
      <c r="G165">
        <f>F164</f>
        <v>364112437</v>
      </c>
      <c r="H165" t="str">
        <v xml:space="preserve">Pajak Penghasilan Perumda </v>
      </c>
    </row>
    <row r="166">
      <c r="A166">
        <f>VLOOKUP(D166,COA!$B$3:$C$217,2,0)</f>
        <v>61040</v>
      </c>
      <c r="B166">
        <v>46188</v>
      </c>
      <c r="C166" t="str">
        <v>066</v>
      </c>
      <c r="D166" t="str">
        <v>Beban Alat Tulis Kantor</v>
      </c>
      <c r="E166" t="str">
        <v>Beban ATK</v>
      </c>
      <c r="F166">
        <v>249000</v>
      </c>
      <c r="H166" t="str">
        <v>Pembelian ATK Kantor</v>
      </c>
    </row>
    <row r="167">
      <c r="A167">
        <f>VLOOKUP(D167,COA!$B$3:$C$217,2,0)</f>
        <v>11101</v>
      </c>
      <c r="B167">
        <v>46188</v>
      </c>
      <c r="C167" t="str">
        <v>066</v>
      </c>
      <c r="D167" t="str">
        <v>Kas Kecil</v>
      </c>
      <c r="G167">
        <f>F166</f>
        <v>249000</v>
      </c>
      <c r="H167" t="str">
        <v>Pembelian ATK Kantor</v>
      </c>
    </row>
    <row r="168">
      <c r="A168">
        <f>VLOOKUP(D168,COA!$B$3:$C$217,2,0)</f>
        <v>61070</v>
      </c>
      <c r="B168">
        <v>46188</v>
      </c>
      <c r="C168" t="str">
        <v>064</v>
      </c>
      <c r="D168" t="str">
        <v>Beban Perlengkapan dan Pemeliharaan Kantor</v>
      </c>
      <c r="E168" t="str">
        <v>Beban Pemeliharaan Perlengkapan dan Peralatan Kantor</v>
      </c>
      <c r="F168">
        <v>145000</v>
      </c>
      <c r="H168" t="str">
        <v>Pembelian Kebutuhan Kantor Regulator Gas</v>
      </c>
    </row>
    <row r="169">
      <c r="A169">
        <f>VLOOKUP(D169,COA!$B$3:$C$217,2,0)</f>
        <v>11101</v>
      </c>
      <c r="B169">
        <v>46188</v>
      </c>
      <c r="C169" t="str">
        <v>064</v>
      </c>
      <c r="D169" t="str">
        <v>Kas Kecil</v>
      </c>
      <c r="G169">
        <f>F168</f>
        <v>145000</v>
      </c>
      <c r="H169" t="str">
        <v>Pembelian Kebutuhan Kantor Regulator Gas</v>
      </c>
    </row>
    <row r="170">
      <c r="A170">
        <f>VLOOKUP(D170,COA!$B$3:$C$217,2,0)</f>
        <v>61060</v>
      </c>
      <c r="B170">
        <v>46188</v>
      </c>
      <c r="C170" t="str">
        <v>065</v>
      </c>
      <c r="D170" t="str">
        <v>Beban Konsumsi Rapat dan Tamu</v>
      </c>
      <c r="E170" t="str">
        <v>Beban Makan Minum Aktivitas Lapangan</v>
      </c>
      <c r="F170">
        <v>100000</v>
      </c>
      <c r="H170" t="str">
        <v>Konsumsi Kegiatan Penyegelan di Pasar Pandu</v>
      </c>
    </row>
    <row r="171">
      <c r="A171">
        <f>VLOOKUP(D171,COA!$B$3:$C$217,2,0)</f>
        <v>11101</v>
      </c>
      <c r="B171">
        <v>46188</v>
      </c>
      <c r="C171" t="str">
        <v>065</v>
      </c>
      <c r="D171" t="str">
        <v>Kas Kecil</v>
      </c>
      <c r="G171">
        <f>F170</f>
        <v>100000</v>
      </c>
      <c r="H171" t="str">
        <v>Konsumsi Kegiatan Penyegelan di Pasar Pandu</v>
      </c>
    </row>
    <row r="172">
      <c r="A172">
        <f>VLOOKUP(D172,COA!$B$3:$C$217,2,0)</f>
        <v>62050</v>
      </c>
      <c r="B172">
        <v>46188</v>
      </c>
      <c r="C172" t="str">
        <v>062</v>
      </c>
      <c r="D172" t="str">
        <v>Beban Barang Cetakan</v>
      </c>
      <c r="E172" t="str">
        <v>Beban Cetak Spanduk</v>
      </c>
      <c r="F172">
        <v>410000</v>
      </c>
      <c r="H172" t="str">
        <v>Cetak Spanduk Kegiatan Public Speaking</v>
      </c>
    </row>
    <row r="173">
      <c r="A173">
        <f>VLOOKUP(D173,COA!$B$3:$C$217,2,0)</f>
        <v>11101</v>
      </c>
      <c r="B173">
        <v>46188</v>
      </c>
      <c r="C173" t="str">
        <v>062</v>
      </c>
      <c r="D173" t="str">
        <v>Kas Kecil</v>
      </c>
      <c r="G173">
        <f>F172</f>
        <v>410000</v>
      </c>
      <c r="H173" t="str">
        <v>Cetak Spanduk Kegiatan Public Speaking</v>
      </c>
    </row>
    <row r="174">
      <c r="A174">
        <f>VLOOKUP(D174,COA!$B$3:$C$217,2,0)</f>
        <v>61140</v>
      </c>
      <c r="B174">
        <v>46190</v>
      </c>
      <c r="C174" t="str">
        <v>061</v>
      </c>
      <c r="D174" t="str">
        <v>Beban Umum Lain-lain</v>
      </c>
      <c r="E174" t="str">
        <v>Beban Honorarium Narasumber</v>
      </c>
      <c r="F174">
        <v>2632500</v>
      </c>
      <c r="H174" t="str">
        <v>Honor Narasumber Public Speaking</v>
      </c>
    </row>
    <row r="175">
      <c r="A175">
        <f>VLOOKUP(D175,COA!$B$3:$C$217,2,0)</f>
        <v>11103</v>
      </c>
      <c r="B175">
        <v>46190</v>
      </c>
      <c r="C175" t="str">
        <v>061</v>
      </c>
      <c r="D175" t="str">
        <v>Bank Kalsel</v>
      </c>
      <c r="G175">
        <f>F174</f>
        <v>2632500</v>
      </c>
      <c r="H175" t="str">
        <v>Honor Narasumber Public Speaking</v>
      </c>
    </row>
    <row r="176">
      <c r="A176">
        <f>VLOOKUP(D176,COA!$B$3:$C$217,2,0)</f>
        <v>12300</v>
      </c>
      <c r="B176">
        <v>46191</v>
      </c>
      <c r="C176" t="str">
        <v>069</v>
      </c>
      <c r="D176" t="str">
        <v>Aset Dalam Penyelesaian</v>
      </c>
      <c r="F176">
        <v>113646000</v>
      </c>
      <c r="H176" t="str">
        <v>DP Pemasangan CCTV di Wilayah Pasar Antasari</v>
      </c>
      <c r="I176" t="str">
        <v>INV</v>
      </c>
    </row>
    <row r="177">
      <c r="A177">
        <f>VLOOKUP(D177,COA!$B$3:$C$217,2,0)</f>
        <v>80000</v>
      </c>
      <c r="B177">
        <v>46191</v>
      </c>
      <c r="C177" t="str">
        <v>069</v>
      </c>
      <c r="D177" t="str">
        <v>Beban di Luar Operasional</v>
      </c>
      <c r="E177" t="str">
        <v>Beban Administrasi Bank</v>
      </c>
      <c r="F177">
        <v>2500</v>
      </c>
      <c r="H177" t="str">
        <v>admin bank</v>
      </c>
    </row>
    <row r="178">
      <c r="A178">
        <f>VLOOKUP(D178,COA!$B$3:$C$217,2,0)</f>
        <v>21500</v>
      </c>
      <c r="B178">
        <v>46191</v>
      </c>
      <c r="C178" t="str">
        <v>069</v>
      </c>
      <c r="D178" t="str">
        <v>Biaya yang Masih Harus Dibayar</v>
      </c>
      <c r="G178">
        <v>56823000</v>
      </c>
      <c r="H178" t="str">
        <v>DP Pemasangan CCTV di Wilayah Pasar Antasari</v>
      </c>
    </row>
    <row r="179">
      <c r="A179">
        <f>VLOOKUP(D179,COA!$B$3:$C$217,2,0)</f>
        <v>11103</v>
      </c>
      <c r="B179">
        <v>46191</v>
      </c>
      <c r="C179" t="str">
        <v>069</v>
      </c>
      <c r="D179" t="str">
        <v>Bank Kalsel</v>
      </c>
      <c r="G179">
        <v>56825500</v>
      </c>
      <c r="H179" t="str">
        <v>DP Pemasangan CCTV di Wilayah Pasar Antasari+admin</v>
      </c>
    </row>
    <row r="180">
      <c r="A180" t="str">
        <f>VLOOKUP(D180,COA!$B$3:$C$217,2,0)</f>
        <v>12102.1</v>
      </c>
      <c r="B180">
        <v>46191</v>
      </c>
      <c r="C180" t="str">
        <v>059</v>
      </c>
      <c r="D180" t="str">
        <v>Bangunan</v>
      </c>
      <c r="F180">
        <v>401670000</v>
      </c>
      <c r="H180" t="str">
        <v>Pekerjaan Revitalisasi Gedung di Pasar Antasari</v>
      </c>
      <c r="I180" t="str">
        <v>INV</v>
      </c>
    </row>
    <row r="181">
      <c r="A181">
        <f>VLOOKUP(D181,COA!$B$3:$C$217,2,0)</f>
        <v>11103</v>
      </c>
      <c r="B181">
        <v>46191</v>
      </c>
      <c r="C181" t="str">
        <v>059</v>
      </c>
      <c r="D181" t="str">
        <v>Bank Kalsel</v>
      </c>
      <c r="G181">
        <f>SUM(F180:F180)</f>
        <v>401670000</v>
      </c>
      <c r="H181" t="str">
        <v>Pekerjaan Revitalisasi Gedung di Pasar Antasari</v>
      </c>
    </row>
    <row r="182">
      <c r="A182">
        <f>VLOOKUP(D182,COA!$B$3:$C$217,2,0)</f>
        <v>11401</v>
      </c>
      <c r="B182">
        <v>46191</v>
      </c>
      <c r="C182" t="str">
        <v>067</v>
      </c>
      <c r="D182" t="str">
        <v>Persediaan Barang Dagang (Bapok dan Gerai Inflasi)</v>
      </c>
      <c r="F182">
        <v>80247800</v>
      </c>
      <c r="H182" t="str">
        <v>Pembelian Telur Ayam Ras</v>
      </c>
      <c r="I182" t="str">
        <v>BAPOK</v>
      </c>
    </row>
    <row r="183">
      <c r="A183">
        <f>VLOOKUP(D183,COA!$B$3:$C$217,2,0)</f>
        <v>80000</v>
      </c>
      <c r="B183">
        <v>46191</v>
      </c>
      <c r="C183" t="str">
        <v>067</v>
      </c>
      <c r="D183" t="str">
        <v>Beban di Luar Operasional</v>
      </c>
      <c r="E183" t="str">
        <v>Beban Administrasi Bank</v>
      </c>
      <c r="F183">
        <v>2900</v>
      </c>
      <c r="H183" t="str">
        <v>admin bank</v>
      </c>
    </row>
    <row r="184">
      <c r="A184">
        <f>VLOOKUP(D184,COA!$B$3:$C$217,2,0)</f>
        <v>11103</v>
      </c>
      <c r="B184">
        <v>46191</v>
      </c>
      <c r="C184" t="str">
        <v>067</v>
      </c>
      <c r="D184" t="str">
        <v>Bank Kalsel</v>
      </c>
      <c r="G184">
        <f>SUM(F182:F183)</f>
        <v>80250700</v>
      </c>
      <c r="H184" t="str">
        <v>Pembelian Telur Ayam Ras+admin</v>
      </c>
    </row>
    <row r="185">
      <c r="A185">
        <f>VLOOKUP(D185,COA!$B$3:$C$217,2,0)</f>
        <v>11402</v>
      </c>
      <c r="B185">
        <v>46191</v>
      </c>
      <c r="C185" t="str">
        <v>068</v>
      </c>
      <c r="D185" t="str">
        <v>Persediaan Barang Dagang (Gas LPG)</v>
      </c>
      <c r="F185">
        <v>1220000</v>
      </c>
      <c r="H185" t="str">
        <v>Isi ulang gas elpiji 3 kg (80 buah * @15.250)</v>
      </c>
      <c r="I185" t="str">
        <v>BAPOK</v>
      </c>
    </row>
    <row r="186">
      <c r="A186">
        <f>VLOOKUP(D186,COA!$B$3:$C$217,2,0)</f>
        <v>80000</v>
      </c>
      <c r="B186">
        <v>46191</v>
      </c>
      <c r="C186" t="str">
        <v>068</v>
      </c>
      <c r="D186" t="str">
        <v>Beban di Luar Operasional</v>
      </c>
      <c r="E186" t="str">
        <v>Beban Administrasi Bank</v>
      </c>
      <c r="F186">
        <v>2500</v>
      </c>
      <c r="H186" t="str">
        <v>admin bank</v>
      </c>
    </row>
    <row r="187">
      <c r="A187">
        <f>VLOOKUP(D187,COA!$B$3:$C$217,2,0)</f>
        <v>11103</v>
      </c>
      <c r="B187">
        <v>46191</v>
      </c>
      <c r="C187" t="str">
        <v>068</v>
      </c>
      <c r="D187" t="str">
        <v>Bank Kalsel</v>
      </c>
      <c r="G187">
        <f>SUM(F185:F186)</f>
        <v>1222500</v>
      </c>
      <c r="H187" t="str">
        <v>Isi ulang gas elpiji 3 kg (80 buah * @15.250) + admin</v>
      </c>
    </row>
    <row r="188">
      <c r="A188">
        <f>VLOOKUP(D188,COA!$B$3:$C$217,2,0)</f>
        <v>62010</v>
      </c>
      <c r="B188">
        <v>46191</v>
      </c>
      <c r="C188" t="str">
        <v>074</v>
      </c>
      <c r="D188" t="str">
        <v>Beban Pemeliharaan Kendaraan Operasional</v>
      </c>
      <c r="E188" t="str">
        <v>Beban Pemeliharaan Mobil Truck</v>
      </c>
      <c r="F188">
        <v>8075000</v>
      </c>
      <c r="H188" t="str">
        <v xml:space="preserve">Pemeliharaan Mobil Truck Operasional </v>
      </c>
    </row>
    <row r="189">
      <c r="A189">
        <f>VLOOKUP(D189,COA!$B$3:$C$217,2,0)</f>
        <v>80000</v>
      </c>
      <c r="B189">
        <v>46191</v>
      </c>
      <c r="C189" t="str">
        <v>074</v>
      </c>
      <c r="D189" t="str">
        <v>Beban di Luar Operasional</v>
      </c>
      <c r="E189" t="str">
        <v>Beban Administrasi Bank</v>
      </c>
      <c r="F189">
        <v>2500</v>
      </c>
      <c r="H189" t="str">
        <v>admin bank</v>
      </c>
    </row>
    <row r="190">
      <c r="A190">
        <f>VLOOKUP(D190,COA!$B$3:$C$217,2,0)</f>
        <v>11103</v>
      </c>
      <c r="B190">
        <v>46191</v>
      </c>
      <c r="C190" t="str">
        <v>074</v>
      </c>
      <c r="D190" t="str">
        <v>Bank Kalsel</v>
      </c>
      <c r="G190">
        <f>SUM(F188:F189)</f>
        <v>8077500</v>
      </c>
      <c r="H190" t="str">
        <v>Pemeliharaan Mobil Truck Operasional+admin</v>
      </c>
    </row>
    <row r="191">
      <c r="A191">
        <f>VLOOKUP(D191,COA!$B$3:$C$217,2,0)</f>
        <v>62010</v>
      </c>
      <c r="B191">
        <v>46191</v>
      </c>
      <c r="C191" t="str">
        <v>074</v>
      </c>
      <c r="D191" t="str">
        <v>Beban Pemeliharaan Kendaraan Operasional</v>
      </c>
      <c r="E191" t="str">
        <v>Beban Pemeliharaan Mobil Pick Up</v>
      </c>
      <c r="F191">
        <v>1500000</v>
      </c>
      <c r="H191" t="str">
        <v xml:space="preserve">Pemeliharaan Mobil Pick Up Operasional </v>
      </c>
    </row>
    <row r="192">
      <c r="A192">
        <f>VLOOKUP(D192,COA!$B$3:$C$217,2,0)</f>
        <v>11103</v>
      </c>
      <c r="B192">
        <v>46191</v>
      </c>
      <c r="C192" t="str">
        <v>074</v>
      </c>
      <c r="D192" t="str">
        <v>Bank Kalsel</v>
      </c>
      <c r="G192">
        <f>F191</f>
        <v>1500000</v>
      </c>
      <c r="H192" t="str">
        <v xml:space="preserve">Pemeliharaan Mobil Pick Up Operasional </v>
      </c>
    </row>
    <row r="193">
      <c r="A193">
        <f>VLOOKUP(D193,COA!$B$3:$C$217,2,0)</f>
        <v>62020</v>
      </c>
      <c r="B193">
        <v>46191</v>
      </c>
      <c r="C193" t="str">
        <v>072</v>
      </c>
      <c r="D193" t="str">
        <v>Beban Pemeliharaan Bangunan Pasar</v>
      </c>
      <c r="E193" t="str">
        <v>Beban Pemeliharaan Bangunan Pasar</v>
      </c>
      <c r="F193">
        <v>2500000</v>
      </c>
      <c r="H193" t="str">
        <v>Perbaikan Pintu Pasar Antasari di Area Belakang Kasbah dan Pintu Lipat Terminal Atas</v>
      </c>
    </row>
    <row r="194">
      <c r="A194">
        <f>VLOOKUP(D194,COA!$B$3:$C$217,2,0)</f>
        <v>80000</v>
      </c>
      <c r="B194">
        <v>46191</v>
      </c>
      <c r="C194" t="str">
        <v>072</v>
      </c>
      <c r="D194" t="str">
        <v>Beban di Luar Operasional</v>
      </c>
      <c r="E194" t="str">
        <v>Beban Administrasi Bank</v>
      </c>
      <c r="F194">
        <v>2500</v>
      </c>
      <c r="H194" t="str">
        <v>admin bank</v>
      </c>
    </row>
    <row r="195">
      <c r="A195">
        <f>VLOOKUP(D195,COA!$B$3:$C$217,2,0)</f>
        <v>11103</v>
      </c>
      <c r="B195">
        <v>46191</v>
      </c>
      <c r="C195" t="str">
        <v>072</v>
      </c>
      <c r="D195" t="str">
        <v>Bank Kalsel</v>
      </c>
      <c r="G195">
        <f>SUM(F193:F194)</f>
        <v>2502500</v>
      </c>
      <c r="H195" t="str">
        <v>Perbaikan Pintu Pasar Antasari di Area Belakang Kasbah dan Pintu Lipat Terminal Atas+admin</v>
      </c>
    </row>
    <row r="196">
      <c r="A196">
        <f>VLOOKUP(D196,COA!$B$3:$C$217,2,0)</f>
        <v>80000</v>
      </c>
      <c r="B196">
        <v>46191</v>
      </c>
      <c r="D196" t="str">
        <v>Beban di Luar Operasional</v>
      </c>
      <c r="E196" t="str">
        <v>Pajak Penghasilan</v>
      </c>
      <c r="F196">
        <v>4610648</v>
      </c>
      <c r="H196" t="str">
        <v xml:space="preserve">Pajak Penghasilan Perumda </v>
      </c>
    </row>
    <row r="197">
      <c r="A197">
        <f>VLOOKUP(D197,COA!$B$3:$C$217,2,0)</f>
        <v>11103</v>
      </c>
      <c r="B197">
        <v>46191</v>
      </c>
      <c r="D197" t="str">
        <v>Bank Kalsel</v>
      </c>
      <c r="G197">
        <f>F196</f>
        <v>4610648</v>
      </c>
      <c r="H197" t="str">
        <v xml:space="preserve">Pajak Penghasilan Perumda </v>
      </c>
    </row>
    <row r="198">
      <c r="A198">
        <f>VLOOKUP(D198,COA!$B$3:$C$217,2,0)</f>
        <v>61060</v>
      </c>
      <c r="B198">
        <v>46192</v>
      </c>
      <c r="C198" t="str">
        <v>070</v>
      </c>
      <c r="D198" t="str">
        <v>Beban Konsumsi Rapat dan Tamu</v>
      </c>
      <c r="E198" t="str">
        <v>Beban Makan Minum Aktivitas Lapangan</v>
      </c>
      <c r="F198">
        <v>320000</v>
      </c>
      <c r="H198" t="str">
        <v>Konsumsi Kegiatan Kebersihan di Pasar Pekauman</v>
      </c>
    </row>
    <row r="199">
      <c r="A199">
        <f>VLOOKUP(D199,COA!$B$3:$C$217,2,0)</f>
        <v>11101</v>
      </c>
      <c r="B199">
        <v>46192</v>
      </c>
      <c r="C199" t="str">
        <v>070</v>
      </c>
      <c r="D199" t="str">
        <v>Kas Kecil</v>
      </c>
      <c r="G199">
        <f>F198</f>
        <v>320000</v>
      </c>
      <c r="H199" t="str">
        <v>Konsumsi Kegiatan Kebersihan di Pasar Pekauman</v>
      </c>
    </row>
    <row r="200">
      <c r="A200">
        <f>VLOOKUP(D200,COA!$B$3:$C$217,2,0)</f>
        <v>61060</v>
      </c>
      <c r="B200">
        <v>46192</v>
      </c>
      <c r="C200" t="str">
        <v>071</v>
      </c>
      <c r="D200" t="str">
        <v>Beban Konsumsi Rapat dan Tamu</v>
      </c>
      <c r="E200" t="str">
        <v>Beban Makan Minum Aktivitas Lapangan</v>
      </c>
      <c r="F200">
        <v>300000</v>
      </c>
      <c r="H200" t="str">
        <v>Konsumsi Kegiatan Penyegelan di Pasar Atom Kilat</v>
      </c>
    </row>
    <row r="201">
      <c r="A201">
        <f>VLOOKUP(D201,COA!$B$3:$C$217,2,0)</f>
        <v>11101</v>
      </c>
      <c r="B201">
        <v>46192</v>
      </c>
      <c r="C201" t="str">
        <v>071</v>
      </c>
      <c r="D201" t="str">
        <v>Kas Kecil</v>
      </c>
      <c r="G201">
        <f>F200</f>
        <v>300000</v>
      </c>
      <c r="H201" t="str">
        <v>Konsumsi Kegiatan Penyegelan di Pasar Atom Kilat</v>
      </c>
    </row>
    <row r="202">
      <c r="A202">
        <f>VLOOKUP(D202,COA!$B$3:$C$217,2,0)</f>
        <v>62100</v>
      </c>
      <c r="B202">
        <v>46192</v>
      </c>
      <c r="C202" t="str">
        <v>078</v>
      </c>
      <c r="D202" t="str">
        <v>Beban Pemeliharaan Keamanan dan Ketertiban Pasar</v>
      </c>
      <c r="E202" t="str">
        <v>Kerjasama Pengaman Pasar dengan APH</v>
      </c>
      <c r="F202">
        <v>300000</v>
      </c>
      <c r="H202" t="str">
        <v>Upah Kegiatan Penyegelan di Pasar Atom Kilat bersama Polres Banjarmasin</v>
      </c>
    </row>
    <row r="203">
      <c r="A203">
        <f>VLOOKUP(D203,COA!$B$3:$C$217,2,0)</f>
        <v>11101</v>
      </c>
      <c r="B203">
        <v>46192</v>
      </c>
      <c r="C203" t="str">
        <v>078</v>
      </c>
      <c r="D203" t="str">
        <v>Kas Kecil</v>
      </c>
      <c r="G203">
        <f>F202</f>
        <v>300000</v>
      </c>
      <c r="H203" t="str">
        <v>Upah Kegiatan Penyegelan di Pasar Atom Kilat bersama Polres Banjarmasin</v>
      </c>
    </row>
    <row r="204">
      <c r="A204">
        <f>VLOOKUP(D204,COA!$B$3:$C$217,2,0)</f>
        <v>21200</v>
      </c>
      <c r="B204">
        <v>46193</v>
      </c>
      <c r="C204" t="str">
        <v>079</v>
      </c>
      <c r="D204" t="str">
        <v>Utang Usaha</v>
      </c>
      <c r="F204">
        <v>7855000</v>
      </c>
      <c r="H204" t="str">
        <v>Perubahan Harga Karena ada Pengurangan Bahan Bangunan dari Tukang</v>
      </c>
    </row>
    <row r="205">
      <c r="A205">
        <f>VLOOKUP(D205,COA!$B$3:$C$217,2,0)</f>
        <v>12300</v>
      </c>
      <c r="B205">
        <v>46193</v>
      </c>
      <c r="C205" t="str">
        <v>079</v>
      </c>
      <c r="D205" t="str">
        <v>Aset Dalam Penyelesaian</v>
      </c>
      <c r="G205">
        <f>SUM(F204)</f>
        <v>7855000</v>
      </c>
      <c r="H205" t="str">
        <v>Perubahan Harga Karena ada Pengurangan Bahan Bangunan dari Tukang</v>
      </c>
    </row>
    <row r="206">
      <c r="A206">
        <f>VLOOKUP(D206,COA!$B$3:$C$217,2,0)</f>
        <v>21200</v>
      </c>
      <c r="B206">
        <v>46193</v>
      </c>
      <c r="C206" t="str">
        <v>079</v>
      </c>
      <c r="D206" t="str">
        <v>Utang Usaha</v>
      </c>
      <c r="F206">
        <v>3857000</v>
      </c>
      <c r="H206" t="str">
        <v>Pelunasan Pemasangan Kanstin Beton di Pasar Antasari</v>
      </c>
    </row>
    <row r="207">
      <c r="A207">
        <f>VLOOKUP(D207,COA!$B$3:$C$217,2,0)</f>
        <v>80000</v>
      </c>
      <c r="B207">
        <v>46193</v>
      </c>
      <c r="C207" t="str">
        <v>079</v>
      </c>
      <c r="D207" t="str">
        <v>Beban di Luar Operasional</v>
      </c>
      <c r="E207" t="str">
        <v>Beban Administrasi Bank</v>
      </c>
      <c r="F207">
        <v>2500</v>
      </c>
      <c r="H207" t="str">
        <v>admin bank</v>
      </c>
    </row>
    <row r="208">
      <c r="A208">
        <f>VLOOKUP(D208,COA!$B$3:$C$217,2,0)</f>
        <v>11103</v>
      </c>
      <c r="B208">
        <v>46193</v>
      </c>
      <c r="C208" t="str">
        <v>079</v>
      </c>
      <c r="D208" t="str">
        <v>Bank Kalsel</v>
      </c>
      <c r="G208">
        <f>SUM(F206:F207)</f>
        <v>3859500</v>
      </c>
      <c r="H208" t="str">
        <v>Pelunasan Pemasangan Kanstin Beton di Pasar Antasari+admin</v>
      </c>
    </row>
    <row r="209">
      <c r="A209" t="str">
        <f>VLOOKUP(D209,COA!$B$3:$C$217,2,0)</f>
        <v>12102.1</v>
      </c>
      <c r="B209">
        <v>46193</v>
      </c>
      <c r="C209" t="str">
        <v>079</v>
      </c>
      <c r="D209" t="str">
        <v>Bangunan</v>
      </c>
      <c r="F209">
        <v>21425000</v>
      </c>
      <c r="H209" t="str">
        <v>Pelunasan Pemasangan Kanstin Beton di Pasar Antasari</v>
      </c>
    </row>
    <row r="210">
      <c r="A210">
        <f>VLOOKUP(D210,COA!$B$3:$C$217,2,0)</f>
        <v>12300</v>
      </c>
      <c r="B210">
        <v>46193</v>
      </c>
      <c r="C210" t="str">
        <v>079</v>
      </c>
      <c r="D210" t="str">
        <v>Aset Dalam Penyelesaian</v>
      </c>
      <c r="G210">
        <f>SUM(F208:F209)</f>
        <v>21425000</v>
      </c>
      <c r="H210" t="str">
        <v>Pelunasan Pemasangan Kanstin Beton di Pasar Antasari</v>
      </c>
    </row>
    <row r="211">
      <c r="A211">
        <f>VLOOKUP(D211,COA!$B$3:$C$217,2,0)</f>
        <v>61020</v>
      </c>
      <c r="B211">
        <v>46193</v>
      </c>
      <c r="C211" t="str">
        <v>075</v>
      </c>
      <c r="D211" t="str">
        <v>Beban Tunjangan Pegawai Umum</v>
      </c>
      <c r="E211" t="str">
        <v>Beban Tunjangan Ketenagakerjaan (JKK &amp; JKM)</v>
      </c>
      <c r="F211">
        <v>4148934</v>
      </c>
      <c r="H211" t="str">
        <v>Pembayaran BPJS Ketenagakerjaan Direksi</v>
      </c>
    </row>
    <row r="212">
      <c r="A212">
        <f>VLOOKUP(D212,COA!$B$3:$C$217,2,0)</f>
        <v>11103</v>
      </c>
      <c r="B212">
        <v>46193</v>
      </c>
      <c r="C212" t="str">
        <v>075</v>
      </c>
      <c r="D212" t="str">
        <v>Bank Kalsel</v>
      </c>
      <c r="G212">
        <f>F211</f>
        <v>4148934</v>
      </c>
      <c r="H212" t="str">
        <v>Pembayaran BPJS Ketenagakerjaan Direksi</v>
      </c>
    </row>
    <row r="213">
      <c r="A213">
        <f>VLOOKUP(D213,COA!$B$3:$C$217,2,0)</f>
        <v>61020</v>
      </c>
      <c r="B213">
        <v>46193</v>
      </c>
      <c r="C213" t="str">
        <v>075</v>
      </c>
      <c r="D213" t="str">
        <v>Beban Tunjangan Pegawai Umum</v>
      </c>
      <c r="E213" t="str">
        <v>Beban Tunjangan Ketenagakerjaan (JKK &amp; JKM)</v>
      </c>
      <c r="F213">
        <v>629100</v>
      </c>
      <c r="H213" t="str">
        <v>Pembayaran BPJS Ketenagakerjaan Karyawan</v>
      </c>
    </row>
    <row r="214">
      <c r="A214">
        <f>VLOOKUP(D214,COA!$B$3:$C$217,2,0)</f>
        <v>11103</v>
      </c>
      <c r="B214">
        <v>46193</v>
      </c>
      <c r="C214" t="str">
        <v>075</v>
      </c>
      <c r="D214" t="str">
        <v>Bank Kalsel</v>
      </c>
      <c r="G214">
        <f>F213</f>
        <v>629100</v>
      </c>
      <c r="H214" t="str">
        <v>Pembayaran BPJS Ketenagakerjaan Karyawan</v>
      </c>
    </row>
    <row r="215">
      <c r="A215">
        <f>VLOOKUP(D215,COA!$B$3:$C$217,2,0)</f>
        <v>62070</v>
      </c>
      <c r="B215">
        <v>46193</v>
      </c>
      <c r="C215" t="str">
        <v>076</v>
      </c>
      <c r="D215" t="str">
        <v>Beban Tunjangan Pegawai Operasional</v>
      </c>
      <c r="E215" t="str">
        <v>Beban Tunjangan Ketenagakerjaan (JKK &amp; JKM) - THL</v>
      </c>
      <c r="F215">
        <v>948240</v>
      </c>
      <c r="H215" t="str">
        <v>Pembayaran BPJS Ketenagakerjaan THL</v>
      </c>
    </row>
    <row r="216">
      <c r="A216">
        <f>VLOOKUP(D216,COA!$B$3:$C$217,2,0)</f>
        <v>11103</v>
      </c>
      <c r="B216">
        <v>46193</v>
      </c>
      <c r="C216" t="str">
        <v>076</v>
      </c>
      <c r="D216" t="str">
        <v>Bank Kalsel</v>
      </c>
      <c r="G216">
        <f>F215</f>
        <v>948240</v>
      </c>
      <c r="H216" t="str">
        <v>Pembayaran BPJS Ketenagakerjaan THL</v>
      </c>
    </row>
    <row r="217">
      <c r="A217">
        <f>VLOOKUP(D217,COA!$B$3:$C$217,2,0)</f>
        <v>61070</v>
      </c>
      <c r="B217">
        <v>46193</v>
      </c>
      <c r="C217" t="str">
        <v>077</v>
      </c>
      <c r="D217" t="str">
        <v>Beban Perlengkapan dan Pemeliharaan Kantor</v>
      </c>
      <c r="E217" t="str">
        <v>Beban Pemeliharaan Bangunan Gedung Kantor</v>
      </c>
      <c r="F217">
        <v>400000</v>
      </c>
      <c r="H217" t="str">
        <v>Perbaikan Pintu Kantor</v>
      </c>
    </row>
    <row r="218">
      <c r="A218">
        <f>VLOOKUP(D218,COA!$B$3:$C$217,2,0)</f>
        <v>80000</v>
      </c>
      <c r="B218">
        <v>46193</v>
      </c>
      <c r="C218" t="str">
        <v>077</v>
      </c>
      <c r="D218" t="str">
        <v>Beban di Luar Operasional</v>
      </c>
      <c r="E218" t="str">
        <v>Beban Administrasi Bank</v>
      </c>
      <c r="F218">
        <v>2500</v>
      </c>
      <c r="H218" t="str">
        <v>admin bank</v>
      </c>
    </row>
    <row r="219">
      <c r="A219">
        <f>VLOOKUP(D219,COA!$B$3:$C$217,2,0)</f>
        <v>11103</v>
      </c>
      <c r="B219">
        <v>46193</v>
      </c>
      <c r="C219" t="str">
        <v>077</v>
      </c>
      <c r="D219" t="str">
        <v>Bank Kalsel</v>
      </c>
      <c r="G219">
        <f>SUM(F217:F218)</f>
        <v>402500</v>
      </c>
      <c r="H219" t="str">
        <v>Perbaikan Pintu Kantor+admin</v>
      </c>
    </row>
    <row r="220">
      <c r="A220">
        <f>VLOOKUP(D220,COA!$B$3:$C$217,2,0)</f>
        <v>61070</v>
      </c>
      <c r="B220">
        <v>46195</v>
      </c>
      <c r="C220" t="str">
        <v>080</v>
      </c>
      <c r="D220" t="str">
        <v>Beban Perlengkapan dan Pemeliharaan Kantor</v>
      </c>
      <c r="E220" t="str">
        <v>Beban Pemeliharaan Perlengkapan dan Peralatan Kantor</v>
      </c>
      <c r="F220">
        <v>650000</v>
      </c>
      <c r="H220" t="str">
        <v>Pembelian Kebutuhan Kantor Stiker Ruangan Direksi</v>
      </c>
    </row>
    <row r="221">
      <c r="A221">
        <f>VLOOKUP(D221,COA!$B$3:$C$217,2,0)</f>
        <v>11101</v>
      </c>
      <c r="B221">
        <v>46195</v>
      </c>
      <c r="C221" t="str">
        <v>080</v>
      </c>
      <c r="D221" t="str">
        <v>Kas Kecil</v>
      </c>
      <c r="G221">
        <f>F220</f>
        <v>650000</v>
      </c>
      <c r="H221" t="str">
        <v>Pembelian Kebutuhan Kantor Stiker Ruangan Direksi</v>
      </c>
    </row>
    <row r="222">
      <c r="A222">
        <f>VLOOKUP(D222,COA!$B$3:$C$217,2,0)</f>
        <v>61070</v>
      </c>
      <c r="B222">
        <v>46195</v>
      </c>
      <c r="C222" t="str">
        <v>081</v>
      </c>
      <c r="D222" t="str">
        <v>Beban Perlengkapan dan Pemeliharaan Kantor</v>
      </c>
      <c r="E222" t="str">
        <v>Beban Pemeliharaan Perlengkapan dan Peralatan Kantor</v>
      </c>
      <c r="F222">
        <v>355800</v>
      </c>
      <c r="H222" t="str">
        <v>Pembelian Kebutuhan Kantor Pengharum Ruangan Kantor</v>
      </c>
    </row>
    <row r="223">
      <c r="A223">
        <f>VLOOKUP(D223,COA!$B$3:$C$217,2,0)</f>
        <v>11101</v>
      </c>
      <c r="B223">
        <v>46195</v>
      </c>
      <c r="C223" t="str">
        <v>081</v>
      </c>
      <c r="D223" t="str">
        <v>Kas Kecil</v>
      </c>
      <c r="G223">
        <f>F222</f>
        <v>355800</v>
      </c>
      <c r="H223" t="str">
        <v>Pembelian Kebutuhan Kantor Pengharum Ruangan Kantor</v>
      </c>
    </row>
    <row r="224">
      <c r="A224">
        <f>VLOOKUP(D224,COA!$B$3:$C$217,2,0)</f>
        <v>61140</v>
      </c>
      <c r="B224">
        <v>46195</v>
      </c>
      <c r="C224" t="str">
        <v>083</v>
      </c>
      <c r="D224" t="str">
        <v>Beban Umum Lain-lain</v>
      </c>
      <c r="E224" t="str">
        <v xml:space="preserve">Beban Pembuatan Souvenir Perumda </v>
      </c>
      <c r="F224">
        <v>7599180</v>
      </c>
      <c r="H224" t="str">
        <v>Penulasan Plakat Akrilik Perumda</v>
      </c>
    </row>
    <row r="225">
      <c r="A225">
        <f>VLOOKUP(D225,COA!$B$3:$C$217,2,0)</f>
        <v>80000</v>
      </c>
      <c r="B225">
        <v>46195</v>
      </c>
      <c r="C225" t="str">
        <v>083</v>
      </c>
      <c r="D225" t="str">
        <v>Beban di Luar Operasional</v>
      </c>
      <c r="E225" t="str">
        <v>Beban Administrasi Bank</v>
      </c>
      <c r="F225">
        <v>2500</v>
      </c>
      <c r="H225" t="str">
        <v>admin bank</v>
      </c>
    </row>
    <row r="226">
      <c r="A226">
        <f>VLOOKUP(D226,COA!$B$3:$C$217,2,0)</f>
        <v>11103</v>
      </c>
      <c r="B226">
        <v>46195</v>
      </c>
      <c r="C226" t="str">
        <v>083</v>
      </c>
      <c r="D226" t="str">
        <v>Bank Kalsel</v>
      </c>
      <c r="G226">
        <f>SUM(F224:F225)</f>
        <v>7601680</v>
      </c>
      <c r="H226" t="str">
        <v>Penulasan Plakat Akrilik Perumda+admin</v>
      </c>
    </row>
    <row r="227">
      <c r="A227">
        <f>VLOOKUP(D227,COA!$B$3:$C$217,2,0)</f>
        <v>61060</v>
      </c>
      <c r="B227">
        <v>46195</v>
      </c>
      <c r="C227" t="str">
        <v>084</v>
      </c>
      <c r="D227" t="str">
        <v>Beban Konsumsi Rapat dan Tamu</v>
      </c>
      <c r="E227" t="str">
        <v>Beban Makan Minum Rapat</v>
      </c>
      <c r="F227">
        <v>525000</v>
      </c>
      <c r="H227" t="str">
        <v xml:space="preserve">Pembelian Konsumsi Rapat Direksi </v>
      </c>
    </row>
    <row r="228">
      <c r="A228">
        <f>VLOOKUP(D228,COA!$B$3:$C$217,2,0)</f>
        <v>80000</v>
      </c>
      <c r="B228">
        <v>46195</v>
      </c>
      <c r="C228" t="str">
        <v>084</v>
      </c>
      <c r="D228" t="str">
        <v>Beban di Luar Operasional</v>
      </c>
      <c r="E228" t="str">
        <v>Beban Administrasi Bank</v>
      </c>
      <c r="F228">
        <v>2500</v>
      </c>
      <c r="H228" t="str">
        <v>admin bank</v>
      </c>
    </row>
    <row r="229">
      <c r="A229">
        <f>VLOOKUP(D229,COA!$B$3:$C$217,2,0)</f>
        <v>11103</v>
      </c>
      <c r="B229">
        <v>46195</v>
      </c>
      <c r="C229" t="str">
        <v>084</v>
      </c>
      <c r="D229" t="str">
        <v>Bank Kalsel</v>
      </c>
      <c r="G229">
        <f>SUM(F227:F228)</f>
        <v>527500</v>
      </c>
      <c r="H229" t="str">
        <v>Pembelian Konsumsi Rapat Direksi+admin</v>
      </c>
    </row>
    <row r="230">
      <c r="A230">
        <f>VLOOKUP(D230,COA!$B$3:$C$217,2,0)</f>
        <v>61060</v>
      </c>
      <c r="B230">
        <v>46195</v>
      </c>
      <c r="C230" t="str">
        <v>085</v>
      </c>
      <c r="D230" t="str">
        <v>Beban Konsumsi Rapat dan Tamu</v>
      </c>
      <c r="E230" t="str">
        <v>Beban Makan Minum Rapat</v>
      </c>
      <c r="F230">
        <v>125000</v>
      </c>
      <c r="H230" t="str">
        <v xml:space="preserve">Pembelian Konsumsi Rapat Direksi </v>
      </c>
    </row>
    <row r="231">
      <c r="A231">
        <f>VLOOKUP(D231,COA!$B$3:$C$217,2,0)</f>
        <v>11101</v>
      </c>
      <c r="B231">
        <v>46195</v>
      </c>
      <c r="C231" t="str">
        <v>085</v>
      </c>
      <c r="D231" t="str">
        <v>Kas Kecil</v>
      </c>
      <c r="G231">
        <f>F230</f>
        <v>125000</v>
      </c>
      <c r="H231" t="str">
        <v xml:space="preserve">Pembelian Konsumsi Rapat Direksi </v>
      </c>
    </row>
    <row r="232">
      <c r="A232" t="str">
        <f>VLOOKUP(D232,COA!$B$3:$C$217,2,0)</f>
        <v>12203.1</v>
      </c>
      <c r="B232">
        <v>46195</v>
      </c>
      <c r="C232" t="str">
        <v>082</v>
      </c>
      <c r="D232" t="str">
        <v>Instalasi Listrik</v>
      </c>
      <c r="F232">
        <v>6300000</v>
      </c>
      <c r="H232" t="str">
        <v>Pemasangan Panel MCB 3 Phase Videotron Pasar Antasari</v>
      </c>
    </row>
    <row r="233">
      <c r="A233">
        <f>VLOOKUP(D233,COA!$B$3:$C$217,2,0)</f>
        <v>80000</v>
      </c>
      <c r="B233">
        <v>46195</v>
      </c>
      <c r="C233" t="str">
        <v>082</v>
      </c>
      <c r="D233" t="str">
        <v>Beban di Luar Operasional</v>
      </c>
      <c r="E233" t="str">
        <v>Beban Administrasi Bank</v>
      </c>
      <c r="F233">
        <v>2500</v>
      </c>
      <c r="H233" t="str">
        <v>admin bank</v>
      </c>
    </row>
    <row r="234">
      <c r="A234">
        <f>VLOOKUP(D234,COA!$B$3:$C$217,2,0)</f>
        <v>11103</v>
      </c>
      <c r="B234">
        <v>46195</v>
      </c>
      <c r="C234" t="str">
        <v>082</v>
      </c>
      <c r="D234" t="str">
        <v>Bank Kalsel</v>
      </c>
      <c r="G234">
        <f>SUM(F232:F233)</f>
        <v>6302500</v>
      </c>
      <c r="H234" t="str">
        <v>Pemasangan Panel MCB 3 Phase Videotron Pasar Antasari+admin</v>
      </c>
    </row>
    <row r="235">
      <c r="A235">
        <f>VLOOKUP(D235,COA!$B$3:$C$217,2,0)</f>
        <v>61090</v>
      </c>
      <c r="B235">
        <v>46195</v>
      </c>
      <c r="D235" t="str">
        <v>Beban Perjalanan Dinas</v>
      </c>
      <c r="E235" t="str">
        <v>Karyawan</v>
      </c>
      <c r="F235">
        <v>4650000</v>
      </c>
      <c r="H235" t="str">
        <v xml:space="preserve">SPPD Dirut ke Jakarta </v>
      </c>
    </row>
    <row r="236">
      <c r="A236">
        <f>VLOOKUP(D236,COA!$B$3:$C$217,2,0)</f>
        <v>11103</v>
      </c>
      <c r="B236">
        <v>46195</v>
      </c>
      <c r="D236" t="str">
        <v>Bank Kalsel</v>
      </c>
      <c r="G236">
        <f>F235</f>
        <v>4650000</v>
      </c>
      <c r="H236" t="str">
        <v xml:space="preserve">SPPD Dirut ke Jakarta </v>
      </c>
    </row>
    <row r="237">
      <c r="A237">
        <f>VLOOKUP(D237,COA!$B$3:$C$217,2,0)</f>
        <v>61060</v>
      </c>
      <c r="B237">
        <v>46196</v>
      </c>
      <c r="C237" t="str">
        <v>086</v>
      </c>
      <c r="D237" t="str">
        <v>Beban Konsumsi Rapat dan Tamu</v>
      </c>
      <c r="E237" t="str">
        <v>Beban Makan Minum Rapat</v>
      </c>
      <c r="F237">
        <v>147265</v>
      </c>
      <c r="H237" t="str">
        <v>Pembelian Konsumsi Rapat Direksi (Buah)</v>
      </c>
    </row>
    <row r="238">
      <c r="A238">
        <f>VLOOKUP(D238,COA!$B$3:$C$217,2,0)</f>
        <v>11101</v>
      </c>
      <c r="B238">
        <v>46196</v>
      </c>
      <c r="C238" t="str">
        <v>086</v>
      </c>
      <c r="D238" t="str">
        <v>Kas Kecil</v>
      </c>
      <c r="G238">
        <f>F237</f>
        <v>147265</v>
      </c>
      <c r="H238" t="str">
        <v>Pembelian Konsumsi Rapat Direksi (Buah)</v>
      </c>
    </row>
    <row r="239">
      <c r="A239">
        <f>VLOOKUP(D239,COA!$B$3:$C$217,2,0)</f>
        <v>61140</v>
      </c>
      <c r="B239">
        <v>46196</v>
      </c>
      <c r="C239" t="str">
        <v>087</v>
      </c>
      <c r="D239" t="str">
        <v>Beban Umum Lain-lain</v>
      </c>
      <c r="E239" t="str">
        <v>Beban Kegiatan Olahraga Karyawan</v>
      </c>
      <c r="F239">
        <v>130000</v>
      </c>
      <c r="H239" t="str">
        <v>Pembelian Chok Bulu Tangkis</v>
      </c>
    </row>
    <row r="240">
      <c r="A240">
        <f>VLOOKUP(D240,COA!$B$3:$C$217,2,0)</f>
        <v>11101</v>
      </c>
      <c r="B240">
        <v>46196</v>
      </c>
      <c r="C240" t="str">
        <v>087</v>
      </c>
      <c r="D240" t="str">
        <v>Kas Kecil</v>
      </c>
      <c r="G240">
        <f>F239</f>
        <v>130000</v>
      </c>
      <c r="H240" t="str">
        <v>Pembelian Chok Bulu Tangkis</v>
      </c>
    </row>
    <row r="241">
      <c r="A241">
        <f>VLOOKUP(D241,COA!$B$3:$C$217,2,0)</f>
        <v>80000</v>
      </c>
      <c r="B241">
        <v>46196</v>
      </c>
      <c r="D241" t="str">
        <v>Beban di Luar Operasional</v>
      </c>
      <c r="E241" t="str">
        <v>Beban Administrasi Bank</v>
      </c>
      <c r="F241">
        <v>25000</v>
      </c>
      <c r="H241" t="str">
        <v>admin bulanan</v>
      </c>
    </row>
    <row r="242">
      <c r="A242">
        <f>VLOOKUP(D242,COA!$B$3:$C$217,2,0)</f>
        <v>11103</v>
      </c>
      <c r="B242">
        <v>46196</v>
      </c>
      <c r="D242" t="str">
        <v>Bank Kalsel</v>
      </c>
      <c r="G242">
        <f>F241</f>
        <v>25000</v>
      </c>
      <c r="H242" t="str">
        <v>admin bulanan</v>
      </c>
    </row>
    <row r="243">
      <c r="A243">
        <f>VLOOKUP(D243,COA!$B$3:$C$217,2,0)</f>
        <v>61060</v>
      </c>
      <c r="B243">
        <v>46197</v>
      </c>
      <c r="C243" t="str">
        <v>088</v>
      </c>
      <c r="D243" t="str">
        <v>Beban Konsumsi Rapat dan Tamu</v>
      </c>
      <c r="E243" t="str">
        <v>Beban Makan Minum Rapat</v>
      </c>
      <c r="F243">
        <v>100000</v>
      </c>
      <c r="H243" t="str">
        <v>Pembelian Konsumsi Rapat dengan Pemilik Kopi Muara Raya</v>
      </c>
    </row>
    <row r="244">
      <c r="A244">
        <f>VLOOKUP(D244,COA!$B$3:$C$217,2,0)</f>
        <v>11101</v>
      </c>
      <c r="B244">
        <v>46197</v>
      </c>
      <c r="C244" t="str">
        <v>088</v>
      </c>
      <c r="D244" t="str">
        <v>Kas Kecil</v>
      </c>
      <c r="G244">
        <f>F243</f>
        <v>100000</v>
      </c>
      <c r="H244" t="str">
        <v>Pembelian Konsumsi Rapat dengan Pemilik Kopi Muara Raya</v>
      </c>
    </row>
    <row r="245">
      <c r="A245">
        <f>VLOOKUP(D245,COA!$B$3:$C$217,2,0)</f>
        <v>61060</v>
      </c>
      <c r="B245">
        <v>46197</v>
      </c>
      <c r="C245" t="str">
        <v>089</v>
      </c>
      <c r="D245" t="str">
        <v>Beban Konsumsi Rapat dan Tamu</v>
      </c>
      <c r="E245" t="str">
        <v>Beban Makan Minum Rapat</v>
      </c>
      <c r="F245">
        <v>300000</v>
      </c>
      <c r="H245" t="str">
        <v>Pembelian Konsumsi Rapat Koordinasi pelaksanaan NUFREP</v>
      </c>
    </row>
    <row r="246">
      <c r="A246">
        <f>VLOOKUP(D246,COA!$B$3:$C$217,2,0)</f>
        <v>11101</v>
      </c>
      <c r="B246">
        <v>46197</v>
      </c>
      <c r="C246" t="str">
        <v>089</v>
      </c>
      <c r="D246" t="str">
        <v>Kas Kecil</v>
      </c>
      <c r="G246">
        <f>F245</f>
        <v>300000</v>
      </c>
      <c r="H246" t="str">
        <v>Pembelian Konsumsi Rapat Koordinasi pelaksanaan NUFREP</v>
      </c>
    </row>
    <row r="247">
      <c r="A247">
        <f>VLOOKUP(D247,COA!$B$3:$C$217,2,0)</f>
        <v>61060</v>
      </c>
      <c r="B247">
        <v>46197</v>
      </c>
      <c r="C247" t="str">
        <v>090</v>
      </c>
      <c r="D247" t="str">
        <v>Beban Konsumsi Rapat dan Tamu</v>
      </c>
      <c r="E247" t="str">
        <v>Beban Makan Minum Rapat</v>
      </c>
      <c r="F247">
        <v>100000</v>
      </c>
      <c r="H247" t="str">
        <v>Pembelian Konsumsi Rapat dengan Pedagang Harum Manis Pasca Kebakaran</v>
      </c>
    </row>
    <row r="248">
      <c r="A248">
        <f>VLOOKUP(D248,COA!$B$3:$C$217,2,0)</f>
        <v>11101</v>
      </c>
      <c r="B248">
        <v>46197</v>
      </c>
      <c r="C248" t="str">
        <v>090</v>
      </c>
      <c r="D248" t="str">
        <v>Kas Kecil</v>
      </c>
      <c r="G248">
        <f>F247</f>
        <v>100000</v>
      </c>
      <c r="H248" t="str">
        <v>Pembelian Konsumsi Rapat dengan Pedagang Harum Manis Pasca Kebakaran</v>
      </c>
    </row>
    <row r="249">
      <c r="A249">
        <f>VLOOKUP(D249,COA!$B$3:$C$217,2,0)</f>
        <v>61040</v>
      </c>
      <c r="B249">
        <v>46197</v>
      </c>
      <c r="C249" t="str">
        <v>092</v>
      </c>
      <c r="D249" t="str">
        <v>Beban Alat Tulis Kantor</v>
      </c>
      <c r="E249" t="str">
        <v>Beban Benda Pos</v>
      </c>
      <c r="F249">
        <v>22000</v>
      </c>
      <c r="H249" t="str">
        <v>Biaya Pengiriman Paket Dokumen ke Ramayana</v>
      </c>
    </row>
    <row r="250">
      <c r="A250">
        <f>VLOOKUP(D250,COA!$B$3:$C$217,2,0)</f>
        <v>11101</v>
      </c>
      <c r="B250">
        <v>46197</v>
      </c>
      <c r="C250" t="str">
        <v>092</v>
      </c>
      <c r="D250" t="str">
        <v>Kas Kecil</v>
      </c>
      <c r="G250">
        <f>F249</f>
        <v>22000</v>
      </c>
      <c r="H250" t="str">
        <v>Biaya Pengiriman Paket Dokumen ke Ramayana</v>
      </c>
    </row>
    <row r="251">
      <c r="A251">
        <f>VLOOKUP(D251,COA!$B$3:$C$217,2,0)</f>
        <v>61060</v>
      </c>
      <c r="B251">
        <v>46197</v>
      </c>
      <c r="C251" t="str">
        <v>096</v>
      </c>
      <c r="D251" t="str">
        <v>Beban Konsumsi Rapat dan Tamu</v>
      </c>
      <c r="E251" t="str">
        <v>Beban Makan Minum Kegiatan Kantor</v>
      </c>
      <c r="F251">
        <v>100500</v>
      </c>
      <c r="H251" t="str">
        <v>Pembelian Konsumsi Kegiatan Sosialisasi Website Kantor</v>
      </c>
    </row>
    <row r="252">
      <c r="A252">
        <f>VLOOKUP(D252,COA!$B$3:$C$217,2,0)</f>
        <v>11101</v>
      </c>
      <c r="B252">
        <v>46197</v>
      </c>
      <c r="C252" t="str">
        <v>096</v>
      </c>
      <c r="D252" t="str">
        <v>Kas Kecil</v>
      </c>
      <c r="G252">
        <f>F251</f>
        <v>100500</v>
      </c>
      <c r="H252" t="str">
        <v>Pembelian Konsumsi Kegiatan Sosialisasi Website Kantor</v>
      </c>
    </row>
    <row r="253">
      <c r="A253">
        <f>VLOOKUP(D253,COA!$B$3:$C$217,2,0)</f>
        <v>61140</v>
      </c>
      <c r="B253">
        <v>46197</v>
      </c>
      <c r="C253" t="str">
        <v>095</v>
      </c>
      <c r="D253" t="str">
        <v>Beban Umum Lain-lain</v>
      </c>
      <c r="E253" t="str">
        <v xml:space="preserve">Beban Jilid Laporan </v>
      </c>
      <c r="F253">
        <v>180000</v>
      </c>
      <c r="H253" t="str">
        <v>Biaya Jilid Laporan Perumda</v>
      </c>
    </row>
    <row r="254">
      <c r="A254">
        <f>VLOOKUP(D254,COA!$B$3:$C$217,2,0)</f>
        <v>11101</v>
      </c>
      <c r="B254">
        <v>46197</v>
      </c>
      <c r="C254" t="str">
        <v>095</v>
      </c>
      <c r="D254" t="str">
        <v>Kas Kecil</v>
      </c>
      <c r="G254">
        <f>F253</f>
        <v>180000</v>
      </c>
      <c r="H254" t="str">
        <v>Biaya Jilid Laporan Perumda</v>
      </c>
    </row>
    <row r="255">
      <c r="A255">
        <f>VLOOKUP(D255,COA!$B$3:$C$217,2,0)</f>
        <v>11402</v>
      </c>
      <c r="B255">
        <v>46197</v>
      </c>
      <c r="C255" t="str">
        <v>091</v>
      </c>
      <c r="D255" t="str">
        <v>Persediaan Barang Dagang (Gas LPG)</v>
      </c>
      <c r="F255">
        <v>1220000</v>
      </c>
      <c r="H255" t="str">
        <v>Isi ulang gas elpiji 3 kg (80 buah * @15.250)</v>
      </c>
      <c r="I255" t="str">
        <v>BAPOK</v>
      </c>
    </row>
    <row r="256">
      <c r="A256">
        <f>VLOOKUP(D256,COA!$B$3:$C$217,2,0)</f>
        <v>80000</v>
      </c>
      <c r="B256">
        <v>46197</v>
      </c>
      <c r="C256" t="str">
        <v>091</v>
      </c>
      <c r="D256" t="str">
        <v>Beban di Luar Operasional</v>
      </c>
      <c r="E256" t="str">
        <v>Beban Administrasi Bank</v>
      </c>
      <c r="F256">
        <v>2500</v>
      </c>
      <c r="H256" t="str">
        <v>admin bank</v>
      </c>
    </row>
    <row r="257">
      <c r="A257">
        <f>VLOOKUP(D257,COA!$B$3:$C$217,2,0)</f>
        <v>11103</v>
      </c>
      <c r="B257">
        <v>46197</v>
      </c>
      <c r="C257" t="str">
        <v>091</v>
      </c>
      <c r="D257" t="str">
        <v>Bank Kalsel</v>
      </c>
      <c r="G257">
        <f>SUM(F255:F256)</f>
        <v>1222500</v>
      </c>
      <c r="H257" t="str">
        <v>Isi ulang gas elpiji 3 kg (80 buah * @15.250) + admin</v>
      </c>
    </row>
    <row r="258">
      <c r="A258">
        <f>VLOOKUP(D258,COA!$B$3:$C$217,2,0)</f>
        <v>80000</v>
      </c>
      <c r="B258">
        <v>46197</v>
      </c>
      <c r="D258" t="str">
        <v>Beban di Luar Operasional</v>
      </c>
      <c r="E258" t="str">
        <v>Beban Kerugian Persediaan</v>
      </c>
      <c r="F258">
        <v>329000</v>
      </c>
    </row>
    <row r="259">
      <c r="A259">
        <f>VLOOKUP(D259,COA!$B$3:$C$217,2,0)</f>
        <v>11401</v>
      </c>
      <c r="B259">
        <v>46197</v>
      </c>
      <c r="D259" t="str">
        <v>Persediaan Barang Dagang (Bapok dan Gerai Inflasi)</v>
      </c>
      <c r="G259">
        <f>F258</f>
        <v>329000</v>
      </c>
      <c r="I259" t="str">
        <v>BAPOK</v>
      </c>
    </row>
    <row r="260">
      <c r="A260">
        <f>VLOOKUP(D260,COA!$B$3:$C$217,2,0)</f>
        <v>61090</v>
      </c>
      <c r="B260">
        <v>46197</v>
      </c>
      <c r="C260" t="str">
        <v>094</v>
      </c>
      <c r="D260" t="str">
        <v>Beban Perjalanan Dinas</v>
      </c>
      <c r="E260" t="str">
        <v>Karyawan</v>
      </c>
      <c r="F260">
        <v>1630971</v>
      </c>
      <c r="H260" t="str">
        <v>SPPD Dirut ke Jakarta Tiket Pesawat Berangkat</v>
      </c>
    </row>
    <row r="261">
      <c r="A261">
        <f>VLOOKUP(D261,COA!$B$3:$C$217,2,0)</f>
        <v>11103</v>
      </c>
      <c r="B261">
        <v>46197</v>
      </c>
      <c r="C261" t="str">
        <v>094</v>
      </c>
      <c r="D261" t="str">
        <v>Bank Kalsel</v>
      </c>
      <c r="G261">
        <f>F260</f>
        <v>1630971</v>
      </c>
      <c r="H261" t="str">
        <v>SPPD Dirut ke Jakarta Tiket Pesawat Berangkat</v>
      </c>
    </row>
    <row r="262">
      <c r="A262">
        <f>VLOOKUP(D262,COA!$B$3:$C$217,2,0)</f>
        <v>61090</v>
      </c>
      <c r="B262">
        <v>46197</v>
      </c>
      <c r="C262" t="str">
        <v>093</v>
      </c>
      <c r="D262" t="str">
        <v>Beban Perjalanan Dinas</v>
      </c>
      <c r="E262" t="str">
        <v>Karyawan</v>
      </c>
      <c r="F262">
        <v>1588542</v>
      </c>
      <c r="H262" t="str">
        <v>SPPD Dirut ke Jakarta Tiket Pesawat Pulang</v>
      </c>
    </row>
    <row r="263">
      <c r="A263">
        <f>VLOOKUP(D263,COA!$B$3:$C$217,2,0)</f>
        <v>80000</v>
      </c>
      <c r="B263">
        <v>46197</v>
      </c>
      <c r="C263" t="str">
        <v>093</v>
      </c>
      <c r="D263" t="str">
        <v>Beban di Luar Operasional</v>
      </c>
      <c r="E263" t="str">
        <v>Beban Administrasi Bank</v>
      </c>
      <c r="F263">
        <v>2500</v>
      </c>
      <c r="H263" t="str">
        <v>admin bank</v>
      </c>
    </row>
    <row r="264">
      <c r="A264">
        <f>VLOOKUP(D264,COA!$B$3:$C$217,2,0)</f>
        <v>11103</v>
      </c>
      <c r="B264">
        <v>46197</v>
      </c>
      <c r="C264" t="str">
        <v>093</v>
      </c>
      <c r="D264" t="str">
        <v>Bank Kalsel</v>
      </c>
      <c r="G264">
        <f>SUM(F262:F263)</f>
        <v>1591042</v>
      </c>
      <c r="H264" t="str">
        <v>SPPD Dirut ke Jakarta Tiket Pesawat Pulang</v>
      </c>
    </row>
    <row r="265">
      <c r="A265">
        <f>VLOOKUP(D265,COA!$B$3:$C$217,2,0)</f>
        <v>61010</v>
      </c>
      <c r="B265">
        <v>46198</v>
      </c>
      <c r="C265" t="str">
        <v>097</v>
      </c>
      <c r="D265" t="str">
        <v>Beban Gaji</v>
      </c>
      <c r="E265" t="str">
        <v>Beban Gaji Pokok Direksi</v>
      </c>
      <c r="F265">
        <v>56676000</v>
      </c>
      <c r="H265" t="str">
        <v xml:space="preserve">Gaji Direksi </v>
      </c>
    </row>
    <row r="266">
      <c r="A266">
        <f>VLOOKUP(D266,COA!$B$3:$C$217,2,0)</f>
        <v>11103</v>
      </c>
      <c r="B266">
        <v>46198</v>
      </c>
      <c r="C266" t="str">
        <v>097</v>
      </c>
      <c r="D266" t="str">
        <v>Bank Kalsel</v>
      </c>
      <c r="G266">
        <f>F265</f>
        <v>56676000</v>
      </c>
      <c r="H266" t="str">
        <v xml:space="preserve">Gaji Direksi </v>
      </c>
    </row>
    <row r="267">
      <c r="A267">
        <f>VLOOKUP(D267,COA!$B$3:$C$217,2,0)</f>
        <v>61010</v>
      </c>
      <c r="B267">
        <v>46198</v>
      </c>
      <c r="C267" t="str">
        <v>097</v>
      </c>
      <c r="D267" t="str">
        <v>Beban Gaji</v>
      </c>
      <c r="E267" t="str">
        <v>Beban Gaji Pokok Pegawai Tetap</v>
      </c>
      <c r="F267">
        <v>92768772</v>
      </c>
      <c r="H267" t="str">
        <v>Gaji Karyawan</v>
      </c>
    </row>
    <row r="268">
      <c r="A268">
        <f>VLOOKUP(D268,COA!$B$3:$C$217,2,0)</f>
        <v>11103</v>
      </c>
      <c r="B268">
        <v>46198</v>
      </c>
      <c r="C268" t="str">
        <v>097</v>
      </c>
      <c r="D268" t="str">
        <v>Bank Kalsel</v>
      </c>
      <c r="G268">
        <f>F267</f>
        <v>92768772</v>
      </c>
      <c r="H268" t="str">
        <v>Gaji Karyawan</v>
      </c>
    </row>
    <row r="269">
      <c r="A269">
        <f>VLOOKUP(D269,COA!$B$3:$C$217,2,0)</f>
        <v>61010</v>
      </c>
      <c r="B269">
        <v>46198</v>
      </c>
      <c r="C269" t="str">
        <v>097</v>
      </c>
      <c r="D269" t="str">
        <v>Beban Gaji</v>
      </c>
      <c r="E269" t="str">
        <v>Beban Honor Dewas</v>
      </c>
      <c r="F269">
        <v>29592912</v>
      </c>
      <c r="H269" t="str">
        <v>Gaji Dewas</v>
      </c>
    </row>
    <row r="270">
      <c r="A270">
        <f>VLOOKUP(D270,COA!$B$3:$C$217,2,0)</f>
        <v>11103</v>
      </c>
      <c r="B270">
        <v>46198</v>
      </c>
      <c r="C270" t="str">
        <v>097</v>
      </c>
      <c r="D270" t="str">
        <v>Bank Kalsel</v>
      </c>
      <c r="G270">
        <f>F269</f>
        <v>29592912</v>
      </c>
      <c r="H270" t="str">
        <v>Gaji Dewas</v>
      </c>
    </row>
    <row r="271">
      <c r="A271">
        <f>VLOOKUP(D271,COA!$B$3:$C$217,2,0)</f>
        <v>61020</v>
      </c>
      <c r="B271">
        <v>46198</v>
      </c>
      <c r="C271" t="str">
        <v>098</v>
      </c>
      <c r="D271" t="str">
        <v>Beban Tunjangan Pegawai Umum</v>
      </c>
      <c r="E271" t="str">
        <v>Beban Tunjangan Jabatan</v>
      </c>
      <c r="F271">
        <v>24000000</v>
      </c>
      <c r="H271" t="str">
        <v>Tunjangan Jabatan</v>
      </c>
    </row>
    <row r="272">
      <c r="A272">
        <f>VLOOKUP(D272,COA!$B$3:$C$217,2,0)</f>
        <v>11103</v>
      </c>
      <c r="B272">
        <v>46198</v>
      </c>
      <c r="C272" t="str">
        <v>098</v>
      </c>
      <c r="D272" t="str">
        <v>Bank Kalsel</v>
      </c>
      <c r="G272">
        <f>F271</f>
        <v>24000000</v>
      </c>
      <c r="H272" t="str">
        <v>Tunjangan Jabatan</v>
      </c>
    </row>
    <row r="273">
      <c r="A273">
        <f>VLOOKUP(D273,COA!$B$3:$C$217,2,0)</f>
        <v>61020</v>
      </c>
      <c r="B273">
        <v>46198</v>
      </c>
      <c r="C273" t="str">
        <v>098</v>
      </c>
      <c r="D273" t="str">
        <v>Beban Tunjangan Pegawai Umum</v>
      </c>
      <c r="E273" t="str">
        <v>Beban Tunjangan Fungsional</v>
      </c>
      <c r="F273">
        <v>1250000</v>
      </c>
      <c r="H273" t="str">
        <v>Tunjangan Jabatan Koordiantor</v>
      </c>
    </row>
    <row r="274">
      <c r="A274">
        <f>VLOOKUP(D274,COA!$B$3:$C$217,2,0)</f>
        <v>11103</v>
      </c>
      <c r="B274">
        <v>46198</v>
      </c>
      <c r="C274" t="str">
        <v>098</v>
      </c>
      <c r="D274" t="str">
        <v>Bank Kalsel</v>
      </c>
      <c r="G274">
        <f>F273</f>
        <v>1250000</v>
      </c>
      <c r="H274" t="str">
        <v>Tunjangan Jabatan Koordiantor</v>
      </c>
    </row>
    <row r="275">
      <c r="A275">
        <f>VLOOKUP(D275,COA!$B$3:$C$217,2,0)</f>
        <v>61020</v>
      </c>
      <c r="B275">
        <v>46198</v>
      </c>
      <c r="C275" t="str">
        <v>098</v>
      </c>
      <c r="D275" t="str">
        <v>Beban Tunjangan Pegawai Umum</v>
      </c>
      <c r="E275" t="str">
        <v>Beban Tunjangan Transportasi</v>
      </c>
      <c r="F275">
        <v>8455000</v>
      </c>
      <c r="H275" t="str">
        <v>Tunjangan Transportasi</v>
      </c>
    </row>
    <row r="276">
      <c r="A276">
        <f>VLOOKUP(D276,COA!$B$3:$C$217,2,0)</f>
        <v>11103</v>
      </c>
      <c r="B276">
        <v>46198</v>
      </c>
      <c r="C276" t="str">
        <v>098</v>
      </c>
      <c r="D276" t="str">
        <v>Bank Kalsel</v>
      </c>
      <c r="G276">
        <f>F275</f>
        <v>8455000</v>
      </c>
      <c r="H276" t="str">
        <v>Tunjangan Transportasi</v>
      </c>
    </row>
    <row r="277">
      <c r="A277">
        <f>VLOOKUP(D277,COA!$B$3:$C$217,2,0)</f>
        <v>61020</v>
      </c>
      <c r="B277">
        <v>46198</v>
      </c>
      <c r="C277" t="str">
        <v>098</v>
      </c>
      <c r="D277" t="str">
        <v>Beban Tunjangan Pegawai Umum</v>
      </c>
      <c r="E277" t="str">
        <v>Beban Tunjangan Makan</v>
      </c>
      <c r="F277">
        <v>13135000</v>
      </c>
      <c r="H277" t="str">
        <v>Tunjangan Makan</v>
      </c>
    </row>
    <row r="278">
      <c r="A278">
        <f>VLOOKUP(D278,COA!$B$3:$C$217,2,0)</f>
        <v>11103</v>
      </c>
      <c r="B278">
        <v>46198</v>
      </c>
      <c r="C278" t="str">
        <v>098</v>
      </c>
      <c r="D278" t="str">
        <v>Bank Kalsel</v>
      </c>
      <c r="G278">
        <f>F277</f>
        <v>13135000</v>
      </c>
      <c r="H278" t="str">
        <v>Tunjangan Makan</v>
      </c>
    </row>
    <row r="279">
      <c r="A279">
        <f>VLOOKUP(D279,COA!$B$3:$C$217,2,0)</f>
        <v>62060</v>
      </c>
      <c r="B279">
        <v>46198</v>
      </c>
      <c r="C279" t="str">
        <v>099</v>
      </c>
      <c r="D279" t="str">
        <v>Beban Honor Tenaga Kontrak dan Harian Lepas</v>
      </c>
      <c r="E279" t="str">
        <v>Beban Honor Tenaga Harian Lepas</v>
      </c>
      <c r="F279">
        <v>193911479</v>
      </c>
      <c r="H279" t="str">
        <v>Gaji THL</v>
      </c>
    </row>
    <row r="280">
      <c r="A280">
        <f>VLOOKUP(D280,COA!$B$3:$C$217,2,0)</f>
        <v>11103</v>
      </c>
      <c r="B280">
        <v>46198</v>
      </c>
      <c r="C280" t="str">
        <v>099</v>
      </c>
      <c r="D280" t="str">
        <v>Bank Kalsel</v>
      </c>
      <c r="G280">
        <f>F279</f>
        <v>193911479</v>
      </c>
      <c r="H280" t="str">
        <v>Gaji THL</v>
      </c>
    </row>
    <row r="281">
      <c r="A281">
        <f>VLOOKUP(D281,COA!$B$3:$C$217,2,0)</f>
        <v>62100</v>
      </c>
      <c r="B281">
        <v>46198</v>
      </c>
      <c r="C281" t="str">
        <v>100</v>
      </c>
      <c r="D281" t="str">
        <v>Beban Pemeliharaan Keamanan dan Ketertiban Pasar</v>
      </c>
      <c r="E281" t="str">
        <v>Kerjasama Pengaman Pasar dengan APH</v>
      </c>
      <c r="F281">
        <v>40000000</v>
      </c>
      <c r="H281" t="str">
        <v xml:space="preserve">Pembayaran Kegiatan Sosialisasi TNI Bulan Juni 2026 </v>
      </c>
    </row>
    <row r="282">
      <c r="A282">
        <f>VLOOKUP(D282,COA!$B$3:$C$217,2,0)</f>
        <v>11103</v>
      </c>
      <c r="B282">
        <v>46198</v>
      </c>
      <c r="C282" t="str">
        <v>100</v>
      </c>
      <c r="D282" t="str">
        <v>Bank Kalsel</v>
      </c>
      <c r="G282">
        <f>F281</f>
        <v>40000000</v>
      </c>
      <c r="H282" t="str">
        <v xml:space="preserve">Pembayaran Kegiatan Sosialisasi TNI Bulan Juni 2026 </v>
      </c>
    </row>
    <row r="283">
      <c r="A283">
        <f>VLOOKUP(D283,COA!$B$3:$C$217,2,0)</f>
        <v>11501</v>
      </c>
      <c r="B283">
        <v>46198</v>
      </c>
      <c r="C283" t="str">
        <v>101</v>
      </c>
      <c r="D283" t="str">
        <v>BBM Dibayar di Muka</v>
      </c>
      <c r="F283">
        <v>43000000</v>
      </c>
      <c r="H283" t="str">
        <v>Penambahan Saldo BBM POM PAL 6</v>
      </c>
    </row>
    <row r="284">
      <c r="A284">
        <f>VLOOKUP(D284,COA!$B$3:$C$217,2,0)</f>
        <v>80000</v>
      </c>
      <c r="B284">
        <v>46198</v>
      </c>
      <c r="C284" t="str">
        <v>101</v>
      </c>
      <c r="D284" t="str">
        <v>Beban di Luar Operasional</v>
      </c>
      <c r="E284" t="str">
        <v>Beban Administrasi Bank</v>
      </c>
      <c r="F284">
        <v>2500</v>
      </c>
      <c r="H284" t="str">
        <v>admin bank</v>
      </c>
    </row>
    <row r="285">
      <c r="A285">
        <f>VLOOKUP(D285,COA!$B$3:$C$217,2,0)</f>
        <v>11103</v>
      </c>
      <c r="B285">
        <v>46198</v>
      </c>
      <c r="C285" t="str">
        <v>101</v>
      </c>
      <c r="D285" t="str">
        <v>Bank Kalsel</v>
      </c>
      <c r="G285">
        <f>SUM(F283:F284)</f>
        <v>43002500</v>
      </c>
      <c r="H285" t="str">
        <v xml:space="preserve">Penambahan Saldo BBM POM PAL 6 + admin </v>
      </c>
    </row>
    <row r="286">
      <c r="A286">
        <f>VLOOKUP(D286,COA!$B$3:$C$217,2,0)</f>
        <v>61060</v>
      </c>
      <c r="B286">
        <v>46198</v>
      </c>
      <c r="C286" t="str">
        <v>102</v>
      </c>
      <c r="D286" t="str">
        <v>Beban Konsumsi Rapat dan Tamu</v>
      </c>
      <c r="E286" t="str">
        <v>Beban Makan Minum Rapat</v>
      </c>
      <c r="F286">
        <v>170000</v>
      </c>
      <c r="H286" t="str">
        <v>Pembelian Konsumsi Kegiatan Koordinasi bersama PT. Ghanim Madani Nusantara</v>
      </c>
    </row>
    <row r="287">
      <c r="A287">
        <f>VLOOKUP(D287,COA!$B$3:$C$217,2,0)</f>
        <v>11101</v>
      </c>
      <c r="B287">
        <v>46198</v>
      </c>
      <c r="C287" t="str">
        <v>102</v>
      </c>
      <c r="D287" t="str">
        <v>Kas Kecil</v>
      </c>
      <c r="G287">
        <f>F286</f>
        <v>170000</v>
      </c>
      <c r="H287" t="str">
        <v>Pembelian Konsumsi Kegiatan Koordinasi bersama PT. Ghanim Madani Nusantara</v>
      </c>
    </row>
    <row r="288">
      <c r="A288">
        <f>VLOOKUP(D288,COA!$B$3:$C$217,2,0)</f>
        <v>61060</v>
      </c>
      <c r="B288">
        <v>46198</v>
      </c>
      <c r="C288" t="str">
        <v>103</v>
      </c>
      <c r="D288" t="str">
        <v>Beban Konsumsi Rapat dan Tamu</v>
      </c>
      <c r="E288" t="str">
        <v>Beban Makan Minum Kunjungan Tamu/Sosialisasi Pedagang</v>
      </c>
      <c r="F288">
        <v>30000</v>
      </c>
      <c r="H288" t="str">
        <v>Pembelian Konsumsi Kegiatan Kantor Air Galon</v>
      </c>
    </row>
    <row r="289">
      <c r="A289">
        <f>VLOOKUP(D289,COA!$B$3:$C$217,2,0)</f>
        <v>11101</v>
      </c>
      <c r="B289">
        <v>46198</v>
      </c>
      <c r="C289" t="str">
        <v>103</v>
      </c>
      <c r="D289" t="str">
        <v>Kas Kecil</v>
      </c>
      <c r="G289">
        <f>F288</f>
        <v>30000</v>
      </c>
      <c r="H289" t="str">
        <v>Pembelian Konsumsi Kegiatan Kantor Air Galon</v>
      </c>
    </row>
    <row r="290">
      <c r="A290">
        <f>VLOOKUP(D290,COA!$B$3:$C$217,2,0)</f>
        <v>61060</v>
      </c>
      <c r="B290">
        <v>46199</v>
      </c>
      <c r="C290" t="str">
        <v>104</v>
      </c>
      <c r="D290" t="str">
        <v>Beban Konsumsi Rapat dan Tamu</v>
      </c>
      <c r="E290" t="str">
        <v>Beban Makan Minum Aktivitas Lapangan</v>
      </c>
      <c r="F290">
        <v>460000</v>
      </c>
      <c r="H290" t="str">
        <v>Pembelian Konsumsi Kegiatan di Pasar Antasari</v>
      </c>
    </row>
    <row r="291">
      <c r="A291">
        <f>VLOOKUP(D291,COA!$B$3:$C$217,2,0)</f>
        <v>11101</v>
      </c>
      <c r="B291">
        <v>46199</v>
      </c>
      <c r="C291" t="str">
        <v>104</v>
      </c>
      <c r="D291" t="str">
        <v>Kas Kecil</v>
      </c>
      <c r="G291">
        <f>F290</f>
        <v>460000</v>
      </c>
      <c r="H291" t="str">
        <v>Pembelian Konsumsi Kegiatan di Pasar Antasari</v>
      </c>
    </row>
    <row r="292">
      <c r="A292">
        <f>VLOOKUP(D292,COA!$B$3:$C$217,2,0)</f>
        <v>61060</v>
      </c>
      <c r="B292">
        <v>46199</v>
      </c>
      <c r="C292" t="str">
        <v>106</v>
      </c>
      <c r="D292" t="str">
        <v>Beban Konsumsi Rapat dan Tamu</v>
      </c>
      <c r="E292" t="str">
        <v>Beban Makan Minum Kegiatan Kantor</v>
      </c>
      <c r="F292">
        <v>250000</v>
      </c>
      <c r="H292" t="str">
        <v xml:space="preserve">Pembelian Konsumsi Kegiatan Pertemuan dengan Petugas Keamanan </v>
      </c>
    </row>
    <row r="293">
      <c r="A293">
        <f>VLOOKUP(D293,COA!$B$3:$C$217,2,0)</f>
        <v>11101</v>
      </c>
      <c r="B293">
        <v>46199</v>
      </c>
      <c r="C293" t="str">
        <v>106</v>
      </c>
      <c r="D293" t="str">
        <v>Kas Kecil</v>
      </c>
      <c r="G293">
        <f>F292</f>
        <v>250000</v>
      </c>
      <c r="H293" t="str">
        <v xml:space="preserve">Pembelian Konsumsi Kegiatan Pertemuan dengan Petugas Keamanan </v>
      </c>
    </row>
    <row r="294">
      <c r="A294">
        <f>VLOOKUP(D294,COA!$B$3:$C$217,2,0)</f>
        <v>62020</v>
      </c>
      <c r="B294">
        <v>46199</v>
      </c>
      <c r="C294" t="str">
        <v>105</v>
      </c>
      <c r="D294" t="str">
        <v>Beban Pemeliharaan Bangunan Pasar</v>
      </c>
      <c r="E294" t="str">
        <v>Beban Pemeliharaan Bangunan Pasar</v>
      </c>
      <c r="F294">
        <v>450000</v>
      </c>
      <c r="H294" t="str">
        <v>Upah Keamanan Gudang di Pasar Telawang</v>
      </c>
    </row>
    <row r="295">
      <c r="A295">
        <f>VLOOKUP(D295,COA!$B$3:$C$217,2,0)</f>
        <v>11103</v>
      </c>
      <c r="B295">
        <v>46199</v>
      </c>
      <c r="C295" t="str">
        <v>105</v>
      </c>
      <c r="D295" t="str">
        <v>Bank Kalsel</v>
      </c>
      <c r="G295">
        <f>F294</f>
        <v>450000</v>
      </c>
      <c r="H295" t="str">
        <v>Upah Keamanan Gudang di Pasar Telawang</v>
      </c>
    </row>
    <row r="296">
      <c r="A296">
        <f>VLOOKUP(D296,COA!$B$3:$C$217,2,0)</f>
        <v>11401</v>
      </c>
      <c r="B296">
        <v>46199</v>
      </c>
      <c r="C296" t="str">
        <v>108</v>
      </c>
      <c r="D296" t="str">
        <v>Persediaan Barang Dagang (Bapok dan Gerai Inflasi)</v>
      </c>
      <c r="F296">
        <v>60396000</v>
      </c>
      <c r="H296" t="str">
        <v>Pembelian Telur Ayam Ras</v>
      </c>
      <c r="I296" t="str">
        <v>BAPOK</v>
      </c>
    </row>
    <row r="297">
      <c r="A297">
        <f>VLOOKUP(D297,COA!$B$3:$C$217,2,0)</f>
        <v>80000</v>
      </c>
      <c r="B297">
        <v>46199</v>
      </c>
      <c r="C297" t="str">
        <v>108</v>
      </c>
      <c r="D297" t="str">
        <v>Beban di Luar Operasional</v>
      </c>
      <c r="E297" t="str">
        <v>Beban Administrasi Bank</v>
      </c>
      <c r="F297">
        <v>2500</v>
      </c>
      <c r="H297" t="str">
        <v>admin bank</v>
      </c>
    </row>
    <row r="298">
      <c r="A298">
        <f>VLOOKUP(D298,COA!$B$3:$C$217,2,0)</f>
        <v>11103</v>
      </c>
      <c r="B298">
        <v>46199</v>
      </c>
      <c r="C298" t="str">
        <v>108</v>
      </c>
      <c r="D298" t="str">
        <v>Bank Kalsel</v>
      </c>
      <c r="G298">
        <f>SUM(F296:F297)</f>
        <v>60398500</v>
      </c>
      <c r="H298" t="str">
        <v>Pembelian Telur Ayam Ras+admin</v>
      </c>
    </row>
    <row r="299">
      <c r="A299">
        <f>VLOOKUP(D299,COA!$B$3:$C$217,2,0)</f>
        <v>61060</v>
      </c>
      <c r="B299">
        <v>46199</v>
      </c>
      <c r="C299" t="str">
        <v>107</v>
      </c>
      <c r="D299" t="str">
        <v>Beban Konsumsi Rapat dan Tamu</v>
      </c>
      <c r="E299" t="str">
        <v>Beban Makan Minum Kegiatan Kantor</v>
      </c>
      <c r="F299">
        <v>1500000</v>
      </c>
      <c r="H299" t="str">
        <v>Konsumsi Kegiatan Pertemuan dengan Seluruh THL dan Keamanan</v>
      </c>
    </row>
    <row r="300">
      <c r="A300">
        <f>VLOOKUP(D300,COA!$B$3:$C$217,2,0)</f>
        <v>80000</v>
      </c>
      <c r="B300">
        <v>46199</v>
      </c>
      <c r="C300" t="str">
        <v>107</v>
      </c>
      <c r="D300" t="str">
        <v>Beban di Luar Operasional</v>
      </c>
      <c r="E300" t="str">
        <v>Beban Administrasi Bank</v>
      </c>
      <c r="F300">
        <v>2500</v>
      </c>
      <c r="H300" t="str">
        <v>admin bank</v>
      </c>
    </row>
    <row r="301">
      <c r="A301">
        <f>VLOOKUP(D301,COA!$B$3:$C$217,2,0)</f>
        <v>11103</v>
      </c>
      <c r="B301">
        <v>46199</v>
      </c>
      <c r="C301" t="str">
        <v>107</v>
      </c>
      <c r="D301" t="str">
        <v>Bank Kalsel</v>
      </c>
      <c r="G301">
        <f>SUM(F299:F300)</f>
        <v>1502500</v>
      </c>
      <c r="H301" t="str">
        <v>Konsumsi Kegiatan Pertemuan dengan Seluruh THL dan Keamanan+admin</v>
      </c>
    </row>
    <row r="302">
      <c r="A302">
        <f>VLOOKUP(D302,COA!$B$3:$C$217,2,0)</f>
        <v>62050</v>
      </c>
      <c r="B302">
        <v>46199</v>
      </c>
      <c r="C302" t="str">
        <v>109</v>
      </c>
      <c r="D302" t="str">
        <v>Beban Barang Cetakan</v>
      </c>
      <c r="E302" t="str">
        <v>Beban Cetak Spanduk</v>
      </c>
      <c r="F302">
        <v>94500</v>
      </c>
      <c r="H302" t="str">
        <v>Cetak Spanduk Kegiatan "Sosialisasi Peraturan Perusahaan"</v>
      </c>
    </row>
    <row r="303">
      <c r="A303">
        <f>VLOOKUP(D303,COA!$B$3:$C$217,2,0)</f>
        <v>11101</v>
      </c>
      <c r="B303">
        <v>46199</v>
      </c>
      <c r="C303" t="str">
        <v>109</v>
      </c>
      <c r="D303" t="str">
        <v>Kas Kecil</v>
      </c>
      <c r="G303">
        <f>F302</f>
        <v>94500</v>
      </c>
      <c r="H303" t="str">
        <v>Cetak Spanduk Kegiatan "Sosialisasi Peraturan Perusahaan"</v>
      </c>
    </row>
    <row r="304">
      <c r="A304">
        <f>VLOOKUP(D304,COA!$B$3:$C$217,2,0)</f>
        <v>62020</v>
      </c>
      <c r="B304">
        <v>46199</v>
      </c>
      <c r="C304" t="str">
        <v>110</v>
      </c>
      <c r="D304" t="str">
        <v>Beban Pemeliharaan Bangunan Pasar</v>
      </c>
      <c r="E304" t="str">
        <v>Beban Pemeliharaan Bangunan Pasar</v>
      </c>
      <c r="F304">
        <v>1500000</v>
      </c>
      <c r="H304" t="str">
        <v>Perbaikan Genangan Air di Pasar baru</v>
      </c>
    </row>
    <row r="305">
      <c r="A305">
        <f>VLOOKUP(D305,COA!$B$3:$C$217,2,0)</f>
        <v>80000</v>
      </c>
      <c r="B305">
        <v>46199</v>
      </c>
      <c r="C305" t="str">
        <v>110</v>
      </c>
      <c r="D305" t="str">
        <v>Beban di Luar Operasional</v>
      </c>
      <c r="E305" t="str">
        <v>Beban Administrasi Bank</v>
      </c>
      <c r="F305">
        <v>2500</v>
      </c>
      <c r="H305" t="str">
        <v>admin bank</v>
      </c>
    </row>
    <row r="306">
      <c r="A306">
        <f>VLOOKUP(D306,COA!$B$3:$C$217,2,0)</f>
        <v>11103</v>
      </c>
      <c r="B306">
        <v>46199</v>
      </c>
      <c r="C306" t="str">
        <v>110</v>
      </c>
      <c r="D306" t="str">
        <v>Bank Kalsel</v>
      </c>
      <c r="G306">
        <f>SUM(F304:F305)</f>
        <v>1502500</v>
      </c>
      <c r="H306" t="str">
        <v>Perbaikan Genangan Air di Pasar baru+admin</v>
      </c>
    </row>
    <row r="307">
      <c r="A307">
        <f>VLOOKUP(D307,COA!$B$3:$C$217,2,0)</f>
        <v>61060</v>
      </c>
      <c r="B307">
        <v>46200</v>
      </c>
      <c r="C307" t="str">
        <v>112</v>
      </c>
      <c r="D307" t="str">
        <v>Beban Konsumsi Rapat dan Tamu</v>
      </c>
      <c r="E307" t="str">
        <v>Beban Makan Minum Kegiatan Kantor</v>
      </c>
      <c r="F307">
        <v>255000</v>
      </c>
      <c r="H307" t="str">
        <v>Konsumsi Kegiatan "Sosialisasi Peraturan Perusahaan"</v>
      </c>
    </row>
    <row r="308">
      <c r="A308">
        <f>VLOOKUP(D308,COA!$B$3:$C$217,2,0)</f>
        <v>11101</v>
      </c>
      <c r="B308">
        <v>46200</v>
      </c>
      <c r="C308" t="str">
        <v>112</v>
      </c>
      <c r="D308" t="str">
        <v>Kas Kecil</v>
      </c>
      <c r="G308">
        <f>F307</f>
        <v>255000</v>
      </c>
      <c r="H308" t="str">
        <v>Konsumsi Kegiatan "Sosialisasi Peraturan Perusahaan"</v>
      </c>
    </row>
    <row r="309">
      <c r="A309">
        <f>VLOOKUP(D309,COA!$B$3:$C$217,2,0)</f>
        <v>62010</v>
      </c>
      <c r="B309">
        <v>46200</v>
      </c>
      <c r="C309" t="str">
        <v>116</v>
      </c>
      <c r="D309" t="str">
        <v>Beban Pemeliharaan Kendaraan Operasional</v>
      </c>
      <c r="E309" t="str">
        <v>Beban Pemeliharaan Mobil Truck</v>
      </c>
      <c r="F309">
        <v>590000</v>
      </c>
      <c r="H309" t="str">
        <v>Biaya Tambal Ban Mobil Operasional Truck</v>
      </c>
    </row>
    <row r="310">
      <c r="A310">
        <f>VLOOKUP(D310,COA!$B$3:$C$217,2,0)</f>
        <v>11101</v>
      </c>
      <c r="B310">
        <v>46200</v>
      </c>
      <c r="C310" t="str">
        <v>116</v>
      </c>
      <c r="D310" t="str">
        <v>Kas Kecil</v>
      </c>
      <c r="G310">
        <f>F309</f>
        <v>590000</v>
      </c>
      <c r="H310" t="str">
        <v>Biaya Tambal Ban Mobil Operasional Truck</v>
      </c>
    </row>
    <row r="311">
      <c r="A311">
        <f>VLOOKUP(D311,COA!$B$3:$C$217,2,0)</f>
        <v>62010</v>
      </c>
      <c r="B311">
        <v>46200</v>
      </c>
      <c r="C311" t="str">
        <v>114</v>
      </c>
      <c r="D311" t="str">
        <v>Beban Pemeliharaan Kendaraan Operasional</v>
      </c>
      <c r="E311" t="str">
        <v>Beban Pemeliharaan Mobil Keliling</v>
      </c>
      <c r="F311">
        <v>80000</v>
      </c>
      <c r="H311" t="str">
        <v>Cuci Mobil Loket Keliling</v>
      </c>
    </row>
    <row r="312">
      <c r="A312">
        <f>VLOOKUP(D312,COA!$B$3:$C$217,2,0)</f>
        <v>11101</v>
      </c>
      <c r="B312">
        <v>46200</v>
      </c>
      <c r="C312" t="str">
        <v>114</v>
      </c>
      <c r="D312" t="str">
        <v>Kas Kecil</v>
      </c>
      <c r="G312">
        <f>F311</f>
        <v>80000</v>
      </c>
      <c r="H312" t="str">
        <v>Cuci Mobil Loket Keliling</v>
      </c>
    </row>
    <row r="313">
      <c r="A313">
        <f>VLOOKUP(D313,COA!$B$3:$C$217,2,0)</f>
        <v>62010</v>
      </c>
      <c r="B313">
        <v>46200</v>
      </c>
      <c r="C313" t="str">
        <v>115</v>
      </c>
      <c r="D313" t="str">
        <v>Beban Pemeliharaan Kendaraan Operasional</v>
      </c>
      <c r="E313" t="str">
        <v>Beban Parkir Mobil Operasional</v>
      </c>
      <c r="F313">
        <v>210000</v>
      </c>
      <c r="H313" t="str">
        <v>Parkir Loket Keliling</v>
      </c>
    </row>
    <row r="314">
      <c r="A314">
        <f>VLOOKUP(D314,COA!$B$3:$C$217,2,0)</f>
        <v>11101</v>
      </c>
      <c r="B314">
        <v>46200</v>
      </c>
      <c r="C314" t="str">
        <v>115</v>
      </c>
      <c r="D314" t="str">
        <v>Kas Kecil</v>
      </c>
      <c r="G314">
        <f>F313</f>
        <v>210000</v>
      </c>
      <c r="H314" t="str">
        <v>Parkir Loket Keliling</v>
      </c>
    </row>
    <row r="315">
      <c r="A315">
        <f>VLOOKUP(D315,COA!$B$3:$C$217,2,0)</f>
        <v>62020</v>
      </c>
      <c r="B315">
        <v>46200</v>
      </c>
      <c r="C315" t="str">
        <v>113</v>
      </c>
      <c r="D315" t="str">
        <v>Beban Pemeliharaan Bangunan Pasar</v>
      </c>
      <c r="E315" t="str">
        <v>Beban Pemeliharaan Bangunan Pasar</v>
      </c>
      <c r="F315">
        <v>60000</v>
      </c>
      <c r="H315" t="str">
        <v>Pembelian Lampu Loket Tungging Belitung</v>
      </c>
    </row>
    <row r="316">
      <c r="A316">
        <f>VLOOKUP(D316,COA!$B$3:$C$217,2,0)</f>
        <v>11101</v>
      </c>
      <c r="B316">
        <v>46200</v>
      </c>
      <c r="C316" t="str">
        <v>113</v>
      </c>
      <c r="D316" t="str">
        <v>Kas Kecil</v>
      </c>
      <c r="G316">
        <f>F315</f>
        <v>60000</v>
      </c>
      <c r="H316" t="str">
        <v>Pembelian Lampu Loket Tungging Belitung</v>
      </c>
    </row>
    <row r="317">
      <c r="A317">
        <f>VLOOKUP(D317,COA!$B$3:$C$217,2,0)</f>
        <v>11103</v>
      </c>
      <c r="B317">
        <v>46202</v>
      </c>
      <c r="C317" t="str">
        <v>06</v>
      </c>
      <c r="D317" t="str">
        <v>Bank Kalsel</v>
      </c>
      <c r="F317">
        <v>2381075000</v>
      </c>
      <c r="I317">
        <v>3026970000</v>
      </c>
    </row>
    <row r="318">
      <c r="A318">
        <f>VLOOKUP(D318,COA!$B$3:$C$217,2,0)</f>
        <v>41000</v>
      </c>
      <c r="B318">
        <v>46202</v>
      </c>
      <c r="C318" t="str">
        <v>06</v>
      </c>
      <c r="D318" t="str">
        <v>Pendapatan Bisnis Utama</v>
      </c>
      <c r="E318" t="str">
        <v xml:space="preserve">Pendapatan Ramayana </v>
      </c>
      <c r="G318">
        <v>35000000</v>
      </c>
      <c r="J318">
        <v>1323803332</v>
      </c>
    </row>
    <row r="319">
      <c r="A319">
        <f>VLOOKUP(D319,COA!$B$3:$C$217,2,0)</f>
        <v>21600</v>
      </c>
      <c r="B319">
        <v>46202</v>
      </c>
      <c r="C319" t="str">
        <v>06</v>
      </c>
      <c r="D319" t="str">
        <v>Pendapatan Diterima Dimuka</v>
      </c>
      <c r="G319">
        <f>F317-G318</f>
        <v>2346075000</v>
      </c>
      <c r="J319">
        <f>I317-J318</f>
        <v>1703166668</v>
      </c>
    </row>
    <row r="320">
      <c r="A320">
        <f>VLOOKUP(D320,COA!$B$3:$C$217,2,0)</f>
        <v>21600</v>
      </c>
      <c r="B320">
        <v>46202</v>
      </c>
      <c r="D320" t="str">
        <v>Pendapatan Diterima Dimuka</v>
      </c>
      <c r="F320">
        <v>154833333</v>
      </c>
    </row>
    <row r="321">
      <c r="A321">
        <f>VLOOKUP(D321,COA!$B$3:$C$217,2,0)</f>
        <v>41000</v>
      </c>
      <c r="B321">
        <v>46202</v>
      </c>
      <c r="D321" t="str">
        <v>Pendapatan Bisnis Utama</v>
      </c>
      <c r="E321" t="str">
        <v xml:space="preserve">Pendapatan Ramayana </v>
      </c>
      <c r="G321">
        <f>F320</f>
        <v>154833333</v>
      </c>
    </row>
    <row r="322">
      <c r="A322">
        <f>VLOOKUP(D322,COA!$B$3:$C$217,2,0)</f>
        <v>11104</v>
      </c>
      <c r="B322">
        <v>46203</v>
      </c>
      <c r="D322" t="str">
        <v>Bank BNI</v>
      </c>
      <c r="F322">
        <v>123696497</v>
      </c>
      <c r="H322" t="str">
        <v>Pemindahan Saldo BNI Bisnis ke BNI Utama</v>
      </c>
    </row>
    <row r="323">
      <c r="A323">
        <f>VLOOKUP(D323,COA!$B$3:$C$217,2,0)</f>
        <v>11106</v>
      </c>
      <c r="B323">
        <v>46203</v>
      </c>
      <c r="D323" t="str">
        <v>Bank BNI Bisnis</v>
      </c>
      <c r="G323">
        <f>F322</f>
        <v>123696497</v>
      </c>
      <c r="H323" t="str">
        <v>Pemindahan Saldo BNI Bisnis ke BNI Utama</v>
      </c>
    </row>
    <row r="324">
      <c r="A324">
        <f>VLOOKUP(D324,COA!$B$3:$C$217,2,0)</f>
        <v>11108</v>
      </c>
      <c r="B324">
        <v>46203</v>
      </c>
      <c r="D324" t="str">
        <v>Bank BSI</v>
      </c>
      <c r="F324">
        <v>4995000</v>
      </c>
      <c r="H324" t="str">
        <v>pasar murah bersama BSI</v>
      </c>
    </row>
    <row r="325">
      <c r="A325">
        <f>VLOOKUP(D325,COA!$B$3:$C$217,2,0)</f>
        <v>42000</v>
      </c>
      <c r="B325">
        <v>46203</v>
      </c>
      <c r="D325" t="str">
        <v>Pendapatan Bisnis Lainnya</v>
      </c>
      <c r="E325" t="str">
        <v>Pendapatan Gerai Inflasi</v>
      </c>
      <c r="G325">
        <f>F324</f>
        <v>4995000</v>
      </c>
      <c r="H325" t="str">
        <v>pasar murah bersama BSI</v>
      </c>
    </row>
    <row r="326">
      <c r="A326">
        <f>VLOOKUP(D326,COA!$B$3:$C$217,2,0)</f>
        <v>80000</v>
      </c>
      <c r="B326">
        <v>46174</v>
      </c>
      <c r="D326" t="str">
        <v>Beban di Luar Operasional</v>
      </c>
      <c r="E326" t="str">
        <v>Beban Administrasi Bank</v>
      </c>
      <c r="F326">
        <v>15000</v>
      </c>
    </row>
    <row r="327">
      <c r="A327">
        <f>VLOOKUP(D327,COA!$B$3:$C$217,2,0)</f>
        <v>11108</v>
      </c>
      <c r="B327">
        <v>46174</v>
      </c>
      <c r="D327" t="str">
        <v>Bank BSI</v>
      </c>
      <c r="G327">
        <f>F326</f>
        <v>15000</v>
      </c>
    </row>
    <row r="328">
      <c r="A328">
        <f>VLOOKUP(D328,COA!$B$3:$C$217,2,0)</f>
        <v>80000</v>
      </c>
      <c r="B328">
        <v>46203</v>
      </c>
      <c r="D328" t="str">
        <v>Beban di Luar Operasional</v>
      </c>
      <c r="E328" t="str">
        <v>Beban Administrasi Bank</v>
      </c>
      <c r="F328">
        <v>15000</v>
      </c>
    </row>
    <row r="329">
      <c r="A329">
        <f>VLOOKUP(D329,COA!$B$3:$C$217,2,0)</f>
        <v>11108</v>
      </c>
      <c r="B329">
        <v>46203</v>
      </c>
      <c r="D329" t="str">
        <v>Bank BSI</v>
      </c>
      <c r="G329">
        <f>F328</f>
        <v>15000</v>
      </c>
    </row>
    <row r="330">
      <c r="A330">
        <f>VLOOKUP(D330,COA!$B$3:$C$217,2,0)</f>
        <v>11107</v>
      </c>
      <c r="B330">
        <v>46203</v>
      </c>
      <c r="D330" t="str">
        <v>Bank BNI Tapcash</v>
      </c>
    </row>
    <row r="331">
      <c r="A331">
        <f>VLOOKUP(D331,COA!$B$3:$C$217,2,0)</f>
        <v>41000</v>
      </c>
      <c r="B331">
        <v>46203</v>
      </c>
      <c r="D331" t="str">
        <v>Pendapatan Bisnis Utama</v>
      </c>
      <c r="E331" t="str">
        <v>Pendapatan Pengelolaan Pasar PKL (Harian)</v>
      </c>
    </row>
    <row r="332">
      <c r="A332">
        <f>VLOOKUP(D332,COA!$B$3:$C$217,2,0)</f>
        <v>11107</v>
      </c>
      <c r="B332">
        <v>46203</v>
      </c>
      <c r="D332" t="str">
        <v>Bank BNI Tapcash</v>
      </c>
      <c r="F332">
        <v>21057</v>
      </c>
    </row>
    <row r="333">
      <c r="A333">
        <f>VLOOKUP(D333,COA!$B$3:$C$217,2,0)</f>
        <v>70000</v>
      </c>
      <c r="B333">
        <v>46203</v>
      </c>
      <c r="D333" t="str">
        <v>Pendapatan di Luar Operasional</v>
      </c>
      <c r="E333" t="str">
        <v>Pendapatan Bunga</v>
      </c>
      <c r="G333">
        <f>F332</f>
        <v>21057</v>
      </c>
    </row>
    <row r="334">
      <c r="A334">
        <f>VLOOKUP(D334,COA!$B$3:$C$217,2,0)</f>
        <v>80000</v>
      </c>
      <c r="B334">
        <v>46203</v>
      </c>
      <c r="D334" t="str">
        <v>Beban di Luar Operasional</v>
      </c>
      <c r="E334" t="str">
        <v>Beban Pajak Bank</v>
      </c>
      <c r="F334">
        <v>4212</v>
      </c>
    </row>
    <row r="335">
      <c r="A335">
        <f>VLOOKUP(D335,COA!$B$3:$C$217,2,0)</f>
        <v>11107</v>
      </c>
      <c r="B335">
        <v>46203</v>
      </c>
      <c r="D335" t="str">
        <v>Bank BNI Tapcash</v>
      </c>
      <c r="G335">
        <f>F334</f>
        <v>4212</v>
      </c>
    </row>
    <row r="336">
      <c r="A336">
        <f>VLOOKUP(D336,COA!$B$3:$C$217,2,0)</f>
        <v>80000</v>
      </c>
      <c r="B336">
        <v>46203</v>
      </c>
      <c r="D336" t="str">
        <v>Beban di Luar Operasional</v>
      </c>
      <c r="E336" t="str">
        <v>Beban Administrasi Bank</v>
      </c>
      <c r="F336">
        <v>25000</v>
      </c>
    </row>
    <row r="337">
      <c r="A337">
        <f>VLOOKUP(D337,COA!$B$3:$C$217,2,0)</f>
        <v>11107</v>
      </c>
      <c r="B337">
        <v>46203</v>
      </c>
      <c r="D337" t="str">
        <v>Bank BNI Tapcash</v>
      </c>
      <c r="G337">
        <f>F336</f>
        <v>25000</v>
      </c>
    </row>
    <row r="338">
      <c r="A338">
        <f>VLOOKUP(D338,COA!$B$3:$C$217,2,0)</f>
        <v>11104</v>
      </c>
      <c r="B338">
        <v>46203</v>
      </c>
      <c r="D338" t="str">
        <v>Bank BNI</v>
      </c>
      <c r="F338">
        <f>438862969+19344375+34370983+7695000</f>
        <v>500273327</v>
      </c>
    </row>
    <row r="339">
      <c r="A339">
        <f>VLOOKUP(D339,COA!$B$3:$C$217,2,0)</f>
        <v>41000</v>
      </c>
      <c r="B339">
        <v>46203</v>
      </c>
      <c r="D339" t="str">
        <v>Pendapatan Bisnis Utama</v>
      </c>
      <c r="E339" t="str">
        <v>Pendapatan Pengelolaan Pasar Toko/Kios, Bak, dan Los (Bulanan)</v>
      </c>
      <c r="G339">
        <f>F338</f>
        <v>500273327</v>
      </c>
    </row>
    <row r="340">
      <c r="A340">
        <f>VLOOKUP(D340,COA!$B$3:$C$217,2,0)</f>
        <v>11104</v>
      </c>
      <c r="B340">
        <v>46203</v>
      </c>
      <c r="D340" t="str">
        <v>Bank BNI</v>
      </c>
      <c r="F340">
        <f>41949000-1887000+1645000</f>
        <v>41707000</v>
      </c>
    </row>
    <row r="341">
      <c r="A341">
        <f>VLOOKUP(D341,COA!$B$3:$C$217,2,0)</f>
        <v>41000</v>
      </c>
      <c r="B341">
        <v>46203</v>
      </c>
      <c r="D341" t="str">
        <v>Pendapatan Bisnis Utama</v>
      </c>
      <c r="E341" t="str">
        <v>Pendapatan Pengelolaan Pasar PKL (Harian)</v>
      </c>
      <c r="G341">
        <f>F340</f>
        <v>41707000</v>
      </c>
    </row>
    <row r="342">
      <c r="A342">
        <f>VLOOKUP(D342,COA!$B$3:$C$217,2,0)</f>
        <v>11104</v>
      </c>
      <c r="B342">
        <v>46203</v>
      </c>
      <c r="D342" t="str">
        <v>Bank BNI</v>
      </c>
      <c r="F342">
        <f>30584000+50470000+3240000+6300000</f>
        <v>90594000</v>
      </c>
    </row>
    <row r="343">
      <c r="A343">
        <f>VLOOKUP(D343,COA!$B$3:$C$217,2,0)</f>
        <v>41000</v>
      </c>
      <c r="B343">
        <v>46203</v>
      </c>
      <c r="D343" t="str">
        <v>Pendapatan Bisnis Utama</v>
      </c>
      <c r="E343" t="str">
        <v>Pendapatan Pemeliharaan Kebersihan Pasar (Sampah)</v>
      </c>
      <c r="G343">
        <f>F342</f>
        <v>90594000</v>
      </c>
    </row>
    <row r="344">
      <c r="A344">
        <f>VLOOKUP(D344,COA!$B$3:$C$217,2,0)</f>
        <v>11104</v>
      </c>
      <c r="B344">
        <v>46203</v>
      </c>
      <c r="D344" t="str">
        <v>Bank BNI</v>
      </c>
      <c r="F344">
        <f>4373367+367062</f>
        <v>4740429</v>
      </c>
    </row>
    <row r="345">
      <c r="A345">
        <f>VLOOKUP(D345,COA!$B$3:$C$217,2,0)</f>
        <v>41000</v>
      </c>
      <c r="B345">
        <v>46203</v>
      </c>
      <c r="D345" t="str">
        <v>Pendapatan Bisnis Utama</v>
      </c>
      <c r="E345" t="str">
        <v>Pendapatan Denda Pelayanan Pasar</v>
      </c>
      <c r="G345">
        <f>F344</f>
        <v>4740429</v>
      </c>
    </row>
    <row r="346">
      <c r="A346">
        <f>VLOOKUP(D346,COA!$B$3:$C$217,2,0)</f>
        <v>11104</v>
      </c>
      <c r="B346">
        <v>46203</v>
      </c>
      <c r="D346" t="str">
        <v>Bank BNI</v>
      </c>
      <c r="F346">
        <f>36050000+4500000</f>
        <v>40550000</v>
      </c>
    </row>
    <row r="347">
      <c r="A347">
        <f>VLOOKUP(D347,COA!$B$3:$C$217,2,0)</f>
        <v>41000</v>
      </c>
      <c r="B347">
        <v>46203</v>
      </c>
      <c r="D347" t="str">
        <v>Pendapatan Bisnis Utama</v>
      </c>
      <c r="E347" t="str">
        <v>Pendapatan Keamanan Pasar Antasari</v>
      </c>
      <c r="G347">
        <f>F346</f>
        <v>40550000</v>
      </c>
    </row>
    <row r="348">
      <c r="A348">
        <f>VLOOKUP(D348,COA!$B$3:$C$217,2,0)</f>
        <v>11104</v>
      </c>
      <c r="B348">
        <v>46203</v>
      </c>
      <c r="D348" t="str">
        <v>Bank BNI</v>
      </c>
      <c r="F348">
        <f>50634278+4299042</f>
        <v>54933320</v>
      </c>
    </row>
    <row r="349">
      <c r="A349">
        <f>VLOOKUP(D349,COA!$B$3:$C$217,2,0)</f>
        <v>11201</v>
      </c>
      <c r="B349">
        <v>46203</v>
      </c>
      <c r="D349" t="str">
        <v>Piutang Usaha</v>
      </c>
      <c r="G349">
        <f>F348</f>
        <v>54933320</v>
      </c>
    </row>
    <row r="350">
      <c r="A350">
        <f>VLOOKUP(D350,COA!$B$3:$C$217,2,0)</f>
        <v>11104</v>
      </c>
      <c r="B350">
        <v>46203</v>
      </c>
      <c r="D350" t="str">
        <v>Bank BNI</v>
      </c>
      <c r="F350">
        <v>35685000</v>
      </c>
    </row>
    <row r="351">
      <c r="A351">
        <f>VLOOKUP(D351,COA!$B$3:$C$217,2,0)</f>
        <v>42000</v>
      </c>
      <c r="B351">
        <v>46203</v>
      </c>
      <c r="D351" t="str">
        <v>Pendapatan Bisnis Lainnya</v>
      </c>
      <c r="E351" t="str">
        <v>Pendapatan Parkir</v>
      </c>
      <c r="G351">
        <f>F350</f>
        <v>35685000</v>
      </c>
    </row>
    <row r="352">
      <c r="A352">
        <f>VLOOKUP(D352,COA!$B$3:$C$217,2,0)</f>
        <v>11104</v>
      </c>
      <c r="B352">
        <v>46203</v>
      </c>
      <c r="D352" t="str">
        <v>Bank BNI</v>
      </c>
      <c r="F352">
        <f>6874500+50000</f>
        <v>6924500</v>
      </c>
    </row>
    <row r="353">
      <c r="A353">
        <f>VLOOKUP(D353,COA!$B$3:$C$217,2,0)</f>
        <v>42000</v>
      </c>
      <c r="B353">
        <v>46203</v>
      </c>
      <c r="D353" t="str">
        <v>Pendapatan Bisnis Lainnya</v>
      </c>
      <c r="E353" t="str">
        <v>Pendapatan Pusat Grosir Bahan Pokok</v>
      </c>
      <c r="G353">
        <f>F352</f>
        <v>6924500</v>
      </c>
    </row>
    <row r="354">
      <c r="A354">
        <f>VLOOKUP(D354,COA!$B$3:$C$217,2,0)</f>
        <v>51000</v>
      </c>
      <c r="B354">
        <v>46203</v>
      </c>
      <c r="D354" t="str">
        <v>Beban Pokok Penjualan (Bapok &amp; Gerai Inflasi)</v>
      </c>
    </row>
    <row r="355">
      <c r="A355">
        <f>VLOOKUP(D355,COA!$B$3:$C$217,2,0)</f>
        <v>11401</v>
      </c>
      <c r="B355">
        <v>46203</v>
      </c>
      <c r="D355" t="str">
        <v>Persediaan Barang Dagang (Bapok dan Gerai Inflasi)</v>
      </c>
    </row>
    <row r="356">
      <c r="A356">
        <f>VLOOKUP(D356,COA!$B$3:$C$217,2,0)</f>
        <v>11104</v>
      </c>
      <c r="B356">
        <v>46203</v>
      </c>
      <c r="D356" t="str">
        <v>Bank BNI</v>
      </c>
    </row>
    <row r="357">
      <c r="A357">
        <f>VLOOKUP(D357,COA!$B$3:$C$217,2,0)</f>
        <v>42000</v>
      </c>
      <c r="B357">
        <v>46203</v>
      </c>
      <c r="D357" t="str">
        <v>Pendapatan Bisnis Lainnya</v>
      </c>
      <c r="E357" t="str">
        <v>Pendapatan Sewa Tempat Wisata Kuliner (fooodcourt)</v>
      </c>
    </row>
    <row r="358">
      <c r="A358">
        <f>VLOOKUP(D358,COA!$B$3:$C$217,2,0)</f>
        <v>11104</v>
      </c>
      <c r="B358">
        <v>46203</v>
      </c>
      <c r="D358" t="str">
        <v>Bank BNI</v>
      </c>
      <c r="F358">
        <v>3436020</v>
      </c>
    </row>
    <row r="359">
      <c r="A359">
        <f>VLOOKUP(D359,COA!$B$3:$C$217,2,0)</f>
        <v>42000</v>
      </c>
      <c r="B359">
        <v>46203</v>
      </c>
      <c r="D359" t="str">
        <v>Pendapatan Bisnis Lainnya</v>
      </c>
      <c r="E359" t="str">
        <v>Pendapatan Iklan/Reklame/Promosi</v>
      </c>
      <c r="G359">
        <f>F358</f>
        <v>3436020</v>
      </c>
    </row>
    <row r="360">
      <c r="A360">
        <f>VLOOKUP(D360,COA!$B$3:$C$217,2,0)</f>
        <v>11104</v>
      </c>
      <c r="B360">
        <v>46203</v>
      </c>
      <c r="D360" t="str">
        <v>Bank BNI</v>
      </c>
      <c r="F360">
        <v>40000</v>
      </c>
    </row>
    <row r="361">
      <c r="A361">
        <f>VLOOKUP(D361,COA!$B$3:$C$217,2,0)</f>
        <v>42000</v>
      </c>
      <c r="B361">
        <v>46203</v>
      </c>
      <c r="D361" t="str">
        <v>Pendapatan Bisnis Lainnya</v>
      </c>
      <c r="E361" t="str">
        <v>Pendapatan Air Minum Isi Ulang</v>
      </c>
      <c r="G361">
        <f>F360</f>
        <v>40000</v>
      </c>
    </row>
    <row r="362">
      <c r="A362">
        <f>VLOOKUP(D362,COA!$B$3:$C$217,2,0)</f>
        <v>11104</v>
      </c>
      <c r="B362">
        <v>46203</v>
      </c>
      <c r="D362" t="str">
        <v>Bank BNI</v>
      </c>
      <c r="F362">
        <v>12631732</v>
      </c>
    </row>
    <row r="363">
      <c r="A363">
        <f>VLOOKUP(D363,COA!$B$3:$C$217,2,0)</f>
        <v>70000</v>
      </c>
      <c r="B363">
        <v>46203</v>
      </c>
      <c r="D363" t="str">
        <v>Pendapatan di Luar Operasional</v>
      </c>
      <c r="E363" t="str">
        <v>Pendapatan Bunga</v>
      </c>
      <c r="G363">
        <f>F362</f>
        <v>12631732</v>
      </c>
    </row>
    <row r="364">
      <c r="A364">
        <f>VLOOKUP(D364,COA!$B$3:$C$217,2,0)</f>
        <v>80000</v>
      </c>
      <c r="B364">
        <v>46203</v>
      </c>
      <c r="D364" t="str">
        <v>Beban di Luar Operasional</v>
      </c>
      <c r="E364" t="str">
        <v>Beban Pajak Bank</v>
      </c>
      <c r="F364">
        <v>2526347</v>
      </c>
      <c r="H364" t="str">
        <v>Beban Pajak Bank BNI Utama</v>
      </c>
    </row>
    <row r="365">
      <c r="A365">
        <f>VLOOKUP(D365,COA!$B$3:$C$217,2,0)</f>
        <v>11104</v>
      </c>
      <c r="B365">
        <v>46203</v>
      </c>
      <c r="D365" t="str">
        <v>Bank BNI</v>
      </c>
      <c r="G365">
        <f>F364</f>
        <v>2526347</v>
      </c>
      <c r="H365" t="str">
        <v>Beban Pajak Bank BNI Utama</v>
      </c>
    </row>
    <row r="366">
      <c r="A366">
        <f>VLOOKUP(D366,COA!$B$3:$C$217,2,0)</f>
        <v>11106</v>
      </c>
      <c r="B366">
        <v>46203</v>
      </c>
      <c r="D366" t="str">
        <v>Bank BNI Bisnis</v>
      </c>
    </row>
    <row r="367">
      <c r="A367">
        <f>VLOOKUP(D367,COA!$B$3:$C$217,2,0)</f>
        <v>42000</v>
      </c>
      <c r="B367">
        <v>46203</v>
      </c>
      <c r="D367" t="str">
        <v>Pendapatan Bisnis Lainnya</v>
      </c>
      <c r="E367" t="str">
        <v>Pendapatan Layanan Pengiriman</v>
      </c>
    </row>
    <row r="368">
      <c r="A368">
        <f>VLOOKUP(D368,COA!$B$3:$C$217,2,0)</f>
        <v>11106</v>
      </c>
      <c r="B368">
        <v>46203</v>
      </c>
      <c r="D368" t="str">
        <v>Bank BNI Bisnis</v>
      </c>
      <c r="F368">
        <v>9900000</v>
      </c>
    </row>
    <row r="369">
      <c r="A369">
        <f>VLOOKUP(D369,COA!$B$3:$C$217,2,0)</f>
        <v>42000</v>
      </c>
      <c r="B369">
        <v>46203</v>
      </c>
      <c r="D369" t="str">
        <v>Pendapatan Bisnis Lainnya</v>
      </c>
      <c r="E369" t="str">
        <v>Pendapatan Sewa Tempat Wisata Kuliner (fooodcourt)</v>
      </c>
      <c r="G369">
        <f>F368</f>
        <v>9900000</v>
      </c>
    </row>
    <row r="370">
      <c r="A370">
        <f>VLOOKUP(D370,COA!$B$3:$C$217,2,0)</f>
        <v>11106</v>
      </c>
      <c r="B370">
        <v>46203</v>
      </c>
      <c r="D370" t="str">
        <v>Bank BNI Bisnis</v>
      </c>
      <c r="F370">
        <v>188987000</v>
      </c>
    </row>
    <row r="371">
      <c r="A371">
        <f>VLOOKUP(D371,COA!$B$3:$C$217,2,0)</f>
        <v>42000</v>
      </c>
      <c r="B371">
        <v>46203</v>
      </c>
      <c r="D371" t="str">
        <v>Pendapatan Bisnis Lainnya</v>
      </c>
      <c r="E371" t="str">
        <v>Pendapatan Pusat Grosir Bahan Pokok</v>
      </c>
      <c r="G371">
        <f>F370</f>
        <v>188987000</v>
      </c>
    </row>
    <row r="372">
      <c r="A372">
        <f>VLOOKUP(D372,COA!$B$3:$C$217,2,0)</f>
        <v>51000</v>
      </c>
      <c r="B372">
        <v>46203</v>
      </c>
      <c r="D372" t="str">
        <v>Beban Pokok Penjualan (Bapok &amp; Gerai Inflasi)</v>
      </c>
      <c r="F372">
        <v>183038200</v>
      </c>
    </row>
    <row r="373">
      <c r="A373">
        <f>VLOOKUP(D373,COA!$B$3:$C$217,2,0)</f>
        <v>11401</v>
      </c>
      <c r="B373">
        <v>46203</v>
      </c>
      <c r="D373" t="str">
        <v>Persediaan Barang Dagang (Bapok dan Gerai Inflasi)</v>
      </c>
      <c r="G373">
        <f>F372</f>
        <v>183038200</v>
      </c>
    </row>
    <row r="374">
      <c r="A374">
        <f>VLOOKUP(D374,COA!$B$3:$C$217,2,0)</f>
        <v>11106</v>
      </c>
      <c r="B374">
        <v>46203</v>
      </c>
      <c r="D374" t="str">
        <v>Bank BNI Bisnis</v>
      </c>
    </row>
    <row r="375">
      <c r="A375">
        <f>VLOOKUP(D375,COA!$B$3:$C$217,2,0)</f>
        <v>42000</v>
      </c>
      <c r="B375">
        <v>46203</v>
      </c>
      <c r="D375" t="str">
        <v>Pendapatan Bisnis Lainnya</v>
      </c>
      <c r="E375" t="str">
        <v>Pendapatan Gerai Inflasi</v>
      </c>
    </row>
    <row r="376">
      <c r="A376">
        <f>VLOOKUP(D376,COA!$B$3:$C$217,2,0)</f>
        <v>51000</v>
      </c>
      <c r="B376">
        <v>46203</v>
      </c>
      <c r="D376" t="str">
        <v>Beban Pokok Penjualan (Bapok &amp; Gerai Inflasi)</v>
      </c>
    </row>
    <row r="377">
      <c r="A377">
        <f>VLOOKUP(D377,COA!$B$3:$C$217,2,0)</f>
        <v>11401</v>
      </c>
      <c r="B377">
        <v>46203</v>
      </c>
      <c r="D377" t="str">
        <v>Persediaan Barang Dagang (Bapok dan Gerai Inflasi)</v>
      </c>
    </row>
    <row r="378">
      <c r="A378">
        <f>VLOOKUP(D378,COA!$B$3:$C$217,2,0)</f>
        <v>11106</v>
      </c>
      <c r="B378">
        <v>46203</v>
      </c>
      <c r="D378" t="str">
        <v>Bank BNI Bisnis</v>
      </c>
      <c r="F378">
        <v>650000</v>
      </c>
    </row>
    <row r="379">
      <c r="A379">
        <f>VLOOKUP(D379,COA!$B$3:$C$217,2,0)</f>
        <v>42000</v>
      </c>
      <c r="B379">
        <v>46203</v>
      </c>
      <c r="D379" t="str">
        <v>Pendapatan Bisnis Lainnya</v>
      </c>
      <c r="E379" t="str">
        <v>Pendapatan Air Minum Isi Ulang</v>
      </c>
      <c r="G379">
        <f>F378</f>
        <v>650000</v>
      </c>
    </row>
    <row r="380">
      <c r="A380">
        <f>VLOOKUP(D380,COA!$B$3:$C$217,2,0)</f>
        <v>11106</v>
      </c>
      <c r="B380">
        <v>46203</v>
      </c>
      <c r="D380" t="str">
        <v>Bank BNI Bisnis</v>
      </c>
      <c r="F380">
        <v>7400000</v>
      </c>
    </row>
    <row r="381">
      <c r="A381">
        <f>VLOOKUP(D381,COA!$B$3:$C$217,2,0)</f>
        <v>42000</v>
      </c>
      <c r="B381">
        <v>46203</v>
      </c>
      <c r="D381" t="str">
        <v>Pendapatan Bisnis Lainnya</v>
      </c>
      <c r="E381" t="str">
        <v>Pendapatan Gas LPG</v>
      </c>
      <c r="G381">
        <f>F380</f>
        <v>7400000</v>
      </c>
    </row>
    <row r="382">
      <c r="A382">
        <f>VLOOKUP(D382,COA!$B$3:$C$217,2,0)</f>
        <v>51001</v>
      </c>
      <c r="B382">
        <v>46203</v>
      </c>
      <c r="D382" t="str">
        <v>Beban Pokok Penjualan (Gas LPG)</v>
      </c>
      <c r="F382">
        <v>6100000</v>
      </c>
      <c r="H382" t="str">
        <v>400 x @Rp 15.250</v>
      </c>
    </row>
    <row r="383">
      <c r="A383">
        <f>VLOOKUP(D383,COA!$B$3:$C$217,2,0)</f>
        <v>11402</v>
      </c>
      <c r="B383">
        <v>46203</v>
      </c>
      <c r="D383" t="str">
        <v>Persediaan Barang Dagang (Gas LPG)</v>
      </c>
      <c r="G383">
        <f>F382</f>
        <v>6100000</v>
      </c>
    </row>
    <row r="384">
      <c r="A384">
        <f>VLOOKUP(D384,COA!$B$3:$C$217,2,0)</f>
        <v>11106</v>
      </c>
      <c r="B384">
        <v>46203</v>
      </c>
      <c r="D384" t="str">
        <v>Bank BNI Bisnis</v>
      </c>
      <c r="F384">
        <v>66065</v>
      </c>
    </row>
    <row r="385">
      <c r="A385">
        <f>VLOOKUP(D385,COA!$B$3:$C$217,2,0)</f>
        <v>70000</v>
      </c>
      <c r="B385">
        <v>46203</v>
      </c>
      <c r="D385" t="str">
        <v>Pendapatan di Luar Operasional</v>
      </c>
      <c r="E385" t="str">
        <v>Pendapatan Bunga</v>
      </c>
      <c r="G385">
        <f>F384</f>
        <v>66065</v>
      </c>
    </row>
    <row r="386">
      <c r="A386">
        <f>VLOOKUP(D386,COA!$B$3:$C$217,2,0)</f>
        <v>80000</v>
      </c>
      <c r="B386">
        <v>46203</v>
      </c>
      <c r="D386" t="str">
        <v>Beban di Luar Operasional</v>
      </c>
      <c r="E386" t="str">
        <v>Beban Pajak Bank</v>
      </c>
      <c r="F386">
        <v>13213</v>
      </c>
      <c r="H386" t="str">
        <v>Beban Pajak Bank BNI Bisnis</v>
      </c>
    </row>
    <row r="387">
      <c r="A387">
        <f>VLOOKUP(D387,COA!$B$3:$C$217,2,0)</f>
        <v>11106</v>
      </c>
      <c r="B387">
        <v>46203</v>
      </c>
      <c r="D387" t="str">
        <v>Bank BNI Bisnis</v>
      </c>
      <c r="G387">
        <f>F386</f>
        <v>13213</v>
      </c>
      <c r="H387" t="str">
        <v>Beban Pajak Bank BNI Bisnis</v>
      </c>
    </row>
    <row r="388">
      <c r="A388">
        <f>VLOOKUP(D388,COA!$B$3:$C$217,2,0)</f>
        <v>11103</v>
      </c>
      <c r="B388">
        <v>46203</v>
      </c>
      <c r="D388" t="str">
        <v>Bank Kalsel</v>
      </c>
      <c r="F388">
        <f>32077565+5130000</f>
        <v>37207565</v>
      </c>
    </row>
    <row r="389">
      <c r="A389">
        <f>VLOOKUP(D389,COA!$B$3:$C$217,2,0)</f>
        <v>41000</v>
      </c>
      <c r="B389">
        <v>46203</v>
      </c>
      <c r="D389" t="str">
        <v>Pendapatan Bisnis Utama</v>
      </c>
      <c r="E389" t="str">
        <v>Pendapatan Pengelolaan Pasar Toko/Kios, Bak, dan Los (Bulanan)</v>
      </c>
      <c r="G389">
        <f>F388</f>
        <v>37207565</v>
      </c>
    </row>
    <row r="390">
      <c r="A390">
        <f>VLOOKUP(D390,COA!$B$3:$C$217,2,0)</f>
        <v>11103</v>
      </c>
      <c r="B390">
        <v>46203</v>
      </c>
      <c r="D390" t="str">
        <v>Bank Kalsel</v>
      </c>
      <c r="F390">
        <v>6133000</v>
      </c>
    </row>
    <row r="391">
      <c r="A391">
        <f>VLOOKUP(D391,COA!$B$3:$C$217,2,0)</f>
        <v>41000</v>
      </c>
      <c r="B391">
        <v>46203</v>
      </c>
      <c r="D391" t="str">
        <v>Pendapatan Bisnis Utama</v>
      </c>
      <c r="E391" t="str">
        <v>Pendapatan Pengelolaan Pasar PKL (Harian)</v>
      </c>
      <c r="G391">
        <f>F390</f>
        <v>6133000</v>
      </c>
    </row>
    <row r="392">
      <c r="A392">
        <f>VLOOKUP(D392,COA!$B$3:$C$217,2,0)</f>
        <v>11103</v>
      </c>
      <c r="B392">
        <v>46203</v>
      </c>
      <c r="D392" t="str">
        <v>Bank Kalsel</v>
      </c>
      <c r="F392">
        <f>3052000+5320000</f>
        <v>8372000</v>
      </c>
    </row>
    <row r="393">
      <c r="A393">
        <f>VLOOKUP(D393,COA!$B$3:$C$217,2,0)</f>
        <v>41000</v>
      </c>
      <c r="B393">
        <v>46203</v>
      </c>
      <c r="D393" t="str">
        <v>Pendapatan Bisnis Utama</v>
      </c>
      <c r="E393" t="str">
        <v>Pendapatan Pemeliharaan Kebersihan Pasar (Sampah)</v>
      </c>
      <c r="G393">
        <f>F392</f>
        <v>8372000</v>
      </c>
    </row>
    <row r="394">
      <c r="A394">
        <f>VLOOKUP(D394,COA!$B$3:$C$217,2,0)</f>
        <v>11103</v>
      </c>
      <c r="B394">
        <v>46203</v>
      </c>
      <c r="D394" t="str">
        <v>Bank Kalsel</v>
      </c>
      <c r="F394">
        <v>406424</v>
      </c>
    </row>
    <row r="395">
      <c r="A395">
        <f>VLOOKUP(D395,COA!$B$3:$C$217,2,0)</f>
        <v>41000</v>
      </c>
      <c r="B395">
        <v>46203</v>
      </c>
      <c r="D395" t="str">
        <v>Pendapatan Bisnis Utama</v>
      </c>
      <c r="E395" t="str">
        <v>Pendapatan Denda Pelayanan Pasar</v>
      </c>
      <c r="G395">
        <f>F394</f>
        <v>406424</v>
      </c>
    </row>
    <row r="396">
      <c r="A396">
        <f>VLOOKUP(D396,COA!$B$3:$C$217,2,0)</f>
        <v>11103</v>
      </c>
      <c r="B396">
        <v>46203</v>
      </c>
      <c r="D396" t="str">
        <v>Bank Kalsel</v>
      </c>
      <c r="F396">
        <v>3800000</v>
      </c>
    </row>
    <row r="397">
      <c r="A397">
        <f>VLOOKUP(D397,COA!$B$3:$C$217,2,0)</f>
        <v>41000</v>
      </c>
      <c r="B397">
        <v>46203</v>
      </c>
      <c r="D397" t="str">
        <v>Pendapatan Bisnis Utama</v>
      </c>
      <c r="E397" t="str">
        <v>Pendapatan Keamanan Pasar Antasari</v>
      </c>
      <c r="G397">
        <f>F396</f>
        <v>3800000</v>
      </c>
    </row>
    <row r="398">
      <c r="A398">
        <f>VLOOKUP(D398,COA!$B$3:$C$217,2,0)</f>
        <v>11103</v>
      </c>
      <c r="B398">
        <v>46203</v>
      </c>
      <c r="D398" t="str">
        <v>Bank Kalsel</v>
      </c>
    </row>
    <row r="399">
      <c r="A399">
        <f>VLOOKUP(D399,COA!$B$3:$C$217,2,0)</f>
        <v>41000</v>
      </c>
      <c r="B399">
        <v>46203</v>
      </c>
      <c r="D399" t="str">
        <v>Pendapatan Bisnis Utama</v>
      </c>
      <c r="E399" t="str">
        <v>Pendapatan Denda Pelayanan Pasar</v>
      </c>
    </row>
    <row r="400">
      <c r="A400">
        <f>VLOOKUP(D400,COA!$B$3:$C$217,2,0)</f>
        <v>11103</v>
      </c>
      <c r="B400">
        <v>46203</v>
      </c>
      <c r="D400" t="str">
        <v>Bank Kalsel</v>
      </c>
      <c r="F400">
        <v>3418091</v>
      </c>
    </row>
    <row r="401">
      <c r="A401">
        <f>VLOOKUP(D401,COA!$B$3:$C$217,2,0)</f>
        <v>11201</v>
      </c>
      <c r="B401">
        <v>46203</v>
      </c>
      <c r="D401" t="str">
        <v>Piutang Usaha</v>
      </c>
      <c r="G401">
        <f>F400</f>
        <v>3418091</v>
      </c>
    </row>
    <row r="402">
      <c r="A402">
        <f>VLOOKUP(D402,COA!$B$3:$C$217,2,0)</f>
        <v>11103</v>
      </c>
      <c r="B402">
        <v>46203</v>
      </c>
      <c r="D402" t="str">
        <v>Bank Kalsel</v>
      </c>
      <c r="F402">
        <v>92675000</v>
      </c>
    </row>
    <row r="403">
      <c r="A403">
        <f>VLOOKUP(D403,COA!$B$3:$C$217,2,0)</f>
        <v>42000</v>
      </c>
      <c r="B403">
        <v>46203</v>
      </c>
      <c r="D403" t="str">
        <v>Pendapatan Bisnis Lainnya</v>
      </c>
      <c r="E403" t="str">
        <v>Pendapatan Parkir</v>
      </c>
      <c r="G403">
        <f>F402</f>
        <v>92675000</v>
      </c>
    </row>
    <row r="404">
      <c r="A404">
        <f>VLOOKUP(D404,COA!$B$3:$C$217,2,0)</f>
        <v>11103</v>
      </c>
      <c r="B404">
        <v>46203</v>
      </c>
      <c r="D404" t="str">
        <v>Bank Kalsel</v>
      </c>
      <c r="F404">
        <f>14840267+1139600</f>
        <v>15979867</v>
      </c>
    </row>
    <row r="405">
      <c r="A405">
        <f>VLOOKUP(D405,COA!$B$3:$C$217,2,0)</f>
        <v>42000</v>
      </c>
      <c r="B405">
        <v>46203</v>
      </c>
      <c r="D405" t="str">
        <v>Pendapatan Bisnis Lainnya</v>
      </c>
      <c r="E405" t="str">
        <v>Pendapatan Sewa Tempat Event Khusus/Rakyat/Ruang Kreasi</v>
      </c>
      <c r="G405">
        <f>F404</f>
        <v>15979867</v>
      </c>
    </row>
    <row r="406">
      <c r="A406">
        <f>VLOOKUP(D406,COA!$B$3:$C$217,2,0)</f>
        <v>11103</v>
      </c>
      <c r="B406">
        <v>46203</v>
      </c>
      <c r="D406" t="str">
        <v>Bank Kalsel</v>
      </c>
    </row>
    <row r="407">
      <c r="A407">
        <f>VLOOKUP(D407,COA!$B$3:$C$217,2,0)</f>
        <v>42000</v>
      </c>
      <c r="B407">
        <v>46203</v>
      </c>
      <c r="D407" t="str">
        <v>Pendapatan Bisnis Lainnya</v>
      </c>
      <c r="E407" t="str">
        <v>Pendapatan Sewa Tempat Wisata Kuliner (fooodcourt)</v>
      </c>
    </row>
    <row r="408">
      <c r="A408">
        <f>VLOOKUP(D408,COA!$B$3:$C$217,2,0)</f>
        <v>11103</v>
      </c>
      <c r="B408">
        <v>46203</v>
      </c>
      <c r="D408" t="str">
        <v>Bank Kalsel</v>
      </c>
    </row>
    <row r="409">
      <c r="A409">
        <f>VLOOKUP(D409,COA!$B$3:$C$217,2,0)</f>
        <v>42000</v>
      </c>
      <c r="B409">
        <v>46203</v>
      </c>
      <c r="D409" t="str">
        <v>Pendapatan Bisnis Lainnya</v>
      </c>
      <c r="E409" t="str">
        <v>Pendapatan Pusat Grosir Bahan Pokok</v>
      </c>
    </row>
    <row r="410">
      <c r="A410">
        <f>VLOOKUP(D410,COA!$B$3:$C$217,2,0)</f>
        <v>11103</v>
      </c>
      <c r="B410">
        <v>46203</v>
      </c>
      <c r="D410" t="str">
        <v>Bank Kalsel</v>
      </c>
      <c r="F410">
        <v>5784055.05</v>
      </c>
    </row>
    <row r="411">
      <c r="A411">
        <f>VLOOKUP(D411,COA!$B$3:$C$217,2,0)</f>
        <v>70000</v>
      </c>
      <c r="B411">
        <v>46203</v>
      </c>
      <c r="D411" t="str">
        <v>Pendapatan di Luar Operasional</v>
      </c>
      <c r="E411" t="str">
        <v>Pendapatan Bunga</v>
      </c>
      <c r="G411">
        <f>F410</f>
        <v>5784055.05</v>
      </c>
    </row>
    <row r="412">
      <c r="A412">
        <f>VLOOKUP(D412,COA!$B$3:$C$217,2,0)</f>
        <v>80000</v>
      </c>
      <c r="B412">
        <v>46203</v>
      </c>
      <c r="D412" t="str">
        <v>Beban di Luar Operasional</v>
      </c>
      <c r="E412" t="str">
        <v>Beban Pajak Bank</v>
      </c>
      <c r="F412">
        <v>1156811.01</v>
      </c>
    </row>
    <row r="413">
      <c r="A413">
        <f>VLOOKUP(D413,COA!$B$3:$C$217,2,0)</f>
        <v>11103</v>
      </c>
      <c r="B413">
        <v>46203</v>
      </c>
      <c r="D413" t="str">
        <v>Bank Kalsel</v>
      </c>
      <c r="G413">
        <f>F412</f>
        <v>1156811.01</v>
      </c>
    </row>
    <row r="414">
      <c r="A414">
        <f>VLOOKUP(D414,COA!$B$3:$C$217,2,0)</f>
        <v>80000</v>
      </c>
      <c r="B414">
        <v>46203</v>
      </c>
      <c r="D414" t="str">
        <v>Beban di Luar Operasional</v>
      </c>
      <c r="E414" t="str">
        <v>Pajak Penghasilan</v>
      </c>
      <c r="F414">
        <v>54644714</v>
      </c>
      <c r="H414" t="str">
        <v xml:space="preserve">Pajak Penghasilan Perumda </v>
      </c>
    </row>
    <row r="415">
      <c r="A415">
        <f>VLOOKUP(D415,COA!$B$3:$C$217,2,0)</f>
        <v>11103</v>
      </c>
      <c r="B415">
        <v>46203</v>
      </c>
      <c r="D415" t="str">
        <v>Bank Kalsel</v>
      </c>
      <c r="G415">
        <f>F414</f>
        <v>54644714</v>
      </c>
      <c r="H415" t="str">
        <v xml:space="preserve">Pajak Penghasilan Perumda </v>
      </c>
    </row>
    <row r="416">
      <c r="A416">
        <f>VLOOKUP(D416,COA!$B$3:$C$217,2,0)</f>
        <v>61080</v>
      </c>
      <c r="B416">
        <v>46203</v>
      </c>
      <c r="D416" t="str">
        <v>Beban Bahan Bakar Minyak</v>
      </c>
      <c r="E416" t="str">
        <v>Beban BBM Truck</v>
      </c>
      <c r="F416">
        <v>82800000</v>
      </c>
      <c r="H416" t="str">
        <v>BBM Truck Sampah</v>
      </c>
    </row>
    <row r="417">
      <c r="A417">
        <f>VLOOKUP(D417,COA!$B$3:$C$217,2,0)</f>
        <v>11501</v>
      </c>
      <c r="B417">
        <v>46203</v>
      </c>
      <c r="D417" t="str">
        <v>BBM Dibayar di Muka</v>
      </c>
      <c r="G417">
        <f>F416</f>
        <v>82800000</v>
      </c>
      <c r="H417" t="str">
        <v>BBM Truck Sampah</v>
      </c>
    </row>
    <row r="418">
      <c r="A418">
        <f>VLOOKUP(D418,COA!$B$3:$C$217,2,0)</f>
        <v>61080</v>
      </c>
      <c r="B418">
        <v>46203</v>
      </c>
      <c r="D418" t="str">
        <v>Beban Bahan Bakar Minyak</v>
      </c>
      <c r="E418" t="str">
        <v>Beban BBM Direksi</v>
      </c>
      <c r="F418">
        <v>900000</v>
      </c>
      <c r="H418" t="str">
        <v>BBM Mobil Direksi</v>
      </c>
    </row>
    <row r="419">
      <c r="A419">
        <f>VLOOKUP(D419,COA!$B$3:$C$217,2,0)</f>
        <v>11501</v>
      </c>
      <c r="B419">
        <v>46203</v>
      </c>
      <c r="D419" t="str">
        <v>BBM Dibayar di Muka</v>
      </c>
      <c r="G419">
        <f>F418</f>
        <v>900000</v>
      </c>
      <c r="H419" t="str">
        <v>BBM Mobil Direksi</v>
      </c>
    </row>
    <row r="420">
      <c r="A420">
        <f>VLOOKUP(D420,COA!$B$3:$C$217,2,0)</f>
        <v>61130</v>
      </c>
      <c r="B420">
        <v>46203</v>
      </c>
      <c r="D420" t="str">
        <v>Beban Penyusutan Aktiva Tetap</v>
      </c>
      <c r="E420" t="str">
        <v>Beban Penyusutan Bangunan</v>
      </c>
      <c r="F420">
        <v>273012222.58</v>
      </c>
    </row>
    <row r="421">
      <c r="A421" t="str">
        <f>VLOOKUP(D421,COA!$B$3:$C$217,2,0)</f>
        <v>12102.2</v>
      </c>
      <c r="B421">
        <v>46203</v>
      </c>
      <c r="D421" t="str">
        <v>Akumulasi Penyusutan Bangunan</v>
      </c>
      <c r="G421">
        <f>F420</f>
        <v>273012222.58</v>
      </c>
    </row>
    <row r="422">
      <c r="A422">
        <f>VLOOKUP(D422,COA!$B$3:$C$217,2,0)</f>
        <v>61130</v>
      </c>
      <c r="B422">
        <v>46203</v>
      </c>
      <c r="D422" t="str">
        <v>Beban Penyusutan Aktiva Tetap</v>
      </c>
      <c r="E422" t="str">
        <v>Beban Penyusutan Kendaraan</v>
      </c>
      <c r="F422">
        <v>3707352.0833333335</v>
      </c>
    </row>
    <row r="423">
      <c r="A423" t="str">
        <f>VLOOKUP(D423,COA!$B$3:$C$217,2,0)</f>
        <v>12201.2</v>
      </c>
      <c r="B423">
        <v>46203</v>
      </c>
      <c r="D423" t="str">
        <v>Akumulasi Penyusutan Kendaraan</v>
      </c>
      <c r="G423">
        <f>F422</f>
        <v>3707352.0833333335</v>
      </c>
    </row>
    <row r="424">
      <c r="A424">
        <f>VLOOKUP(D424,COA!$B$3:$C$217,2,0)</f>
        <v>61130</v>
      </c>
      <c r="B424">
        <v>46203</v>
      </c>
      <c r="D424" t="str">
        <v>Beban Penyusutan Aktiva Tetap</v>
      </c>
      <c r="E424" t="str">
        <v>Beban Penyusutan Mesin</v>
      </c>
      <c r="F424">
        <v>617812.5</v>
      </c>
    </row>
    <row r="425">
      <c r="A425" t="str">
        <f>VLOOKUP(D425,COA!$B$3:$C$217,2,0)</f>
        <v>12202.2</v>
      </c>
      <c r="B425">
        <v>46203</v>
      </c>
      <c r="D425" t="str">
        <v>Akumulasi Penyusutan Mesin</v>
      </c>
      <c r="G425">
        <f>F424</f>
        <v>617812.5</v>
      </c>
    </row>
    <row r="426">
      <c r="A426">
        <f>VLOOKUP(D426,COA!$B$3:$C$217,2,0)</f>
        <v>61130</v>
      </c>
      <c r="B426">
        <v>46203</v>
      </c>
      <c r="D426" t="str">
        <v>Beban Penyusutan Aktiva Tetap</v>
      </c>
      <c r="E426" t="str">
        <v>Beban Penyusutan Peralatan</v>
      </c>
      <c r="F426">
        <v>36848268.16633336</v>
      </c>
    </row>
    <row r="427">
      <c r="A427" t="str">
        <f>VLOOKUP(D427,COA!$B$3:$C$217,2,0)</f>
        <v>12204.2</v>
      </c>
      <c r="B427">
        <v>46203</v>
      </c>
      <c r="D427" t="str">
        <v>Akumulasi Penyusutan Peralatan</v>
      </c>
      <c r="G427">
        <f>F426</f>
        <v>36848268.16633336</v>
      </c>
    </row>
    <row r="428">
      <c r="A428">
        <f>VLOOKUP(D428,COA!$B$3:$C$217,2,0)</f>
        <v>61130</v>
      </c>
      <c r="B428">
        <v>46203</v>
      </c>
      <c r="D428" t="str">
        <v>Beban Penyusutan Aktiva Tetap</v>
      </c>
      <c r="E428" t="str">
        <v>Beban Penyusutan Instalasi Listrik</v>
      </c>
      <c r="F428">
        <v>446836.7708333334</v>
      </c>
    </row>
    <row r="429">
      <c r="A429" t="str">
        <f>VLOOKUP(D429,COA!$B$3:$C$217,2,0)</f>
        <v>12203.2</v>
      </c>
      <c r="B429">
        <v>46203</v>
      </c>
      <c r="D429" t="str">
        <v>Akumulasi Penyusutan Instalasi Listrik</v>
      </c>
      <c r="G429">
        <f>F428</f>
        <v>446836.7708333334</v>
      </c>
    </row>
    <row r="3096"/>
    <row r="3225"/>
    <row r="3227"/>
    <row r="3318"/>
    <row r="3321"/>
    <row r="3338"/>
    <row r="3339"/>
    <row r="3340"/>
    <row r="3342"/>
    <row r="3480"/>
  </sheetData>
  <autoFilter ref="B3:H3543"/>
  <pageMargins left="0.7" right="0.7" top="0.75" bottom="0.75" header="0.3" footer="0.3"/>
  <ignoredErrors>
    <ignoredError numberStoredAsText="1" sqref="A1:T3514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JURNAL JUNI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