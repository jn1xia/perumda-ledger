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0c8ec3a39141a4b/Desktop/"/>
    </mc:Choice>
  </mc:AlternateContent>
  <xr:revisionPtr revIDLastSave="1" documentId="8_{C7008777-7E1B-488C-BB69-1788C4370C4F}" xr6:coauthVersionLast="47" xr6:coauthVersionMax="47" xr10:uidLastSave="{DE6C9957-B3AC-45A3-AAD3-D73FB8D2B2B5}"/>
  <bookViews>
    <workbookView xWindow="-98" yWindow="-98" windowWidth="21795" windowHeight="12975" tabRatio="500" xr2:uid="{00000000-000D-0000-FFFF-FFFF00000000}"/>
  </bookViews>
  <sheets>
    <sheet name="Perbandingan Modul" sheetId="1" r:id="rId1"/>
    <sheet name="Ringkasan &amp; Statistik"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2" l="1"/>
  <c r="B6" i="2"/>
  <c r="B5" i="2"/>
  <c r="B4" i="2"/>
  <c r="B8" i="2" l="1"/>
  <c r="C7" i="2" s="1"/>
  <c r="C4" i="2" l="1"/>
  <c r="C5" i="2"/>
  <c r="C6" i="2"/>
</calcChain>
</file>

<file path=xl/sharedStrings.xml><?xml version="1.0" encoding="utf-8"?>
<sst xmlns="http://schemas.openxmlformats.org/spreadsheetml/2006/main" count="224" uniqueCount="161">
  <si>
    <t>PERBANDINGAN MODUL APLIKASI KEUANGAN PERUMDA PASAR BANJARMASIN 2026</t>
  </si>
  <si>
    <t>No.</t>
  </si>
  <si>
    <t>Bagian / Modul</t>
  </si>
  <si>
    <t>Fitur yang Diminta (Referensi)</t>
  </si>
  <si>
    <t>Deskripsi Detail Fitur</t>
  </si>
  <si>
    <t>Status</t>
  </si>
  <si>
    <t>Keterangan &amp; Analisis Gap</t>
  </si>
  <si>
    <t>BAGIAN I
Login &amp;
Administrasi
Sistem</t>
  </si>
  <si>
    <t>Setup System &amp; Konfigurasi Aplikasi</t>
  </si>
  <si>
    <t>Meliputi: NPWP &amp; alamat perusahaan; nama jabatan direktur; konfigurasi kasir/pemeriksa/penyetuju voucher; tarif PPN &amp; service charge; tingkat diskon; materai; mata uang utama; kunci periode transaksi.</t>
  </si>
  <si>
    <t>Perumda Ledger menyediakan tab Perusahaan (nama, NPWP, alamat, kota, telepon) dan tab Pajak (tarif PPN) di menu Pengaturan. Namun sejumlah konfigurasi lanjutan belum tersedia: tidak ada pengaturan nama kasir/pemeriksa/penyetuju voucher, tidak ada konfigurasi materai dan denda keterlambatan piutang, serta tidak ada dukungan multi-currency (hanya IDR).</t>
  </si>
  <si>
    <t>Manajemen User, Password &amp; Hak Akses</t>
  </si>
  <si>
    <t>Meliputi: tambah/edit/hapus pengguna (nama, username, level 1–n, password); atur hak akses per menu per user (role-based access control); hanya user level 1 yang dapat mengubah hak akses.</t>
  </si>
  <si>
    <t>Tab Pengguna &amp; Keamanan tersedia di Pengaturan Perumda Ledger: dapat menambah user dengan nama dan password. Namun sistem hanya mengenal satu role ('Akuntan') sehingga tidak ada pembatasan akses per menu per user. Fitur Hak &amp; Jabatan (role-based access granular seperti di referensi Abipro) belum dibangun, artinya semua user yang login memiliki akses penuh ke seluruh modul tanpa pembatasan.</t>
  </si>
  <si>
    <t>BAGIAN II
Buku Besar
&amp; Jurnal</t>
  </si>
  <si>
    <t>Setup Induk Data: COA, Departemen, Saldo Awal &amp; Budget</t>
  </si>
  <si>
    <t>Meliputi: Chart of Accounts (kode, nama, tipe Posting/Parent, kategori); setup departemen/cost center; input saldo awal per akun; input budget 12 bulan per akun; konfigurasi hubungan perkiraan &amp; Quick Management Report; setup type perkiraan (Kas, Bank, Piutang, dll.); kode sortir analitik (sortir 1–6: Pegawai, Kendaraan, Provinsi, Rekening, dll.).</t>
  </si>
  <si>
    <t>Modul COA Perumda Ledger sudah baik: tampilan pohon &amp; daftar, saldo awal per akun, dimensi departemen, 34 akun terstruktur. Budget juga tersedia di modul Anggaran vs Realisasi. Yang belum tersedia: (1) Kode Sortir multi-dimensi (sortir 1–6) sebagai sub-akun analitik — ini cukup signifikan karena referensi Abipro menggunakannya untuk pelacakan biaya per pegawai/kendaraan; (2) Setup Type Perkiraan yang configurable; (3) Hubungan Perkiraan &amp; Mata Uang (Quick Management Report) untuk konfigurasi akun-akun kunci; (4) Multi-currency. Budget di Perumda Ledger juga hanya per total periode, belum per bulan Januari–Desember secara terpisah.</t>
  </si>
  <si>
    <t>Voucher (Input, Approval &amp; Proses ke Jurnal)</t>
  </si>
  <si>
    <t>Meliputi: input voucher sebagai bukti kas/bank pra-jurnal; approval voucher oleh supervisor; proses otomatis voucher → jurnal; kunci/buka transaksi voucher per tanggal &amp; periode; cetak bukti voucher.</t>
  </si>
  <si>
    <t>Modul Voucher sepenuhnya tidak tersedia di Perumda Ledger v1.0. Dalam referensi Abipro, Voucher berfungsi sebagai dokumen sumber (source document) sebelum data masuk ke jurnal — alur kerjanya: bagian kasir membuat voucher → supervisor approve → voucher diproses otomatis menjadi jurnal. Di Perumda Ledger, transaksi langsung diinput sebagai Jurnal Umum tanpa tahap voucher. Ini berarti tidak ada jejak dokumen fisik/cetak untuk setiap pengeluaran kas/bank sebelum dijurnal, yang umumnya dibutuhkan untuk keperluan audit BUMD.</t>
  </si>
  <si>
    <t>Jurnal Umum (Transaksi &amp; Approval)</t>
  </si>
  <si>
    <t>Meliputi: input transaksi double-entry; multi-baris debit/kredit; copy jurnal; Check AR/AP Sync; approval (Pending → Posted); kunci periode akhir bulan; cek selisih; buka kunci periode.</t>
  </si>
  <si>
    <t>Modul Jurnal Umum Perumda Ledger dibangun lengkap dan sesuai standar double-entry accounting. Fitur unggulan: (1) Sistem approval dua tahap — jurnal berstatus Pending saat dibuat, baru mengubah saldo setelah di-Approve menjadi Posted; (2) Kunci Periode akhir bulan mencegah modifikasi data audit; (3) Fitur Cek Selisih memindai seluruh database untuk mendeteksi jurnal asimetris; (4) Check AR/AP Sync memverifikasi konsistensi antara jurnal umum dan modul piutang/hutang. Ini adalah modul inti yang sudah berfungsi penuh.</t>
  </si>
  <si>
    <t>Buku Besar (General Ledger)</t>
  </si>
  <si>
    <t>Meliputi: tampilkan riwayat mutasi per akun; running balance otomatis per baris; KPI total debit, kredit &amp; saldo akhir; filter per akun.</t>
  </si>
  <si>
    <t>Modul Buku Besar berfungsi dengan baik. Saldo berjalan (running balance) dikalkulasi otomatis setiap jurnal di-approve. KPI cards di bagian atas menampilkan Total Debit, Total Kredit, dan Saldo Akhir dengan pewarnaan positif/negatif. Sangat membantu auditor internal dalam melacak anomali transaksi, seperti double-entry atau pembayaran duplikat, tanpa perlu rekap manual. Laporan Buku Besar standar tersedia namun belum mencakup laporan menurut Sortir I &amp; II (karena Kode Sortir tidak dibangun).</t>
  </si>
  <si>
    <t>Laporan Neraca, Neraca Saldo &amp; Arus Kas</t>
  </si>
  <si>
    <t>Meliputi: Neraca MTD/YTD; neraca per 3 &amp; 6 periode komparasi; neraca saldo per periode &amp; per tanggal; neraca saldo berdasarkan type perkiraan; laporan arus kas; CALK; ekspor Excel &amp; cetak PDF A4.</t>
  </si>
  <si>
    <t>Semua varian laporan Neraca dan Neraca Saldo tersedia di modul Laporan Keuangan Perumda Ledger. Toggle 'Tampilkan Perbandingan' menambahkan kolom komparasi periode sebelumnya beserta persentase pertumbuhan (hijau/merah) secara otomatis — fitur yang memudahkan presentasi manajerial. Laporan Arus Kas dan CALK juga tersedia sebagai Alat Tambahan. Seluruh laporan mendukung ekspor Excel (.xlsx) dan cetak PDF A4. Catatan: laporan Buku Besar menurut Sortir I &amp; II belum tersedia karena Kode Sortir tidak dibangun.</t>
  </si>
  <si>
    <t>Laporan Rugi Laba / P&amp;L (6 Varian)</t>
  </si>
  <si>
    <t>Meliputi: P&amp;L standar MTD/YTD; P&amp;L dengan periode sebelumnya; P&amp;L per 3 &amp; 5 periode; P&amp;L per 2 &amp; 4 akumulasi; P&amp;L 1–12 departemen; P&amp;L vs Budget; ekspor Excel &amp; cetak PDF A4.</t>
  </si>
  <si>
    <t>Laporan P&amp;L Perumda Ledger tersedia dalam 6 varian yang sesuai dengan kebutuhan manajemen Perumda. Fitur P&amp;L per Project/Departemen sangat relevan untuk analisa kinerja per unit pasar. P&amp;L vs Budget memungkinkan evaluasi langsung penyerapan anggaran versus realisasi belanja. Semua laporan dapat diekspor ke Excel untuk pengolahan lebih lanjut di luar sistem. Komparasi visual dengan font merah/hijau membantu identifikasi cepat pos yang mengalami penurunan.</t>
  </si>
  <si>
    <t>Laporan HPP, Quick Trace Report &amp; Edit Data Tahun Lalu</t>
  </si>
  <si>
    <t>Meliputi: Laporan HPP standar &amp; per departemen (4 varian); laporan HPP vs Budget; Quick Trace Report (drilldown dari laporan ke jurnal sumber); menu Edit Data Tahun Lalu (koreksi saldo 12 bulan tahun buku sebelumnya).</t>
  </si>
  <si>
    <t>Laporan HPP tersedia di grup Alat Tambahan, namun akurasinya bergantung pada input manual di Jurnal Umum karena modul Inventory/Produksi tidak dibangun — sehingga tidak ada data HPP otomatis dari transaksi pembelian bahan baku. Yang belum tersedia di Perumda Ledger: (1) Quick Trace Report — fitur drilldown interaktif dari angka laporan langsung ke jurnal sumber yang sangat berguna untuk auditor; (2) Edit Data Tahun Lalu — tidak ada mekanisme koreksi data saldo tahun buku sebelumnya yang sudah di-closing; (3) Laporan Buku Besar menurut Sortir.</t>
  </si>
  <si>
    <t>Backup, Restore &amp; Bangun Data Baru</t>
  </si>
  <si>
    <t>Meliputi: backup database SQL ke file lokal; restore dari file backup; bangun data baru buku besar (reset transaksi kecuali data induk) untuk pergantian tahun buku.</t>
  </si>
  <si>
    <t>Perumda Ledger menyediakan fitur Export JSON Backup di tab Data &amp; Backup (Pengaturan). File JSON yang diunduh berisi 100% seluruh data transaksi dan dapat digunakan untuk restore. Namun ada keterbatasan penting: data disimpan di localStorage browser (bukan di server terpusat), sehingga jika browser di-reset, cache dihapus, atau komputer berganti, data bisa hilang permanen. Backup JSON ke Google Drive atau flashdisk sangat krusial dilakukan rutin. Fitur Bangun Data Baru (reset transaksi saja, kecuali data induk COA &amp; departemen) untuk pergantian tahun buku belum tersedia — hanya ada 'Reset Semua Data' yang menghapus segalanya secara tidak reversibel.</t>
  </si>
  <si>
    <t>BAGIAN III
Piutang Dagang
(Accounts
Receivable)</t>
  </si>
  <si>
    <t>Master Data Pelanggan &amp; Input Faktur Piutang</t>
  </si>
  <si>
    <t>Meliputi: master data pelanggan (kode, nama, alamat, kredit limit, term, diskon, NPWP, blacklist); input faktur piutang baru (No. Faktur, pelanggan, nominal, tanggal jatuh tempo); edit &amp; hapus faktur.</t>
  </si>
  <si>
    <t>Input faktur piutang di Perumda Ledger berfungsi baik: No. Faktur, nama pelanggan, nominal, dan tanggal jatuh tempo dapat diisi. Namun tidak ada Master Data Pelanggan yang berdiri sendiri — nama pelanggan diketik langsung di setiap faktur tanpa kode pelanggan, sehingga tidak ada kredit limit, term pembayaran, riwayat transaksi per pelanggan, atau flag blacklist. Ketiadaan master pelanggan juga berarti tidak bisa menghasilkan Statement of Account per pelanggan, yang umumnya dibutuhkan untuk pengiriman tagihan berkala ke penyewa kios Perumda Pasar.</t>
  </si>
  <si>
    <t>Penerimaan Pembayaran, Aging &amp; Monitoring Jatuh Tempo</t>
  </si>
  <si>
    <t>Meliputi: catat pembayaran cicilan/lunas; update sisa piutang otomatis; status Belum Lunas/Sebagian/Lunas; laporan umur piutang (aging: current, 1–30, 31–60, 61–90, &gt;90 hari); daftar jatuh tempo hari ini; buku piutang per status.</t>
  </si>
  <si>
    <t>Fitur inti pengelolaan piutang sudah berfungsi lengkap. Tombol Bayar mencatat pembayaran dan status berubah otomatis (Belum Lunas → Sebagian → Lunas) berdasarkan sisa tagihan. Tab Umur Piutang menampilkan matriks aging standar akuntansi yang berguna untuk mengidentifikasi piutang rawan macet. Tab Jatuh Tempo menyaring faktur yang sudah melewati tanggal jatuh tempo hari ini (ditandai merah) — sangat membantu tim penagihan sewa kios Perumda Pasar untuk menentukan prioritas follow-up harian.</t>
  </si>
  <si>
    <t>Laporan Piutang, Statement of Account &amp; Bangun Data Baru</t>
  </si>
  <si>
    <t>Meliputi: laporan transaksi piutang per pelanggan &amp; rentang tanggal; cetak Statement of Account (rekening koran piutang per pelanggan); cetak akhir periode; bangun data baru piutang.</t>
  </si>
  <si>
    <t>Tiga fitur penting belum tersedia di Perumda Ledger v1.0: (1) Laporan Transaksi Piutang dengan filter lengkap (per pelanggan, No. Faktur, tanggal) belum ada — saat ini hanya ada tab daftar faktur tanpa opsi filter lanjutan; (2) Statement of Account per pelanggan tidak tersedia — dokumen ini penting untuk dikirimkan ke penyewa kios sebagai rekap tagihan berkala; (3) Bangun Data Baru Piutang (reset data transaksi untuk periode baru) juga tidak tersedia, sehingga pengelolaan perpindahan tahun buku piutang belum terdukung.</t>
  </si>
  <si>
    <t>BAGIAN IV
Hutang Dagang
(Accounts
Payable)</t>
  </si>
  <si>
    <t>Master Data Supplier &amp; Input Faktur Hutang</t>
  </si>
  <si>
    <t>Meliputi: master data supplier (kode, nama, alamat, NPWP, term, non-active); input faktur hutang baru (No. Faktur, supplier, nominal, tanggal jatuh tempo); edit &amp; hapus faktur.</t>
  </si>
  <si>
    <t>Input faktur hutang di Perumda Ledger berfungsi baik dengan No. Faktur, nama supplier, nominal, dan tanggal jatuh tempo. Namun tidak ada Master Data Supplier tersendiri — nama supplier diketik ulang di setiap faktur tanpa kode unik, sehingga tidak ada NPWP supplier, term pembayaran, atau flag non-active. Ini menjadi kendala saat modul E-Faktur diperlukan ke depannya, karena data NPWP supplier tidak tersimpan secara terstruktur di sistem.</t>
  </si>
  <si>
    <t>Pembayaran Hutang, Aging &amp; Monitoring Jatuh Tempo</t>
  </si>
  <si>
    <t>Meliputi: catat eksekusi transfer pembayaran ke supplier; potong sisa hutang otomatis; laporan umur hutang (aging bracket 30 hari); daftar hutang jatuh tempo; buku hutang per status (Belum/Telah Lunas).</t>
  </si>
  <si>
    <t>Fitur manajemen hutang berjalan lengkap dan paralel dengan modul Piutang. Setiap pembayaran dicatat via tombol Bayar dan sisa hutang terpotong otomatis. Tab Umur Hutang sangat berguna untuk perencanaan kas — manajer dapat melihat total kewajiban yang perlu disiapkan dalam 30 hari ke depan agar kelancaran rantai suplai terjaga. Tab Jatuh Tempo membantu staf treasury memprioritaskan pembayaran supplier yang paling mendesak untuk menghindari denda atau pemutusan layanan.</t>
  </si>
  <si>
    <t>Laporan Hutang &amp; Bangun Data Baru</t>
  </si>
  <si>
    <t>Meliputi: laporan transaksi hutang per supplier &amp; rentang tanggal; cetak bukti transaksi hutang; bangun data baru hutang untuk pergantian periode.</t>
  </si>
  <si>
    <t>Tab Buku Hutang, Belum Lunas, dan Telah Lunas tersedia di Perumda Ledger. Namun laporan transaksi hutang dengan filter lengkap (per supplier, No. Faktur, rentang tanggal) dan cetak bukti transaksi belum ada. Bangun Data Baru Hutang untuk perpindahan periode juga tidak tersedia. Ini perlu diperhatikan untuk keperluan tutup buku tahunan dan audit.</t>
  </si>
  <si>
    <t>BAGIAN V
Modul
Inventory</t>
  </si>
  <si>
    <t>Master Data Barang, Gudang &amp; Harga</t>
  </si>
  <si>
    <t>Meliputi: setup lokasi gudang (kode, nama, pelanggan konsinyasi); master data barang (kode, nama, golongan, satuan, harga, supplier); daftar harga per pelanggan/golongan; profil barang (berat, ROQ, packaging); proses ubah harga otomatis massal.</t>
  </si>
  <si>
    <t>Perumda Ledger memiliki modul Persediaan dengan tambah barang (kode, nama, satuan, harga satuan). Namun sebagian besar fitur master data inventory referensi belum dibangun: tidak ada multi-gudang/lokasi, tidak ada golongan barang, tidak ada profil barang lengkap (berat, packaging, ROQ), tidak ada daftar harga bertingkat per pelanggan/golongan, dan tidak ada mekanisme proses ubah harga massal. Ini membatasi Perumda Ledger sebagai sistem pencatatan stok sederhana, bukan sistem inventory management yang komprehensif.</t>
  </si>
  <si>
    <t>Mutasi Stok &amp; Peringatan Low Stock</t>
  </si>
  <si>
    <t>Meliputi: catat barang masuk (restock) dan keluar (pemakaian); saldo akhir otomatis; peringatan Low Stock merah jika stok &lt; batas minimum.</t>
  </si>
  <si>
    <t>Fitur mutasi stok (masuk/keluar) tersedia di modul Persediaan Perumda Ledger melalui tombol Edit Mutasi. Saldo akhir dihitung otomatis setiap ada perubahan. Peringatan 'Low Stock' berwarna merah muncul otomatis di kolom Status saat stok &lt; 10 satuan — berguna sebagai sinyal bagi tim pengadaan untuk segera memesan ke supplier. Namun ambang batas minimum bersifat tetap (10 satuan) dan belum bisa dikonfigurasi per barang.</t>
  </si>
  <si>
    <t>Modul Pembelian (PO, Penerimaan &amp; Retur)</t>
  </si>
  <si>
    <t>Meliputi: permintaan pembelian; pembelian kredit dari supplier; penerimaan barang ke gudang; retur pembelian; tabel akun jurnal pembelian otomatis; laporan transaksi pembelian &amp; laporan retur pembelian.</t>
  </si>
  <si>
    <t>Modul Pembelian secara keseluruhan tidak tersedia di Perumda Ledger v1.0. Dalam referensi Abipro, modul ini mencakup alur lengkap dari Permintaan Pembelian → Purchase Order → Penerimaan Barang → Jurnal Otomatis ke hutang dagang. Ketiadaan modul ini berarti setiap pembelian barang harus dicatat manual sebagai jurnal umum tanpa terhubung ke stok inventory, sehingga tidak ada rekonsiliasi otomatis antara barang yang diterima dengan hutang yang timbul.</t>
  </si>
  <si>
    <t>Modul Penjualan (SO, Penjualan Kredit/Tunai, Retur &amp; Konsinyasi)</t>
  </si>
  <si>
    <t>Meliputi: pesanan penjualan; penjualan kredit &amp; tunai; retur penjualan; penjualan konsinyasi ke pelanggan langganan; transfer barang antar lokasi gudang; surat jalan; tabel akun jurnal penjualan otomatis; laporan penjualan &amp; retur.</t>
  </si>
  <si>
    <t>Seluruh modul Penjualan tidak tersedia di Perumda Ledger v1.0. Referensi Abipro memiliki alur Pesanan Penjualan → Penjualan Kredit/Tunai → Penerimaan Pembayaran → Jurnal Otomatis ke piutang dagang. Termasuk fitur Penjualan Konsinyasi (khusus untuk barang dititipkan ke lokasi pelanggan) dan Transfer Antar Lokasi Gudang. Ketiadaan seluruh modul ini secara signifikan membatasi kemampuan Perumda Ledger dalam mengelola transaksi operasional inventaris secara end-to-end.</t>
  </si>
  <si>
    <t>Laporan Inventory, Stock Opname &amp; Proses Akhir Periode</t>
  </si>
  <si>
    <t>Meliputi: laporan kartu stok; laporan persediaan barang detail &amp; reorder; laporan pembelian/penjualan inventory; stock opname (penyesuaian fisik vs sistem); proses akhir periode &amp; akhir tahun inventory; bangun data baru inventory.</t>
  </si>
  <si>
    <t>Semua laporan inventory lanjutan dan proses tutup periode tidak tersedia. Perumda Ledger hanya menampilkan daftar saldo stok saat ini tanpa riwayat movement, tanpa analisa kartu stok, dan tanpa laporan pembelian/penjualan. Stock Opname (penyesuaian stok fisik vs sistem) dan proses tutup periode inventory juga tidak ada. Akibatnya, Perumda Ledger hanya cocok digunakan sebagai catatan stok sederhana, bukan sebagai sistem inventory management yang terintegrasi penuh.</t>
  </si>
  <si>
    <t>BAGIAN VI
Modul Giro</t>
  </si>
  <si>
    <t>Giro Masuk, Giro Keluar &amp; Laporan Giro</t>
  </si>
  <si>
    <t>Meliputi: input giro masuk dari pelanggan; setting rekening giro &amp; bank; proses jatuh tempo; cairkan giro; input giro keluar ke supplier; proses giro jatuh tempo; laporan giro masuk &amp; keluar (filter tanggal, No. Bukti, supplier/pelanggan, bank).</t>
  </si>
  <si>
    <t>Seluruh Modul Giro tidak tersedia di Perumda Ledger v1.0. Referensi Abipro memiliki alur pengelolaan cek/giro secara terpisah dari kas/bank: mulai dari penerimaan giro, pencatatan jatuh tempo, pencairan ke rekening bank, hingga laporan posisi giro yang belum cair. Di Perumda Ledger, pembayaran via giro/cek harus dicatat manual sebagai jurnal umum tanpa fitur monitoring jatuh tempo giro. Jika Perumda Pasar Banjarmasin secara aktif bertransaksi menggunakan giro/cek dari penyewa atau ke supplier, ini menjadi gap yang perlu diperhatikan.</t>
  </si>
  <si>
    <t>BAGIAN VII
Modul Produksi
&amp; Assembling</t>
  </si>
  <si>
    <t>Produksi: Induk Data, Rumus BOM, SPK, Assembling &amp; Laporan</t>
  </si>
  <si>
    <t>Meliputi: setup seksi produksi; rumus standard cost (bahan baku, konversi, overhead per barang jadi); rumus assembling &amp; disassembling; order produksi &amp; jadwal (SPK); input proses assembling/disassembling; laporan produksi; hitung ulang HPP; proses akhir periode &amp; akhir tahun produksi.</t>
  </si>
  <si>
    <t>Seluruh Modul Produksi tidak tersedia di Perumda Ledger v1.0. Modul ini relevan jika Perumda Pasar memiliki unit usaha yang melibatkan proses produksi atau perakitan barang. Referensi Abipro mencakup alur lengkap dari Bill of Materials (BOM) → Order Produksi (SPK) → Proses Assembling → Kalkulasi HPP Otomatis → Laporan Produksi. Jika Perumda Pasar Banjarmasin tidak memiliki aktivitas manufaktur/produksi, modul ini mungkin memang tidak diperlukan dan tidak menjadi gap kritis.</t>
  </si>
  <si>
    <t>BAGIAN VIII
Modul Abi
E-Faktur</t>
  </si>
  <si>
    <t>PPN Keluaran, PPN Masukan &amp; Export E-Faktur ke DJP</t>
  </si>
  <si>
    <t>Meliputi: setup pelanggan PKP; lihat data PPN keluaran dari transaksi penjualan; setup supplier PKP (NPWP); lihat data PPN masukan dari pembelian; export e-Faktur (diskon persen &amp; diskon rupiah) ke file CSV format DJP untuk upload ke aplikasi e-Faktur pajak.</t>
  </si>
  <si>
    <t>Modul E-Faktur/PPN sepenuhnya tidak tersedia di Perumda Ledger v1.0. Pengelolaan PPN di Perumda Ledger hanya sebatas konfigurasi tarif (misal 12%) di menu Pengaturan — tidak ada rekap PPN masukan/keluaran, tidak ada generate file CSV e-Faktur, dan tidak ada penyimpanan NPWP pelanggan/supplier untuk keperluan pajak. Jika Perumda Pasar Banjarmasin terdaftar sebagai Pengusaha Kena Pajak (PKP) dan wajib melaporkan faktur pajak ke DJP secara elektronik, modul ini menjadi kebutuhan penting yang perlu dibangun.</t>
  </si>
  <si>
    <t>BAGIAN IX
Modul Aktiva
Tetap</t>
  </si>
  <si>
    <t>Data Aset, Depresiasi SAK EP &amp; Laporan Aktiva Tetap</t>
  </si>
  <si>
    <t>Meliputi: setup golongan &amp; lokasi aset; input data aset (kode, nama, kategori, tanggal perolehan, nilai, umur manfaat); kalkulasi depresiasi garis lurus otomatis (SAK EP); rekap penyusutan per kategori; laporan aktiva tetap; ekspor Excel untuk auditor.</t>
  </si>
  <si>
    <t>Modul Aktiva Tetap Perumda Ledger dibangun dengan baik dan sesuai standar SAK EP Indonesia. Depresiasi garis lurus dikalkulasi otomatis berdasarkan tanggal perolehan dan umur manfaat — tidak perlu hitung manual tiap akhir tahun. Rekapan per Kategori (Tanah, Bangunan, Kendaraan, Peralatan) menampilkan total nilai perolehan, akumulasi penyusutan, dan nilai buku saat ini secara real-time. Ekspor Excel Rekap siap diserahkan ke auditor pajak. Kelebihan dibanding referensi: tampilan lebih modern dan intuitif. Kekurangan: setup golongan &amp; lokasi aset belum bisa dikonfigurasi mandiri (hanya opsi bawaan), dan tidak ada fitur proses generate jurnal penyusutan otomatis.</t>
  </si>
  <si>
    <t>Proses Jurnal Penyusutan &amp; Bangun Data Baru</t>
  </si>
  <si>
    <t>Meliputi: generate jurnal akuntansi otomatis dari nilai penyusutan bulanan (debit Beban Penyusutan, kredit Akum. Penyusutan); proses ke buku besar; bangun data baru aktiva tetap.</t>
  </si>
  <si>
    <t>Dua fitur lanjutan belum tersedia: (1) Generate Jurnal Penyusutan Otomatis — di Perumda Ledger, depresiasi dihitung di modul Aset Tetap namun tidak secara otomatis menghasilkan entri jurnal akuntansi. Pengguna harus membuat jurnal penyusutan secara manual di Jurnal Umum setiap akhir bulan (Debit: Beban Penyusutan; Kredit: Akumulasi Penyusutan), yang berpotensi terlewat jika tidak ada pengingat; (2) Bangun Data Baru Aktiva Tetap untuk reset data di awal tahun buku baru juga tidak tersedia.</t>
  </si>
  <si>
    <t>FITUR TAMBAHAN
(Dibangun Vendor,
Tidak Ada di
Referensi)</t>
  </si>
  <si>
    <t>Dashboard Eksekutif &amp; Monitoring BBM Prabayar</t>
  </si>
  <si>
    <t>Dashboard: KPI real-time (pendapatan, beban, laba/rugi, kas &amp; bank); grafik BBM Top-up vs Pemakaian 7 bulan; grafik Tren Beban; alert jurnal pending &amp; periode terkunci.
BBM Prabayar: manajemen deposit BBM solar per divisi; catat top-up; catat pemakaian; saldo volume real-time.</t>
  </si>
  <si>
    <t>Dashboard merupakan nilai tambah signifikan — memberikan ringkasan finansial visual satu layar untuk pimpinan, sangat relevan untuk kebutuhan manajemen Perumda. Modul BBM Prabayar adalah fitur spesifik operasional Perumda Pasar yang tidak ada di referensi umum Abipro. Pengelolaan kuota BBM kendaraan operasional secara prepaid sangat relevan untuk perusahaan dengan armada kendaraan aktif, membantu mencegah pemborosan dan memudahkan pertanggungjawaban konsumsi BBM per divisi.</t>
  </si>
  <si>
    <t>Anggaran vs Realisasi &amp; LRA (Laporan Realisasi Anggaran)</t>
  </si>
  <si>
    <t>Anggaran vs Realisasi: tetapkan pagu anggaran per akun; monitoring realisasi otomatis dari jurnal; progress bar hijau/kuning/merah (aman &lt;80%, waspada 80–95%, kritis &gt;95%); revisi plafon inline.
LRA: laporan formal Penerimaan, Investasi, Beban Ops, Beban Umum; format cetak berstandar LRA BUMD/SAK EP dengan kop surat resmi.</t>
  </si>
  <si>
    <t>Dua fitur ini merupakan keunggulan kunci Perumda Ledger untuk konteks BUMD. Monitoring Anggaran vs Realisasi dengan progress bar visual memudahkan direktur mendeteksi potensi kebocoran anggaran jauh sebelum akhir bulan tanpa perlu laporan manual dari staf. LRA merupakan kewajiban pelaporan BUMD ke Pemerintah Daerah — fitur ini memungkinkan Perumda mencetak laporan pertanggungjawaban berstandar SAK EP lengkap dengan kop surat resmi dalam hitungan menit, menggantikan proses penyusunan manual yang sebelumnya bisa memakan berhari-hari.</t>
  </si>
  <si>
    <t>Rekonsiliasi Bank &amp; Laporan Keuangan 25+ Varian</t>
  </si>
  <si>
    <t>Rekonsiliasi Bank: cocokkan saldo buku besar vs rekening koran; tambah item penyesuaian (biaya admin, bunga, dll.); clearance transaksi gantung; indikator selisih hijau/merah.
Laporan Keuangan: 25+ varian P&amp;L, Neraca, Neraca Saldo, HPP, Arus Kas, CALK, Analisis Rasio; ekspor Excel &amp; cetak PDF A4.</t>
  </si>
  <si>
    <t>Rekonsiliasi Bank tidak ada secara eksplisit di referensi Abipro namun sangat berguna: membantu staf akuntansi mencocokkan saldo buku besar dengan mutasi rekening koran bank secara sistematis, mengidentifikasi biaya admin bank yang terlewat, bunga deposito belum tercatat, atau transfer masuk yang belum dijurnal. Indikator selisih langsung menampilkan Nol (hijau) begitu semua perbedaan diselesaikan. Laporan Keuangan 25+ varian juga melebihi cakupan referensi, ditambah fitur Analisis Rasio Bisnis (likuiditas, solvabilitas, profitabilitas) yang berguna untuk evaluasi kinerja keuangan Perumda secara menyeluruh.</t>
  </si>
  <si>
    <t>BAGIAN X
Evaluasi &amp;
Permintaan
Divisi Keuangan</t>
  </si>
  <si>
    <t>Pengisian COA Sesuai Data Aktual Perumda</t>
  </si>
  <si>
    <t>Meliputi: input seluruh kode akun (Chart of Accounts) Perumda Pasar Banjarmasin ke dalam sistem sesuai dengan struktur COA resmi perumda; penomoran akun, nama akun, tipe akun (Posting/Parent), dan pengelompokan akun per kategori laporan keuangan (Aset, Kewajiban, Ekuitas, Pendapatan, Beban). Data acuan: sheet COA pada file Excel terlampir dari Divisi Keuangan.</t>
  </si>
  <si>
    <t>Seluruh Chart of Accounts (COA) Perumda Pasar Banjarmasin belum dimasukkan ke dalam sistem Perumda Ledger. Saat ini modul COA masih menggunakan data contoh/dummy dari vendor. Divisi Keuangan meminta agar semua kode akun sesuai dengan struktur COA resmi perumda — termasuk akun pendapatan retribusi, akun beban operasional pasar, akun kas/bank aktif, dan akun piutang sewa kios — diinput ke sistem sebelum proses trial error data riil dimulai. Data COA sudah tersedia dalam file Excel lampiran (sheet: COA) yang disiapkan Divisi Keuangan.</t>
  </si>
  <si>
    <t>Input Data Transaksi Jurnal Aktual Perumda untuk Uji Coba (Trial Error) Realtime</t>
  </si>
  <si>
    <t>Meliputi: penggunaan data transaksi jurnal nyata yang telah dilakukan Perumda Pasar Banjarmasin sebagai data uji coba di sistem; tujuannya agar proses trial error berlangsung dengan data riil sehingga tim Divisi Keuangan dapat langsung mengidentifikasi selisih, perbedaan, atau kesalahan pencatatan antara sistem lama dengan Perumda Ledger. Data acuan: sheet Jurnal pada file Excel terlampir yang berisi jurnal-jurnal aktual perumda.</t>
  </si>
  <si>
    <t>Data transaksi yang saat ini tersedia di Perumda Ledger masih berupa data dummy/simulasi dari vendor, bukan data jurnal aktual Perumda Pasar Banjarmasin. Divisi Keuangan meminta agar data transaksi jurnal riil perumda dimasukkan ke sistem sehingga proses uji coba dapat dilakukan secara realtime dan bermakna — memudahkan tim dalam menemukan selisih atau ketidaksesuaian antara pencatatan manual sebelumnya dengan hasil olah sistem. Data jurnal aktual sudah tersedia dalam file Excel lampiran (sheet: Jurnal) yang disiapkan Divisi Keuangan. Proses migrasi data ini merupakan prasyarat utama sebelum sistem dapat digunakan secara operasional penuh.</t>
  </si>
  <si>
    <t>Input Saldo Awal Tahun 2026 Berdasarkan Laporan Audited (LAI Perumda)</t>
  </si>
  <si>
    <t>Meliputi: pengisian saldo awal seluruh akun per 1 Januari 2026 berdasarkan saldo akhir Laporan Keuangan Audited tahun 2025 (Laporan Audit Independen/LAI Perumda); memastikan nilai Neraca awal yang tersaji di sistem sesuai dengan angka yang telah diaudit oleh Kantor Akuntan Publik (KAP), sehingga laporan keuangan yang dihasilkan sistem dapat dipertanggungjawabkan secara akuntansi dan akuntabel untuk pelaporan ke Pemda. Data acuan: dokumen PDF LAI Perumda yang telah disiapkan oleh Divisi Keuangan.</t>
  </si>
  <si>
    <t>Saldo awal tahun 2026 yang saat ini tersaji di Perumda Ledger belum disesuaikan dengan saldo akhir Laporan Audited (LAI) Perumda Pasar Banjarmasin tahun buku 2025. Hal ini berpotensi menyebabkan ketidaksesuaian antara laporan keuangan yang dihasilkan sistem dengan laporan resmi yang sudah diaudit, sehingga angka neraca awal tidak dapat dipertanggungjawabkan. Divisi Keuangan meminta agar seluruh saldo awal akun diinput berdasarkan nilai LAI 2025 sebelum sistem digunakan untuk pencatatan transaksi tahun 2026. Dokumen LAI dalam format PDF sudah disiapkan oleh Divisi Keuangan sebagai acuan.</t>
  </si>
  <si>
    <t>Input Data Aset Tetap &amp; Nilai Penyusutan Berdasarkan Nilai Audited (LAI Perumda)</t>
  </si>
  <si>
    <t>Meliputi: input data aset tetap Perumda (kode aset, nama aset, kategori/golongan, tanggal perolehan, nilai perolehan, akumulasi penyusutan s.d. 31 Desember 2025) berdasarkan angka yang telah diaudit dalam Laporan Audited (LAI) Perumda tahun 2025; sehingga nilai buku aset yang tersaji di modul Aktiva Tetap Perumda Ledger akurat dan sesuai standar SAK EP yang berlaku. Data acuan: dokumen PDF LAI Perumda yang telah disiapkan oleh Divisi Keuangan.</t>
  </si>
  <si>
    <t>Data aset tetap yang saat ini tersaji di modul Aktiva Tetap Perumda Ledger belum mencerminkan nilai aktual berdasarkan Laporan Audited (LAI) Perumda Pasar Banjarmasin 2025. Divisi Keuangan meminta agar seluruh data aset tetap — termasuk nilai perolehan, akumulasi penyusutan per 31 Desember 2025, dan nilai buku awal 2026 — diinput berdasarkan angka LAI yang sudah diaudit oleh KAP. Ketidaksesuaian data aset awal akan berdampak pada ketidakakuratan beban penyusutan bulanan yang dikalkulasi otomatis oleh sistem, serta ketidaksesuaian nilai aset di Neraca dengan laporan resmi. Dokumen LAI dalam format PDF sudah disiapkan oleh Divisi Keuangan sebagai acuan pengisian.</t>
  </si>
  <si>
    <t>Laporan Keuangan per Triwulan, Semester &amp; Tahunan (Periode Manajemen BUMD)</t>
  </si>
  <si>
    <t>Meliputi: kemampuan sistem menghasilkan laporan keuangan (P&amp;L, Neraca, LRA, Arus Kas) berdasarkan periode pelaporan manajemen BUMD: TW I (Januari–Maret), TW II (April–Juni), TW III (Juli–September), TW IV (Oktober–Desember), Semester I (Januari–Juni), Semester II (Juli–Desember), dan Laporan Tahunan (Januari–Desember). Filter periode ini diperlukan untuk memenuhi kewajiban pelaporan berkala Perumda kepada Pemerintah Daerah dan Dewan Pengawas.</t>
  </si>
  <si>
    <t>Perumda Ledger saat ini mendukung filter laporan berdasarkan bulan dan periode tertentu, namun belum menyediakan shortcut atau preset filter khusus untuk periode manajemen BUMD seperti Triwulan I–IV, Semester I–II, dan Laporan Tahunan dalam satu klik. Divisi Keuangan membutuhkan kemampuan ini untuk memenuhi kewajiban pelaporan berkala kepada Pemerintah Daerah (Pemda), Dewan Pengawas, dan DPRD — di mana laporan per triwulan dan semester merupakan format standar yang wajib disampaikan. Tanpa fitur ini, staf harus menyesuaikan filter tanggal secara manual setiap kali menyusun laporan, yang berpotensi menimbulkan kesalahan pemilihan periode dan memperlambat proses pelaporan. Fitur ini dapat diimplementasikan sebagai preset/shortcut periode di menu Laporan Keuangan.</t>
  </si>
  <si>
    <t>Kesiapan Divisi Keuangan Menyediakan Data Tambahan (Hutang, Kerjasama, dll.)</t>
  </si>
  <si>
    <t>Meliputi: kesediaan Divisi Keuangan Perumda Pasar Banjarmasin untuk menyiapkan dan menyerahkan data-data tambahan yang diperlukan sistem di luar data yang telah terlampir sebelumnya, seperti: daftar hutang dagang/hutang bank aktif, data perjanjian kerjasama (MOU/PKS) dengan pihak ketiga, data piutang sewa kios, data pegawai untuk analitik biaya SDM, dan data operasional lainnya yang relevan dengan modul-modul yang akan dikembangkan.</t>
  </si>
  <si>
    <t>Divisi Keuangan Perumda Pasar Banjarmasin menyatakan kesiapan penuh untuk menyediakan data-data tambahan yang dibutuhkan sistem di luar lampiran yang sudah disiapkan sebelumnya. Contoh data yang siap disediakan antara lain: data hutang aktif ke supplier/perbankan, data perjanjian kerjasama dengan pihak ketiga (MOU/PKS), data piutang sewa kios per penyewa, serta data pendukung operasional lainnya. Ini merupakan sinyal positif bahwa implementasi sistem dapat berjalan lancar dari sisi ketersediaan data. Vendor/tim implementasi disarankan untuk segera mengkomunikasikan daftar lengkap data yang dibutuhkan kepada Divisi Keuangan agar proses pengumpulan dan validasi data dapat dimulai sesegera mungkin.</t>
  </si>
  <si>
    <t>RINGKASAN STATISTIK EVALUASI MODUL</t>
  </si>
  <si>
    <t>Total fitur dievaluasi: 36  |  Sumber: Sheet 'Perbandingan Modul' kolom E</t>
  </si>
  <si>
    <t>Jumlah Fitur</t>
  </si>
  <si>
    <t>Persentase</t>
  </si>
  <si>
    <t>Keterangan</t>
  </si>
  <si>
    <t>Fitur sepenuhnya dibangun dan berfungsi sesuai kebutuhan</t>
  </si>
  <si>
    <t>Fitur ada namun belum selengkap referensi — perlu pengembangan</t>
  </si>
  <si>
    <t>Fitur tidak tersedia sama sekali di Perumda Ledger v1.0</t>
  </si>
  <si>
    <t>Dibangun vendor, tidak diminta di referensi — nilai tambah</t>
  </si>
  <si>
    <t>TOTAL SELURUH FITUR</t>
  </si>
  <si>
    <t>100%</t>
  </si>
  <si>
    <t>Total seluruh fitur yang dievaluasi dalam dokumen ini</t>
  </si>
  <si>
    <t>BREAKDOWN PER BAGIAN / MODUL</t>
  </si>
  <si>
    <t>Total</t>
  </si>
  <si>
    <t>BAGIAN I</t>
  </si>
  <si>
    <t>BAGIAN II</t>
  </si>
  <si>
    <t>BAGIAN III</t>
  </si>
  <si>
    <t>BAGIAN IV</t>
  </si>
  <si>
    <t>BAGIAN V</t>
  </si>
  <si>
    <t>BAGIAN VI</t>
  </si>
  <si>
    <t>BAGIAN VII</t>
  </si>
  <si>
    <t>BAGIAN VIII</t>
  </si>
  <si>
    <t>BAGIAN IX</t>
  </si>
  <si>
    <t>FITUR TAMBAHAN</t>
  </si>
  <si>
    <t>BAGIAN X (Evaluasi Div. Keuangan)</t>
  </si>
  <si>
    <t>Input Nilai Anggaran/Target Sesuai Anggaran Perumda &amp; Kelengkapan Menu Realisasi</t>
  </si>
  <si>
    <t>Meliputi: input pagu anggaran (target) per akun sesuai Rencana Kerja Anggaran (RKA) resmi Perumda untuk tahun berjalan (2026); tersedianya tampilan realisasi bulan sebelumnya, realisasi bulan ini, serta realisasi kumulatif dari awal hingga akhir bulan ini. Data acuan: sheet Penerimaan, Investasi, Beban Umum, dan Beban Operasional pada file Excel terlampir. Kategori anggaran: Pendapatan/Penerimaan, Investasi, Beban Umum &amp; Administrasi, Beban Operasional.</t>
  </si>
  <si>
    <t>Menu Anggaran vs Realisasi sudah tersedia di Perumda Ledger dan mampu menampilkan monitoring penyerapan anggaran. Namun nilai pagu anggaran yang diinput saat ini belum sesuai dengan angka resmi RKA Perumda Pasar Banjarmasin 2026. Selain itu, tampilan realisasi masih terbatas — Divisi Keuangan membutuhkan tiga dimensi waktu secara bersamaan: (1) Realisasi bulan sebelumnya (perbandingan historis); (2) Realisasi bulan ini (periode berjalan); (3) Realisasi kumulatif awal–akhir bulan ini (YTD). Data anggaran per kategori sudah disiapkan dalam file Excel lampiran (sheet: Penerimaan, Investasi, Beban Umum, Beban Operasional).</t>
  </si>
  <si>
    <t>Evaluasi &amp; Pertanyaan Divisi Keuangan</t>
  </si>
  <si>
    <t xml:space="preserve"> Sebagian</t>
  </si>
  <si>
    <t>Belum Dibuat</t>
  </si>
  <si>
    <t>Sudah Dibuat</t>
  </si>
  <si>
    <t>Fitur Tambahan</t>
  </si>
  <si>
    <t>Sebagian</t>
  </si>
  <si>
    <t>Sudah</t>
  </si>
  <si>
    <t xml:space="preserve"> Belum</t>
  </si>
  <si>
    <t>Tambahan</t>
  </si>
  <si>
    <t>Referensi: Flowchart Aplikasi Keuangan Perumda – (373 hal.)  |  Vendor: Jevon – Perumda Ledger v1.0  |  Evaluasi: Mei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</si>
</sst>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charset val="1"/>
    </font>
    <font>
      <b/>
      <sz val="15"/>
      <color rgb="FFFFFFFF"/>
      <name val="Calibri"/>
      <family val="2"/>
    </font>
    <font>
      <i/>
      <sz val="9"/>
      <color rgb="FFFFFFFF"/>
      <name val="Calibri"/>
      <family val="2"/>
    </font>
    <font>
      <i/>
      <sz val="8"/>
      <color rgb="FF1A3A5C"/>
      <name val="Calibri"/>
      <family val="2"/>
    </font>
    <font>
      <b/>
      <sz val="10"/>
      <color rgb="FFFFFFFF"/>
      <name val="Calibri"/>
      <family val="2"/>
    </font>
    <font>
      <b/>
      <sz val="10"/>
      <color rgb="FF1A3A5C"/>
      <name val="Calibri"/>
      <family val="2"/>
    </font>
    <font>
      <b/>
      <sz val="9"/>
      <color rgb="FF1A3A5C"/>
      <name val="Calibri"/>
      <family val="2"/>
    </font>
    <font>
      <b/>
      <sz val="9"/>
      <color rgb="FF1A1A1A"/>
      <name val="Calibri"/>
      <family val="2"/>
    </font>
    <font>
      <sz val="9"/>
      <color rgb="FF2D3748"/>
      <name val="Calibri"/>
      <family val="2"/>
    </font>
    <font>
      <b/>
      <sz val="9"/>
      <color rgb="FF7A5C00"/>
      <name val="Calibri"/>
      <family val="2"/>
    </font>
    <font>
      <sz val="9"/>
      <color rgb="FF374151"/>
      <name val="Calibri"/>
      <family val="2"/>
    </font>
    <font>
      <b/>
      <sz val="9"/>
      <color rgb="FF9C0006"/>
      <name val="Calibri"/>
      <family val="2"/>
    </font>
    <font>
      <b/>
      <sz val="9"/>
      <color rgb="FF276221"/>
      <name val="Calibri"/>
      <family val="2"/>
    </font>
    <font>
      <b/>
      <sz val="9"/>
      <color rgb="FF4A235A"/>
      <name val="Calibri"/>
      <family val="2"/>
    </font>
    <font>
      <b/>
      <sz val="10"/>
      <name val="Cambria"/>
      <family val="1"/>
    </font>
    <font>
      <b/>
      <sz val="9"/>
      <name val="Cambria"/>
      <family val="1"/>
    </font>
    <font>
      <sz val="9"/>
      <name val="Cambria"/>
      <family val="1"/>
    </font>
    <font>
      <b/>
      <sz val="13"/>
      <color rgb="FFFFFFFF"/>
      <name val="Calibri"/>
      <family val="2"/>
    </font>
    <font>
      <b/>
      <sz val="10"/>
      <color rgb="FF276221"/>
      <name val="Calibri"/>
      <family val="2"/>
    </font>
    <font>
      <sz val="9"/>
      <color rgb="FF000000"/>
      <name val="Calibri"/>
      <family val="2"/>
    </font>
    <font>
      <b/>
      <sz val="10"/>
      <color rgb="FF7A5C00"/>
      <name val="Calibri"/>
      <family val="2"/>
    </font>
    <font>
      <b/>
      <sz val="10"/>
      <color rgb="FF9C0006"/>
      <name val="Calibri"/>
      <family val="2"/>
    </font>
    <font>
      <b/>
      <sz val="10"/>
      <color rgb="FF4A235A"/>
      <name val="Calibri"/>
      <family val="2"/>
    </font>
    <font>
      <sz val="9"/>
      <color rgb="FFFFFFFF"/>
      <name val="Calibri"/>
      <family val="2"/>
    </font>
    <font>
      <b/>
      <sz val="11"/>
      <color rgb="FF1A3A5C"/>
      <name val="Calibri"/>
      <family val="2"/>
    </font>
    <font>
      <b/>
      <sz val="9"/>
      <color rgb="FFFFFFFF"/>
      <name val="Calibri"/>
      <family val="2"/>
    </font>
    <font>
      <sz val="9"/>
      <name val="Calibri"/>
      <family val="2"/>
    </font>
    <font>
      <b/>
      <sz val="9"/>
      <name val="Calibri"/>
      <family val="2"/>
    </font>
    <font>
      <b/>
      <sz val="12"/>
      <color theme="0"/>
      <name val="Calibri"/>
      <family val="2"/>
    </font>
    <font>
      <i/>
      <sz val="11"/>
      <color rgb="FFFFFFFF"/>
      <name val="Calibri"/>
      <family val="2"/>
    </font>
  </fonts>
  <fills count="16">
    <fill>
      <patternFill patternType="none"/>
    </fill>
    <fill>
      <patternFill patternType="gray125"/>
    </fill>
    <fill>
      <patternFill patternType="solid">
        <fgColor rgb="FF1A3A5C"/>
        <bgColor rgb="FF2D3748"/>
      </patternFill>
    </fill>
    <fill>
      <patternFill patternType="solid">
        <fgColor rgb="FF2E5FA3"/>
        <bgColor rgb="FF3366FF"/>
      </patternFill>
    </fill>
    <fill>
      <patternFill patternType="solid">
        <fgColor rgb="FFE8F0FB"/>
        <bgColor rgb="FFF0F6FC"/>
      </patternFill>
    </fill>
    <fill>
      <patternFill patternType="solid">
        <fgColor rgb="FFFFFFFF"/>
        <bgColor rgb="FFF9FAFB"/>
      </patternFill>
    </fill>
    <fill>
      <patternFill patternType="solid">
        <fgColor rgb="FFD6E4F7"/>
        <bgColor rgb="FFE2D5F8"/>
      </patternFill>
    </fill>
    <fill>
      <patternFill patternType="solid">
        <fgColor rgb="FFFFEB9C"/>
        <bgColor rgb="FFFCE4D6"/>
      </patternFill>
    </fill>
    <fill>
      <patternFill patternType="solid">
        <fgColor rgb="FFF0F6FC"/>
        <bgColor rgb="FFF5F5F5"/>
      </patternFill>
    </fill>
    <fill>
      <patternFill patternType="solid">
        <fgColor rgb="FFFFC7CE"/>
        <bgColor rgb="FFFCE4D6"/>
      </patternFill>
    </fill>
    <fill>
      <patternFill patternType="solid">
        <fgColor rgb="FFC6EFCE"/>
        <bgColor rgb="FFD6E4F7"/>
      </patternFill>
    </fill>
    <fill>
      <patternFill patternType="solid">
        <fgColor rgb="FFE2D5F8"/>
        <bgColor rgb="FFD6E4F7"/>
      </patternFill>
    </fill>
    <fill>
      <patternFill patternType="solid">
        <fgColor rgb="FFFCE4D6"/>
        <bgColor rgb="FFF5F5F5"/>
      </patternFill>
    </fill>
    <fill>
      <patternFill patternType="solid">
        <fgColor rgb="FFF9FAFB"/>
        <bgColor rgb="FFF5F5F5"/>
      </patternFill>
    </fill>
    <fill>
      <patternFill patternType="solid">
        <fgColor rgb="FFF5F5F5"/>
        <bgColor rgb="FFF0F6FC"/>
      </patternFill>
    </fill>
    <fill>
      <patternFill patternType="solid">
        <fgColor theme="3" tint="-0.249977111117893"/>
        <bgColor indexed="64"/>
      </patternFill>
    </fill>
  </fills>
  <borders count="6">
    <border>
      <left/>
      <right/>
      <top/>
      <bottom/>
      <diagonal/>
    </border>
    <border>
      <left style="medium">
        <color rgb="FFAAAAAA"/>
      </left>
      <right style="medium">
        <color rgb="FFAAAAAA"/>
      </right>
      <top style="medium">
        <color rgb="FFAAAAAA"/>
      </top>
      <bottom style="medium">
        <color rgb="FFAAAAAA"/>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59">
    <xf numFmtId="0" fontId="0" fillId="0" borderId="0" xfId="0"/>
    <xf numFmtId="0" fontId="4" fillId="2"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9" fillId="7" borderId="2" xfId="0" applyFont="1" applyFill="1" applyBorder="1" applyAlignment="1">
      <alignment horizontal="center" vertical="center" wrapText="1"/>
    </xf>
    <xf numFmtId="0" fontId="10" fillId="5" borderId="2" xfId="0" applyFont="1" applyFill="1" applyBorder="1" applyAlignment="1">
      <alignment horizontal="left" vertical="center" wrapText="1"/>
    </xf>
    <xf numFmtId="0" fontId="5"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1" fillId="9"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4" fillId="5" borderId="2" xfId="0" applyFont="1" applyFill="1" applyBorder="1" applyAlignment="1">
      <alignment horizontal="center" vertical="top" wrapText="1"/>
    </xf>
    <xf numFmtId="0" fontId="15" fillId="12" borderId="2" xfId="0" applyFont="1" applyFill="1" applyBorder="1" applyAlignment="1">
      <alignment horizontal="center" vertical="top" wrapText="1"/>
    </xf>
    <xf numFmtId="0" fontId="15" fillId="5" borderId="2" xfId="0" applyFont="1" applyFill="1" applyBorder="1" applyAlignment="1">
      <alignment vertical="top" wrapText="1"/>
    </xf>
    <xf numFmtId="0" fontId="16" fillId="5" borderId="2" xfId="0" applyFont="1" applyFill="1" applyBorder="1" applyAlignment="1">
      <alignment vertical="top" wrapText="1"/>
    </xf>
    <xf numFmtId="0" fontId="18" fillId="10" borderId="2" xfId="0" applyFont="1" applyFill="1" applyBorder="1" applyAlignment="1">
      <alignment horizontal="left" vertical="center"/>
    </xf>
    <xf numFmtId="0" fontId="18" fillId="10" borderId="2" xfId="0" applyFont="1" applyFill="1" applyBorder="1" applyAlignment="1">
      <alignment horizontal="center" vertical="center"/>
    </xf>
    <xf numFmtId="164" fontId="18" fillId="10" borderId="2" xfId="0" applyNumberFormat="1" applyFont="1" applyFill="1" applyBorder="1" applyAlignment="1">
      <alignment horizontal="center" vertical="center"/>
    </xf>
    <xf numFmtId="0" fontId="19" fillId="13" borderId="2" xfId="0" applyFont="1" applyFill="1" applyBorder="1" applyAlignment="1">
      <alignment horizontal="left" vertical="center" wrapText="1"/>
    </xf>
    <xf numFmtId="0" fontId="20" fillId="7" borderId="2" xfId="0" applyFont="1" applyFill="1" applyBorder="1" applyAlignment="1">
      <alignment horizontal="left" vertical="center"/>
    </xf>
    <xf numFmtId="0" fontId="20" fillId="7" borderId="2" xfId="0" applyFont="1" applyFill="1" applyBorder="1" applyAlignment="1">
      <alignment horizontal="center" vertical="center"/>
    </xf>
    <xf numFmtId="164" fontId="20" fillId="7" borderId="2" xfId="0" applyNumberFormat="1" applyFont="1" applyFill="1" applyBorder="1" applyAlignment="1">
      <alignment horizontal="center" vertical="center"/>
    </xf>
    <xf numFmtId="0" fontId="21" fillId="9" borderId="2" xfId="0" applyFont="1" applyFill="1" applyBorder="1" applyAlignment="1">
      <alignment horizontal="left" vertical="center"/>
    </xf>
    <xf numFmtId="0" fontId="21" fillId="9" borderId="2" xfId="0" applyFont="1" applyFill="1" applyBorder="1" applyAlignment="1">
      <alignment horizontal="center" vertical="center"/>
    </xf>
    <xf numFmtId="164" fontId="21" fillId="9" borderId="2" xfId="0" applyNumberFormat="1" applyFont="1" applyFill="1" applyBorder="1" applyAlignment="1">
      <alignment horizontal="center" vertical="center"/>
    </xf>
    <xf numFmtId="0" fontId="22" fillId="11" borderId="2" xfId="0" applyFont="1" applyFill="1" applyBorder="1" applyAlignment="1">
      <alignment horizontal="left" vertical="center"/>
    </xf>
    <xf numFmtId="0" fontId="22" fillId="11" borderId="2" xfId="0" applyFont="1" applyFill="1" applyBorder="1" applyAlignment="1">
      <alignment horizontal="center" vertical="center"/>
    </xf>
    <xf numFmtId="164" fontId="22" fillId="11" borderId="2" xfId="0" applyNumberFormat="1"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xf>
    <xf numFmtId="0" fontId="23" fillId="2" borderId="1" xfId="0" applyFont="1" applyFill="1" applyBorder="1" applyAlignment="1">
      <alignment horizontal="left" vertical="center"/>
    </xf>
    <xf numFmtId="0" fontId="24" fillId="0" borderId="0" xfId="0" applyFont="1"/>
    <xf numFmtId="0" fontId="25" fillId="2" borderId="2" xfId="0" applyFont="1" applyFill="1" applyBorder="1" applyAlignment="1">
      <alignment horizontal="center" vertical="center" wrapText="1"/>
    </xf>
    <xf numFmtId="0" fontId="26" fillId="14" borderId="2" xfId="0" applyFont="1" applyFill="1" applyBorder="1" applyAlignment="1">
      <alignment horizontal="left" vertical="center" wrapText="1"/>
    </xf>
    <xf numFmtId="0" fontId="26" fillId="10" borderId="2"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26" fillId="9" borderId="2"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7" fillId="14" borderId="2" xfId="0" applyFont="1" applyFill="1" applyBorder="1" applyAlignment="1">
      <alignment horizontal="center" vertical="center" wrapText="1"/>
    </xf>
    <xf numFmtId="0" fontId="15" fillId="12" borderId="2" xfId="0" applyFont="1" applyFill="1" applyBorder="1" applyAlignment="1">
      <alignment horizontal="left" vertical="top" wrapText="1"/>
    </xf>
    <xf numFmtId="0" fontId="16" fillId="5" borderId="2" xfId="0" applyFont="1" applyFill="1" applyBorder="1" applyAlignment="1">
      <alignment horizontal="center" vertical="top"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left" vertical="center" wrapText="1"/>
    </xf>
    <xf numFmtId="0" fontId="8" fillId="0" borderId="3" xfId="0" applyFont="1" applyBorder="1" applyAlignment="1">
      <alignment horizontal="left" vertical="center" wrapText="1"/>
    </xf>
    <xf numFmtId="0" fontId="13" fillId="0" borderId="3" xfId="0" applyFont="1" applyBorder="1" applyAlignment="1">
      <alignment horizontal="center" vertical="center" wrapText="1"/>
    </xf>
    <xf numFmtId="0" fontId="10" fillId="0" borderId="3" xfId="0" applyFont="1" applyBorder="1" applyAlignment="1">
      <alignment horizontal="left" vertical="center" wrapText="1"/>
    </xf>
    <xf numFmtId="0" fontId="1" fillId="2" borderId="0" xfId="0" applyFont="1" applyFill="1" applyAlignment="1">
      <alignment horizontal="center" vertical="center"/>
    </xf>
    <xf numFmtId="0" fontId="29" fillId="3" borderId="0" xfId="0" applyFont="1" applyFill="1" applyAlignment="1">
      <alignment horizontal="center" vertical="center"/>
    </xf>
    <xf numFmtId="0" fontId="3" fillId="4" borderId="0" xfId="0" applyFont="1" applyFill="1" applyAlignment="1">
      <alignment horizontal="left" vertical="center" wrapText="1"/>
    </xf>
    <xf numFmtId="0" fontId="28" fillId="15" borderId="4" xfId="0" applyFont="1" applyFill="1" applyBorder="1" applyAlignment="1">
      <alignment horizontal="center" vertical="center" wrapText="1"/>
    </xf>
    <xf numFmtId="0" fontId="28" fillId="15" borderId="3" xfId="0" applyFont="1" applyFill="1" applyBorder="1" applyAlignment="1">
      <alignment horizontal="center" vertical="center" wrapText="1"/>
    </xf>
    <xf numFmtId="0" fontId="28" fillId="15" borderId="5" xfId="0" applyFont="1" applyFill="1" applyBorder="1" applyAlignment="1">
      <alignment horizontal="center" vertical="center" wrapText="1"/>
    </xf>
    <xf numFmtId="0" fontId="17"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7D6608"/>
      <rgbColor rgb="FF800080"/>
      <rgbColor rgb="FF008080"/>
      <rgbColor rgb="FFD6E4F7"/>
      <rgbColor rgb="FF808080"/>
      <rgbColor rgb="FF9999FF"/>
      <rgbColor rgb="FF993366"/>
      <rgbColor rgb="FFF9FAFB"/>
      <rgbColor rgb="FFE8F0FB"/>
      <rgbColor rgb="FF4A235A"/>
      <rgbColor rgb="FFFF8080"/>
      <rgbColor rgb="FF2E5FA3"/>
      <rgbColor rgb="FFE2D5F8"/>
      <rgbColor rgb="FF000080"/>
      <rgbColor rgb="FFFF00FF"/>
      <rgbColor rgb="FFFFFF00"/>
      <rgbColor rgb="FF00FFFF"/>
      <rgbColor rgb="FF800080"/>
      <rgbColor rgb="FF800000"/>
      <rgbColor rgb="FF008080"/>
      <rgbColor rgb="FF0000FF"/>
      <rgbColor rgb="FF00CCFF"/>
      <rgbColor rgb="FFF0F6FC"/>
      <rgbColor rgb="FFC6EFCE"/>
      <rgbColor rgb="FFFFEB9C"/>
      <rgbColor rgb="FFF5F5F5"/>
      <rgbColor rgb="FFFCE4D6"/>
      <rgbColor rgb="FFCC99FF"/>
      <rgbColor rgb="FFFFC7CE"/>
      <rgbColor rgb="FF3366FF"/>
      <rgbColor rgb="FF33CCCC"/>
      <rgbColor rgb="FF99CC00"/>
      <rgbColor rgb="FFFFCC00"/>
      <rgbColor rgb="FFFF9900"/>
      <rgbColor rgb="FFFF6600"/>
      <rgbColor rgb="FF666699"/>
      <rgbColor rgb="FFAAAAAA"/>
      <rgbColor rgb="FF1A3A5C"/>
      <rgbColor rgb="FF339966"/>
      <rgbColor rgb="FF375623"/>
      <rgbColor rgb="FF1A1A1A"/>
      <rgbColor rgb="FF7A5C00"/>
      <rgbColor rgb="FF993366"/>
      <rgbColor rgb="FF374151"/>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zoomScale="125" zoomScaleNormal="100" workbookViewId="0">
      <pane ySplit="5" topLeftCell="A40" activePane="bottomLeft" state="frozen"/>
      <selection pane="bottomLeft" activeCell="C40" sqref="C40"/>
    </sheetView>
  </sheetViews>
  <sheetFormatPr defaultColWidth="8.6640625" defaultRowHeight="14.25" x14ac:dyDescent="0.45"/>
  <cols>
    <col min="1" max="1" width="5" customWidth="1"/>
    <col min="2" max="2" width="20" customWidth="1"/>
    <col min="3" max="3" width="35" customWidth="1"/>
    <col min="4" max="4" width="48" customWidth="1"/>
    <col min="5" max="5" width="17.6640625" customWidth="1"/>
    <col min="6" max="6" width="55" customWidth="1"/>
  </cols>
  <sheetData>
    <row r="1" spans="1:6" ht="39.75" customHeight="1" x14ac:dyDescent="0.45">
      <c r="A1" s="51" t="s">
        <v>0</v>
      </c>
      <c r="B1" s="51"/>
      <c r="C1" s="51"/>
      <c r="D1" s="51"/>
      <c r="E1" s="51"/>
      <c r="F1" s="51"/>
    </row>
    <row r="2" spans="1:6" ht="18" customHeight="1" x14ac:dyDescent="0.45">
      <c r="A2" s="52" t="s">
        <v>160</v>
      </c>
      <c r="B2" s="52"/>
      <c r="C2" s="52"/>
      <c r="D2" s="52"/>
      <c r="E2" s="52"/>
      <c r="F2" s="52"/>
    </row>
    <row r="3" spans="1:6" ht="21.75" customHeight="1" x14ac:dyDescent="0.45">
      <c r="A3" s="53"/>
      <c r="B3" s="53"/>
      <c r="C3" s="53"/>
      <c r="D3" s="53"/>
      <c r="E3" s="53"/>
      <c r="F3" s="53"/>
    </row>
    <row r="4" spans="1:6" ht="4.5" customHeight="1" x14ac:dyDescent="0.45"/>
    <row r="5" spans="1:6" ht="36" customHeight="1" x14ac:dyDescent="0.45">
      <c r="A5" s="1" t="s">
        <v>1</v>
      </c>
      <c r="B5" s="1" t="s">
        <v>2</v>
      </c>
      <c r="C5" s="1" t="s">
        <v>3</v>
      </c>
      <c r="D5" s="1" t="s">
        <v>4</v>
      </c>
      <c r="E5" s="1" t="s">
        <v>5</v>
      </c>
      <c r="F5" s="1" t="s">
        <v>6</v>
      </c>
    </row>
    <row r="6" spans="1:6" ht="99.75" customHeight="1" x14ac:dyDescent="0.45">
      <c r="A6" s="2">
        <v>1</v>
      </c>
      <c r="B6" s="3" t="s">
        <v>7</v>
      </c>
      <c r="C6" s="4" t="s">
        <v>8</v>
      </c>
      <c r="D6" s="5" t="s">
        <v>9</v>
      </c>
      <c r="E6" s="6" t="s">
        <v>152</v>
      </c>
      <c r="F6" s="7" t="s">
        <v>10</v>
      </c>
    </row>
    <row r="7" spans="1:6" ht="99.75" customHeight="1" x14ac:dyDescent="0.45">
      <c r="A7" s="8">
        <v>2</v>
      </c>
      <c r="B7" s="3" t="s">
        <v>7</v>
      </c>
      <c r="C7" s="9" t="s">
        <v>11</v>
      </c>
      <c r="D7" s="10" t="s">
        <v>12</v>
      </c>
      <c r="E7" s="6" t="s">
        <v>152</v>
      </c>
      <c r="F7" s="11" t="s">
        <v>13</v>
      </c>
    </row>
    <row r="8" spans="1:6" ht="99.75" customHeight="1" x14ac:dyDescent="0.45">
      <c r="A8" s="2">
        <v>3</v>
      </c>
      <c r="B8" s="3" t="s">
        <v>14</v>
      </c>
      <c r="C8" s="4" t="s">
        <v>15</v>
      </c>
      <c r="D8" s="5" t="s">
        <v>16</v>
      </c>
      <c r="E8" s="6" t="s">
        <v>152</v>
      </c>
      <c r="F8" s="7" t="s">
        <v>17</v>
      </c>
    </row>
    <row r="9" spans="1:6" ht="99.75" customHeight="1" x14ac:dyDescent="0.45">
      <c r="A9" s="8">
        <v>4</v>
      </c>
      <c r="B9" s="3" t="s">
        <v>14</v>
      </c>
      <c r="C9" s="9" t="s">
        <v>18</v>
      </c>
      <c r="D9" s="10" t="s">
        <v>19</v>
      </c>
      <c r="E9" s="12" t="s">
        <v>153</v>
      </c>
      <c r="F9" s="11" t="s">
        <v>20</v>
      </c>
    </row>
    <row r="10" spans="1:6" ht="99.75" customHeight="1" x14ac:dyDescent="0.45">
      <c r="A10" s="2">
        <v>5</v>
      </c>
      <c r="B10" s="3" t="s">
        <v>14</v>
      </c>
      <c r="C10" s="4" t="s">
        <v>21</v>
      </c>
      <c r="D10" s="5" t="s">
        <v>22</v>
      </c>
      <c r="E10" s="13" t="s">
        <v>154</v>
      </c>
      <c r="F10" s="7" t="s">
        <v>23</v>
      </c>
    </row>
    <row r="11" spans="1:6" ht="99.75" customHeight="1" x14ac:dyDescent="0.45">
      <c r="A11" s="8">
        <v>6</v>
      </c>
      <c r="B11" s="3" t="s">
        <v>14</v>
      </c>
      <c r="C11" s="9" t="s">
        <v>24</v>
      </c>
      <c r="D11" s="10" t="s">
        <v>25</v>
      </c>
      <c r="E11" s="13" t="s">
        <v>154</v>
      </c>
      <c r="F11" s="11" t="s">
        <v>26</v>
      </c>
    </row>
    <row r="12" spans="1:6" ht="99.75" customHeight="1" x14ac:dyDescent="0.45">
      <c r="A12" s="2">
        <v>7</v>
      </c>
      <c r="B12" s="3" t="s">
        <v>14</v>
      </c>
      <c r="C12" s="4" t="s">
        <v>27</v>
      </c>
      <c r="D12" s="5" t="s">
        <v>28</v>
      </c>
      <c r="E12" s="13" t="s">
        <v>154</v>
      </c>
      <c r="F12" s="7" t="s">
        <v>29</v>
      </c>
    </row>
    <row r="13" spans="1:6" ht="99.75" customHeight="1" x14ac:dyDescent="0.45">
      <c r="A13" s="8">
        <v>8</v>
      </c>
      <c r="B13" s="3" t="s">
        <v>14</v>
      </c>
      <c r="C13" s="9" t="s">
        <v>30</v>
      </c>
      <c r="D13" s="10" t="s">
        <v>31</v>
      </c>
      <c r="E13" s="13" t="s">
        <v>154</v>
      </c>
      <c r="F13" s="11" t="s">
        <v>32</v>
      </c>
    </row>
    <row r="14" spans="1:6" ht="99.75" customHeight="1" x14ac:dyDescent="0.45">
      <c r="A14" s="2">
        <v>9</v>
      </c>
      <c r="B14" s="3" t="s">
        <v>14</v>
      </c>
      <c r="C14" s="4" t="s">
        <v>33</v>
      </c>
      <c r="D14" s="5" t="s">
        <v>34</v>
      </c>
      <c r="E14" s="6" t="s">
        <v>152</v>
      </c>
      <c r="F14" s="7" t="s">
        <v>35</v>
      </c>
    </row>
    <row r="15" spans="1:6" ht="99.75" customHeight="1" x14ac:dyDescent="0.45">
      <c r="A15" s="8">
        <v>10</v>
      </c>
      <c r="B15" s="3" t="s">
        <v>14</v>
      </c>
      <c r="C15" s="9" t="s">
        <v>36</v>
      </c>
      <c r="D15" s="10" t="s">
        <v>37</v>
      </c>
      <c r="E15" s="6" t="s">
        <v>152</v>
      </c>
      <c r="F15" s="11" t="s">
        <v>38</v>
      </c>
    </row>
    <row r="16" spans="1:6" ht="99.75" customHeight="1" x14ac:dyDescent="0.45">
      <c r="A16" s="2">
        <v>11</v>
      </c>
      <c r="B16" s="3" t="s">
        <v>39</v>
      </c>
      <c r="C16" s="4" t="s">
        <v>40</v>
      </c>
      <c r="D16" s="5" t="s">
        <v>41</v>
      </c>
      <c r="E16" s="6" t="s">
        <v>152</v>
      </c>
      <c r="F16" s="7" t="s">
        <v>42</v>
      </c>
    </row>
    <row r="17" spans="1:6" ht="99.75" customHeight="1" x14ac:dyDescent="0.45">
      <c r="A17" s="8">
        <v>12</v>
      </c>
      <c r="B17" s="3" t="s">
        <v>39</v>
      </c>
      <c r="C17" s="9" t="s">
        <v>43</v>
      </c>
      <c r="D17" s="10" t="s">
        <v>44</v>
      </c>
      <c r="E17" s="13" t="s">
        <v>154</v>
      </c>
      <c r="F17" s="11" t="s">
        <v>45</v>
      </c>
    </row>
    <row r="18" spans="1:6" ht="99.75" customHeight="1" x14ac:dyDescent="0.45">
      <c r="A18" s="2">
        <v>13</v>
      </c>
      <c r="B18" s="3" t="s">
        <v>39</v>
      </c>
      <c r="C18" s="4" t="s">
        <v>46</v>
      </c>
      <c r="D18" s="5" t="s">
        <v>47</v>
      </c>
      <c r="E18" s="12" t="s">
        <v>153</v>
      </c>
      <c r="F18" s="7" t="s">
        <v>48</v>
      </c>
    </row>
    <row r="19" spans="1:6" ht="99.75" customHeight="1" x14ac:dyDescent="0.45">
      <c r="A19" s="8">
        <v>14</v>
      </c>
      <c r="B19" s="3" t="s">
        <v>49</v>
      </c>
      <c r="C19" s="9" t="s">
        <v>50</v>
      </c>
      <c r="D19" s="10" t="s">
        <v>51</v>
      </c>
      <c r="E19" s="6" t="s">
        <v>152</v>
      </c>
      <c r="F19" s="11" t="s">
        <v>52</v>
      </c>
    </row>
    <row r="20" spans="1:6" ht="99.75" customHeight="1" x14ac:dyDescent="0.45">
      <c r="A20" s="2">
        <v>15</v>
      </c>
      <c r="B20" s="3" t="s">
        <v>49</v>
      </c>
      <c r="C20" s="4" t="s">
        <v>53</v>
      </c>
      <c r="D20" s="5" t="s">
        <v>54</v>
      </c>
      <c r="E20" s="13" t="s">
        <v>154</v>
      </c>
      <c r="F20" s="7" t="s">
        <v>55</v>
      </c>
    </row>
    <row r="21" spans="1:6" ht="99.75" customHeight="1" x14ac:dyDescent="0.45">
      <c r="A21" s="8">
        <v>16</v>
      </c>
      <c r="B21" s="3" t="s">
        <v>49</v>
      </c>
      <c r="C21" s="9" t="s">
        <v>56</v>
      </c>
      <c r="D21" s="10" t="s">
        <v>57</v>
      </c>
      <c r="E21" s="6" t="s">
        <v>152</v>
      </c>
      <c r="F21" s="11" t="s">
        <v>58</v>
      </c>
    </row>
    <row r="22" spans="1:6" ht="99.75" customHeight="1" x14ac:dyDescent="0.45">
      <c r="A22" s="2">
        <v>17</v>
      </c>
      <c r="B22" s="3" t="s">
        <v>59</v>
      </c>
      <c r="C22" s="4" t="s">
        <v>60</v>
      </c>
      <c r="D22" s="5" t="s">
        <v>61</v>
      </c>
      <c r="E22" s="6" t="s">
        <v>152</v>
      </c>
      <c r="F22" s="7" t="s">
        <v>62</v>
      </c>
    </row>
    <row r="23" spans="1:6" ht="99.75" customHeight="1" x14ac:dyDescent="0.45">
      <c r="A23" s="8">
        <v>18</v>
      </c>
      <c r="B23" s="3" t="s">
        <v>59</v>
      </c>
      <c r="C23" s="9" t="s">
        <v>63</v>
      </c>
      <c r="D23" s="10" t="s">
        <v>64</v>
      </c>
      <c r="E23" s="13" t="s">
        <v>154</v>
      </c>
      <c r="F23" s="11" t="s">
        <v>65</v>
      </c>
    </row>
    <row r="24" spans="1:6" ht="99.75" customHeight="1" x14ac:dyDescent="0.45">
      <c r="A24" s="2">
        <v>19</v>
      </c>
      <c r="B24" s="3" t="s">
        <v>59</v>
      </c>
      <c r="C24" s="4" t="s">
        <v>66</v>
      </c>
      <c r="D24" s="5" t="s">
        <v>67</v>
      </c>
      <c r="E24" s="12" t="s">
        <v>153</v>
      </c>
      <c r="F24" s="7" t="s">
        <v>68</v>
      </c>
    </row>
    <row r="25" spans="1:6" ht="99.75" customHeight="1" x14ac:dyDescent="0.45">
      <c r="A25" s="8">
        <v>20</v>
      </c>
      <c r="B25" s="3" t="s">
        <v>59</v>
      </c>
      <c r="C25" s="9" t="s">
        <v>69</v>
      </c>
      <c r="D25" s="10" t="s">
        <v>70</v>
      </c>
      <c r="E25" s="12" t="s">
        <v>153</v>
      </c>
      <c r="F25" s="11" t="s">
        <v>71</v>
      </c>
    </row>
    <row r="26" spans="1:6" ht="99.75" customHeight="1" x14ac:dyDescent="0.45">
      <c r="A26" s="2">
        <v>21</v>
      </c>
      <c r="B26" s="3" t="s">
        <v>59</v>
      </c>
      <c r="C26" s="4" t="s">
        <v>72</v>
      </c>
      <c r="D26" s="5" t="s">
        <v>73</v>
      </c>
      <c r="E26" s="12" t="s">
        <v>153</v>
      </c>
      <c r="F26" s="7" t="s">
        <v>74</v>
      </c>
    </row>
    <row r="27" spans="1:6" ht="99.75" customHeight="1" x14ac:dyDescent="0.45">
      <c r="A27" s="8">
        <v>22</v>
      </c>
      <c r="B27" s="3" t="s">
        <v>75</v>
      </c>
      <c r="C27" s="9" t="s">
        <v>76</v>
      </c>
      <c r="D27" s="10" t="s">
        <v>77</v>
      </c>
      <c r="E27" s="12" t="s">
        <v>153</v>
      </c>
      <c r="F27" s="11" t="s">
        <v>78</v>
      </c>
    </row>
    <row r="28" spans="1:6" ht="99.75" customHeight="1" x14ac:dyDescent="0.45">
      <c r="A28" s="2">
        <v>23</v>
      </c>
      <c r="B28" s="3" t="s">
        <v>79</v>
      </c>
      <c r="C28" s="4" t="s">
        <v>80</v>
      </c>
      <c r="D28" s="5" t="s">
        <v>81</v>
      </c>
      <c r="E28" s="12" t="s">
        <v>153</v>
      </c>
      <c r="F28" s="7" t="s">
        <v>82</v>
      </c>
    </row>
    <row r="29" spans="1:6" ht="99.75" customHeight="1" x14ac:dyDescent="0.45">
      <c r="A29" s="8">
        <v>24</v>
      </c>
      <c r="B29" s="3" t="s">
        <v>83</v>
      </c>
      <c r="C29" s="9" t="s">
        <v>84</v>
      </c>
      <c r="D29" s="10" t="s">
        <v>85</v>
      </c>
      <c r="E29" s="12" t="s">
        <v>153</v>
      </c>
      <c r="F29" s="11" t="s">
        <v>86</v>
      </c>
    </row>
    <row r="30" spans="1:6" ht="99.75" customHeight="1" x14ac:dyDescent="0.45">
      <c r="A30" s="2">
        <v>25</v>
      </c>
      <c r="B30" s="3" t="s">
        <v>87</v>
      </c>
      <c r="C30" s="4" t="s">
        <v>88</v>
      </c>
      <c r="D30" s="5" t="s">
        <v>89</v>
      </c>
      <c r="E30" s="13" t="s">
        <v>154</v>
      </c>
      <c r="F30" s="7" t="s">
        <v>90</v>
      </c>
    </row>
    <row r="31" spans="1:6" ht="99.75" customHeight="1" x14ac:dyDescent="0.45">
      <c r="A31" s="8">
        <v>26</v>
      </c>
      <c r="B31" s="3" t="s">
        <v>87</v>
      </c>
      <c r="C31" s="9" t="s">
        <v>91</v>
      </c>
      <c r="D31" s="10" t="s">
        <v>92</v>
      </c>
      <c r="E31" s="12" t="s">
        <v>153</v>
      </c>
      <c r="F31" s="11" t="s">
        <v>93</v>
      </c>
    </row>
    <row r="32" spans="1:6" ht="99.75" customHeight="1" x14ac:dyDescent="0.45">
      <c r="A32" s="2">
        <v>27</v>
      </c>
      <c r="B32" s="3" t="s">
        <v>94</v>
      </c>
      <c r="C32" s="4" t="s">
        <v>95</v>
      </c>
      <c r="D32" s="5" t="s">
        <v>96</v>
      </c>
      <c r="E32" s="14" t="s">
        <v>155</v>
      </c>
      <c r="F32" s="7" t="s">
        <v>97</v>
      </c>
    </row>
    <row r="33" spans="1:6" ht="99.75" customHeight="1" x14ac:dyDescent="0.45">
      <c r="A33" s="8">
        <v>28</v>
      </c>
      <c r="B33" s="3" t="s">
        <v>94</v>
      </c>
      <c r="C33" s="9" t="s">
        <v>98</v>
      </c>
      <c r="D33" s="10" t="s">
        <v>99</v>
      </c>
      <c r="E33" s="14" t="s">
        <v>155</v>
      </c>
      <c r="F33" s="11" t="s">
        <v>100</v>
      </c>
    </row>
    <row r="34" spans="1:6" ht="99.75" customHeight="1" x14ac:dyDescent="0.45">
      <c r="A34" s="2">
        <v>29</v>
      </c>
      <c r="B34" s="3" t="s">
        <v>94</v>
      </c>
      <c r="C34" s="4" t="s">
        <v>101</v>
      </c>
      <c r="D34" s="5" t="s">
        <v>102</v>
      </c>
      <c r="E34" s="14" t="s">
        <v>155</v>
      </c>
      <c r="F34" s="7" t="s">
        <v>103</v>
      </c>
    </row>
    <row r="35" spans="1:6" ht="99.75" customHeight="1" x14ac:dyDescent="0.45">
      <c r="A35" s="45"/>
      <c r="B35" s="46"/>
      <c r="C35" s="47"/>
      <c r="D35" s="48"/>
      <c r="E35" s="49"/>
      <c r="F35" s="50"/>
    </row>
    <row r="36" spans="1:6" ht="29" customHeight="1" x14ac:dyDescent="0.45">
      <c r="A36" s="54" t="s">
        <v>151</v>
      </c>
      <c r="B36" s="55"/>
      <c r="C36" s="55"/>
      <c r="D36" s="55"/>
      <c r="E36" s="55"/>
      <c r="F36" s="56"/>
    </row>
    <row r="37" spans="1:6" ht="120" customHeight="1" x14ac:dyDescent="0.45">
      <c r="A37" s="15">
        <v>30</v>
      </c>
      <c r="B37" s="16" t="s">
        <v>104</v>
      </c>
      <c r="C37" s="17" t="s">
        <v>105</v>
      </c>
      <c r="D37" s="18" t="s">
        <v>106</v>
      </c>
      <c r="E37" s="12" t="s">
        <v>153</v>
      </c>
      <c r="F37" s="18" t="s">
        <v>107</v>
      </c>
    </row>
    <row r="38" spans="1:6" ht="120" customHeight="1" x14ac:dyDescent="0.45">
      <c r="A38" s="15">
        <v>31</v>
      </c>
      <c r="B38" s="16" t="s">
        <v>104</v>
      </c>
      <c r="C38" s="17" t="s">
        <v>148</v>
      </c>
      <c r="D38" s="18" t="s">
        <v>149</v>
      </c>
      <c r="E38" s="6" t="s">
        <v>152</v>
      </c>
      <c r="F38" s="18" t="s">
        <v>150</v>
      </c>
    </row>
    <row r="39" spans="1:6" ht="120" customHeight="1" x14ac:dyDescent="0.45">
      <c r="A39" s="15">
        <v>32</v>
      </c>
      <c r="B39" s="16" t="s">
        <v>104</v>
      </c>
      <c r="C39" s="17" t="s">
        <v>108</v>
      </c>
      <c r="D39" s="18" t="s">
        <v>109</v>
      </c>
      <c r="E39" s="12" t="s">
        <v>153</v>
      </c>
      <c r="F39" s="18" t="s">
        <v>110</v>
      </c>
    </row>
    <row r="40" spans="1:6" ht="120" customHeight="1" x14ac:dyDescent="0.45">
      <c r="A40" s="15">
        <v>33</v>
      </c>
      <c r="B40" s="16" t="s">
        <v>104</v>
      </c>
      <c r="C40" s="17" t="s">
        <v>111</v>
      </c>
      <c r="D40" s="18" t="s">
        <v>112</v>
      </c>
      <c r="E40" s="12" t="s">
        <v>153</v>
      </c>
      <c r="F40" s="18" t="s">
        <v>113</v>
      </c>
    </row>
    <row r="41" spans="1:6" ht="120" customHeight="1" x14ac:dyDescent="0.45">
      <c r="A41" s="15">
        <v>34</v>
      </c>
      <c r="B41" s="16" t="s">
        <v>104</v>
      </c>
      <c r="C41" s="17" t="s">
        <v>114</v>
      </c>
      <c r="D41" s="18" t="s">
        <v>115</v>
      </c>
      <c r="E41" s="12" t="s">
        <v>153</v>
      </c>
      <c r="F41" s="18" t="s">
        <v>116</v>
      </c>
    </row>
    <row r="42" spans="1:6" ht="120" customHeight="1" x14ac:dyDescent="0.45">
      <c r="A42" s="15">
        <v>35</v>
      </c>
      <c r="B42" s="16" t="s">
        <v>104</v>
      </c>
      <c r="C42" s="17" t="s">
        <v>117</v>
      </c>
      <c r="D42" s="18" t="s">
        <v>118</v>
      </c>
      <c r="E42" s="12" t="s">
        <v>153</v>
      </c>
      <c r="F42" s="18" t="s">
        <v>119</v>
      </c>
    </row>
    <row r="43" spans="1:6" ht="120" customHeight="1" x14ac:dyDescent="0.45">
      <c r="A43" s="15">
        <v>36</v>
      </c>
      <c r="B43" s="16" t="s">
        <v>104</v>
      </c>
      <c r="C43" s="17" t="s">
        <v>120</v>
      </c>
      <c r="D43" s="18" t="s">
        <v>121</v>
      </c>
      <c r="E43" s="13" t="s">
        <v>154</v>
      </c>
      <c r="F43" s="18" t="s">
        <v>122</v>
      </c>
    </row>
  </sheetData>
  <mergeCells count="4">
    <mergeCell ref="A1:F1"/>
    <mergeCell ref="A2:F2"/>
    <mergeCell ref="A3:F3"/>
    <mergeCell ref="A36:F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zoomScaleNormal="100" workbookViewId="0">
      <pane ySplit="3" topLeftCell="A7" activePane="bottomLeft" state="frozen"/>
      <selection pane="bottomLeft" activeCell="H6" sqref="H6"/>
    </sheetView>
  </sheetViews>
  <sheetFormatPr defaultColWidth="8.6640625" defaultRowHeight="14.25" x14ac:dyDescent="0.45"/>
  <cols>
    <col min="1" max="1" width="32" customWidth="1"/>
    <col min="2" max="3" width="15" customWidth="1"/>
    <col min="4" max="4" width="38" customWidth="1"/>
    <col min="5" max="5" width="15" customWidth="1"/>
    <col min="6" max="6" width="10" customWidth="1"/>
  </cols>
  <sheetData>
    <row r="1" spans="1:6" ht="33.75" customHeight="1" x14ac:dyDescent="0.45">
      <c r="A1" s="57" t="s">
        <v>123</v>
      </c>
      <c r="B1" s="57"/>
      <c r="C1" s="57"/>
      <c r="D1" s="57"/>
    </row>
    <row r="2" spans="1:6" ht="18" customHeight="1" x14ac:dyDescent="0.45">
      <c r="A2" s="58" t="s">
        <v>124</v>
      </c>
      <c r="B2" s="58"/>
      <c r="C2" s="58"/>
      <c r="D2" s="58"/>
    </row>
    <row r="3" spans="1:6" ht="30" customHeight="1" x14ac:dyDescent="0.45">
      <c r="A3" s="1" t="s">
        <v>5</v>
      </c>
      <c r="B3" s="1" t="s">
        <v>125</v>
      </c>
      <c r="C3" s="1" t="s">
        <v>126</v>
      </c>
      <c r="D3" s="1" t="s">
        <v>127</v>
      </c>
    </row>
    <row r="4" spans="1:6" ht="25.5" customHeight="1" x14ac:dyDescent="0.45">
      <c r="A4" s="19" t="s">
        <v>154</v>
      </c>
      <c r="B4" s="20">
        <f>COUNTIF('Perbandingan Modul'!E6:E43,A4)</f>
        <v>9</v>
      </c>
      <c r="C4" s="21">
        <f>IF(B8&gt;0,B4/B$8,0)</f>
        <v>0.34615384615384615</v>
      </c>
      <c r="D4" s="22" t="s">
        <v>128</v>
      </c>
    </row>
    <row r="5" spans="1:6" ht="25.5" customHeight="1" x14ac:dyDescent="0.45">
      <c r="A5" s="23" t="s">
        <v>156</v>
      </c>
      <c r="B5" s="24">
        <f>COUNTIF('Perbandingan Modul'!E6:E43,A5)</f>
        <v>0</v>
      </c>
      <c r="C5" s="25">
        <f>IF(B8&gt;0,B5/B$8,0)</f>
        <v>0</v>
      </c>
      <c r="D5" s="22" t="s">
        <v>129</v>
      </c>
    </row>
    <row r="6" spans="1:6" ht="25.5" customHeight="1" x14ac:dyDescent="0.45">
      <c r="A6" s="26" t="s">
        <v>153</v>
      </c>
      <c r="B6" s="27">
        <f>COUNTIF('Perbandingan Modul'!E6:E43,A6)</f>
        <v>14</v>
      </c>
      <c r="C6" s="28">
        <f>IF(B8&gt;0,B6/B$8,0)</f>
        <v>0.53846153846153844</v>
      </c>
      <c r="D6" s="22" t="s">
        <v>130</v>
      </c>
    </row>
    <row r="7" spans="1:6" ht="25.5" customHeight="1" x14ac:dyDescent="0.45">
      <c r="A7" s="29" t="s">
        <v>155</v>
      </c>
      <c r="B7" s="30">
        <f>COUNTIF('Perbandingan Modul'!E6:E43,A7)</f>
        <v>3</v>
      </c>
      <c r="C7" s="31">
        <f>IF(B8&gt;0,B7/B$8,0)</f>
        <v>0.11538461538461539</v>
      </c>
      <c r="D7" s="22" t="s">
        <v>131</v>
      </c>
    </row>
    <row r="8" spans="1:6" ht="27.75" customHeight="1" x14ac:dyDescent="0.45">
      <c r="A8" s="32" t="s">
        <v>132</v>
      </c>
      <c r="B8" s="33">
        <f>SUM(B4:B7)</f>
        <v>26</v>
      </c>
      <c r="C8" s="33" t="s">
        <v>133</v>
      </c>
      <c r="D8" s="34" t="s">
        <v>134</v>
      </c>
    </row>
    <row r="9" spans="1:6" ht="13.5" customHeight="1" x14ac:dyDescent="0.45"/>
    <row r="10" spans="1:6" ht="21.75" customHeight="1" x14ac:dyDescent="0.45">
      <c r="A10" s="35" t="s">
        <v>135</v>
      </c>
    </row>
    <row r="11" spans="1:6" ht="27.75" customHeight="1" x14ac:dyDescent="0.45">
      <c r="A11" s="36" t="s">
        <v>2</v>
      </c>
      <c r="B11" s="36" t="s">
        <v>157</v>
      </c>
      <c r="C11" s="36" t="s">
        <v>156</v>
      </c>
      <c r="D11" s="36" t="s">
        <v>158</v>
      </c>
      <c r="E11" s="36" t="s">
        <v>159</v>
      </c>
      <c r="F11" s="36" t="s">
        <v>136</v>
      </c>
    </row>
    <row r="12" spans="1:6" ht="21.75" customHeight="1" x14ac:dyDescent="0.45">
      <c r="A12" s="37" t="s">
        <v>137</v>
      </c>
      <c r="B12" s="38">
        <v>0</v>
      </c>
      <c r="C12" s="39">
        <v>2</v>
      </c>
      <c r="D12" s="40">
        <v>0</v>
      </c>
      <c r="E12" s="41">
        <v>0</v>
      </c>
      <c r="F12" s="42">
        <v>2</v>
      </c>
    </row>
    <row r="13" spans="1:6" ht="21.75" customHeight="1" x14ac:dyDescent="0.45">
      <c r="A13" s="37" t="s">
        <v>138</v>
      </c>
      <c r="B13" s="38">
        <v>4</v>
      </c>
      <c r="C13" s="39">
        <v>3</v>
      </c>
      <c r="D13" s="40">
        <v>1</v>
      </c>
      <c r="E13" s="41">
        <v>0</v>
      </c>
      <c r="F13" s="42">
        <v>8</v>
      </c>
    </row>
    <row r="14" spans="1:6" ht="21.75" customHeight="1" x14ac:dyDescent="0.45">
      <c r="A14" s="37" t="s">
        <v>139</v>
      </c>
      <c r="B14" s="38">
        <v>1</v>
      </c>
      <c r="C14" s="39">
        <v>1</v>
      </c>
      <c r="D14" s="40">
        <v>1</v>
      </c>
      <c r="E14" s="41">
        <v>0</v>
      </c>
      <c r="F14" s="42">
        <v>3</v>
      </c>
    </row>
    <row r="15" spans="1:6" ht="21.75" customHeight="1" x14ac:dyDescent="0.45">
      <c r="A15" s="37" t="s">
        <v>140</v>
      </c>
      <c r="B15" s="38">
        <v>1</v>
      </c>
      <c r="C15" s="39">
        <v>2</v>
      </c>
      <c r="D15" s="40">
        <v>0</v>
      </c>
      <c r="E15" s="41">
        <v>0</v>
      </c>
      <c r="F15" s="42">
        <v>3</v>
      </c>
    </row>
    <row r="16" spans="1:6" ht="21.75" customHeight="1" x14ac:dyDescent="0.45">
      <c r="A16" s="37" t="s">
        <v>141</v>
      </c>
      <c r="B16" s="38">
        <v>1</v>
      </c>
      <c r="C16" s="39">
        <v>1</v>
      </c>
      <c r="D16" s="40">
        <v>3</v>
      </c>
      <c r="E16" s="41">
        <v>0</v>
      </c>
      <c r="F16" s="42">
        <v>5</v>
      </c>
    </row>
    <row r="17" spans="1:6" ht="21.75" customHeight="1" x14ac:dyDescent="0.45">
      <c r="A17" s="37" t="s">
        <v>142</v>
      </c>
      <c r="B17" s="38">
        <v>0</v>
      </c>
      <c r="C17" s="39">
        <v>0</v>
      </c>
      <c r="D17" s="40">
        <v>1</v>
      </c>
      <c r="E17" s="41">
        <v>0</v>
      </c>
      <c r="F17" s="42">
        <v>1</v>
      </c>
    </row>
    <row r="18" spans="1:6" ht="21.75" customHeight="1" x14ac:dyDescent="0.45">
      <c r="A18" s="37" t="s">
        <v>143</v>
      </c>
      <c r="B18" s="38">
        <v>0</v>
      </c>
      <c r="C18" s="39">
        <v>0</v>
      </c>
      <c r="D18" s="40">
        <v>1</v>
      </c>
      <c r="E18" s="41">
        <v>0</v>
      </c>
      <c r="F18" s="42">
        <v>1</v>
      </c>
    </row>
    <row r="19" spans="1:6" ht="21.75" customHeight="1" x14ac:dyDescent="0.45">
      <c r="A19" s="37" t="s">
        <v>144</v>
      </c>
      <c r="B19" s="38">
        <v>0</v>
      </c>
      <c r="C19" s="39">
        <v>0</v>
      </c>
      <c r="D19" s="40">
        <v>1</v>
      </c>
      <c r="E19" s="41">
        <v>0</v>
      </c>
      <c r="F19" s="42">
        <v>1</v>
      </c>
    </row>
    <row r="20" spans="1:6" ht="21.75" customHeight="1" x14ac:dyDescent="0.45">
      <c r="A20" s="37" t="s">
        <v>145</v>
      </c>
      <c r="B20" s="38">
        <v>1</v>
      </c>
      <c r="C20" s="39">
        <v>0</v>
      </c>
      <c r="D20" s="40">
        <v>1</v>
      </c>
      <c r="E20" s="41">
        <v>0</v>
      </c>
      <c r="F20" s="42">
        <v>2</v>
      </c>
    </row>
    <row r="21" spans="1:6" ht="21.75" customHeight="1" x14ac:dyDescent="0.45">
      <c r="A21" s="37" t="s">
        <v>146</v>
      </c>
      <c r="B21" s="38">
        <v>0</v>
      </c>
      <c r="C21" s="39">
        <v>0</v>
      </c>
      <c r="D21" s="40">
        <v>0</v>
      </c>
      <c r="E21" s="41">
        <v>3</v>
      </c>
      <c r="F21" s="42">
        <v>3</v>
      </c>
    </row>
    <row r="22" spans="1:6" x14ac:dyDescent="0.45">
      <c r="A22" s="43" t="s">
        <v>147</v>
      </c>
      <c r="B22" s="44">
        <v>1</v>
      </c>
      <c r="C22" s="44">
        <v>1</v>
      </c>
      <c r="D22" s="44">
        <v>4</v>
      </c>
      <c r="E22" s="44"/>
      <c r="F22" s="44">
        <v>6</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Perbandingan Modul</vt:lpstr>
      <vt:lpstr>Ringkasan &amp; Statistik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lenovo_yx0eb1jp@outlook.com</cp:lastModifiedBy>
  <cp:revision>0</cp:revision>
  <dcterms:created xsi:type="dcterms:W3CDTF">2026-05-10T01:08:20Z</dcterms:created>
  <dcterms:modified xsi:type="dcterms:W3CDTF">2026-05-11T05:43:47Z</dcterms:modified>
  <dc:language>en-US</dc:language>
</cp:coreProperties>
</file>