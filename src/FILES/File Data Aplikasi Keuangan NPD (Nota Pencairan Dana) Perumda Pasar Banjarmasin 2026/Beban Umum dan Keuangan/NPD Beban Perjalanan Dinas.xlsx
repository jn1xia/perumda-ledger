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AB3847BF-0502-4EA7-9281-E14DAFDF9A0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ANUARI" sheetId="15" r:id="rId1"/>
    <sheet name="FEBRUARI" sheetId="16" r:id="rId2"/>
  </sheets>
  <definedNames>
    <definedName name="_xlnm.Print_Area" localSheetId="1">FEBRUARI!$A$1:$K$110</definedName>
    <definedName name="_xlnm.Print_Area" localSheetId="0">JANUARI!$A$1:$K$110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6" l="1"/>
  <c r="K25" i="16" s="1"/>
  <c r="H24" i="16"/>
  <c r="H26" i="16" s="1"/>
  <c r="E31" i="16"/>
  <c r="J26" i="16"/>
  <c r="E17" i="16" s="1"/>
  <c r="E18" i="16" s="1"/>
  <c r="G26" i="16"/>
  <c r="E31" i="15"/>
  <c r="J26" i="15"/>
  <c r="E17" i="15" s="1"/>
  <c r="E18" i="15" s="1"/>
  <c r="G26" i="15"/>
  <c r="K24" i="15"/>
  <c r="K24" i="16" l="1"/>
  <c r="K26" i="16" s="1"/>
  <c r="E28" i="16"/>
  <c r="E33" i="16" s="1"/>
  <c r="E34" i="16" s="1"/>
  <c r="E28" i="15"/>
  <c r="E33" i="15" s="1"/>
  <c r="E34" i="15" s="1"/>
  <c r="H26" i="15" l="1"/>
  <c r="K25" i="15"/>
  <c r="K26" i="15" s="1"/>
</calcChain>
</file>

<file path=xl/sharedStrings.xml><?xml version="1.0" encoding="utf-8"?>
<sst xmlns="http://schemas.openxmlformats.org/spreadsheetml/2006/main" count="104" uniqueCount="42">
  <si>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</si>
  <si>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</si>
  <si>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</si>
  <si>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</si>
  <si>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</si>
  <si>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</si>
  <si>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</si>
  <si>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</si>
  <si>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</si>
  <si>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</si>
  <si>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</si>
  <si>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</si>
  <si>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</si>
  <si>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</si>
  <si>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</si>
  <si>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</si>
  <si>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</si>
  <si>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</si>
  <si>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</si>
  <si>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</si>
  <si>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</si>
  <si>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1.2</t>
  </si>
  <si>
    <t>Beban Perjalanan Dinas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</si>
  <si>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</si>
  <si>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</si>
  <si>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</si>
  <si>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</si>
  <si>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</si>
  <si>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</si>
  <si>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</si>
  <si>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</si>
  <si>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</si>
  <si>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</si>
  <si>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</si>
  <si>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IRNA WAHYUNI N.</t>
  </si>
  <si>
    <t>PERUMDA PASAR BANJARMASIN</t>
  </si>
  <si>
    <t>Karyawan</t>
  </si>
  <si>
    <t>Beban Perjalanan Dewan Pengawas</t>
  </si>
  <si>
    <r>
      <t>Nomor : 76/DIV-KEU/PPB/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</si>
  <si>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23 Januari 2026</t>
  </si>
  <si>
    <t>Banjarmasin, 2 Februari 2026</t>
  </si>
  <si>
    <r>
      <t>Nomor : 05/DIV-KEU/PPB/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</si>
</sst>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6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>
      <alignment vertical="top"/>
      <protection locked="0"/>
    </xf>
    <xf numFmtId="166" fontId="12" fillId="0" borderId="0" applyFont="0" applyFill="0" applyBorder="0" applyAlignment="0" applyProtection="0"/>
    <xf numFmtId="0" fontId="14" fillId="0" borderId="0"/>
  </cellStyleXfs>
  <cellXfs count="65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5" fontId="8" fillId="0" borderId="7" xfId="3" applyFont="1" applyBorder="1" applyAlignment="1" applyProtection="1">
      <alignment horizontal="center"/>
    </xf>
    <xf numFmtId="167" fontId="3" fillId="0" borderId="8" xfId="1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/>
    <xf numFmtId="0" fontId="9" fillId="0" borderId="0" xfId="0" applyFont="1"/>
    <xf numFmtId="0" fontId="10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horizontal="right"/>
    </xf>
    <xf numFmtId="167" fontId="3" fillId="0" borderId="8" xfId="1" applyNumberFormat="1" applyFont="1" applyBorder="1"/>
    <xf numFmtId="0" fontId="3" fillId="0" borderId="2" xfId="0" applyFont="1" applyBorder="1"/>
    <xf numFmtId="0" fontId="3" fillId="0" borderId="3" xfId="0" applyFont="1" applyBorder="1"/>
    <xf numFmtId="168" fontId="3" fillId="0" borderId="5" xfId="2" applyNumberFormat="1" applyFont="1" applyBorder="1"/>
    <xf numFmtId="168" fontId="3" fillId="0" borderId="2" xfId="2" applyNumberFormat="1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1" fillId="0" borderId="0" xfId="1" applyFont="1" applyBorder="1" applyAlignment="1">
      <alignment horizontal="left"/>
    </xf>
    <xf numFmtId="0" fontId="11" fillId="0" borderId="0" xfId="0" applyFont="1"/>
    <xf numFmtId="164" fontId="7" fillId="0" borderId="0" xfId="1" applyFont="1" applyBorder="1"/>
    <xf numFmtId="0" fontId="7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3" fillId="0" borderId="4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28576</xdr:rowOff>
    </xdr:from>
    <xdr:to>
      <xdr:col>10</xdr:col>
      <xdr:colOff>1171575</xdr:colOff>
      <xdr:row>9</xdr:row>
      <xdr:rowOff>117084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1E767D-BA9C-4814-909B-AB7FDE29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28576"/>
          <a:ext cx="7981951" cy="182205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8CE8BED-927F-4C02-AB60-DB9A9C19EA04}"/>
            </a:ext>
          </a:extLst>
        </xdr:cNvPr>
        <xdr:cNvCxnSpPr/>
      </xdr:nvCxnSpPr>
      <xdr:spPr>
        <a:xfrm>
          <a:off x="19050" y="1409700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28576</xdr:rowOff>
    </xdr:from>
    <xdr:to>
      <xdr:col>10</xdr:col>
      <xdr:colOff>1171575</xdr:colOff>
      <xdr:row>9</xdr:row>
      <xdr:rowOff>117084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2A98F-3C76-4B53-BC4C-81E894537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28576"/>
          <a:ext cx="7981951" cy="182205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8C6DA13-0848-40B9-ACF3-4AB74A1C15A0}"/>
            </a:ext>
          </a:extLst>
        </xdr:cNvPr>
        <xdr:cNvCxnSpPr/>
      </xdr:nvCxnSpPr>
      <xdr:spPr>
        <a:xfrm>
          <a:off x="19050" y="1209675"/>
          <a:ext cx="79819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BEE8-469A-4695-91A4-6BB6022F8639}">
  <dimension ref="A1:W44"/>
  <sheetViews>
    <sheetView view="pageBreakPreview" zoomScaleNormal="100" workbookViewId="0">
      <selection activeCell="K43" sqref="A1:K43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8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3" t="s">
        <v>0</v>
      </c>
      <c r="B8" s="63"/>
      <c r="C8" s="64"/>
      <c r="D8" s="64"/>
      <c r="E8" s="64"/>
      <c r="F8" s="64"/>
      <c r="G8" s="64"/>
      <c r="H8" s="64"/>
      <c r="I8" s="64"/>
      <c r="J8" s="64"/>
      <c r="K8" s="64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64" t="s">
        <v>38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64" t="s">
        <v>1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64" t="s">
        <v>35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64" t="s">
        <v>2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J26</f>
        <v>775000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Tujuh Puluh Lima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62" t="s">
        <v>12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58" t="s">
        <v>15</v>
      </c>
      <c r="D22" s="59"/>
      <c r="E22" s="60"/>
      <c r="F22" s="19"/>
      <c r="G22" s="20" t="s">
        <v>16</v>
      </c>
      <c r="H22" s="21" t="s">
        <v>33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22</v>
      </c>
      <c r="D23" s="57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36</v>
      </c>
      <c r="D24" s="10"/>
      <c r="E24" s="26"/>
      <c r="F24" s="25"/>
      <c r="G24" s="22">
        <v>250000000</v>
      </c>
      <c r="H24" s="23">
        <v>0</v>
      </c>
      <c r="I24" s="23"/>
      <c r="J24" s="33">
        <v>775000</v>
      </c>
      <c r="K24" s="34">
        <f t="shared" ref="K24:K25" si="0">G24-H24-J24</f>
        <v>249225000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37</v>
      </c>
      <c r="D25" s="10"/>
      <c r="E25" s="26"/>
      <c r="F25" s="25"/>
      <c r="G25" s="22">
        <v>50000000</v>
      </c>
      <c r="H25" s="23">
        <v>0</v>
      </c>
      <c r="I25" s="23"/>
      <c r="J25" s="33">
        <v>0</v>
      </c>
      <c r="K25" s="34">
        <f t="shared" si="0"/>
        <v>50000000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35"/>
      <c r="B26" s="35"/>
      <c r="C26" s="35" t="s">
        <v>23</v>
      </c>
      <c r="D26" s="35"/>
      <c r="E26" s="35"/>
      <c r="F26" s="36"/>
      <c r="G26" s="37">
        <f>SUM(G23:G25)</f>
        <v>300000000</v>
      </c>
      <c r="H26" s="38">
        <f>SUM(H23:H25)</f>
        <v>0</v>
      </c>
      <c r="I26" s="38"/>
      <c r="J26" s="38">
        <f>SUM(J23:J25)</f>
        <v>775000</v>
      </c>
      <c r="K26" s="38">
        <f>SUM(K23:K25)</f>
        <v>299225000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9"/>
      <c r="B27" s="8"/>
      <c r="C27" s="8"/>
      <c r="D27" s="8"/>
      <c r="E27" s="8"/>
      <c r="F27" s="8"/>
      <c r="G27" s="40"/>
      <c r="H27" s="40"/>
      <c r="I27" s="40"/>
      <c r="J27" s="40"/>
      <c r="K27" s="40"/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61" t="s">
        <v>24</v>
      </c>
      <c r="B28" s="61"/>
      <c r="C28" s="61"/>
      <c r="D28" s="11" t="s">
        <v>4</v>
      </c>
      <c r="E28" s="14">
        <f>J26</f>
        <v>775000</v>
      </c>
      <c r="F28" s="41"/>
      <c r="G28" s="42"/>
      <c r="H28" s="42"/>
      <c r="I28" s="42"/>
      <c r="J28" s="9"/>
      <c r="K28" s="9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10" t="s">
        <v>25</v>
      </c>
      <c r="B29" s="10"/>
      <c r="C29" s="10"/>
      <c r="D29" s="11" t="s">
        <v>4</v>
      </c>
      <c r="E29" s="43"/>
      <c r="F29" s="43"/>
      <c r="G29" s="44"/>
      <c r="H29" s="12"/>
      <c r="I29" s="12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26</v>
      </c>
      <c r="B30" s="10"/>
      <c r="C30" s="10"/>
      <c r="D30" s="11" t="s">
        <v>4</v>
      </c>
      <c r="E30" s="45"/>
      <c r="F30" s="45"/>
      <c r="G30" s="44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27</v>
      </c>
      <c r="B31" s="10"/>
      <c r="C31" s="10"/>
      <c r="D31" s="11" t="s">
        <v>4</v>
      </c>
      <c r="E31" s="45">
        <f>E29+E30</f>
        <v>0</v>
      </c>
      <c r="F31" s="45"/>
      <c r="G31" s="10"/>
      <c r="H31" s="12"/>
      <c r="I31" s="12"/>
      <c r="J31" s="47"/>
      <c r="K31" s="47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3"/>
      <c r="B32" s="13"/>
      <c r="C32" s="13"/>
      <c r="D32" s="11"/>
      <c r="E32" s="13"/>
      <c r="F32" s="13"/>
      <c r="G32" s="10"/>
      <c r="H32" s="12"/>
      <c r="I32" s="12"/>
      <c r="J32" s="47"/>
      <c r="K32" s="47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61" t="s">
        <v>28</v>
      </c>
      <c r="B33" s="61"/>
      <c r="C33" s="61"/>
      <c r="D33" s="11" t="s">
        <v>4</v>
      </c>
      <c r="E33" s="41">
        <f>E28-E31</f>
        <v>775000</v>
      </c>
      <c r="F33" s="41"/>
      <c r="G33" s="10"/>
      <c r="H33" s="12"/>
      <c r="I33" s="12"/>
      <c r="J33" s="47"/>
      <c r="K33" s="47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 ht="15.75">
      <c r="A34" s="13"/>
      <c r="B34" s="13"/>
      <c r="C34" s="10"/>
      <c r="D34" s="10"/>
      <c r="E34" s="16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Tujuh Puluh Lima Ribu Rupiah</v>
      </c>
      <c r="F34" s="10"/>
      <c r="G34" s="10"/>
      <c r="H34" s="10"/>
      <c r="I34" s="10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>
      <c r="A35" s="46"/>
      <c r="B35" s="46"/>
      <c r="C35" s="46"/>
      <c r="D35" s="46"/>
      <c r="E35" s="46"/>
      <c r="F35" s="46"/>
      <c r="G35" s="29"/>
      <c r="H35" s="47"/>
      <c r="I35" s="47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29"/>
      <c r="B36" s="29"/>
      <c r="C36" s="29"/>
      <c r="D36" s="29"/>
      <c r="E36" s="29"/>
      <c r="F36" s="29"/>
      <c r="G36" s="29"/>
      <c r="H36"/>
      <c r="I36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13"/>
      <c r="B37" s="13"/>
      <c r="C37" s="10"/>
      <c r="D37" s="10"/>
      <c r="E37" s="10"/>
      <c r="F37" s="10"/>
      <c r="G37" s="10"/>
      <c r="I37" s="48"/>
      <c r="J37" s="48" t="s">
        <v>39</v>
      </c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2" t="s">
        <v>29</v>
      </c>
      <c r="B38" s="10"/>
      <c r="C38" s="10"/>
      <c r="D38" s="10"/>
      <c r="E38" s="10"/>
      <c r="F38" s="10"/>
      <c r="G38" s="10"/>
      <c r="I38" s="12"/>
      <c r="J38" s="12" t="s">
        <v>30</v>
      </c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0"/>
      <c r="B39" s="10"/>
      <c r="C39" s="10"/>
      <c r="D39" s="10"/>
      <c r="E39" s="10"/>
      <c r="F39" s="10"/>
      <c r="G39" s="10"/>
      <c r="I39" s="12"/>
      <c r="J39" s="12"/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I40" s="12"/>
      <c r="J40" s="12"/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49" t="s">
        <v>34</v>
      </c>
      <c r="B43" s="49"/>
      <c r="C43" s="50"/>
      <c r="D43" s="50"/>
      <c r="E43" s="50"/>
      <c r="F43" s="50"/>
      <c r="G43" s="10" t="s">
        <v>31</v>
      </c>
      <c r="I43" s="49"/>
      <c r="J43" s="49" t="s">
        <v>32</v>
      </c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51"/>
      <c r="B44" s="51"/>
      <c r="C44" s="52"/>
      <c r="D44" s="52"/>
      <c r="E44" s="52"/>
      <c r="F44" s="52"/>
      <c r="G44" s="52"/>
      <c r="H44" s="51"/>
      <c r="I44" s="51"/>
      <c r="J44" s="51"/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</sheetData>
  <mergeCells count="9">
    <mergeCell ref="C22:E22"/>
    <mergeCell ref="A28:C28"/>
    <mergeCell ref="A33:C33"/>
    <mergeCell ref="A21:K21"/>
    <mergeCell ref="A8:K8"/>
    <mergeCell ref="A9:K9"/>
    <mergeCell ref="A10:K10"/>
    <mergeCell ref="A11:K11"/>
    <mergeCell ref="A12:K12"/>
  </mergeCells>
  <pageMargins left="0.23622047244094491" right="0.23622047244094491" top="0.15748031496062992" bottom="0.74803149606299213" header="0.31496062992125984" footer="0.31496062992125984"/>
  <pageSetup paperSize="9" scale="82" orientation="portrait" horizontalDpi="4294967293" r:id="rId1"/>
  <rowBreaks count="1" manualBreakCount="1">
    <brk id="45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530A-9167-4DD1-BE61-CECEB08CCCF7}">
  <dimension ref="A1:W44"/>
  <sheetViews>
    <sheetView tabSelected="1" view="pageBreakPreview" zoomScaleNormal="100" workbookViewId="0">
      <selection activeCell="K43" sqref="A1:K43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8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3" t="s">
        <v>0</v>
      </c>
      <c r="B8" s="63"/>
      <c r="C8" s="64"/>
      <c r="D8" s="64"/>
      <c r="E8" s="64"/>
      <c r="F8" s="64"/>
      <c r="G8" s="64"/>
      <c r="H8" s="64"/>
      <c r="I8" s="64"/>
      <c r="J8" s="64"/>
      <c r="K8" s="64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64" t="s">
        <v>41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64" t="s">
        <v>1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64" t="s">
        <v>35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64" t="s">
        <v>2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J26</f>
        <v>225000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Dua Puluh Lima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62" t="s">
        <v>12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58" t="s">
        <v>15</v>
      </c>
      <c r="D22" s="59"/>
      <c r="E22" s="60"/>
      <c r="F22" s="19"/>
      <c r="G22" s="20" t="s">
        <v>16</v>
      </c>
      <c r="H22" s="21" t="s">
        <v>33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22</v>
      </c>
      <c r="D23" s="57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36</v>
      </c>
      <c r="D24" s="10"/>
      <c r="E24" s="26"/>
      <c r="F24" s="25"/>
      <c r="G24" s="22">
        <v>250000000</v>
      </c>
      <c r="H24" s="23">
        <f>JANUARI!H24+JANUARI!J24</f>
        <v>775000</v>
      </c>
      <c r="I24" s="23"/>
      <c r="J24" s="33">
        <v>225000</v>
      </c>
      <c r="K24" s="34">
        <f t="shared" ref="K24:K25" si="0">G24-H24-J24</f>
        <v>249000000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37</v>
      </c>
      <c r="D25" s="10"/>
      <c r="E25" s="26"/>
      <c r="F25" s="25"/>
      <c r="G25" s="22">
        <v>50000000</v>
      </c>
      <c r="H25" s="23">
        <f>JANUARI!H25+JANUARI!J25</f>
        <v>0</v>
      </c>
      <c r="I25" s="23"/>
      <c r="J25" s="33">
        <v>0</v>
      </c>
      <c r="K25" s="34">
        <f t="shared" si="0"/>
        <v>50000000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35"/>
      <c r="B26" s="35"/>
      <c r="C26" s="35" t="s">
        <v>23</v>
      </c>
      <c r="D26" s="35"/>
      <c r="E26" s="35"/>
      <c r="F26" s="36"/>
      <c r="G26" s="37">
        <f>SUM(G23:G25)</f>
        <v>300000000</v>
      </c>
      <c r="H26" s="38">
        <f>SUM(H23:H25)</f>
        <v>775000</v>
      </c>
      <c r="I26" s="38"/>
      <c r="J26" s="38">
        <f>SUM(J23:J25)</f>
        <v>225000</v>
      </c>
      <c r="K26" s="38">
        <f>SUM(K23:K25)</f>
        <v>299000000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9"/>
      <c r="B27" s="8"/>
      <c r="C27" s="8"/>
      <c r="D27" s="8"/>
      <c r="E27" s="8"/>
      <c r="F27" s="8"/>
      <c r="G27" s="40"/>
      <c r="H27" s="40"/>
      <c r="I27" s="40"/>
      <c r="J27" s="40"/>
      <c r="K27" s="40"/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61" t="s">
        <v>24</v>
      </c>
      <c r="B28" s="61"/>
      <c r="C28" s="61"/>
      <c r="D28" s="11" t="s">
        <v>4</v>
      </c>
      <c r="E28" s="14">
        <f>J26</f>
        <v>225000</v>
      </c>
      <c r="F28" s="41"/>
      <c r="G28" s="42"/>
      <c r="H28" s="42"/>
      <c r="I28" s="42"/>
      <c r="J28" s="9"/>
      <c r="K28" s="9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10" t="s">
        <v>25</v>
      </c>
      <c r="B29" s="10"/>
      <c r="C29" s="10"/>
      <c r="D29" s="11" t="s">
        <v>4</v>
      </c>
      <c r="E29" s="43"/>
      <c r="F29" s="43"/>
      <c r="G29" s="44"/>
      <c r="H29" s="12"/>
      <c r="I29" s="12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26</v>
      </c>
      <c r="B30" s="10"/>
      <c r="C30" s="10"/>
      <c r="D30" s="11" t="s">
        <v>4</v>
      </c>
      <c r="E30" s="45"/>
      <c r="F30" s="45"/>
      <c r="G30" s="44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27</v>
      </c>
      <c r="B31" s="10"/>
      <c r="C31" s="10"/>
      <c r="D31" s="11" t="s">
        <v>4</v>
      </c>
      <c r="E31" s="45">
        <f>E29+E30</f>
        <v>0</v>
      </c>
      <c r="F31" s="45"/>
      <c r="G31" s="10"/>
      <c r="H31" s="12"/>
      <c r="I31" s="12"/>
      <c r="J31" s="47"/>
      <c r="K31" s="47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3"/>
      <c r="B32" s="13"/>
      <c r="C32" s="13"/>
      <c r="D32" s="11"/>
      <c r="E32" s="13"/>
      <c r="F32" s="13"/>
      <c r="G32" s="10"/>
      <c r="H32" s="12"/>
      <c r="I32" s="12"/>
      <c r="J32" s="47"/>
      <c r="K32" s="47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61" t="s">
        <v>28</v>
      </c>
      <c r="B33" s="61"/>
      <c r="C33" s="61"/>
      <c r="D33" s="11" t="s">
        <v>4</v>
      </c>
      <c r="E33" s="41">
        <f>E28-E31</f>
        <v>225000</v>
      </c>
      <c r="F33" s="41"/>
      <c r="G33" s="10"/>
      <c r="H33" s="12"/>
      <c r="I33" s="12"/>
      <c r="J33" s="47"/>
      <c r="K33" s="47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 ht="15.75">
      <c r="A34" s="13"/>
      <c r="B34" s="13"/>
      <c r="C34" s="10"/>
      <c r="D34" s="10"/>
      <c r="E34" s="16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Dua Puluh Lima Ribu Rupiah</v>
      </c>
      <c r="F34" s="10"/>
      <c r="G34" s="10"/>
      <c r="H34" s="10"/>
      <c r="I34" s="10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>
      <c r="A35" s="46"/>
      <c r="B35" s="46"/>
      <c r="C35" s="46"/>
      <c r="D35" s="46"/>
      <c r="E35" s="46"/>
      <c r="F35" s="46"/>
      <c r="G35" s="29"/>
      <c r="H35" s="47"/>
      <c r="I35" s="47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29"/>
      <c r="B36" s="29"/>
      <c r="C36" s="29"/>
      <c r="D36" s="29"/>
      <c r="E36" s="29"/>
      <c r="F36" s="29"/>
      <c r="G36" s="29"/>
      <c r="H36"/>
      <c r="I36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13"/>
      <c r="B37" s="13"/>
      <c r="C37" s="10"/>
      <c r="D37" s="10"/>
      <c r="E37" s="10"/>
      <c r="F37" s="10"/>
      <c r="G37" s="10"/>
      <c r="I37" s="48"/>
      <c r="J37" s="48" t="s">
        <v>40</v>
      </c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2" t="s">
        <v>29</v>
      </c>
      <c r="B38" s="10"/>
      <c r="C38" s="10"/>
      <c r="D38" s="10"/>
      <c r="E38" s="10"/>
      <c r="F38" s="10"/>
      <c r="G38" s="10"/>
      <c r="I38" s="12"/>
      <c r="J38" s="12" t="s">
        <v>30</v>
      </c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0"/>
      <c r="B39" s="10"/>
      <c r="C39" s="10"/>
      <c r="D39" s="10"/>
      <c r="E39" s="10"/>
      <c r="F39" s="10"/>
      <c r="G39" s="10"/>
      <c r="I39" s="12"/>
      <c r="J39" s="12"/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I40" s="12"/>
      <c r="J40" s="12"/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49" t="s">
        <v>34</v>
      </c>
      <c r="B43" s="49"/>
      <c r="C43" s="50"/>
      <c r="D43" s="50"/>
      <c r="E43" s="50"/>
      <c r="F43" s="50"/>
      <c r="G43" s="10" t="s">
        <v>31</v>
      </c>
      <c r="I43" s="49"/>
      <c r="J43" s="49" t="s">
        <v>32</v>
      </c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51"/>
      <c r="B44" s="51"/>
      <c r="C44" s="52"/>
      <c r="D44" s="52"/>
      <c r="E44" s="52"/>
      <c r="F44" s="52"/>
      <c r="G44" s="52"/>
      <c r="H44" s="51"/>
      <c r="I44" s="51"/>
      <c r="J44" s="51"/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</sheetData>
  <mergeCells count="9">
    <mergeCell ref="C22:E22"/>
    <mergeCell ref="A28:C28"/>
    <mergeCell ref="A33:C33"/>
    <mergeCell ref="A8:K8"/>
    <mergeCell ref="A9:K9"/>
    <mergeCell ref="A10:K10"/>
    <mergeCell ref="A11:K11"/>
    <mergeCell ref="A12:K12"/>
    <mergeCell ref="A21:K21"/>
  </mergeCells>
  <pageMargins left="0.23622047244094491" right="0.23622047244094491" top="0.15748031496062992" bottom="0.74803149606299213" header="0.31496062992125984" footer="0.31496062992125984"/>
  <pageSetup paperSize="9" scale="82" orientation="portrait" horizontalDpi="4294967293" r:id="rId1"/>
  <rowBreaks count="1" manualBreakCount="1">
    <brk id="44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JANUARI</vt:lpstr>
      <vt:lpstr>FEBRUARI</vt:lpstr>
      <vt:lpstr>FEBRUARI!Print_Area</vt:lpstr>
      <vt:lpstr>JANUARI!Print_Area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2026-02-06T06:51:16Z</cp:lastPrinted>
  <dcterms:created xsi:type="dcterms:W3CDTF">2017-02-01T01:06:00Z</dcterms:created>
  <dcterms:modified xsi:type="dcterms:W3CDTF">2026-02-06T09:33:00Z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