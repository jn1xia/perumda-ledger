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9312CBA7-E957-4C19-93FD-4F0E41CE6E9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FEBRUARI!$A$1:$K$123</definedName>
    <definedName name="_xlnm.Print_Area" localSheetId="0">JANUARI!$A$1:$K$123</definedName>
    <definedName name="_xlnm.Print_Area" localSheetId="2">MARET!$A$1:$K$123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7" l="1"/>
  <c r="H24" i="17"/>
  <c r="E72" i="17"/>
  <c r="J67" i="17"/>
  <c r="E69" i="17" s="1"/>
  <c r="E74" i="17" s="1"/>
  <c r="E75" i="17" s="1"/>
  <c r="G67" i="17"/>
  <c r="E60" i="17"/>
  <c r="E61" i="17" s="1"/>
  <c r="E30" i="17"/>
  <c r="J25" i="17"/>
  <c r="E27" i="17" s="1"/>
  <c r="E32" i="17" s="1"/>
  <c r="G25" i="17"/>
  <c r="E17" i="17"/>
  <c r="E72" i="16"/>
  <c r="J67" i="16"/>
  <c r="E69" i="16" s="1"/>
  <c r="E74" i="16" s="1"/>
  <c r="E75" i="16" s="1"/>
  <c r="G67" i="16"/>
  <c r="E60" i="16"/>
  <c r="E61" i="16" s="1"/>
  <c r="E30" i="16"/>
  <c r="J25" i="16"/>
  <c r="E27" i="16" s="1"/>
  <c r="E32" i="16" s="1"/>
  <c r="G25" i="16"/>
  <c r="E17" i="16"/>
  <c r="H66" i="15"/>
  <c r="H67" i="15" s="1"/>
  <c r="E72" i="15"/>
  <c r="J67" i="15"/>
  <c r="E69" i="15" s="1"/>
  <c r="G67" i="15"/>
  <c r="H25" i="15"/>
  <c r="E30" i="15"/>
  <c r="J25" i="15"/>
  <c r="E27" i="15" s="1"/>
  <c r="G25" i="15"/>
  <c r="E17" i="15"/>
  <c r="H25" i="17" l="1"/>
  <c r="K24" i="17"/>
  <c r="K25" i="17" s="1"/>
  <c r="E32" i="15"/>
  <c r="H24" i="16"/>
  <c r="H66" i="16" s="1"/>
  <c r="H67" i="16" s="1"/>
  <c r="E74" i="15"/>
  <c r="E75" i="15" s="1"/>
  <c r="E60" i="15"/>
  <c r="E61" i="15" s="1"/>
  <c r="K66" i="15"/>
  <c r="K67" i="15" s="1"/>
  <c r="K24" i="15"/>
  <c r="K25" i="15" s="1"/>
  <c r="K66" i="17" l="1"/>
  <c r="K67" i="17" s="1"/>
  <c r="H67" i="17"/>
  <c r="K66" i="16"/>
  <c r="K67" i="16" s="1"/>
  <c r="H25" i="16"/>
  <c r="K24" i="16"/>
  <c r="K25" i="16" s="1"/>
</calcChain>
</file>

<file path=xl/sharedStrings.xml><?xml version="1.0" encoding="utf-8"?>
<sst xmlns="http://schemas.openxmlformats.org/spreadsheetml/2006/main" count="312" uniqueCount="50">
  <si>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</si>
  <si>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</si>
  <si>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</si>
  <si>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</si>
  <si>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</si>
  <si>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</si>
  <si>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</si>
  <si>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</si>
  <si>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</si>
  <si>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</si>
  <si>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</si>
  <si>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</si>
  <si>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</si>
  <si>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</si>
  <si>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</si>
  <si>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</si>
  <si>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</si>
  <si>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</si>
  <si>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</si>
  <si>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---------------</t>
  </si>
  <si>
    <t>1.1</t>
  </si>
  <si>
    <t>Beban Sewa Kendaraan</t>
  </si>
  <si>
    <t>Sewa Mobil Operasional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</si>
  <si>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</si>
  <si>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</si>
  <si>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</si>
  <si>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</si>
  <si>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</si>
  <si>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</si>
  <si>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</si>
  <si>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</si>
  <si>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</si>
  <si>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</si>
  <si>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</si>
  <si>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IRNA WAHYUNI N.</t>
  </si>
  <si>
    <t>Dua Puluh Tiga Juta Delapan Ratus Empat Puluh Sembilan Ribu Sembilan Ratus Sembilan Puluh Sembilan</t>
  </si>
  <si>
    <t>Rupiah</t>
  </si>
  <si>
    <t>PERUMDA PASAR BANJARMASIN</t>
  </si>
  <si>
    <r>
      <t>Nomor : 07/DIV-KEU/PPB/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</si>
  <si>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05 Januari 2026</t>
  </si>
  <si>
    <r>
      <t>Nomor : 47/DIV-KEU/PPB/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</si>
  <si>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13 Januari 2026</t>
  </si>
  <si>
    <r>
      <t>Nomor : 19/DIV-KEU/PPB/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</si>
  <si>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04 Februari 2026</t>
  </si>
  <si>
    <r>
      <t>Nomor : 063/DIV-KEU/PPB/I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</si>
  <si>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12 Februari 2026</t>
  </si>
  <si>
    <r>
      <t>Nomor : 007/DIV-KEU/PPB/I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</si>
  <si>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03 Maret 2026</t>
  </si>
  <si>
    <r>
      <t>Nomor : 032/DIV-KEU/PPB/II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</si>
  <si>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12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</si>
</sst>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7" formatCode="_(* #,##0_);_(* \(#,##0\);_(* &quot;-&quot;??_);_(@_)"/>
    <numFmt numFmtId="168" formatCode="_-[$Rp-421]* #,##0_-;\-[$Rp-421]* #,##0_-;_-[$Rp-421]* &quot;-&quot;_-;_-@_-"/>
  </numFmts>
  <fonts count="15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>
      <alignment vertical="top"/>
      <protection locked="0"/>
    </xf>
    <xf numFmtId="166" fontId="11" fillId="0" borderId="0" applyFont="0" applyFill="0" applyBorder="0" applyAlignment="0" applyProtection="0"/>
    <xf numFmtId="0" fontId="13" fillId="0" borderId="0"/>
  </cellStyleXfs>
  <cellXfs count="61">
    <xf numFmtId="0" fontId="0" fillId="0" borderId="0" xfId="0"/>
    <xf numFmtId="164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5" fontId="8" fillId="0" borderId="7" xfId="3" applyFont="1" applyBorder="1" applyAlignment="1" applyProtection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/>
    <xf numFmtId="0" fontId="9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168" fontId="3" fillId="0" borderId="5" xfId="2" applyNumberFormat="1" applyFont="1" applyBorder="1"/>
    <xf numFmtId="168" fontId="3" fillId="0" borderId="2" xfId="2" applyNumberFormat="1" applyFont="1" applyBorder="1"/>
    <xf numFmtId="0" fontId="4" fillId="0" borderId="4" xfId="0" applyFont="1" applyBorder="1"/>
    <xf numFmtId="168" fontId="4" fillId="0" borderId="4" xfId="2" applyNumberFormat="1" applyFont="1" applyBorder="1"/>
    <xf numFmtId="168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0" fillId="0" borderId="0" xfId="1" applyFont="1" applyBorder="1" applyAlignment="1">
      <alignment horizontal="left"/>
    </xf>
    <xf numFmtId="0" fontId="10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7" xfId="3" quotePrefix="1" applyFont="1" applyBorder="1" applyAlignment="1" applyProtection="1">
      <alignment horizontal="center"/>
    </xf>
    <xf numFmtId="167" fontId="3" fillId="0" borderId="8" xfId="1" applyNumberFormat="1" applyFont="1" applyFill="1" applyBorder="1" applyAlignment="1">
      <alignment horizontal="right" vertical="center"/>
    </xf>
    <xf numFmtId="167" fontId="3" fillId="0" borderId="8" xfId="1" applyNumberFormat="1" applyFont="1" applyFill="1" applyBorder="1" applyAlignment="1">
      <alignment horizontal="right"/>
    </xf>
    <xf numFmtId="167" fontId="3" fillId="0" borderId="8" xfId="1" applyNumberFormat="1" applyFont="1" applyFill="1" applyBorder="1"/>
    <xf numFmtId="0" fontId="3" fillId="0" borderId="4" xfId="0" applyFont="1" applyBorder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43</xdr:row>
      <xdr:rowOff>9525</xdr:rowOff>
    </xdr:from>
    <xdr:to>
      <xdr:col>10</xdr:col>
      <xdr:colOff>1162051</xdr:colOff>
      <xdr:row>52</xdr:row>
      <xdr:rowOff>41502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0E3D21-4470-4CB5-8883-754C3050A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8829675"/>
          <a:ext cx="7734301" cy="176552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10</xdr:col>
      <xdr:colOff>1162051</xdr:colOff>
      <xdr:row>9</xdr:row>
      <xdr:rowOff>41502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100582-E7DC-4B64-A78A-CBABE2454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525"/>
          <a:ext cx="7734301" cy="176552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050AF43-B98C-4131-A6B8-8A6E5009FC7E}"/>
            </a:ext>
          </a:extLst>
        </xdr:cNvPr>
        <xdr:cNvCxnSpPr/>
      </xdr:nvCxnSpPr>
      <xdr:spPr>
        <a:xfrm>
          <a:off x="19050" y="1906905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49</xdr:row>
      <xdr:rowOff>47625</xdr:rowOff>
    </xdr:from>
    <xdr:to>
      <xdr:col>10</xdr:col>
      <xdr:colOff>1162050</xdr:colOff>
      <xdr:row>49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F9CA11F-5351-46FC-9A64-2FFE3538B2C9}"/>
            </a:ext>
          </a:extLst>
        </xdr:cNvPr>
        <xdr:cNvCxnSpPr/>
      </xdr:nvCxnSpPr>
      <xdr:spPr>
        <a:xfrm>
          <a:off x="19050" y="120967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43</xdr:row>
      <xdr:rowOff>9525</xdr:rowOff>
    </xdr:from>
    <xdr:to>
      <xdr:col>10</xdr:col>
      <xdr:colOff>1162051</xdr:colOff>
      <xdr:row>52</xdr:row>
      <xdr:rowOff>41502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1FFD74-A209-4B4B-BF44-F1C91739E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8829675"/>
          <a:ext cx="7734301" cy="176552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10</xdr:col>
      <xdr:colOff>1162051</xdr:colOff>
      <xdr:row>9</xdr:row>
      <xdr:rowOff>41502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A1D850-D7C5-4CAA-ABA7-0CD8FE7B7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525"/>
          <a:ext cx="7734301" cy="176552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4A43E67-9151-4C2F-9347-4357DD12C269}"/>
            </a:ext>
          </a:extLst>
        </xdr:cNvPr>
        <xdr:cNvCxnSpPr/>
      </xdr:nvCxnSpPr>
      <xdr:spPr>
        <a:xfrm>
          <a:off x="19050" y="120967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49</xdr:row>
      <xdr:rowOff>47625</xdr:rowOff>
    </xdr:from>
    <xdr:to>
      <xdr:col>10</xdr:col>
      <xdr:colOff>1162050</xdr:colOff>
      <xdr:row>49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81C3659-BDBC-48FA-B09A-AFBFFD48D5D0}"/>
            </a:ext>
          </a:extLst>
        </xdr:cNvPr>
        <xdr:cNvCxnSpPr/>
      </xdr:nvCxnSpPr>
      <xdr:spPr>
        <a:xfrm>
          <a:off x="19050" y="1002982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43</xdr:row>
      <xdr:rowOff>9525</xdr:rowOff>
    </xdr:from>
    <xdr:to>
      <xdr:col>10</xdr:col>
      <xdr:colOff>1162051</xdr:colOff>
      <xdr:row>52</xdr:row>
      <xdr:rowOff>41502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68B0C-8A83-4FD9-9820-A77BFF7F9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8829675"/>
          <a:ext cx="7734301" cy="176552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10</xdr:col>
      <xdr:colOff>1162051</xdr:colOff>
      <xdr:row>9</xdr:row>
      <xdr:rowOff>41502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0994D1-42E0-41AF-A534-657078B81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525"/>
          <a:ext cx="7734301" cy="176552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1AD0B9F-278D-476E-8FA8-F11FD4C312C6}"/>
            </a:ext>
          </a:extLst>
        </xdr:cNvPr>
        <xdr:cNvCxnSpPr/>
      </xdr:nvCxnSpPr>
      <xdr:spPr>
        <a:xfrm>
          <a:off x="19050" y="120967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49</xdr:row>
      <xdr:rowOff>47625</xdr:rowOff>
    </xdr:from>
    <xdr:to>
      <xdr:col>10</xdr:col>
      <xdr:colOff>1162050</xdr:colOff>
      <xdr:row>49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0850AD8-A8F2-4BD9-98EE-43DD0E2B756A}"/>
            </a:ext>
          </a:extLst>
        </xdr:cNvPr>
        <xdr:cNvCxnSpPr/>
      </xdr:nvCxnSpPr>
      <xdr:spPr>
        <a:xfrm>
          <a:off x="19050" y="1002982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6F82-F0A1-45D6-9810-55E945AC4C36}">
  <dimension ref="A4:L83"/>
  <sheetViews>
    <sheetView view="pageBreakPreview" topLeftCell="A40" zoomScaleNormal="100" zoomScaleSheetLayoutView="100" workbookViewId="0">
      <selection activeCell="E61" sqref="E61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4.285156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4" spans="1:11" ht="15.75">
      <c r="C4" s="2"/>
      <c r="D4" s="2"/>
      <c r="E4" s="2"/>
      <c r="F4" s="2"/>
    </row>
    <row r="5" spans="1:11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</row>
    <row r="6" spans="1:11">
      <c r="H6" s="5"/>
      <c r="I6" s="5"/>
      <c r="J6" s="5"/>
      <c r="K6" s="5"/>
    </row>
    <row r="7" spans="1:11">
      <c r="H7" s="5"/>
      <c r="I7" s="5"/>
      <c r="J7" s="5"/>
      <c r="K7" s="5"/>
    </row>
    <row r="8" spans="1:11">
      <c r="A8" s="60" t="s">
        <v>0</v>
      </c>
      <c r="B8" s="60"/>
      <c r="C8" s="54"/>
      <c r="D8" s="54"/>
      <c r="E8" s="54"/>
      <c r="F8" s="54"/>
      <c r="G8" s="54"/>
      <c r="H8" s="54"/>
      <c r="I8" s="54"/>
      <c r="J8" s="54"/>
      <c r="K8" s="54"/>
    </row>
    <row r="9" spans="1:11">
      <c r="A9" s="54" t="s">
        <v>38</v>
      </c>
      <c r="B9" s="54"/>
      <c r="C9" s="54"/>
      <c r="D9" s="54"/>
      <c r="E9" s="54"/>
      <c r="F9" s="54"/>
      <c r="G9" s="54"/>
      <c r="H9" s="54"/>
      <c r="I9" s="54"/>
      <c r="J9" s="54"/>
      <c r="K9" s="54"/>
    </row>
    <row r="10" spans="1:11">
      <c r="A10" s="54" t="s">
        <v>1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</row>
    <row r="11" spans="1:11">
      <c r="A11" s="54" t="s">
        <v>37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</row>
    <row r="12" spans="1:11">
      <c r="A12" s="54" t="s">
        <v>2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</row>
    <row r="13" spans="1:11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</row>
    <row r="14" spans="1:11">
      <c r="A14" s="47" t="s">
        <v>3</v>
      </c>
      <c r="B14" s="10"/>
      <c r="C14" s="10"/>
      <c r="D14" s="48" t="s">
        <v>4</v>
      </c>
      <c r="E14" s="10" t="s">
        <v>5</v>
      </c>
      <c r="F14" s="11"/>
      <c r="G14" s="10"/>
      <c r="H14" s="12"/>
      <c r="I14" s="12"/>
      <c r="J14" s="12"/>
      <c r="K14" s="9"/>
    </row>
    <row r="15" spans="1:11">
      <c r="A15" s="47" t="s">
        <v>6</v>
      </c>
      <c r="B15" s="10"/>
      <c r="C15" s="10"/>
      <c r="D15" s="48" t="s">
        <v>4</v>
      </c>
      <c r="E15" s="10" t="s">
        <v>7</v>
      </c>
      <c r="F15" s="11"/>
      <c r="G15" s="10"/>
      <c r="H15" s="12"/>
      <c r="I15" s="12"/>
      <c r="J15" s="12"/>
      <c r="K15" s="9"/>
    </row>
    <row r="16" spans="1:11">
      <c r="A16" s="47" t="s">
        <v>8</v>
      </c>
      <c r="B16" s="10"/>
      <c r="C16" s="10"/>
      <c r="D16" s="48" t="s">
        <v>4</v>
      </c>
      <c r="E16" s="13">
        <v>2025</v>
      </c>
      <c r="F16" s="11"/>
      <c r="G16" s="13"/>
      <c r="H16" s="12"/>
      <c r="I16" s="12"/>
      <c r="J16" s="12"/>
      <c r="K16" s="9"/>
    </row>
    <row r="17" spans="1:11">
      <c r="A17" s="47" t="s">
        <v>9</v>
      </c>
      <c r="B17" s="10"/>
      <c r="C17" s="10"/>
      <c r="D17" s="48" t="s">
        <v>4</v>
      </c>
      <c r="E17" s="14">
        <f>J25</f>
        <v>23849999</v>
      </c>
      <c r="F17" s="11"/>
      <c r="G17" s="14"/>
      <c r="H17" s="12"/>
      <c r="I17" s="12"/>
      <c r="J17" s="12"/>
      <c r="K17" s="9"/>
    </row>
    <row r="18" spans="1:11" ht="15.75">
      <c r="A18" s="10"/>
      <c r="B18" s="10"/>
      <c r="C18" s="15" t="s">
        <v>10</v>
      </c>
      <c r="D18" s="48" t="s">
        <v>4</v>
      </c>
      <c r="E18" s="16" t="s">
        <v>35</v>
      </c>
      <c r="F18" s="11"/>
      <c r="G18" s="16"/>
      <c r="H18" s="12"/>
      <c r="I18" s="12"/>
      <c r="J18" s="12"/>
      <c r="K18" s="9"/>
    </row>
    <row r="19" spans="1:11" ht="15.75">
      <c r="A19" s="10"/>
      <c r="B19" s="10"/>
      <c r="C19" s="15"/>
      <c r="D19" s="48"/>
      <c r="E19" s="16" t="s">
        <v>36</v>
      </c>
      <c r="F19" s="11"/>
      <c r="G19" s="16"/>
      <c r="H19" s="12"/>
      <c r="I19" s="12"/>
      <c r="J19" s="12"/>
      <c r="K19" s="9"/>
    </row>
    <row r="20" spans="1:11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</row>
    <row r="21" spans="1:11">
      <c r="A21" s="55" t="s">
        <v>12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1:11" ht="60">
      <c r="A22" s="17" t="s">
        <v>13</v>
      </c>
      <c r="B22" s="18" t="s">
        <v>14</v>
      </c>
      <c r="C22" s="56" t="s">
        <v>15</v>
      </c>
      <c r="D22" s="57"/>
      <c r="E22" s="58"/>
      <c r="F22" s="19"/>
      <c r="G22" s="20" t="s">
        <v>16</v>
      </c>
      <c r="H22" s="21" t="s">
        <v>33</v>
      </c>
      <c r="I22" s="21"/>
      <c r="J22" s="29" t="s">
        <v>17</v>
      </c>
      <c r="K22" s="30" t="s">
        <v>18</v>
      </c>
    </row>
    <row r="23" spans="1:11">
      <c r="A23" s="26">
        <v>1</v>
      </c>
      <c r="B23" s="23"/>
      <c r="C23" s="27" t="s">
        <v>21</v>
      </c>
      <c r="D23" s="53"/>
      <c r="E23" s="25"/>
      <c r="F23" s="24"/>
      <c r="G23" s="49" t="s">
        <v>19</v>
      </c>
      <c r="H23" s="49" t="s">
        <v>19</v>
      </c>
      <c r="I23" s="49"/>
      <c r="J23" s="49" t="s">
        <v>19</v>
      </c>
      <c r="K23" s="49" t="s">
        <v>19</v>
      </c>
    </row>
    <row r="24" spans="1:11">
      <c r="A24" s="23"/>
      <c r="B24" s="23" t="s">
        <v>20</v>
      </c>
      <c r="C24" s="24" t="s">
        <v>22</v>
      </c>
      <c r="D24" s="10"/>
      <c r="E24" s="25"/>
      <c r="F24" s="24"/>
      <c r="G24" s="22">
        <v>370000000</v>
      </c>
      <c r="H24" s="50">
        <v>0</v>
      </c>
      <c r="I24" s="50"/>
      <c r="J24" s="51">
        <v>23849999</v>
      </c>
      <c r="K24" s="52">
        <f t="shared" ref="K24" si="0">G24-H24-J24</f>
        <v>346150001</v>
      </c>
    </row>
    <row r="25" spans="1:11">
      <c r="A25" s="31"/>
      <c r="B25" s="31"/>
      <c r="C25" s="31" t="s">
        <v>23</v>
      </c>
      <c r="D25" s="31"/>
      <c r="E25" s="31"/>
      <c r="F25" s="32"/>
      <c r="G25" s="33">
        <f>SUM(G23:G24)</f>
        <v>370000000</v>
      </c>
      <c r="H25" s="34">
        <f>SUM(H23:H24)</f>
        <v>0</v>
      </c>
      <c r="I25" s="34"/>
      <c r="J25" s="34">
        <f>SUM(J23:J24)</f>
        <v>23849999</v>
      </c>
      <c r="K25" s="34">
        <f>SUM(K23:K24)</f>
        <v>346150001</v>
      </c>
    </row>
    <row r="26" spans="1:11">
      <c r="A26" s="35"/>
      <c r="B26" s="8"/>
      <c r="C26" s="8"/>
      <c r="D26" s="8"/>
      <c r="E26" s="8"/>
      <c r="F26" s="8"/>
      <c r="G26" s="36"/>
      <c r="H26" s="36"/>
      <c r="I26" s="36"/>
      <c r="J26" s="36"/>
      <c r="K26" s="36"/>
    </row>
    <row r="27" spans="1:11">
      <c r="A27" s="59" t="s">
        <v>24</v>
      </c>
      <c r="B27" s="59"/>
      <c r="C27" s="59"/>
      <c r="D27" s="11" t="s">
        <v>4</v>
      </c>
      <c r="E27" s="14">
        <f>J25</f>
        <v>23849999</v>
      </c>
      <c r="F27" s="37"/>
      <c r="G27" s="38"/>
      <c r="H27" s="38"/>
      <c r="I27" s="38"/>
      <c r="J27" s="9"/>
      <c r="K27" s="9"/>
    </row>
    <row r="28" spans="1:11">
      <c r="A28" s="10" t="s">
        <v>25</v>
      </c>
      <c r="B28" s="10"/>
      <c r="C28" s="10"/>
      <c r="D28" s="11" t="s">
        <v>4</v>
      </c>
      <c r="E28" s="39"/>
      <c r="F28" s="39"/>
      <c r="G28" s="40"/>
      <c r="H28" s="12"/>
      <c r="I28" s="12"/>
      <c r="J28" s="9"/>
      <c r="K28" s="9"/>
    </row>
    <row r="29" spans="1:11">
      <c r="A29" s="10" t="s">
        <v>26</v>
      </c>
      <c r="B29" s="10"/>
      <c r="C29" s="10"/>
      <c r="D29" s="11" t="s">
        <v>4</v>
      </c>
      <c r="E29" s="41"/>
      <c r="F29" s="41"/>
      <c r="G29" s="40"/>
      <c r="H29" s="12"/>
      <c r="I29" s="12"/>
      <c r="J29" s="9"/>
      <c r="K29" s="9"/>
    </row>
    <row r="30" spans="1:11">
      <c r="A30" s="10" t="s">
        <v>27</v>
      </c>
      <c r="B30" s="10"/>
      <c r="C30" s="10"/>
      <c r="D30" s="11" t="s">
        <v>4</v>
      </c>
      <c r="E30" s="41">
        <f>E28+E29</f>
        <v>0</v>
      </c>
      <c r="F30" s="41"/>
      <c r="G30" s="10"/>
      <c r="H30" s="12"/>
      <c r="I30" s="12"/>
      <c r="J30" s="43"/>
      <c r="K30" s="43"/>
    </row>
    <row r="31" spans="1:11">
      <c r="A31" s="13"/>
      <c r="B31" s="13"/>
      <c r="C31" s="13"/>
      <c r="D31" s="11"/>
      <c r="E31" s="13"/>
      <c r="F31" s="13"/>
      <c r="G31" s="10"/>
      <c r="H31" s="12"/>
      <c r="I31" s="12"/>
      <c r="J31" s="43"/>
      <c r="K31" s="43"/>
    </row>
    <row r="32" spans="1:11">
      <c r="A32" s="59" t="s">
        <v>28</v>
      </c>
      <c r="B32" s="59"/>
      <c r="C32" s="59"/>
      <c r="D32" s="11" t="s">
        <v>4</v>
      </c>
      <c r="E32" s="37">
        <f>E27-E30</f>
        <v>23849999</v>
      </c>
      <c r="F32" s="37"/>
      <c r="G32" s="10"/>
      <c r="H32" s="12"/>
      <c r="I32" s="12"/>
      <c r="J32" s="43"/>
      <c r="K32" s="43"/>
    </row>
    <row r="33" spans="1:11" ht="15.75">
      <c r="A33" s="13"/>
      <c r="B33" s="13"/>
      <c r="C33" s="10"/>
      <c r="D33" s="10"/>
      <c r="E33" s="16" t="s">
        <v>35</v>
      </c>
      <c r="F33" s="10"/>
      <c r="G33" s="10"/>
      <c r="H33" s="10"/>
      <c r="I33" s="10"/>
      <c r="J33" s="43"/>
      <c r="K33" s="43"/>
    </row>
    <row r="34" spans="1:11" ht="15.75">
      <c r="A34" s="42"/>
      <c r="B34" s="42"/>
      <c r="C34" s="42"/>
      <c r="D34" s="42"/>
      <c r="E34" s="2" t="s">
        <v>36</v>
      </c>
      <c r="F34" s="42"/>
      <c r="G34" s="28"/>
      <c r="H34" s="43"/>
      <c r="I34" s="43"/>
      <c r="J34" s="43"/>
      <c r="K34" s="43"/>
    </row>
    <row r="35" spans="1:11">
      <c r="A35" s="28"/>
      <c r="B35" s="28"/>
      <c r="C35" s="28"/>
      <c r="D35" s="28"/>
      <c r="E35" s="28"/>
      <c r="F35" s="28"/>
      <c r="G35" s="28"/>
      <c r="H35"/>
      <c r="I35"/>
      <c r="J35" s="43"/>
      <c r="K35" s="43"/>
    </row>
    <row r="36" spans="1:11">
      <c r="A36" s="13"/>
      <c r="B36" s="13"/>
      <c r="C36" s="10"/>
      <c r="D36" s="10"/>
      <c r="E36" s="10"/>
      <c r="F36" s="10"/>
      <c r="G36" s="10"/>
      <c r="I36" s="44"/>
      <c r="J36" s="44" t="s">
        <v>39</v>
      </c>
      <c r="K36" s="43"/>
    </row>
    <row r="37" spans="1:11">
      <c r="A37" s="12" t="s">
        <v>29</v>
      </c>
      <c r="B37" s="10"/>
      <c r="C37" s="10"/>
      <c r="D37" s="10"/>
      <c r="E37" s="10"/>
      <c r="F37" s="10"/>
      <c r="G37" s="10"/>
      <c r="I37" s="12"/>
      <c r="J37" s="12" t="s">
        <v>30</v>
      </c>
      <c r="K37" s="43"/>
    </row>
    <row r="38" spans="1:11">
      <c r="A38" s="10"/>
      <c r="B38" s="10"/>
      <c r="C38" s="10"/>
      <c r="D38" s="10"/>
      <c r="E38" s="10"/>
      <c r="F38" s="10"/>
      <c r="G38" s="10"/>
      <c r="I38" s="12"/>
      <c r="J38" s="12"/>
      <c r="K38" s="43"/>
    </row>
    <row r="39" spans="1:11">
      <c r="A39" s="10"/>
      <c r="B39" s="10"/>
      <c r="C39" s="10"/>
      <c r="D39" s="10"/>
      <c r="E39" s="10"/>
      <c r="F39" s="10"/>
      <c r="G39" s="10"/>
      <c r="I39" s="12"/>
      <c r="J39" s="12"/>
      <c r="K39" s="43"/>
    </row>
    <row r="40" spans="1:11">
      <c r="A40" s="10"/>
      <c r="B40" s="10"/>
      <c r="C40" s="10"/>
      <c r="D40" s="10"/>
      <c r="E40" s="10"/>
      <c r="F40" s="10"/>
      <c r="G40" s="10"/>
      <c r="I40" s="12"/>
      <c r="J40" s="12"/>
      <c r="K40" s="43"/>
    </row>
    <row r="41" spans="1:11">
      <c r="A41" s="10"/>
      <c r="B41" s="10"/>
      <c r="C41" s="10"/>
      <c r="D41" s="10"/>
      <c r="E41" s="10"/>
      <c r="F41" s="10"/>
      <c r="G41" s="10"/>
      <c r="I41" s="12"/>
      <c r="J41" s="12"/>
      <c r="K41" s="43"/>
    </row>
    <row r="42" spans="1:11">
      <c r="A42" s="45" t="s">
        <v>34</v>
      </c>
      <c r="B42" s="45"/>
      <c r="C42" s="46"/>
      <c r="D42" s="46"/>
      <c r="E42" s="46"/>
      <c r="F42" s="46"/>
      <c r="G42" s="10" t="s">
        <v>31</v>
      </c>
      <c r="I42" s="45"/>
      <c r="J42" s="45" t="s">
        <v>32</v>
      </c>
      <c r="K42" s="43"/>
    </row>
    <row r="47" spans="1:11" ht="15.75">
      <c r="C47" s="2"/>
      <c r="D47" s="2"/>
      <c r="E47" s="2"/>
      <c r="F47" s="2"/>
    </row>
    <row r="48" spans="1:11" ht="15.75">
      <c r="A48" s="3"/>
      <c r="B48" s="3"/>
      <c r="C48" s="2"/>
      <c r="D48" s="2"/>
      <c r="E48" s="2"/>
      <c r="F48" s="2"/>
      <c r="G48" s="3"/>
      <c r="H48" s="4"/>
      <c r="I48" s="4"/>
      <c r="J48" s="4"/>
      <c r="K48" s="5"/>
    </row>
    <row r="49" spans="1:11">
      <c r="H49" s="5"/>
      <c r="I49" s="5"/>
      <c r="J49" s="5"/>
      <c r="K49" s="5"/>
    </row>
    <row r="50" spans="1:11">
      <c r="H50" s="5"/>
      <c r="I50" s="5"/>
      <c r="J50" s="5"/>
      <c r="K50" s="5"/>
    </row>
    <row r="51" spans="1:11">
      <c r="A51" s="60" t="s">
        <v>0</v>
      </c>
      <c r="B51" s="60"/>
      <c r="C51" s="54"/>
      <c r="D51" s="54"/>
      <c r="E51" s="54"/>
      <c r="F51" s="54"/>
      <c r="G51" s="54"/>
      <c r="H51" s="54"/>
      <c r="I51" s="54"/>
      <c r="J51" s="54"/>
      <c r="K51" s="54"/>
    </row>
    <row r="52" spans="1:11">
      <c r="A52" s="54" t="s">
        <v>40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</row>
    <row r="53" spans="1:11">
      <c r="A53" s="54" t="s">
        <v>1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</row>
    <row r="54" spans="1:11">
      <c r="A54" s="54" t="s">
        <v>37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</row>
    <row r="55" spans="1:11">
      <c r="A55" s="54" t="s">
        <v>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</row>
    <row r="56" spans="1:11">
      <c r="A56" s="6"/>
      <c r="B56" s="6"/>
      <c r="C56" s="7"/>
      <c r="D56" s="7"/>
      <c r="E56" s="7"/>
      <c r="F56" s="7"/>
      <c r="G56" s="8"/>
      <c r="H56" s="9"/>
      <c r="I56" s="9"/>
      <c r="J56" s="9"/>
      <c r="K56" s="9"/>
    </row>
    <row r="57" spans="1:11">
      <c r="A57" s="47" t="s">
        <v>3</v>
      </c>
      <c r="B57" s="10"/>
      <c r="C57" s="10"/>
      <c r="D57" s="48" t="s">
        <v>4</v>
      </c>
      <c r="E57" s="10" t="s">
        <v>5</v>
      </c>
      <c r="F57" s="11"/>
      <c r="G57" s="10"/>
      <c r="H57" s="12"/>
      <c r="I57" s="12"/>
      <c r="J57" s="12"/>
      <c r="K57" s="9"/>
    </row>
    <row r="58" spans="1:11">
      <c r="A58" s="47" t="s">
        <v>6</v>
      </c>
      <c r="B58" s="10"/>
      <c r="C58" s="10"/>
      <c r="D58" s="48" t="s">
        <v>4</v>
      </c>
      <c r="E58" s="10" t="s">
        <v>7</v>
      </c>
      <c r="F58" s="11"/>
      <c r="G58" s="10"/>
      <c r="H58" s="12"/>
      <c r="I58" s="12"/>
      <c r="J58" s="12"/>
      <c r="K58" s="9"/>
    </row>
    <row r="59" spans="1:11">
      <c r="A59" s="47" t="s">
        <v>8</v>
      </c>
      <c r="B59" s="10"/>
      <c r="C59" s="10"/>
      <c r="D59" s="48" t="s">
        <v>4</v>
      </c>
      <c r="E59" s="13">
        <v>2025</v>
      </c>
      <c r="F59" s="11"/>
      <c r="G59" s="13"/>
      <c r="H59" s="12"/>
      <c r="I59" s="12"/>
      <c r="J59" s="12"/>
      <c r="K59" s="9"/>
    </row>
    <row r="60" spans="1:11">
      <c r="A60" s="47" t="s">
        <v>9</v>
      </c>
      <c r="B60" s="10"/>
      <c r="C60" s="10"/>
      <c r="D60" s="48" t="s">
        <v>4</v>
      </c>
      <c r="E60" s="14">
        <f>J67</f>
        <v>7950000</v>
      </c>
      <c r="F60" s="11"/>
      <c r="G60" s="14"/>
      <c r="H60" s="12"/>
      <c r="I60" s="12"/>
      <c r="J60" s="12"/>
      <c r="K60" s="9"/>
    </row>
    <row r="61" spans="1:11" ht="15.75">
      <c r="A61" s="10"/>
      <c r="B61" s="10"/>
      <c r="C61" s="15" t="s">
        <v>10</v>
      </c>
      <c r="D61" s="48" t="s">
        <v>4</v>
      </c>
      <c r="E61" s="16" t="str">
        <f>PROPER(IF(E60=0,"nol",IF(E60&lt;0,"minus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60),"000000000000000"),1,3)=0,"",MID(TEXT(ABS(E60),"000000000000000"),1,1)&amp;" ratus "&amp;MID(TEXT(ABS(E60),"000000000000000"),2,1)&amp;" puluh "&amp;MID(TEXT(ABS(E60),"000000000000000"),3,1)&amp;" trilyun ")&amp;IF(--MID(TEXT(ABS(E60),"000000000000000"),4,3)=0,"",MID(TEXT(ABS(E60),"000000000000000"),4,1)&amp;" ratus "&amp;MID(TEXT(ABS(E60),"000000000000000"),5,1)&amp;" puluh "&amp;MID(TEXT(ABS(E60),"000000000000000"),6,1)&amp;" milyar ")&amp;IF(--MID(TEXT(ABS(E60),"000000000000000"),7,3)=0,"",MID(TEXT(ABS(E60),"000000000000000"),7,1)&amp;" ratus "&amp;MID(TEXT(ABS(E60),"000000000000000"),8,1)&amp;" puluh "&amp;MID(TEXT(ABS(E60),"000000000000000"),9,1)&amp;" juta ")&amp;IF(--MID(TEXT(ABS(E60),"000000000000000"),10,3)=0,"",IF(--MID(TEXT(ABS(E60),"000000000000000"),10,3)=1,"*",MID(TEXT(ABS(E60),"000000000000000"),10,1)&amp;" ratus "&amp;MID(TEXT(ABS(E60),"000000000000000"),11,1)&amp;" puluh ")&amp;MID(TEXT(ABS(E60),"000000000000000"),12,1)&amp;" ribu ")&amp;IF(--MID(TEXT(ABS(E60),"000000000000000"),13,3)=0,"",MID(TEXT(ABS(E60),"000000000000000"),13,1)&amp;" ratus "&amp;MID(TEXT(ABS(E60),"000000000000000"),14,1)&amp;" puluh "&amp;MID(TEXT(ABS(E60),"000000000000000"),15,1)),1,"satu"),2,"dua"),3,"tiga"),4,"empat"),5,"lima"),6,"enam"),7,"tujuh"),8,"delapan"),9,"sembilan"),"0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Sembilan Ratus Lima Puluh Ribu Rupiah</v>
      </c>
      <c r="F61" s="11"/>
      <c r="G61" s="16"/>
      <c r="H61" s="12"/>
      <c r="I61" s="12"/>
      <c r="J61" s="12"/>
      <c r="K61" s="9"/>
    </row>
    <row r="62" spans="1:11">
      <c r="A62" s="10" t="s">
        <v>11</v>
      </c>
      <c r="B62" s="10"/>
      <c r="C62" s="10"/>
      <c r="D62" s="10"/>
      <c r="E62" s="10"/>
      <c r="F62" s="10"/>
      <c r="G62" s="10"/>
      <c r="H62" s="12"/>
      <c r="I62" s="12"/>
      <c r="J62" s="12"/>
      <c r="K62" s="9"/>
    </row>
    <row r="63" spans="1:11">
      <c r="A63" s="55" t="s">
        <v>12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</row>
    <row r="64" spans="1:11" ht="60">
      <c r="A64" s="17" t="s">
        <v>13</v>
      </c>
      <c r="B64" s="18" t="s">
        <v>14</v>
      </c>
      <c r="C64" s="56" t="s">
        <v>15</v>
      </c>
      <c r="D64" s="57"/>
      <c r="E64" s="58"/>
      <c r="F64" s="19"/>
      <c r="G64" s="20" t="s">
        <v>16</v>
      </c>
      <c r="H64" s="21" t="s">
        <v>33</v>
      </c>
      <c r="I64" s="21"/>
      <c r="J64" s="29" t="s">
        <v>17</v>
      </c>
      <c r="K64" s="30" t="s">
        <v>18</v>
      </c>
    </row>
    <row r="65" spans="1:11">
      <c r="A65" s="26">
        <v>1</v>
      </c>
      <c r="B65" s="23"/>
      <c r="C65" s="27" t="s">
        <v>21</v>
      </c>
      <c r="D65" s="53"/>
      <c r="E65" s="25"/>
      <c r="F65" s="24"/>
      <c r="G65" s="49" t="s">
        <v>19</v>
      </c>
      <c r="H65" s="49" t="s">
        <v>19</v>
      </c>
      <c r="I65" s="49"/>
      <c r="J65" s="49" t="s">
        <v>19</v>
      </c>
      <c r="K65" s="49" t="s">
        <v>19</v>
      </c>
    </row>
    <row r="66" spans="1:11">
      <c r="A66" s="23"/>
      <c r="B66" s="23" t="s">
        <v>20</v>
      </c>
      <c r="C66" s="24" t="s">
        <v>22</v>
      </c>
      <c r="D66" s="10"/>
      <c r="E66" s="25"/>
      <c r="F66" s="24"/>
      <c r="G66" s="22">
        <v>370000000</v>
      </c>
      <c r="H66" s="50">
        <f>H24+J24</f>
        <v>23849999</v>
      </c>
      <c r="I66" s="50"/>
      <c r="J66" s="51">
        <v>7950000</v>
      </c>
      <c r="K66" s="52">
        <f t="shared" ref="K66" si="1">G66-H66-J66</f>
        <v>338200001</v>
      </c>
    </row>
    <row r="67" spans="1:11">
      <c r="A67" s="31"/>
      <c r="B67" s="31"/>
      <c r="C67" s="31" t="s">
        <v>23</v>
      </c>
      <c r="D67" s="31"/>
      <c r="E67" s="31"/>
      <c r="F67" s="32"/>
      <c r="G67" s="33">
        <f>SUM(G65:G66)</f>
        <v>370000000</v>
      </c>
      <c r="H67" s="34">
        <f>SUM(H65:H66)</f>
        <v>23849999</v>
      </c>
      <c r="I67" s="34"/>
      <c r="J67" s="34">
        <f>SUM(J65:J66)</f>
        <v>7950000</v>
      </c>
      <c r="K67" s="34">
        <f>SUM(K65:K66)</f>
        <v>338200001</v>
      </c>
    </row>
    <row r="68" spans="1:11">
      <c r="A68" s="35"/>
      <c r="B68" s="8"/>
      <c r="C68" s="8"/>
      <c r="D68" s="8"/>
      <c r="E68" s="8"/>
      <c r="F68" s="8"/>
      <c r="G68" s="36"/>
      <c r="H68" s="36"/>
      <c r="I68" s="36"/>
      <c r="J68" s="36"/>
      <c r="K68" s="36"/>
    </row>
    <row r="69" spans="1:11">
      <c r="A69" s="59" t="s">
        <v>24</v>
      </c>
      <c r="B69" s="59"/>
      <c r="C69" s="59"/>
      <c r="D69" s="11" t="s">
        <v>4</v>
      </c>
      <c r="E69" s="14">
        <f>J67</f>
        <v>7950000</v>
      </c>
      <c r="F69" s="37"/>
      <c r="G69" s="38"/>
      <c r="H69" s="38"/>
      <c r="I69" s="38"/>
      <c r="J69" s="9"/>
      <c r="K69" s="9"/>
    </row>
    <row r="70" spans="1:11">
      <c r="A70" s="10" t="s">
        <v>25</v>
      </c>
      <c r="B70" s="10"/>
      <c r="C70" s="10"/>
      <c r="D70" s="11" t="s">
        <v>4</v>
      </c>
      <c r="E70" s="39"/>
      <c r="F70" s="39"/>
      <c r="G70" s="40"/>
      <c r="H70" s="12"/>
      <c r="I70" s="12"/>
      <c r="J70" s="9"/>
      <c r="K70" s="9"/>
    </row>
    <row r="71" spans="1:11">
      <c r="A71" s="10" t="s">
        <v>26</v>
      </c>
      <c r="B71" s="10"/>
      <c r="C71" s="10"/>
      <c r="D71" s="11" t="s">
        <v>4</v>
      </c>
      <c r="E71" s="41"/>
      <c r="F71" s="41"/>
      <c r="G71" s="40"/>
      <c r="H71" s="12"/>
      <c r="I71" s="12"/>
      <c r="J71" s="9"/>
      <c r="K71" s="9"/>
    </row>
    <row r="72" spans="1:11">
      <c r="A72" s="10" t="s">
        <v>27</v>
      </c>
      <c r="B72" s="10"/>
      <c r="C72" s="10"/>
      <c r="D72" s="11" t="s">
        <v>4</v>
      </c>
      <c r="E72" s="41">
        <f>E70+E71</f>
        <v>0</v>
      </c>
      <c r="F72" s="41"/>
      <c r="G72" s="10"/>
      <c r="H72" s="12"/>
      <c r="I72" s="12"/>
      <c r="J72" s="43"/>
      <c r="K72" s="43"/>
    </row>
    <row r="73" spans="1:11">
      <c r="A73" s="13"/>
      <c r="B73" s="13"/>
      <c r="C73" s="13"/>
      <c r="D73" s="11"/>
      <c r="E73" s="13"/>
      <c r="F73" s="13"/>
      <c r="G73" s="10"/>
      <c r="H73" s="12"/>
      <c r="I73" s="12"/>
      <c r="J73" s="43"/>
      <c r="K73" s="43"/>
    </row>
    <row r="74" spans="1:11">
      <c r="A74" s="59" t="s">
        <v>28</v>
      </c>
      <c r="B74" s="59"/>
      <c r="C74" s="59"/>
      <c r="D74" s="11" t="s">
        <v>4</v>
      </c>
      <c r="E74" s="37">
        <f>E69-E72</f>
        <v>7950000</v>
      </c>
      <c r="F74" s="37"/>
      <c r="G74" s="10"/>
      <c r="H74" s="12"/>
      <c r="I74" s="12"/>
      <c r="J74" s="43"/>
      <c r="K74" s="43"/>
    </row>
    <row r="75" spans="1:11" ht="15.75">
      <c r="A75" s="13"/>
      <c r="B75" s="13"/>
      <c r="C75" s="10"/>
      <c r="D75" s="10"/>
      <c r="E75" s="16" t="str">
        <f>PROPER(IF(E74=0,"nol",IF(E74&lt;0,"minus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74),"000000000000000"),1,3)=0,"",MID(TEXT(ABS(E74),"000000000000000"),1,1)&amp;" ratus "&amp;MID(TEXT(ABS(E74),"000000000000000"),2,1)&amp;" puluh "&amp;MID(TEXT(ABS(E74),"000000000000000"),3,1)&amp;" trilyun ")&amp;IF(--MID(TEXT(ABS(E74),"000000000000000"),4,3)=0,"",MID(TEXT(ABS(E74),"000000000000000"),4,1)&amp;" ratus "&amp;MID(TEXT(ABS(E74),"000000000000000"),5,1)&amp;" puluh "&amp;MID(TEXT(ABS(E74),"000000000000000"),6,1)&amp;" milyar ")&amp;IF(--MID(TEXT(ABS(E74),"000000000000000"),7,3)=0,"",MID(TEXT(ABS(E74),"000000000000000"),7,1)&amp;" ratus "&amp;MID(TEXT(ABS(E74),"000000000000000"),8,1)&amp;" puluh "&amp;MID(TEXT(ABS(E74),"000000000000000"),9,1)&amp;" juta ")&amp;IF(--MID(TEXT(ABS(E74),"000000000000000"),10,3)=0,"",IF(--MID(TEXT(ABS(E74),"000000000000000"),10,3)=1,"*",MID(TEXT(ABS(E74),"000000000000000"),10,1)&amp;" ratus "&amp;MID(TEXT(ABS(E74),"000000000000000"),11,1)&amp;" puluh ")&amp;MID(TEXT(ABS(E74),"000000000000000"),12,1)&amp;" ribu ")&amp;IF(--MID(TEXT(ABS(E74),"000000000000000"),13,3)=0,"",MID(TEXT(ABS(E74),"000000000000000"),13,1)&amp;" ratus "&amp;MID(TEXT(ABS(E74),"000000000000000"),14,1)&amp;" puluh "&amp;MID(TEXT(ABS(E74),"000000000000000"),15,1)),1,"satu"),2,"dua"),3,"tiga"),4,"empat"),5,"lima"),6,"enam"),7,"tujuh"),8,"delapan"),9,"sembilan"),"0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Sembilan Ratus Lima Puluh Ribu Rupiah</v>
      </c>
      <c r="F75" s="10"/>
      <c r="G75" s="10"/>
      <c r="H75" s="10"/>
      <c r="I75" s="10"/>
      <c r="J75" s="43"/>
      <c r="K75" s="43"/>
    </row>
    <row r="76" spans="1:11">
      <c r="A76" s="28"/>
      <c r="B76" s="28"/>
      <c r="C76" s="28"/>
      <c r="D76" s="28"/>
      <c r="E76" s="28"/>
      <c r="F76" s="28"/>
      <c r="G76" s="28"/>
      <c r="H76"/>
      <c r="I76"/>
      <c r="J76" s="43"/>
      <c r="K76" s="43"/>
    </row>
    <row r="77" spans="1:11">
      <c r="A77" s="13"/>
      <c r="B77" s="13"/>
      <c r="C77" s="10"/>
      <c r="D77" s="10"/>
      <c r="E77" s="10"/>
      <c r="F77" s="10"/>
      <c r="G77" s="10"/>
      <c r="I77" s="44"/>
      <c r="J77" s="44" t="s">
        <v>41</v>
      </c>
      <c r="K77" s="43"/>
    </row>
    <row r="78" spans="1:11">
      <c r="A78" s="12" t="s">
        <v>29</v>
      </c>
      <c r="B78" s="10"/>
      <c r="C78" s="10"/>
      <c r="D78" s="10"/>
      <c r="E78" s="10"/>
      <c r="F78" s="10"/>
      <c r="G78" s="10"/>
      <c r="I78" s="12"/>
      <c r="J78" s="12" t="s">
        <v>30</v>
      </c>
      <c r="K78" s="43"/>
    </row>
    <row r="79" spans="1:11">
      <c r="A79" s="10"/>
      <c r="B79" s="10"/>
      <c r="C79" s="10"/>
      <c r="D79" s="10"/>
      <c r="E79" s="10"/>
      <c r="F79" s="10"/>
      <c r="G79" s="10"/>
      <c r="I79" s="12"/>
      <c r="J79" s="12"/>
      <c r="K79" s="43"/>
    </row>
    <row r="80" spans="1:11">
      <c r="A80" s="10"/>
      <c r="B80" s="10"/>
      <c r="C80" s="10"/>
      <c r="D80" s="10"/>
      <c r="E80" s="10"/>
      <c r="F80" s="10"/>
      <c r="G80" s="10"/>
      <c r="I80" s="12"/>
      <c r="J80" s="12"/>
      <c r="K80" s="43"/>
    </row>
    <row r="81" spans="1:11">
      <c r="A81" s="10"/>
      <c r="B81" s="10"/>
      <c r="C81" s="10"/>
      <c r="D81" s="10"/>
      <c r="E81" s="10"/>
      <c r="F81" s="10"/>
      <c r="G81" s="10"/>
      <c r="I81" s="12"/>
      <c r="J81" s="12"/>
      <c r="K81" s="43"/>
    </row>
    <row r="82" spans="1:11">
      <c r="A82" s="10"/>
      <c r="B82" s="10"/>
      <c r="C82" s="10"/>
      <c r="D82" s="10"/>
      <c r="E82" s="10"/>
      <c r="F82" s="10"/>
      <c r="G82" s="10"/>
      <c r="I82" s="12"/>
      <c r="J82" s="12"/>
      <c r="K82" s="43"/>
    </row>
    <row r="83" spans="1:11">
      <c r="A83" s="45" t="s">
        <v>34</v>
      </c>
      <c r="B83" s="45"/>
      <c r="C83" s="46"/>
      <c r="D83" s="46"/>
      <c r="E83" s="46"/>
      <c r="F83" s="46"/>
      <c r="G83" s="10" t="s">
        <v>31</v>
      </c>
      <c r="I83" s="45"/>
      <c r="J83" s="45" t="s">
        <v>32</v>
      </c>
      <c r="K83" s="43"/>
    </row>
  </sheetData>
  <mergeCells count="18">
    <mergeCell ref="A63:K63"/>
    <mergeCell ref="C64:E64"/>
    <mergeCell ref="A69:C69"/>
    <mergeCell ref="A74:C74"/>
    <mergeCell ref="A51:K51"/>
    <mergeCell ref="A52:K52"/>
    <mergeCell ref="A53:K53"/>
    <mergeCell ref="A54:K54"/>
    <mergeCell ref="A55:K55"/>
    <mergeCell ref="C22:E22"/>
    <mergeCell ref="A27:C27"/>
    <mergeCell ref="A32:C32"/>
    <mergeCell ref="A8:K8"/>
    <mergeCell ref="A9:K9"/>
    <mergeCell ref="A10:K10"/>
    <mergeCell ref="A11:K11"/>
    <mergeCell ref="A12:K12"/>
    <mergeCell ref="A21:K21"/>
  </mergeCells>
  <pageMargins left="0.23622047244094491" right="0.23622047244094491" top="0.74803149606299213" bottom="0.74803149606299213" header="0.31496062992125984" footer="0.31496062992125984"/>
  <pageSetup paperSize="9" scale="85" orientation="portrait" horizontalDpi="4294967293" r:id="rId1"/>
  <rowBreaks count="1" manualBreakCount="1">
    <brk id="43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1572-007E-424D-8C24-3718361D0E1B}">
  <dimension ref="A4:L83"/>
  <sheetViews>
    <sheetView view="pageBreakPreview" topLeftCell="A55" zoomScaleNormal="100" zoomScaleSheetLayoutView="100" workbookViewId="0">
      <selection activeCell="K83" sqref="A44:K83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4.285156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4" spans="1:11" ht="15.75">
      <c r="C4" s="2"/>
      <c r="D4" s="2"/>
      <c r="E4" s="2"/>
      <c r="F4" s="2"/>
    </row>
    <row r="5" spans="1:11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</row>
    <row r="6" spans="1:11">
      <c r="H6" s="5"/>
      <c r="I6" s="5"/>
      <c r="J6" s="5"/>
      <c r="K6" s="5"/>
    </row>
    <row r="7" spans="1:11">
      <c r="H7" s="5"/>
      <c r="I7" s="5"/>
      <c r="J7" s="5"/>
      <c r="K7" s="5"/>
    </row>
    <row r="8" spans="1:11">
      <c r="A8" s="60" t="s">
        <v>0</v>
      </c>
      <c r="B8" s="60"/>
      <c r="C8" s="54"/>
      <c r="D8" s="54"/>
      <c r="E8" s="54"/>
      <c r="F8" s="54"/>
      <c r="G8" s="54"/>
      <c r="H8" s="54"/>
      <c r="I8" s="54"/>
      <c r="J8" s="54"/>
      <c r="K8" s="54"/>
    </row>
    <row r="9" spans="1:11">
      <c r="A9" s="54" t="s">
        <v>42</v>
      </c>
      <c r="B9" s="54"/>
      <c r="C9" s="54"/>
      <c r="D9" s="54"/>
      <c r="E9" s="54"/>
      <c r="F9" s="54"/>
      <c r="G9" s="54"/>
      <c r="H9" s="54"/>
      <c r="I9" s="54"/>
      <c r="J9" s="54"/>
      <c r="K9" s="54"/>
    </row>
    <row r="10" spans="1:11">
      <c r="A10" s="54" t="s">
        <v>1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</row>
    <row r="11" spans="1:11">
      <c r="A11" s="54" t="s">
        <v>37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</row>
    <row r="12" spans="1:11">
      <c r="A12" s="54" t="s">
        <v>2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</row>
    <row r="13" spans="1:11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</row>
    <row r="14" spans="1:11">
      <c r="A14" s="47" t="s">
        <v>3</v>
      </c>
      <c r="B14" s="10"/>
      <c r="C14" s="10"/>
      <c r="D14" s="48" t="s">
        <v>4</v>
      </c>
      <c r="E14" s="10" t="s">
        <v>5</v>
      </c>
      <c r="F14" s="11"/>
      <c r="G14" s="10"/>
      <c r="H14" s="12"/>
      <c r="I14" s="12"/>
      <c r="J14" s="12"/>
      <c r="K14" s="9"/>
    </row>
    <row r="15" spans="1:11">
      <c r="A15" s="47" t="s">
        <v>6</v>
      </c>
      <c r="B15" s="10"/>
      <c r="C15" s="10"/>
      <c r="D15" s="48" t="s">
        <v>4</v>
      </c>
      <c r="E15" s="10" t="s">
        <v>7</v>
      </c>
      <c r="F15" s="11"/>
      <c r="G15" s="10"/>
      <c r="H15" s="12"/>
      <c r="I15" s="12"/>
      <c r="J15" s="12"/>
      <c r="K15" s="9"/>
    </row>
    <row r="16" spans="1:11">
      <c r="A16" s="47" t="s">
        <v>8</v>
      </c>
      <c r="B16" s="10"/>
      <c r="C16" s="10"/>
      <c r="D16" s="48" t="s">
        <v>4</v>
      </c>
      <c r="E16" s="13">
        <v>2025</v>
      </c>
      <c r="F16" s="11"/>
      <c r="G16" s="13"/>
      <c r="H16" s="12"/>
      <c r="I16" s="12"/>
      <c r="J16" s="12"/>
      <c r="K16" s="9"/>
    </row>
    <row r="17" spans="1:11">
      <c r="A17" s="47" t="s">
        <v>9</v>
      </c>
      <c r="B17" s="10"/>
      <c r="C17" s="10"/>
      <c r="D17" s="48" t="s">
        <v>4</v>
      </c>
      <c r="E17" s="14">
        <f>J25</f>
        <v>23849999</v>
      </c>
      <c r="F17" s="11"/>
      <c r="G17" s="14"/>
      <c r="H17" s="12"/>
      <c r="I17" s="12"/>
      <c r="J17" s="12"/>
      <c r="K17" s="9"/>
    </row>
    <row r="18" spans="1:11" ht="15.75">
      <c r="A18" s="10"/>
      <c r="B18" s="10"/>
      <c r="C18" s="15" t="s">
        <v>10</v>
      </c>
      <c r="D18" s="48" t="s">
        <v>4</v>
      </c>
      <c r="E18" s="16" t="s">
        <v>35</v>
      </c>
      <c r="F18" s="11"/>
      <c r="G18" s="16"/>
      <c r="H18" s="12"/>
      <c r="I18" s="12"/>
      <c r="J18" s="12"/>
      <c r="K18" s="9"/>
    </row>
    <row r="19" spans="1:11" ht="15.75">
      <c r="A19" s="10"/>
      <c r="B19" s="10"/>
      <c r="C19" s="15"/>
      <c r="D19" s="48"/>
      <c r="E19" s="16" t="s">
        <v>36</v>
      </c>
      <c r="F19" s="11"/>
      <c r="G19" s="16"/>
      <c r="H19" s="12"/>
      <c r="I19" s="12"/>
      <c r="J19" s="12"/>
      <c r="K19" s="9"/>
    </row>
    <row r="20" spans="1:11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</row>
    <row r="21" spans="1:11">
      <c r="A21" s="55" t="s">
        <v>12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1:11" ht="60">
      <c r="A22" s="17" t="s">
        <v>13</v>
      </c>
      <c r="B22" s="18" t="s">
        <v>14</v>
      </c>
      <c r="C22" s="56" t="s">
        <v>15</v>
      </c>
      <c r="D22" s="57"/>
      <c r="E22" s="58"/>
      <c r="F22" s="19"/>
      <c r="G22" s="20" t="s">
        <v>16</v>
      </c>
      <c r="H22" s="21" t="s">
        <v>33</v>
      </c>
      <c r="I22" s="21"/>
      <c r="J22" s="29" t="s">
        <v>17</v>
      </c>
      <c r="K22" s="30" t="s">
        <v>18</v>
      </c>
    </row>
    <row r="23" spans="1:11">
      <c r="A23" s="26">
        <v>1</v>
      </c>
      <c r="B23" s="23"/>
      <c r="C23" s="27" t="s">
        <v>21</v>
      </c>
      <c r="D23" s="53"/>
      <c r="E23" s="25"/>
      <c r="F23" s="24"/>
      <c r="G23" s="49" t="s">
        <v>19</v>
      </c>
      <c r="H23" s="49" t="s">
        <v>19</v>
      </c>
      <c r="I23" s="49"/>
      <c r="J23" s="49" t="s">
        <v>19</v>
      </c>
      <c r="K23" s="49" t="s">
        <v>19</v>
      </c>
    </row>
    <row r="24" spans="1:11">
      <c r="A24" s="23"/>
      <c r="B24" s="23" t="s">
        <v>20</v>
      </c>
      <c r="C24" s="24" t="s">
        <v>22</v>
      </c>
      <c r="D24" s="10"/>
      <c r="E24" s="25"/>
      <c r="F24" s="24"/>
      <c r="G24" s="22">
        <v>370000000</v>
      </c>
      <c r="H24" s="50">
        <f>JANUARI!H66+JANUARI!J66</f>
        <v>31799999</v>
      </c>
      <c r="I24" s="50"/>
      <c r="J24" s="51">
        <v>23849999</v>
      </c>
      <c r="K24" s="52">
        <f t="shared" ref="K24" si="0">G24-H24-J24</f>
        <v>314350002</v>
      </c>
    </row>
    <row r="25" spans="1:11">
      <c r="A25" s="31"/>
      <c r="B25" s="31"/>
      <c r="C25" s="31" t="s">
        <v>23</v>
      </c>
      <c r="D25" s="31"/>
      <c r="E25" s="31"/>
      <c r="F25" s="32"/>
      <c r="G25" s="33">
        <f>SUM(G23:G24)</f>
        <v>370000000</v>
      </c>
      <c r="H25" s="34">
        <f>SUM(H23:H24)</f>
        <v>31799999</v>
      </c>
      <c r="I25" s="34"/>
      <c r="J25" s="34">
        <f>SUM(J23:J24)</f>
        <v>23849999</v>
      </c>
      <c r="K25" s="34">
        <f>SUM(K23:K24)</f>
        <v>314350002</v>
      </c>
    </row>
    <row r="26" spans="1:11">
      <c r="A26" s="35"/>
      <c r="B26" s="8"/>
      <c r="C26" s="8"/>
      <c r="D26" s="8"/>
      <c r="E26" s="8"/>
      <c r="F26" s="8"/>
      <c r="G26" s="36"/>
      <c r="H26" s="36"/>
      <c r="I26" s="36"/>
      <c r="J26" s="36"/>
      <c r="K26" s="36"/>
    </row>
    <row r="27" spans="1:11">
      <c r="A27" s="59" t="s">
        <v>24</v>
      </c>
      <c r="B27" s="59"/>
      <c r="C27" s="59"/>
      <c r="D27" s="11" t="s">
        <v>4</v>
      </c>
      <c r="E27" s="14">
        <f>J25</f>
        <v>23849999</v>
      </c>
      <c r="F27" s="37"/>
      <c r="G27" s="38"/>
      <c r="H27" s="38"/>
      <c r="I27" s="38"/>
      <c r="J27" s="9"/>
      <c r="K27" s="9"/>
    </row>
    <row r="28" spans="1:11">
      <c r="A28" s="10" t="s">
        <v>25</v>
      </c>
      <c r="B28" s="10"/>
      <c r="C28" s="10"/>
      <c r="D28" s="11" t="s">
        <v>4</v>
      </c>
      <c r="E28" s="39"/>
      <c r="F28" s="39"/>
      <c r="G28" s="40"/>
      <c r="H28" s="12"/>
      <c r="I28" s="12"/>
      <c r="J28" s="9"/>
      <c r="K28" s="9"/>
    </row>
    <row r="29" spans="1:11">
      <c r="A29" s="10" t="s">
        <v>26</v>
      </c>
      <c r="B29" s="10"/>
      <c r="C29" s="10"/>
      <c r="D29" s="11" t="s">
        <v>4</v>
      </c>
      <c r="E29" s="41"/>
      <c r="F29" s="41"/>
      <c r="G29" s="40"/>
      <c r="H29" s="12"/>
      <c r="I29" s="12"/>
      <c r="J29" s="9"/>
      <c r="K29" s="9"/>
    </row>
    <row r="30" spans="1:11">
      <c r="A30" s="10" t="s">
        <v>27</v>
      </c>
      <c r="B30" s="10"/>
      <c r="C30" s="10"/>
      <c r="D30" s="11" t="s">
        <v>4</v>
      </c>
      <c r="E30" s="41">
        <f>E28+E29</f>
        <v>0</v>
      </c>
      <c r="F30" s="41"/>
      <c r="G30" s="10"/>
      <c r="H30" s="12"/>
      <c r="I30" s="12"/>
      <c r="J30" s="43"/>
      <c r="K30" s="43"/>
    </row>
    <row r="31" spans="1:11">
      <c r="A31" s="13"/>
      <c r="B31" s="13"/>
      <c r="C31" s="13"/>
      <c r="D31" s="11"/>
      <c r="E31" s="13"/>
      <c r="F31" s="13"/>
      <c r="G31" s="10"/>
      <c r="H31" s="12"/>
      <c r="I31" s="12"/>
      <c r="J31" s="43"/>
      <c r="K31" s="43"/>
    </row>
    <row r="32" spans="1:11">
      <c r="A32" s="59" t="s">
        <v>28</v>
      </c>
      <c r="B32" s="59"/>
      <c r="C32" s="59"/>
      <c r="D32" s="11" t="s">
        <v>4</v>
      </c>
      <c r="E32" s="37">
        <f>E27-E30</f>
        <v>23849999</v>
      </c>
      <c r="F32" s="37"/>
      <c r="G32" s="10"/>
      <c r="H32" s="12"/>
      <c r="I32" s="12"/>
      <c r="J32" s="43"/>
      <c r="K32" s="43"/>
    </row>
    <row r="33" spans="1:11" ht="15.75">
      <c r="A33" s="13"/>
      <c r="B33" s="13"/>
      <c r="C33" s="10"/>
      <c r="D33" s="10"/>
      <c r="E33" s="16" t="s">
        <v>35</v>
      </c>
      <c r="F33" s="10"/>
      <c r="G33" s="10"/>
      <c r="H33" s="10"/>
      <c r="I33" s="10"/>
      <c r="J33" s="43"/>
      <c r="K33" s="43"/>
    </row>
    <row r="34" spans="1:11" ht="15.75">
      <c r="A34" s="42"/>
      <c r="B34" s="42"/>
      <c r="C34" s="42"/>
      <c r="D34" s="42"/>
      <c r="E34" s="2" t="s">
        <v>36</v>
      </c>
      <c r="F34" s="42"/>
      <c r="G34" s="28"/>
      <c r="H34" s="43"/>
      <c r="I34" s="43"/>
      <c r="J34" s="43"/>
      <c r="K34" s="43"/>
    </row>
    <row r="35" spans="1:11">
      <c r="A35" s="28"/>
      <c r="B35" s="28"/>
      <c r="C35" s="28"/>
      <c r="D35" s="28"/>
      <c r="E35" s="28"/>
      <c r="F35" s="28"/>
      <c r="G35" s="28"/>
      <c r="H35"/>
      <c r="I35"/>
      <c r="J35" s="43"/>
      <c r="K35" s="43"/>
    </row>
    <row r="36" spans="1:11">
      <c r="A36" s="13"/>
      <c r="B36" s="13"/>
      <c r="C36" s="10"/>
      <c r="D36" s="10"/>
      <c r="E36" s="10"/>
      <c r="F36" s="10"/>
      <c r="G36" s="10"/>
      <c r="I36" s="44"/>
      <c r="J36" s="44" t="s">
        <v>43</v>
      </c>
      <c r="K36" s="43"/>
    </row>
    <row r="37" spans="1:11">
      <c r="A37" s="12" t="s">
        <v>29</v>
      </c>
      <c r="B37" s="10"/>
      <c r="C37" s="10"/>
      <c r="D37" s="10"/>
      <c r="E37" s="10"/>
      <c r="F37" s="10"/>
      <c r="G37" s="10"/>
      <c r="I37" s="12"/>
      <c r="J37" s="12" t="s">
        <v>30</v>
      </c>
      <c r="K37" s="43"/>
    </row>
    <row r="38" spans="1:11">
      <c r="A38" s="10"/>
      <c r="B38" s="10"/>
      <c r="C38" s="10"/>
      <c r="D38" s="10"/>
      <c r="E38" s="10"/>
      <c r="F38" s="10"/>
      <c r="G38" s="10"/>
      <c r="I38" s="12"/>
      <c r="J38" s="12"/>
      <c r="K38" s="43"/>
    </row>
    <row r="39" spans="1:11">
      <c r="A39" s="10"/>
      <c r="B39" s="10"/>
      <c r="C39" s="10"/>
      <c r="D39" s="10"/>
      <c r="E39" s="10"/>
      <c r="F39" s="10"/>
      <c r="G39" s="10"/>
      <c r="I39" s="12"/>
      <c r="J39" s="12"/>
      <c r="K39" s="43"/>
    </row>
    <row r="40" spans="1:11">
      <c r="A40" s="10"/>
      <c r="B40" s="10"/>
      <c r="C40" s="10"/>
      <c r="D40" s="10"/>
      <c r="E40" s="10"/>
      <c r="F40" s="10"/>
      <c r="G40" s="10"/>
      <c r="I40" s="12"/>
      <c r="J40" s="12"/>
      <c r="K40" s="43"/>
    </row>
    <row r="41" spans="1:11">
      <c r="A41" s="10"/>
      <c r="B41" s="10"/>
      <c r="C41" s="10"/>
      <c r="D41" s="10"/>
      <c r="E41" s="10"/>
      <c r="F41" s="10"/>
      <c r="G41" s="10"/>
      <c r="I41" s="12"/>
      <c r="J41" s="12"/>
      <c r="K41" s="43"/>
    </row>
    <row r="42" spans="1:11">
      <c r="A42" s="45" t="s">
        <v>34</v>
      </c>
      <c r="B42" s="45"/>
      <c r="C42" s="46"/>
      <c r="D42" s="46"/>
      <c r="E42" s="46"/>
      <c r="F42" s="46"/>
      <c r="G42" s="10" t="s">
        <v>31</v>
      </c>
      <c r="I42" s="45"/>
      <c r="J42" s="45" t="s">
        <v>32</v>
      </c>
      <c r="K42" s="43"/>
    </row>
    <row r="47" spans="1:11" ht="15.75">
      <c r="C47" s="2"/>
      <c r="D47" s="2"/>
      <c r="E47" s="2"/>
      <c r="F47" s="2"/>
    </row>
    <row r="48" spans="1:11" ht="15.75">
      <c r="A48" s="3"/>
      <c r="B48" s="3"/>
      <c r="C48" s="2"/>
      <c r="D48" s="2"/>
      <c r="E48" s="2"/>
      <c r="F48" s="2"/>
      <c r="G48" s="3"/>
      <c r="H48" s="4"/>
      <c r="I48" s="4"/>
      <c r="J48" s="4"/>
      <c r="K48" s="5"/>
    </row>
    <row r="49" spans="1:11">
      <c r="H49" s="5"/>
      <c r="I49" s="5"/>
      <c r="J49" s="5"/>
      <c r="K49" s="5"/>
    </row>
    <row r="50" spans="1:11">
      <c r="H50" s="5"/>
      <c r="I50" s="5"/>
      <c r="J50" s="5"/>
      <c r="K50" s="5"/>
    </row>
    <row r="51" spans="1:11">
      <c r="A51" s="60" t="s">
        <v>0</v>
      </c>
      <c r="B51" s="60"/>
      <c r="C51" s="54"/>
      <c r="D51" s="54"/>
      <c r="E51" s="54"/>
      <c r="F51" s="54"/>
      <c r="G51" s="54"/>
      <c r="H51" s="54"/>
      <c r="I51" s="54"/>
      <c r="J51" s="54"/>
      <c r="K51" s="54"/>
    </row>
    <row r="52" spans="1:11">
      <c r="A52" s="54" t="s">
        <v>44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</row>
    <row r="53" spans="1:11">
      <c r="A53" s="54" t="s">
        <v>1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</row>
    <row r="54" spans="1:11">
      <c r="A54" s="54" t="s">
        <v>37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</row>
    <row r="55" spans="1:11">
      <c r="A55" s="54" t="s">
        <v>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</row>
    <row r="56" spans="1:11">
      <c r="A56" s="6"/>
      <c r="B56" s="6"/>
      <c r="C56" s="7"/>
      <c r="D56" s="7"/>
      <c r="E56" s="7"/>
      <c r="F56" s="7"/>
      <c r="G56" s="8"/>
      <c r="H56" s="9"/>
      <c r="I56" s="9"/>
      <c r="J56" s="9"/>
      <c r="K56" s="9"/>
    </row>
    <row r="57" spans="1:11">
      <c r="A57" s="47" t="s">
        <v>3</v>
      </c>
      <c r="B57" s="10"/>
      <c r="C57" s="10"/>
      <c r="D57" s="48" t="s">
        <v>4</v>
      </c>
      <c r="E57" s="10" t="s">
        <v>5</v>
      </c>
      <c r="F57" s="11"/>
      <c r="G57" s="10"/>
      <c r="H57" s="12"/>
      <c r="I57" s="12"/>
      <c r="J57" s="12"/>
      <c r="K57" s="9"/>
    </row>
    <row r="58" spans="1:11">
      <c r="A58" s="47" t="s">
        <v>6</v>
      </c>
      <c r="B58" s="10"/>
      <c r="C58" s="10"/>
      <c r="D58" s="48" t="s">
        <v>4</v>
      </c>
      <c r="E58" s="10" t="s">
        <v>7</v>
      </c>
      <c r="F58" s="11"/>
      <c r="G58" s="10"/>
      <c r="H58" s="12"/>
      <c r="I58" s="12"/>
      <c r="J58" s="12"/>
      <c r="K58" s="9"/>
    </row>
    <row r="59" spans="1:11">
      <c r="A59" s="47" t="s">
        <v>8</v>
      </c>
      <c r="B59" s="10"/>
      <c r="C59" s="10"/>
      <c r="D59" s="48" t="s">
        <v>4</v>
      </c>
      <c r="E59" s="13">
        <v>2025</v>
      </c>
      <c r="F59" s="11"/>
      <c r="G59" s="13"/>
      <c r="H59" s="12"/>
      <c r="I59" s="12"/>
      <c r="J59" s="12"/>
      <c r="K59" s="9"/>
    </row>
    <row r="60" spans="1:11">
      <c r="A60" s="47" t="s">
        <v>9</v>
      </c>
      <c r="B60" s="10"/>
      <c r="C60" s="10"/>
      <c r="D60" s="48" t="s">
        <v>4</v>
      </c>
      <c r="E60" s="14">
        <f>J67</f>
        <v>7950000</v>
      </c>
      <c r="F60" s="11"/>
      <c r="G60" s="14"/>
      <c r="H60" s="12"/>
      <c r="I60" s="12"/>
      <c r="J60" s="12"/>
      <c r="K60" s="9"/>
    </row>
    <row r="61" spans="1:11" ht="15.75">
      <c r="A61" s="10"/>
      <c r="B61" s="10"/>
      <c r="C61" s="15" t="s">
        <v>10</v>
      </c>
      <c r="D61" s="48" t="s">
        <v>4</v>
      </c>
      <c r="E61" s="16" t="str">
        <f>PROPER(IF(E60=0,"nol",IF(E60&lt;0,"minus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60),"000000000000000"),1,3)=0,"",MID(TEXT(ABS(E60),"000000000000000"),1,1)&amp;" ratus "&amp;MID(TEXT(ABS(E60),"000000000000000"),2,1)&amp;" puluh "&amp;MID(TEXT(ABS(E60),"000000000000000"),3,1)&amp;" trilyun ")&amp;IF(--MID(TEXT(ABS(E60),"000000000000000"),4,3)=0,"",MID(TEXT(ABS(E60),"000000000000000"),4,1)&amp;" ratus "&amp;MID(TEXT(ABS(E60),"000000000000000"),5,1)&amp;" puluh "&amp;MID(TEXT(ABS(E60),"000000000000000"),6,1)&amp;" milyar ")&amp;IF(--MID(TEXT(ABS(E60),"000000000000000"),7,3)=0,"",MID(TEXT(ABS(E60),"000000000000000"),7,1)&amp;" ratus "&amp;MID(TEXT(ABS(E60),"000000000000000"),8,1)&amp;" puluh "&amp;MID(TEXT(ABS(E60),"000000000000000"),9,1)&amp;" juta ")&amp;IF(--MID(TEXT(ABS(E60),"000000000000000"),10,3)=0,"",IF(--MID(TEXT(ABS(E60),"000000000000000"),10,3)=1,"*",MID(TEXT(ABS(E60),"000000000000000"),10,1)&amp;" ratus "&amp;MID(TEXT(ABS(E60),"000000000000000"),11,1)&amp;" puluh ")&amp;MID(TEXT(ABS(E60),"000000000000000"),12,1)&amp;" ribu ")&amp;IF(--MID(TEXT(ABS(E60),"000000000000000"),13,3)=0,"",MID(TEXT(ABS(E60),"000000000000000"),13,1)&amp;" ratus "&amp;MID(TEXT(ABS(E60),"000000000000000"),14,1)&amp;" puluh "&amp;MID(TEXT(ABS(E60),"000000000000000"),15,1)),1,"satu"),2,"dua"),3,"tiga"),4,"empat"),5,"lima"),6,"enam"),7,"tujuh"),8,"delapan"),9,"sembilan"),"0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Sembilan Ratus Lima Puluh Ribu Rupiah</v>
      </c>
      <c r="F61" s="11"/>
      <c r="G61" s="16"/>
      <c r="H61" s="12"/>
      <c r="I61" s="12"/>
      <c r="J61" s="12"/>
      <c r="K61" s="9"/>
    </row>
    <row r="62" spans="1:11">
      <c r="A62" s="10" t="s">
        <v>11</v>
      </c>
      <c r="B62" s="10"/>
      <c r="C62" s="10"/>
      <c r="D62" s="10"/>
      <c r="E62" s="10"/>
      <c r="F62" s="10"/>
      <c r="G62" s="10"/>
      <c r="H62" s="12"/>
      <c r="I62" s="12"/>
      <c r="J62" s="12"/>
      <c r="K62" s="9"/>
    </row>
    <row r="63" spans="1:11">
      <c r="A63" s="55" t="s">
        <v>12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</row>
    <row r="64" spans="1:11" ht="60">
      <c r="A64" s="17" t="s">
        <v>13</v>
      </c>
      <c r="B64" s="18" t="s">
        <v>14</v>
      </c>
      <c r="C64" s="56" t="s">
        <v>15</v>
      </c>
      <c r="D64" s="57"/>
      <c r="E64" s="58"/>
      <c r="F64" s="19"/>
      <c r="G64" s="20" t="s">
        <v>16</v>
      </c>
      <c r="H64" s="21" t="s">
        <v>33</v>
      </c>
      <c r="I64" s="21"/>
      <c r="J64" s="29" t="s">
        <v>17</v>
      </c>
      <c r="K64" s="30" t="s">
        <v>18</v>
      </c>
    </row>
    <row r="65" spans="1:11">
      <c r="A65" s="26">
        <v>1</v>
      </c>
      <c r="B65" s="23"/>
      <c r="C65" s="27" t="s">
        <v>21</v>
      </c>
      <c r="D65" s="53"/>
      <c r="E65" s="25"/>
      <c r="F65" s="24"/>
      <c r="G65" s="49" t="s">
        <v>19</v>
      </c>
      <c r="H65" s="49" t="s">
        <v>19</v>
      </c>
      <c r="I65" s="49"/>
      <c r="J65" s="49" t="s">
        <v>19</v>
      </c>
      <c r="K65" s="49" t="s">
        <v>19</v>
      </c>
    </row>
    <row r="66" spans="1:11">
      <c r="A66" s="23"/>
      <c r="B66" s="23" t="s">
        <v>20</v>
      </c>
      <c r="C66" s="24" t="s">
        <v>22</v>
      </c>
      <c r="D66" s="10"/>
      <c r="E66" s="25"/>
      <c r="F66" s="24"/>
      <c r="G66" s="22">
        <v>370000000</v>
      </c>
      <c r="H66" s="50">
        <f>H24+J24</f>
        <v>55649998</v>
      </c>
      <c r="I66" s="50"/>
      <c r="J66" s="51">
        <v>7950000</v>
      </c>
      <c r="K66" s="52">
        <f t="shared" ref="K66" si="1">G66-H66-J66</f>
        <v>306400002</v>
      </c>
    </row>
    <row r="67" spans="1:11">
      <c r="A67" s="31"/>
      <c r="B67" s="31"/>
      <c r="C67" s="31" t="s">
        <v>23</v>
      </c>
      <c r="D67" s="31"/>
      <c r="E67" s="31"/>
      <c r="F67" s="32"/>
      <c r="G67" s="33">
        <f>SUM(G65:G66)</f>
        <v>370000000</v>
      </c>
      <c r="H67" s="34">
        <f>SUM(H65:H66)</f>
        <v>55649998</v>
      </c>
      <c r="I67" s="34"/>
      <c r="J67" s="34">
        <f>SUM(J65:J66)</f>
        <v>7950000</v>
      </c>
      <c r="K67" s="34">
        <f>SUM(K65:K66)</f>
        <v>306400002</v>
      </c>
    </row>
    <row r="68" spans="1:11">
      <c r="A68" s="35"/>
      <c r="B68" s="8"/>
      <c r="C68" s="8"/>
      <c r="D68" s="8"/>
      <c r="E68" s="8"/>
      <c r="F68" s="8"/>
      <c r="G68" s="36"/>
      <c r="H68" s="36"/>
      <c r="I68" s="36"/>
      <c r="J68" s="36"/>
      <c r="K68" s="36"/>
    </row>
    <row r="69" spans="1:11">
      <c r="A69" s="59" t="s">
        <v>24</v>
      </c>
      <c r="B69" s="59"/>
      <c r="C69" s="59"/>
      <c r="D69" s="11" t="s">
        <v>4</v>
      </c>
      <c r="E69" s="14">
        <f>J67</f>
        <v>7950000</v>
      </c>
      <c r="F69" s="37"/>
      <c r="G69" s="38"/>
      <c r="H69" s="38"/>
      <c r="I69" s="38"/>
      <c r="J69" s="9"/>
      <c r="K69" s="9"/>
    </row>
    <row r="70" spans="1:11">
      <c r="A70" s="10" t="s">
        <v>25</v>
      </c>
      <c r="B70" s="10"/>
      <c r="C70" s="10"/>
      <c r="D70" s="11" t="s">
        <v>4</v>
      </c>
      <c r="E70" s="39"/>
      <c r="F70" s="39"/>
      <c r="G70" s="40"/>
      <c r="H70" s="12"/>
      <c r="I70" s="12"/>
      <c r="J70" s="9"/>
      <c r="K70" s="9"/>
    </row>
    <row r="71" spans="1:11">
      <c r="A71" s="10" t="s">
        <v>26</v>
      </c>
      <c r="B71" s="10"/>
      <c r="C71" s="10"/>
      <c r="D71" s="11" t="s">
        <v>4</v>
      </c>
      <c r="E71" s="41"/>
      <c r="F71" s="41"/>
      <c r="G71" s="40"/>
      <c r="H71" s="12"/>
      <c r="I71" s="12"/>
      <c r="J71" s="9"/>
      <c r="K71" s="9"/>
    </row>
    <row r="72" spans="1:11">
      <c r="A72" s="10" t="s">
        <v>27</v>
      </c>
      <c r="B72" s="10"/>
      <c r="C72" s="10"/>
      <c r="D72" s="11" t="s">
        <v>4</v>
      </c>
      <c r="E72" s="41">
        <f>E70+E71</f>
        <v>0</v>
      </c>
      <c r="F72" s="41"/>
      <c r="G72" s="10"/>
      <c r="H72" s="12"/>
      <c r="I72" s="12"/>
      <c r="J72" s="43"/>
      <c r="K72" s="43"/>
    </row>
    <row r="73" spans="1:11">
      <c r="A73" s="13"/>
      <c r="B73" s="13"/>
      <c r="C73" s="13"/>
      <c r="D73" s="11"/>
      <c r="E73" s="13"/>
      <c r="F73" s="13"/>
      <c r="G73" s="10"/>
      <c r="H73" s="12"/>
      <c r="I73" s="12"/>
      <c r="J73" s="43"/>
      <c r="K73" s="43"/>
    </row>
    <row r="74" spans="1:11">
      <c r="A74" s="59" t="s">
        <v>28</v>
      </c>
      <c r="B74" s="59"/>
      <c r="C74" s="59"/>
      <c r="D74" s="11" t="s">
        <v>4</v>
      </c>
      <c r="E74" s="37">
        <f>E69-E72</f>
        <v>7950000</v>
      </c>
      <c r="F74" s="37"/>
      <c r="G74" s="10"/>
      <c r="H74" s="12"/>
      <c r="I74" s="12"/>
      <c r="J74" s="43"/>
      <c r="K74" s="43"/>
    </row>
    <row r="75" spans="1:11" ht="15.75">
      <c r="A75" s="13"/>
      <c r="B75" s="13"/>
      <c r="C75" s="10"/>
      <c r="D75" s="10"/>
      <c r="E75" s="16" t="str">
        <f>PROPER(IF(E74=0,"nol",IF(E74&lt;0,"minus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74),"000000000000000"),1,3)=0,"",MID(TEXT(ABS(E74),"000000000000000"),1,1)&amp;" ratus "&amp;MID(TEXT(ABS(E74),"000000000000000"),2,1)&amp;" puluh "&amp;MID(TEXT(ABS(E74),"000000000000000"),3,1)&amp;" trilyun ")&amp;IF(--MID(TEXT(ABS(E74),"000000000000000"),4,3)=0,"",MID(TEXT(ABS(E74),"000000000000000"),4,1)&amp;" ratus "&amp;MID(TEXT(ABS(E74),"000000000000000"),5,1)&amp;" puluh "&amp;MID(TEXT(ABS(E74),"000000000000000"),6,1)&amp;" milyar ")&amp;IF(--MID(TEXT(ABS(E74),"000000000000000"),7,3)=0,"",MID(TEXT(ABS(E74),"000000000000000"),7,1)&amp;" ratus "&amp;MID(TEXT(ABS(E74),"000000000000000"),8,1)&amp;" puluh "&amp;MID(TEXT(ABS(E74),"000000000000000"),9,1)&amp;" juta ")&amp;IF(--MID(TEXT(ABS(E74),"000000000000000"),10,3)=0,"",IF(--MID(TEXT(ABS(E74),"000000000000000"),10,3)=1,"*",MID(TEXT(ABS(E74),"000000000000000"),10,1)&amp;" ratus "&amp;MID(TEXT(ABS(E74),"000000000000000"),11,1)&amp;" puluh ")&amp;MID(TEXT(ABS(E74),"000000000000000"),12,1)&amp;" ribu ")&amp;IF(--MID(TEXT(ABS(E74),"000000000000000"),13,3)=0,"",MID(TEXT(ABS(E74),"000000000000000"),13,1)&amp;" ratus "&amp;MID(TEXT(ABS(E74),"000000000000000"),14,1)&amp;" puluh "&amp;MID(TEXT(ABS(E74),"000000000000000"),15,1)),1,"satu"),2,"dua"),3,"tiga"),4,"empat"),5,"lima"),6,"enam"),7,"tujuh"),8,"delapan"),9,"sembilan"),"0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Sembilan Ratus Lima Puluh Ribu Rupiah</v>
      </c>
      <c r="F75" s="10"/>
      <c r="G75" s="10"/>
      <c r="H75" s="10"/>
      <c r="I75" s="10"/>
      <c r="J75" s="43"/>
      <c r="K75" s="43"/>
    </row>
    <row r="76" spans="1:11">
      <c r="A76" s="28"/>
      <c r="B76" s="28"/>
      <c r="C76" s="28"/>
      <c r="D76" s="28"/>
      <c r="E76" s="28"/>
      <c r="F76" s="28"/>
      <c r="G76" s="28"/>
      <c r="H76"/>
      <c r="I76"/>
      <c r="J76" s="43"/>
      <c r="K76" s="43"/>
    </row>
    <row r="77" spans="1:11">
      <c r="A77" s="13"/>
      <c r="B77" s="13"/>
      <c r="C77" s="10"/>
      <c r="D77" s="10"/>
      <c r="E77" s="10"/>
      <c r="F77" s="10"/>
      <c r="G77" s="10"/>
      <c r="I77" s="44"/>
      <c r="J77" s="44" t="s">
        <v>45</v>
      </c>
      <c r="K77" s="43"/>
    </row>
    <row r="78" spans="1:11">
      <c r="A78" s="12" t="s">
        <v>29</v>
      </c>
      <c r="B78" s="10"/>
      <c r="C78" s="10"/>
      <c r="D78" s="10"/>
      <c r="E78" s="10"/>
      <c r="F78" s="10"/>
      <c r="G78" s="10"/>
      <c r="I78" s="12"/>
      <c r="J78" s="12" t="s">
        <v>30</v>
      </c>
      <c r="K78" s="43"/>
    </row>
    <row r="79" spans="1:11">
      <c r="A79" s="10"/>
      <c r="B79" s="10"/>
      <c r="C79" s="10"/>
      <c r="D79" s="10"/>
      <c r="E79" s="10"/>
      <c r="F79" s="10"/>
      <c r="G79" s="10"/>
      <c r="I79" s="12"/>
      <c r="J79" s="12"/>
      <c r="K79" s="43"/>
    </row>
    <row r="80" spans="1:11">
      <c r="A80" s="10"/>
      <c r="B80" s="10"/>
      <c r="C80" s="10"/>
      <c r="D80" s="10"/>
      <c r="E80" s="10"/>
      <c r="F80" s="10"/>
      <c r="G80" s="10"/>
      <c r="I80" s="12"/>
      <c r="J80" s="12"/>
      <c r="K80" s="43"/>
    </row>
    <row r="81" spans="1:11">
      <c r="A81" s="10"/>
      <c r="B81" s="10"/>
      <c r="C81" s="10"/>
      <c r="D81" s="10"/>
      <c r="E81" s="10"/>
      <c r="F81" s="10"/>
      <c r="G81" s="10"/>
      <c r="I81" s="12"/>
      <c r="J81" s="12"/>
      <c r="K81" s="43"/>
    </row>
    <row r="82" spans="1:11">
      <c r="A82" s="10"/>
      <c r="B82" s="10"/>
      <c r="C82" s="10"/>
      <c r="D82" s="10"/>
      <c r="E82" s="10"/>
      <c r="F82" s="10"/>
      <c r="G82" s="10"/>
      <c r="I82" s="12"/>
      <c r="J82" s="12"/>
      <c r="K82" s="43"/>
    </row>
    <row r="83" spans="1:11">
      <c r="A83" s="45" t="s">
        <v>34</v>
      </c>
      <c r="B83" s="45"/>
      <c r="C83" s="46"/>
      <c r="D83" s="46"/>
      <c r="E83" s="46"/>
      <c r="F83" s="46"/>
      <c r="G83" s="10" t="s">
        <v>31</v>
      </c>
      <c r="I83" s="45"/>
      <c r="J83" s="45" t="s">
        <v>32</v>
      </c>
      <c r="K83" s="43"/>
    </row>
  </sheetData>
  <mergeCells count="18">
    <mergeCell ref="A21:K21"/>
    <mergeCell ref="A8:K8"/>
    <mergeCell ref="A9:K9"/>
    <mergeCell ref="A10:K10"/>
    <mergeCell ref="A11:K11"/>
    <mergeCell ref="A12:K12"/>
    <mergeCell ref="A74:C74"/>
    <mergeCell ref="C22:E22"/>
    <mergeCell ref="A27:C27"/>
    <mergeCell ref="A32:C32"/>
    <mergeCell ref="A51:K51"/>
    <mergeCell ref="A52:K52"/>
    <mergeCell ref="A53:K53"/>
    <mergeCell ref="A54:K54"/>
    <mergeCell ref="A55:K55"/>
    <mergeCell ref="A63:K63"/>
    <mergeCell ref="C64:E64"/>
    <mergeCell ref="A69:C69"/>
  </mergeCells>
  <pageMargins left="0.23622047244094491" right="0.23622047244094491" top="0.15748031496062992" bottom="0.74803149606299213" header="0.31496062992125984" footer="0.31496062992125984"/>
  <pageSetup paperSize="9" scale="85" orientation="portrait" horizontalDpi="4294967293" r:id="rId1"/>
  <rowBreaks count="1" manualBreakCount="1">
    <brk id="43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F52C-6FCB-4EEA-8140-3266C81BAC65}">
  <dimension ref="A4:L83"/>
  <sheetViews>
    <sheetView tabSelected="1" view="pageBreakPreview" topLeftCell="A38" zoomScaleNormal="100" zoomScaleSheetLayoutView="100" workbookViewId="0">
      <selection activeCell="K83" sqref="A44:K83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4.285156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4" spans="1:11" ht="15.75">
      <c r="C4" s="2"/>
      <c r="D4" s="2"/>
      <c r="E4" s="2"/>
      <c r="F4" s="2"/>
    </row>
    <row r="5" spans="1:11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</row>
    <row r="6" spans="1:11">
      <c r="H6" s="5"/>
      <c r="I6" s="5"/>
      <c r="J6" s="5"/>
      <c r="K6" s="5"/>
    </row>
    <row r="7" spans="1:11">
      <c r="H7" s="5"/>
      <c r="I7" s="5"/>
      <c r="J7" s="5"/>
      <c r="K7" s="5"/>
    </row>
    <row r="8" spans="1:11">
      <c r="A8" s="60" t="s">
        <v>0</v>
      </c>
      <c r="B8" s="60"/>
      <c r="C8" s="54"/>
      <c r="D8" s="54"/>
      <c r="E8" s="54"/>
      <c r="F8" s="54"/>
      <c r="G8" s="54"/>
      <c r="H8" s="54"/>
      <c r="I8" s="54"/>
      <c r="J8" s="54"/>
      <c r="K8" s="54"/>
    </row>
    <row r="9" spans="1:11">
      <c r="A9" s="54" t="s">
        <v>46</v>
      </c>
      <c r="B9" s="54"/>
      <c r="C9" s="54"/>
      <c r="D9" s="54"/>
      <c r="E9" s="54"/>
      <c r="F9" s="54"/>
      <c r="G9" s="54"/>
      <c r="H9" s="54"/>
      <c r="I9" s="54"/>
      <c r="J9" s="54"/>
      <c r="K9" s="54"/>
    </row>
    <row r="10" spans="1:11">
      <c r="A10" s="54" t="s">
        <v>1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</row>
    <row r="11" spans="1:11">
      <c r="A11" s="54" t="s">
        <v>37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</row>
    <row r="12" spans="1:11">
      <c r="A12" s="54" t="s">
        <v>2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</row>
    <row r="13" spans="1:11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</row>
    <row r="14" spans="1:11">
      <c r="A14" s="47" t="s">
        <v>3</v>
      </c>
      <c r="B14" s="10"/>
      <c r="C14" s="10"/>
      <c r="D14" s="48" t="s">
        <v>4</v>
      </c>
      <c r="E14" s="10" t="s">
        <v>5</v>
      </c>
      <c r="F14" s="11"/>
      <c r="G14" s="10"/>
      <c r="H14" s="12"/>
      <c r="I14" s="12"/>
      <c r="J14" s="12"/>
      <c r="K14" s="9"/>
    </row>
    <row r="15" spans="1:11">
      <c r="A15" s="47" t="s">
        <v>6</v>
      </c>
      <c r="B15" s="10"/>
      <c r="C15" s="10"/>
      <c r="D15" s="48" t="s">
        <v>4</v>
      </c>
      <c r="E15" s="10" t="s">
        <v>7</v>
      </c>
      <c r="F15" s="11"/>
      <c r="G15" s="10"/>
      <c r="H15" s="12"/>
      <c r="I15" s="12"/>
      <c r="J15" s="12"/>
      <c r="K15" s="9"/>
    </row>
    <row r="16" spans="1:11">
      <c r="A16" s="47" t="s">
        <v>8</v>
      </c>
      <c r="B16" s="10"/>
      <c r="C16" s="10"/>
      <c r="D16" s="48" t="s">
        <v>4</v>
      </c>
      <c r="E16" s="13">
        <v>2025</v>
      </c>
      <c r="F16" s="11"/>
      <c r="G16" s="13"/>
      <c r="H16" s="12"/>
      <c r="I16" s="12"/>
      <c r="J16" s="12"/>
      <c r="K16" s="9"/>
    </row>
    <row r="17" spans="1:11">
      <c r="A17" s="47" t="s">
        <v>9</v>
      </c>
      <c r="B17" s="10"/>
      <c r="C17" s="10"/>
      <c r="D17" s="48" t="s">
        <v>4</v>
      </c>
      <c r="E17" s="14">
        <f>J25</f>
        <v>23849999</v>
      </c>
      <c r="F17" s="11"/>
      <c r="G17" s="14"/>
      <c r="H17" s="12"/>
      <c r="I17" s="12"/>
      <c r="J17" s="12"/>
      <c r="K17" s="9"/>
    </row>
    <row r="18" spans="1:11" ht="15.75">
      <c r="A18" s="10"/>
      <c r="B18" s="10"/>
      <c r="C18" s="15" t="s">
        <v>10</v>
      </c>
      <c r="D18" s="48" t="s">
        <v>4</v>
      </c>
      <c r="E18" s="16" t="s">
        <v>35</v>
      </c>
      <c r="F18" s="11"/>
      <c r="G18" s="16"/>
      <c r="H18" s="12"/>
      <c r="I18" s="12"/>
      <c r="J18" s="12"/>
      <c r="K18" s="9"/>
    </row>
    <row r="19" spans="1:11" ht="15.75">
      <c r="A19" s="10"/>
      <c r="B19" s="10"/>
      <c r="C19" s="15"/>
      <c r="D19" s="48"/>
      <c r="E19" s="16" t="s">
        <v>36</v>
      </c>
      <c r="F19" s="11"/>
      <c r="G19" s="16"/>
      <c r="H19" s="12"/>
      <c r="I19" s="12"/>
      <c r="J19" s="12"/>
      <c r="K19" s="9"/>
    </row>
    <row r="20" spans="1:11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</row>
    <row r="21" spans="1:11">
      <c r="A21" s="55" t="s">
        <v>12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1:11" ht="60">
      <c r="A22" s="17" t="s">
        <v>13</v>
      </c>
      <c r="B22" s="18" t="s">
        <v>14</v>
      </c>
      <c r="C22" s="56" t="s">
        <v>15</v>
      </c>
      <c r="D22" s="57"/>
      <c r="E22" s="58"/>
      <c r="F22" s="19"/>
      <c r="G22" s="20" t="s">
        <v>16</v>
      </c>
      <c r="H22" s="21" t="s">
        <v>33</v>
      </c>
      <c r="I22" s="21"/>
      <c r="J22" s="29" t="s">
        <v>17</v>
      </c>
      <c r="K22" s="30" t="s">
        <v>18</v>
      </c>
    </row>
    <row r="23" spans="1:11">
      <c r="A23" s="26">
        <v>1</v>
      </c>
      <c r="B23" s="23"/>
      <c r="C23" s="27" t="s">
        <v>21</v>
      </c>
      <c r="D23" s="53"/>
      <c r="E23" s="25"/>
      <c r="F23" s="24"/>
      <c r="G23" s="49" t="s">
        <v>19</v>
      </c>
      <c r="H23" s="49" t="s">
        <v>19</v>
      </c>
      <c r="I23" s="49"/>
      <c r="J23" s="49" t="s">
        <v>19</v>
      </c>
      <c r="K23" s="49" t="s">
        <v>19</v>
      </c>
    </row>
    <row r="24" spans="1:11">
      <c r="A24" s="23"/>
      <c r="B24" s="23" t="s">
        <v>20</v>
      </c>
      <c r="C24" s="24" t="s">
        <v>22</v>
      </c>
      <c r="D24" s="10"/>
      <c r="E24" s="25"/>
      <c r="F24" s="24"/>
      <c r="G24" s="22">
        <v>370000000</v>
      </c>
      <c r="H24" s="50">
        <f>FEBRUARI!H66+FEBRUARI!J66</f>
        <v>63599998</v>
      </c>
      <c r="I24" s="50"/>
      <c r="J24" s="51">
        <v>23849999</v>
      </c>
      <c r="K24" s="52">
        <f t="shared" ref="K24" si="0">G24-H24-J24</f>
        <v>282550003</v>
      </c>
    </row>
    <row r="25" spans="1:11">
      <c r="A25" s="31"/>
      <c r="B25" s="31"/>
      <c r="C25" s="31" t="s">
        <v>23</v>
      </c>
      <c r="D25" s="31"/>
      <c r="E25" s="31"/>
      <c r="F25" s="32"/>
      <c r="G25" s="33">
        <f>SUM(G23:G24)</f>
        <v>370000000</v>
      </c>
      <c r="H25" s="34">
        <f>SUM(H23:H24)</f>
        <v>63599998</v>
      </c>
      <c r="I25" s="34"/>
      <c r="J25" s="34">
        <f>SUM(J23:J24)</f>
        <v>23849999</v>
      </c>
      <c r="K25" s="34">
        <f>SUM(K23:K24)</f>
        <v>282550003</v>
      </c>
    </row>
    <row r="26" spans="1:11">
      <c r="A26" s="35"/>
      <c r="B26" s="8"/>
      <c r="C26" s="8"/>
      <c r="D26" s="8"/>
      <c r="E26" s="8"/>
      <c r="F26" s="8"/>
      <c r="G26" s="36"/>
      <c r="H26" s="36"/>
      <c r="I26" s="36"/>
      <c r="J26" s="36"/>
      <c r="K26" s="36"/>
    </row>
    <row r="27" spans="1:11">
      <c r="A27" s="59" t="s">
        <v>24</v>
      </c>
      <c r="B27" s="59"/>
      <c r="C27" s="59"/>
      <c r="D27" s="11" t="s">
        <v>4</v>
      </c>
      <c r="E27" s="14">
        <f>J25</f>
        <v>23849999</v>
      </c>
      <c r="F27" s="37"/>
      <c r="G27" s="38"/>
      <c r="H27" s="38"/>
      <c r="I27" s="38"/>
      <c r="J27" s="9"/>
      <c r="K27" s="9"/>
    </row>
    <row r="28" spans="1:11">
      <c r="A28" s="10" t="s">
        <v>25</v>
      </c>
      <c r="B28" s="10"/>
      <c r="C28" s="10"/>
      <c r="D28" s="11" t="s">
        <v>4</v>
      </c>
      <c r="E28" s="39"/>
      <c r="F28" s="39"/>
      <c r="G28" s="40"/>
      <c r="H28" s="12"/>
      <c r="I28" s="12"/>
      <c r="J28" s="9"/>
      <c r="K28" s="9"/>
    </row>
    <row r="29" spans="1:11">
      <c r="A29" s="10" t="s">
        <v>26</v>
      </c>
      <c r="B29" s="10"/>
      <c r="C29" s="10"/>
      <c r="D29" s="11" t="s">
        <v>4</v>
      </c>
      <c r="E29" s="41"/>
      <c r="F29" s="41"/>
      <c r="G29" s="40"/>
      <c r="H29" s="12"/>
      <c r="I29" s="12"/>
      <c r="J29" s="9"/>
      <c r="K29" s="9"/>
    </row>
    <row r="30" spans="1:11">
      <c r="A30" s="10" t="s">
        <v>27</v>
      </c>
      <c r="B30" s="10"/>
      <c r="C30" s="10"/>
      <c r="D30" s="11" t="s">
        <v>4</v>
      </c>
      <c r="E30" s="41">
        <f>E28+E29</f>
        <v>0</v>
      </c>
      <c r="F30" s="41"/>
      <c r="G30" s="10"/>
      <c r="H30" s="12"/>
      <c r="I30" s="12"/>
      <c r="J30" s="43"/>
      <c r="K30" s="43"/>
    </row>
    <row r="31" spans="1:11">
      <c r="A31" s="13"/>
      <c r="B31" s="13"/>
      <c r="C31" s="13"/>
      <c r="D31" s="11"/>
      <c r="E31" s="13"/>
      <c r="F31" s="13"/>
      <c r="G31" s="10"/>
      <c r="H31" s="12"/>
      <c r="I31" s="12"/>
      <c r="J31" s="43"/>
      <c r="K31" s="43"/>
    </row>
    <row r="32" spans="1:11">
      <c r="A32" s="59" t="s">
        <v>28</v>
      </c>
      <c r="B32" s="59"/>
      <c r="C32" s="59"/>
      <c r="D32" s="11" t="s">
        <v>4</v>
      </c>
      <c r="E32" s="37">
        <f>E27-E30</f>
        <v>23849999</v>
      </c>
      <c r="F32" s="37"/>
      <c r="G32" s="10"/>
      <c r="H32" s="12"/>
      <c r="I32" s="12"/>
      <c r="J32" s="43"/>
      <c r="K32" s="43"/>
    </row>
    <row r="33" spans="1:11" ht="15.75">
      <c r="A33" s="13"/>
      <c r="B33" s="13"/>
      <c r="C33" s="10"/>
      <c r="D33" s="10"/>
      <c r="E33" s="16" t="s">
        <v>35</v>
      </c>
      <c r="F33" s="10"/>
      <c r="G33" s="10"/>
      <c r="H33" s="10"/>
      <c r="I33" s="10"/>
      <c r="J33" s="43"/>
      <c r="K33" s="43"/>
    </row>
    <row r="34" spans="1:11" ht="15.75">
      <c r="A34" s="42"/>
      <c r="B34" s="42"/>
      <c r="C34" s="42"/>
      <c r="D34" s="42"/>
      <c r="E34" s="2" t="s">
        <v>36</v>
      </c>
      <c r="F34" s="42"/>
      <c r="G34" s="28"/>
      <c r="H34" s="43"/>
      <c r="I34" s="43"/>
      <c r="J34" s="43"/>
      <c r="K34" s="43"/>
    </row>
    <row r="35" spans="1:11">
      <c r="A35" s="28"/>
      <c r="B35" s="28"/>
      <c r="C35" s="28"/>
      <c r="D35" s="28"/>
      <c r="E35" s="28"/>
      <c r="F35" s="28"/>
      <c r="G35" s="28"/>
      <c r="H35"/>
      <c r="I35"/>
      <c r="J35" s="43"/>
      <c r="K35" s="43"/>
    </row>
    <row r="36" spans="1:11">
      <c r="A36" s="13"/>
      <c r="B36" s="13"/>
      <c r="C36" s="10"/>
      <c r="D36" s="10"/>
      <c r="E36" s="10"/>
      <c r="F36" s="10"/>
      <c r="G36" s="10"/>
      <c r="I36" s="44"/>
      <c r="J36" s="44" t="s">
        <v>47</v>
      </c>
      <c r="K36" s="43"/>
    </row>
    <row r="37" spans="1:11">
      <c r="A37" s="12" t="s">
        <v>29</v>
      </c>
      <c r="B37" s="10"/>
      <c r="C37" s="10"/>
      <c r="D37" s="10"/>
      <c r="E37" s="10"/>
      <c r="F37" s="10"/>
      <c r="G37" s="10"/>
      <c r="I37" s="12"/>
      <c r="J37" s="12" t="s">
        <v>30</v>
      </c>
      <c r="K37" s="43"/>
    </row>
    <row r="38" spans="1:11">
      <c r="A38" s="10"/>
      <c r="B38" s="10"/>
      <c r="C38" s="10"/>
      <c r="D38" s="10"/>
      <c r="E38" s="10"/>
      <c r="F38" s="10"/>
      <c r="G38" s="10"/>
      <c r="I38" s="12"/>
      <c r="J38" s="12"/>
      <c r="K38" s="43"/>
    </row>
    <row r="39" spans="1:11">
      <c r="A39" s="10"/>
      <c r="B39" s="10"/>
      <c r="C39" s="10"/>
      <c r="D39" s="10"/>
      <c r="E39" s="10"/>
      <c r="F39" s="10"/>
      <c r="G39" s="10"/>
      <c r="I39" s="12"/>
      <c r="J39" s="12"/>
      <c r="K39" s="43"/>
    </row>
    <row r="40" spans="1:11">
      <c r="A40" s="10"/>
      <c r="B40" s="10"/>
      <c r="C40" s="10"/>
      <c r="D40" s="10"/>
      <c r="E40" s="10"/>
      <c r="F40" s="10"/>
      <c r="G40" s="10"/>
      <c r="I40" s="12"/>
      <c r="J40" s="12"/>
      <c r="K40" s="43"/>
    </row>
    <row r="41" spans="1:11">
      <c r="A41" s="10"/>
      <c r="B41" s="10"/>
      <c r="C41" s="10"/>
      <c r="D41" s="10"/>
      <c r="E41" s="10"/>
      <c r="F41" s="10"/>
      <c r="G41" s="10"/>
      <c r="I41" s="12"/>
      <c r="J41" s="12"/>
      <c r="K41" s="43"/>
    </row>
    <row r="42" spans="1:11">
      <c r="A42" s="45" t="s">
        <v>34</v>
      </c>
      <c r="B42" s="45"/>
      <c r="C42" s="46"/>
      <c r="D42" s="46"/>
      <c r="E42" s="46"/>
      <c r="F42" s="46"/>
      <c r="G42" s="10" t="s">
        <v>31</v>
      </c>
      <c r="I42" s="45"/>
      <c r="J42" s="45" t="s">
        <v>32</v>
      </c>
      <c r="K42" s="43"/>
    </row>
    <row r="47" spans="1:11" ht="15.75">
      <c r="C47" s="2"/>
      <c r="D47" s="2"/>
      <c r="E47" s="2"/>
      <c r="F47" s="2"/>
    </row>
    <row r="48" spans="1:11" ht="15.75">
      <c r="A48" s="3"/>
      <c r="B48" s="3"/>
      <c r="C48" s="2"/>
      <c r="D48" s="2"/>
      <c r="E48" s="2"/>
      <c r="F48" s="2"/>
      <c r="G48" s="3"/>
      <c r="H48" s="4"/>
      <c r="I48" s="4"/>
      <c r="J48" s="4"/>
      <c r="K48" s="5"/>
    </row>
    <row r="49" spans="1:11">
      <c r="H49" s="5"/>
      <c r="I49" s="5"/>
      <c r="J49" s="5"/>
      <c r="K49" s="5"/>
    </row>
    <row r="50" spans="1:11">
      <c r="H50" s="5"/>
      <c r="I50" s="5"/>
      <c r="J50" s="5"/>
      <c r="K50" s="5"/>
    </row>
    <row r="51" spans="1:11">
      <c r="A51" s="60" t="s">
        <v>0</v>
      </c>
      <c r="B51" s="60"/>
      <c r="C51" s="54"/>
      <c r="D51" s="54"/>
      <c r="E51" s="54"/>
      <c r="F51" s="54"/>
      <c r="G51" s="54"/>
      <c r="H51" s="54"/>
      <c r="I51" s="54"/>
      <c r="J51" s="54"/>
      <c r="K51" s="54"/>
    </row>
    <row r="52" spans="1:11">
      <c r="A52" s="54" t="s">
        <v>48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</row>
    <row r="53" spans="1:11">
      <c r="A53" s="54" t="s">
        <v>1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</row>
    <row r="54" spans="1:11">
      <c r="A54" s="54" t="s">
        <v>37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</row>
    <row r="55" spans="1:11">
      <c r="A55" s="54" t="s">
        <v>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</row>
    <row r="56" spans="1:11">
      <c r="A56" s="6"/>
      <c r="B56" s="6"/>
      <c r="C56" s="7"/>
      <c r="D56" s="7"/>
      <c r="E56" s="7"/>
      <c r="F56" s="7"/>
      <c r="G56" s="8"/>
      <c r="H56" s="9"/>
      <c r="I56" s="9"/>
      <c r="J56" s="9"/>
      <c r="K56" s="9"/>
    </row>
    <row r="57" spans="1:11">
      <c r="A57" s="47" t="s">
        <v>3</v>
      </c>
      <c r="B57" s="10"/>
      <c r="C57" s="10"/>
      <c r="D57" s="48" t="s">
        <v>4</v>
      </c>
      <c r="E57" s="10" t="s">
        <v>5</v>
      </c>
      <c r="F57" s="11"/>
      <c r="G57" s="10"/>
      <c r="H57" s="12"/>
      <c r="I57" s="12"/>
      <c r="J57" s="12"/>
      <c r="K57" s="9"/>
    </row>
    <row r="58" spans="1:11">
      <c r="A58" s="47" t="s">
        <v>6</v>
      </c>
      <c r="B58" s="10"/>
      <c r="C58" s="10"/>
      <c r="D58" s="48" t="s">
        <v>4</v>
      </c>
      <c r="E58" s="10" t="s">
        <v>7</v>
      </c>
      <c r="F58" s="11"/>
      <c r="G58" s="10"/>
      <c r="H58" s="12"/>
      <c r="I58" s="12"/>
      <c r="J58" s="12"/>
      <c r="K58" s="9"/>
    </row>
    <row r="59" spans="1:11">
      <c r="A59" s="47" t="s">
        <v>8</v>
      </c>
      <c r="B59" s="10"/>
      <c r="C59" s="10"/>
      <c r="D59" s="48" t="s">
        <v>4</v>
      </c>
      <c r="E59" s="13">
        <v>2025</v>
      </c>
      <c r="F59" s="11"/>
      <c r="G59" s="13"/>
      <c r="H59" s="12"/>
      <c r="I59" s="12"/>
      <c r="J59" s="12"/>
      <c r="K59" s="9"/>
    </row>
    <row r="60" spans="1:11">
      <c r="A60" s="47" t="s">
        <v>9</v>
      </c>
      <c r="B60" s="10"/>
      <c r="C60" s="10"/>
      <c r="D60" s="48" t="s">
        <v>4</v>
      </c>
      <c r="E60" s="14">
        <f>J67</f>
        <v>7950000</v>
      </c>
      <c r="F60" s="11"/>
      <c r="G60" s="14"/>
      <c r="H60" s="12"/>
      <c r="I60" s="12"/>
      <c r="J60" s="12"/>
      <c r="K60" s="9"/>
    </row>
    <row r="61" spans="1:11" ht="15.75">
      <c r="A61" s="10"/>
      <c r="B61" s="10"/>
      <c r="C61" s="15" t="s">
        <v>10</v>
      </c>
      <c r="D61" s="48" t="s">
        <v>4</v>
      </c>
      <c r="E61" s="16" t="str">
        <f>PROPER(IF(E60=0,"nol",IF(E60&lt;0,"minus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60),"000000000000000"),1,3)=0,"",MID(TEXT(ABS(E60),"000000000000000"),1,1)&amp;" ratus "&amp;MID(TEXT(ABS(E60),"000000000000000"),2,1)&amp;" puluh "&amp;MID(TEXT(ABS(E60),"000000000000000"),3,1)&amp;" trilyun ")&amp;IF(--MID(TEXT(ABS(E60),"000000000000000"),4,3)=0,"",MID(TEXT(ABS(E60),"000000000000000"),4,1)&amp;" ratus "&amp;MID(TEXT(ABS(E60),"000000000000000"),5,1)&amp;" puluh "&amp;MID(TEXT(ABS(E60),"000000000000000"),6,1)&amp;" milyar ")&amp;IF(--MID(TEXT(ABS(E60),"000000000000000"),7,3)=0,"",MID(TEXT(ABS(E60),"000000000000000"),7,1)&amp;" ratus "&amp;MID(TEXT(ABS(E60),"000000000000000"),8,1)&amp;" puluh "&amp;MID(TEXT(ABS(E60),"000000000000000"),9,1)&amp;" juta ")&amp;IF(--MID(TEXT(ABS(E60),"000000000000000"),10,3)=0,"",IF(--MID(TEXT(ABS(E60),"000000000000000"),10,3)=1,"*",MID(TEXT(ABS(E60),"000000000000000"),10,1)&amp;" ratus "&amp;MID(TEXT(ABS(E60),"000000000000000"),11,1)&amp;" puluh ")&amp;MID(TEXT(ABS(E60),"000000000000000"),12,1)&amp;" ribu ")&amp;IF(--MID(TEXT(ABS(E60),"000000000000000"),13,3)=0,"",MID(TEXT(ABS(E60),"000000000000000"),13,1)&amp;" ratus "&amp;MID(TEXT(ABS(E60),"000000000000000"),14,1)&amp;" puluh "&amp;MID(TEXT(ABS(E60),"000000000000000"),15,1)),1,"satu"),2,"dua"),3,"tiga"),4,"empat"),5,"lima"),6,"enam"),7,"tujuh"),8,"delapan"),9,"sembilan"),"0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Sembilan Ratus Lima Puluh Ribu Rupiah</v>
      </c>
      <c r="F61" s="11"/>
      <c r="G61" s="16"/>
      <c r="H61" s="12"/>
      <c r="I61" s="12"/>
      <c r="J61" s="12"/>
      <c r="K61" s="9"/>
    </row>
    <row r="62" spans="1:11">
      <c r="A62" s="10" t="s">
        <v>11</v>
      </c>
      <c r="B62" s="10"/>
      <c r="C62" s="10"/>
      <c r="D62" s="10"/>
      <c r="E62" s="10"/>
      <c r="F62" s="10"/>
      <c r="G62" s="10"/>
      <c r="H62" s="12"/>
      <c r="I62" s="12"/>
      <c r="J62" s="12"/>
      <c r="K62" s="9"/>
    </row>
    <row r="63" spans="1:11">
      <c r="A63" s="55" t="s">
        <v>12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</row>
    <row r="64" spans="1:11" ht="60">
      <c r="A64" s="17" t="s">
        <v>13</v>
      </c>
      <c r="B64" s="18" t="s">
        <v>14</v>
      </c>
      <c r="C64" s="56" t="s">
        <v>15</v>
      </c>
      <c r="D64" s="57"/>
      <c r="E64" s="58"/>
      <c r="F64" s="19"/>
      <c r="G64" s="20" t="s">
        <v>16</v>
      </c>
      <c r="H64" s="21" t="s">
        <v>33</v>
      </c>
      <c r="I64" s="21"/>
      <c r="J64" s="29" t="s">
        <v>17</v>
      </c>
      <c r="K64" s="30" t="s">
        <v>18</v>
      </c>
    </row>
    <row r="65" spans="1:11">
      <c r="A65" s="26">
        <v>1</v>
      </c>
      <c r="B65" s="23"/>
      <c r="C65" s="27" t="s">
        <v>21</v>
      </c>
      <c r="D65" s="53"/>
      <c r="E65" s="25"/>
      <c r="F65" s="24"/>
      <c r="G65" s="49" t="s">
        <v>19</v>
      </c>
      <c r="H65" s="49" t="s">
        <v>19</v>
      </c>
      <c r="I65" s="49"/>
      <c r="J65" s="49" t="s">
        <v>19</v>
      </c>
      <c r="K65" s="49" t="s">
        <v>19</v>
      </c>
    </row>
    <row r="66" spans="1:11">
      <c r="A66" s="23"/>
      <c r="B66" s="23" t="s">
        <v>20</v>
      </c>
      <c r="C66" s="24" t="s">
        <v>22</v>
      </c>
      <c r="D66" s="10"/>
      <c r="E66" s="25"/>
      <c r="F66" s="24"/>
      <c r="G66" s="22">
        <v>370000000</v>
      </c>
      <c r="H66" s="50">
        <f>H24+J24</f>
        <v>87449997</v>
      </c>
      <c r="I66" s="50"/>
      <c r="J66" s="51">
        <v>7950000</v>
      </c>
      <c r="K66" s="52">
        <f t="shared" ref="K66" si="1">G66-H66-J66</f>
        <v>274600003</v>
      </c>
    </row>
    <row r="67" spans="1:11">
      <c r="A67" s="31"/>
      <c r="B67" s="31"/>
      <c r="C67" s="31" t="s">
        <v>23</v>
      </c>
      <c r="D67" s="31"/>
      <c r="E67" s="31"/>
      <c r="F67" s="32"/>
      <c r="G67" s="33">
        <f>SUM(G65:G66)</f>
        <v>370000000</v>
      </c>
      <c r="H67" s="34">
        <f>SUM(H65:H66)</f>
        <v>87449997</v>
      </c>
      <c r="I67" s="34"/>
      <c r="J67" s="34">
        <f>SUM(J65:J66)</f>
        <v>7950000</v>
      </c>
      <c r="K67" s="34">
        <f>SUM(K65:K66)</f>
        <v>274600003</v>
      </c>
    </row>
    <row r="68" spans="1:11">
      <c r="A68" s="35"/>
      <c r="B68" s="8"/>
      <c r="C68" s="8"/>
      <c r="D68" s="8"/>
      <c r="E68" s="8"/>
      <c r="F68" s="8"/>
      <c r="G68" s="36"/>
      <c r="H68" s="36"/>
      <c r="I68" s="36"/>
      <c r="J68" s="36"/>
      <c r="K68" s="36"/>
    </row>
    <row r="69" spans="1:11">
      <c r="A69" s="59" t="s">
        <v>24</v>
      </c>
      <c r="B69" s="59"/>
      <c r="C69" s="59"/>
      <c r="D69" s="11" t="s">
        <v>4</v>
      </c>
      <c r="E69" s="14">
        <f>J67</f>
        <v>7950000</v>
      </c>
      <c r="F69" s="37"/>
      <c r="G69" s="38"/>
      <c r="H69" s="38"/>
      <c r="I69" s="38"/>
      <c r="J69" s="9"/>
      <c r="K69" s="9"/>
    </row>
    <row r="70" spans="1:11">
      <c r="A70" s="10" t="s">
        <v>25</v>
      </c>
      <c r="B70" s="10"/>
      <c r="C70" s="10"/>
      <c r="D70" s="11" t="s">
        <v>4</v>
      </c>
      <c r="E70" s="39"/>
      <c r="F70" s="39"/>
      <c r="G70" s="40"/>
      <c r="H70" s="12"/>
      <c r="I70" s="12"/>
      <c r="J70" s="9"/>
      <c r="K70" s="9"/>
    </row>
    <row r="71" spans="1:11">
      <c r="A71" s="10" t="s">
        <v>26</v>
      </c>
      <c r="B71" s="10"/>
      <c r="C71" s="10"/>
      <c r="D71" s="11" t="s">
        <v>4</v>
      </c>
      <c r="E71" s="41"/>
      <c r="F71" s="41"/>
      <c r="G71" s="40"/>
      <c r="H71" s="12"/>
      <c r="I71" s="12"/>
      <c r="J71" s="9"/>
      <c r="K71" s="9"/>
    </row>
    <row r="72" spans="1:11">
      <c r="A72" s="10" t="s">
        <v>27</v>
      </c>
      <c r="B72" s="10"/>
      <c r="C72" s="10"/>
      <c r="D72" s="11" t="s">
        <v>4</v>
      </c>
      <c r="E72" s="41">
        <f>E70+E71</f>
        <v>0</v>
      </c>
      <c r="F72" s="41"/>
      <c r="G72" s="10"/>
      <c r="H72" s="12"/>
      <c r="I72" s="12"/>
      <c r="J72" s="43"/>
      <c r="K72" s="43"/>
    </row>
    <row r="73" spans="1:11">
      <c r="A73" s="13"/>
      <c r="B73" s="13"/>
      <c r="C73" s="13"/>
      <c r="D73" s="11"/>
      <c r="E73" s="13"/>
      <c r="F73" s="13"/>
      <c r="G73" s="10"/>
      <c r="H73" s="12"/>
      <c r="I73" s="12"/>
      <c r="J73" s="43"/>
      <c r="K73" s="43"/>
    </row>
    <row r="74" spans="1:11">
      <c r="A74" s="59" t="s">
        <v>28</v>
      </c>
      <c r="B74" s="59"/>
      <c r="C74" s="59"/>
      <c r="D74" s="11" t="s">
        <v>4</v>
      </c>
      <c r="E74" s="37">
        <f>E69-E72</f>
        <v>7950000</v>
      </c>
      <c r="F74" s="37"/>
      <c r="G74" s="10"/>
      <c r="H74" s="12"/>
      <c r="I74" s="12"/>
      <c r="J74" s="43"/>
      <c r="K74" s="43"/>
    </row>
    <row r="75" spans="1:11" ht="15.75">
      <c r="A75" s="13"/>
      <c r="B75" s="13"/>
      <c r="C75" s="10"/>
      <c r="D75" s="10"/>
      <c r="E75" s="16" t="str">
        <f>PROPER(IF(E74=0,"nol",IF(E74&lt;0,"minus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74),"000000000000000"),1,3)=0,"",MID(TEXT(ABS(E74),"000000000000000"),1,1)&amp;" ratus "&amp;MID(TEXT(ABS(E74),"000000000000000"),2,1)&amp;" puluh "&amp;MID(TEXT(ABS(E74),"000000000000000"),3,1)&amp;" trilyun ")&amp;IF(--MID(TEXT(ABS(E74),"000000000000000"),4,3)=0,"",MID(TEXT(ABS(E74),"000000000000000"),4,1)&amp;" ratus "&amp;MID(TEXT(ABS(E74),"000000000000000"),5,1)&amp;" puluh "&amp;MID(TEXT(ABS(E74),"000000000000000"),6,1)&amp;" milyar ")&amp;IF(--MID(TEXT(ABS(E74),"000000000000000"),7,3)=0,"",MID(TEXT(ABS(E74),"000000000000000"),7,1)&amp;" ratus "&amp;MID(TEXT(ABS(E74),"000000000000000"),8,1)&amp;" puluh "&amp;MID(TEXT(ABS(E74),"000000000000000"),9,1)&amp;" juta ")&amp;IF(--MID(TEXT(ABS(E74),"000000000000000"),10,3)=0,"",IF(--MID(TEXT(ABS(E74),"000000000000000"),10,3)=1,"*",MID(TEXT(ABS(E74),"000000000000000"),10,1)&amp;" ratus "&amp;MID(TEXT(ABS(E74),"000000000000000"),11,1)&amp;" puluh ")&amp;MID(TEXT(ABS(E74),"000000000000000"),12,1)&amp;" ribu ")&amp;IF(--MID(TEXT(ABS(E74),"000000000000000"),13,3)=0,"",MID(TEXT(ABS(E74),"000000000000000"),13,1)&amp;" ratus "&amp;MID(TEXT(ABS(E74),"000000000000000"),14,1)&amp;" puluh "&amp;MID(TEXT(ABS(E74),"000000000000000"),15,1)),1,"satu"),2,"dua"),3,"tiga"),4,"empat"),5,"lima"),6,"enam"),7,"tujuh"),8,"delapan"),9,"sembilan"),"0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Sembilan Ratus Lima Puluh Ribu Rupiah</v>
      </c>
      <c r="F75" s="10"/>
      <c r="G75" s="10"/>
      <c r="H75" s="10"/>
      <c r="I75" s="10"/>
      <c r="J75" s="43"/>
      <c r="K75" s="43"/>
    </row>
    <row r="76" spans="1:11">
      <c r="A76" s="28"/>
      <c r="B76" s="28"/>
      <c r="C76" s="28"/>
      <c r="D76" s="28"/>
      <c r="E76" s="28"/>
      <c r="F76" s="28"/>
      <c r="G76" s="28"/>
      <c r="H76"/>
      <c r="I76"/>
      <c r="J76" s="43"/>
      <c r="K76" s="43"/>
    </row>
    <row r="77" spans="1:11">
      <c r="A77" s="13"/>
      <c r="B77" s="13"/>
      <c r="C77" s="10"/>
      <c r="D77" s="10"/>
      <c r="E77" s="10"/>
      <c r="F77" s="10"/>
      <c r="G77" s="10"/>
      <c r="I77" s="44"/>
      <c r="J77" s="44" t="s">
        <v>49</v>
      </c>
      <c r="K77" s="43"/>
    </row>
    <row r="78" spans="1:11">
      <c r="A78" s="12" t="s">
        <v>29</v>
      </c>
      <c r="B78" s="10"/>
      <c r="C78" s="10"/>
      <c r="D78" s="10"/>
      <c r="E78" s="10"/>
      <c r="F78" s="10"/>
      <c r="G78" s="10"/>
      <c r="I78" s="12"/>
      <c r="J78" s="12" t="s">
        <v>30</v>
      </c>
      <c r="K78" s="43"/>
    </row>
    <row r="79" spans="1:11">
      <c r="A79" s="10"/>
      <c r="B79" s="10"/>
      <c r="C79" s="10"/>
      <c r="D79" s="10"/>
      <c r="E79" s="10"/>
      <c r="F79" s="10"/>
      <c r="G79" s="10"/>
      <c r="I79" s="12"/>
      <c r="J79" s="12"/>
      <c r="K79" s="43"/>
    </row>
    <row r="80" spans="1:11">
      <c r="A80" s="10"/>
      <c r="B80" s="10"/>
      <c r="C80" s="10"/>
      <c r="D80" s="10"/>
      <c r="E80" s="10"/>
      <c r="F80" s="10"/>
      <c r="G80" s="10"/>
      <c r="I80" s="12"/>
      <c r="J80" s="12"/>
      <c r="K80" s="43"/>
    </row>
    <row r="81" spans="1:11">
      <c r="A81" s="10"/>
      <c r="B81" s="10"/>
      <c r="C81" s="10"/>
      <c r="D81" s="10"/>
      <c r="E81" s="10"/>
      <c r="F81" s="10"/>
      <c r="G81" s="10"/>
      <c r="I81" s="12"/>
      <c r="J81" s="12"/>
      <c r="K81" s="43"/>
    </row>
    <row r="82" spans="1:11">
      <c r="A82" s="10"/>
      <c r="B82" s="10"/>
      <c r="C82" s="10"/>
      <c r="D82" s="10"/>
      <c r="E82" s="10"/>
      <c r="F82" s="10"/>
      <c r="G82" s="10"/>
      <c r="I82" s="12"/>
      <c r="J82" s="12"/>
      <c r="K82" s="43"/>
    </row>
    <row r="83" spans="1:11">
      <c r="A83" s="45" t="s">
        <v>34</v>
      </c>
      <c r="B83" s="45"/>
      <c r="C83" s="46"/>
      <c r="D83" s="46"/>
      <c r="E83" s="46"/>
      <c r="F83" s="46"/>
      <c r="G83" s="10" t="s">
        <v>31</v>
      </c>
      <c r="I83" s="45"/>
      <c r="J83" s="45" t="s">
        <v>32</v>
      </c>
      <c r="K83" s="43"/>
    </row>
  </sheetData>
  <mergeCells count="18">
    <mergeCell ref="A21:K21"/>
    <mergeCell ref="A8:K8"/>
    <mergeCell ref="A9:K9"/>
    <mergeCell ref="A10:K10"/>
    <mergeCell ref="A11:K11"/>
    <mergeCell ref="A12:K12"/>
    <mergeCell ref="A74:C74"/>
    <mergeCell ref="C22:E22"/>
    <mergeCell ref="A27:C27"/>
    <mergeCell ref="A32:C32"/>
    <mergeCell ref="A51:K51"/>
    <mergeCell ref="A52:K52"/>
    <mergeCell ref="A53:K53"/>
    <mergeCell ref="A54:K54"/>
    <mergeCell ref="A55:K55"/>
    <mergeCell ref="A63:K63"/>
    <mergeCell ref="C64:E64"/>
    <mergeCell ref="A69:C69"/>
  </mergeCells>
  <pageMargins left="0.23622047244094491" right="0.23622047244094491" top="0.15748031496062992" bottom="0.74803149606299213" header="0.31496062992125984" footer="0.31496062992125984"/>
  <pageSetup paperSize="9" scale="85" orientation="portrait" horizontalDpi="4294967293" r:id="rId1"/>
  <rowBreaks count="1" manualBreakCount="1">
    <brk id="4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2026-03-12T07:18:09Z</cp:lastPrinted>
  <dcterms:created xsi:type="dcterms:W3CDTF">2017-02-01T01:06:00Z</dcterms:created>
  <dcterms:modified xsi:type="dcterms:W3CDTF">2026-03-12T07:19:22Z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