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E:\NPD 2026\Beban Umum dan Keuangan\"/>
    </mc:Choice>
  </mc:AlternateContent>
  <xr:revisionPtr revIDLastSave="0" documentId="13_ncr:1_{BD024534-D67E-43E4-826D-409B8615740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JANUARI" sheetId="15" r:id="rId1"/>
    <sheet name="FEBRUARI" sheetId="16" r:id="rId2"/>
    <sheet name="MARET" sheetId="17" r:id="rId3"/>
  </sheets>
  <definedNames>
    <definedName name="_xlnm.Print_Area" localSheetId="1">FEBRUARI!$A$1:$K$1152</definedName>
    <definedName name="_xlnm.Print_Area" localSheetId="0">JANUARI!$A$1:$K$923</definedName>
    <definedName name="_xlnm.Print_Area" localSheetId="2">MARET!$A$1:$K$1152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4" i="17" l="1"/>
  <c r="H208" i="17"/>
  <c r="H162" i="17"/>
  <c r="H70" i="17"/>
  <c r="H25" i="17"/>
  <c r="H26" i="17"/>
  <c r="H27" i="17"/>
  <c r="H24" i="17"/>
  <c r="E1091" i="17"/>
  <c r="J1086" i="17"/>
  <c r="E1088" i="17" s="1"/>
  <c r="E1093" i="17" s="1"/>
  <c r="E1094" i="17" s="1"/>
  <c r="G1086" i="17"/>
  <c r="E1075" i="17"/>
  <c r="E1076" i="17" s="1"/>
  <c r="E1045" i="17"/>
  <c r="J1040" i="17"/>
  <c r="E1042" i="17" s="1"/>
  <c r="E1047" i="17" s="1"/>
  <c r="E1048" i="17" s="1"/>
  <c r="G1040" i="17"/>
  <c r="E1029" i="17"/>
  <c r="E1030" i="17" s="1"/>
  <c r="E999" i="17"/>
  <c r="J994" i="17"/>
  <c r="E996" i="17" s="1"/>
  <c r="E1001" i="17" s="1"/>
  <c r="E1002" i="17" s="1"/>
  <c r="G994" i="17"/>
  <c r="E983" i="17"/>
  <c r="E984" i="17" s="1"/>
  <c r="E953" i="17"/>
  <c r="J948" i="17"/>
  <c r="E950" i="17" s="1"/>
  <c r="E955" i="17" s="1"/>
  <c r="E956" i="17" s="1"/>
  <c r="G948" i="17"/>
  <c r="E937" i="17"/>
  <c r="E938" i="17" s="1"/>
  <c r="E907" i="17"/>
  <c r="J902" i="17"/>
  <c r="E904" i="17" s="1"/>
  <c r="E909" i="17" s="1"/>
  <c r="E910" i="17" s="1"/>
  <c r="G902" i="17"/>
  <c r="E891" i="17"/>
  <c r="E892" i="17" s="1"/>
  <c r="E861" i="17"/>
  <c r="J856" i="17"/>
  <c r="E858" i="17" s="1"/>
  <c r="E863" i="17" s="1"/>
  <c r="E864" i="17" s="1"/>
  <c r="G856" i="17"/>
  <c r="E846" i="17"/>
  <c r="E845" i="17"/>
  <c r="E815" i="17"/>
  <c r="J810" i="17"/>
  <c r="E812" i="17" s="1"/>
  <c r="E817" i="17" s="1"/>
  <c r="E818" i="17" s="1"/>
  <c r="G810" i="17"/>
  <c r="E800" i="17"/>
  <c r="E799" i="17"/>
  <c r="E769" i="17"/>
  <c r="J764" i="17"/>
  <c r="G764" i="17"/>
  <c r="E723" i="17"/>
  <c r="J718" i="17"/>
  <c r="E720" i="17" s="1"/>
  <c r="E725" i="17" s="1"/>
  <c r="E726" i="17" s="1"/>
  <c r="G718" i="17"/>
  <c r="E707" i="17"/>
  <c r="E708" i="17" s="1"/>
  <c r="E677" i="17"/>
  <c r="J672" i="17"/>
  <c r="E674" i="17" s="1"/>
  <c r="E679" i="17" s="1"/>
  <c r="E680" i="17" s="1"/>
  <c r="G672" i="17"/>
  <c r="E661" i="17"/>
  <c r="E662" i="17" s="1"/>
  <c r="E631" i="17"/>
  <c r="J626" i="17"/>
  <c r="E628" i="17" s="1"/>
  <c r="E633" i="17" s="1"/>
  <c r="E634" i="17" s="1"/>
  <c r="G626" i="17"/>
  <c r="E615" i="17"/>
  <c r="E616" i="17" s="1"/>
  <c r="E585" i="17"/>
  <c r="J580" i="17"/>
  <c r="E582" i="17" s="1"/>
  <c r="E587" i="17" s="1"/>
  <c r="E588" i="17" s="1"/>
  <c r="G580" i="17"/>
  <c r="E569" i="17"/>
  <c r="E570" i="17" s="1"/>
  <c r="E539" i="17"/>
  <c r="J534" i="17"/>
  <c r="E536" i="17" s="1"/>
  <c r="E541" i="17" s="1"/>
  <c r="E542" i="17" s="1"/>
  <c r="G534" i="17"/>
  <c r="E523" i="17"/>
  <c r="E524" i="17" s="1"/>
  <c r="E493" i="17"/>
  <c r="J488" i="17"/>
  <c r="E490" i="17" s="1"/>
  <c r="E495" i="17" s="1"/>
  <c r="E496" i="17" s="1"/>
  <c r="G488" i="17"/>
  <c r="E477" i="17"/>
  <c r="E478" i="17" s="1"/>
  <c r="E447" i="17"/>
  <c r="J442" i="17"/>
  <c r="G442" i="17"/>
  <c r="E401" i="17"/>
  <c r="J396" i="17"/>
  <c r="E398" i="17" s="1"/>
  <c r="E403" i="17" s="1"/>
  <c r="E404" i="17" s="1"/>
  <c r="G396" i="17"/>
  <c r="E385" i="17"/>
  <c r="E386" i="17" s="1"/>
  <c r="E355" i="17"/>
  <c r="J350" i="17"/>
  <c r="E352" i="17" s="1"/>
  <c r="E357" i="17" s="1"/>
  <c r="E358" i="17" s="1"/>
  <c r="G350" i="17"/>
  <c r="E339" i="17"/>
  <c r="E340" i="17" s="1"/>
  <c r="E309" i="17"/>
  <c r="J304" i="17"/>
  <c r="E306" i="17" s="1"/>
  <c r="E311" i="17" s="1"/>
  <c r="E312" i="17" s="1"/>
  <c r="G304" i="17"/>
  <c r="E293" i="17"/>
  <c r="E294" i="17" s="1"/>
  <c r="E263" i="17"/>
  <c r="J258" i="17"/>
  <c r="E260" i="17" s="1"/>
  <c r="E265" i="17" s="1"/>
  <c r="E266" i="17" s="1"/>
  <c r="G258" i="17"/>
  <c r="E247" i="17"/>
  <c r="E248" i="17" s="1"/>
  <c r="E217" i="17"/>
  <c r="J212" i="17"/>
  <c r="G212" i="17"/>
  <c r="E171" i="17"/>
  <c r="J166" i="17"/>
  <c r="G166" i="17"/>
  <c r="E125" i="17"/>
  <c r="J120" i="17"/>
  <c r="G120" i="17"/>
  <c r="E79" i="17"/>
  <c r="J74" i="17"/>
  <c r="G74" i="17"/>
  <c r="E33" i="17"/>
  <c r="J28" i="17"/>
  <c r="G28" i="17"/>
  <c r="E1091" i="16"/>
  <c r="J1086" i="16"/>
  <c r="E1088" i="16" s="1"/>
  <c r="E1093" i="16" s="1"/>
  <c r="E1094" i="16" s="1"/>
  <c r="G1086" i="16"/>
  <c r="H1085" i="16"/>
  <c r="K1085" i="16" s="1"/>
  <c r="H1084" i="16"/>
  <c r="K1084" i="16" s="1"/>
  <c r="H1083" i="16"/>
  <c r="K1083" i="16" s="1"/>
  <c r="H1082" i="16"/>
  <c r="E1075" i="16"/>
  <c r="E1076" i="16" s="1"/>
  <c r="H991" i="16"/>
  <c r="H992" i="16"/>
  <c r="H993" i="16"/>
  <c r="H990" i="16"/>
  <c r="E1045" i="16"/>
  <c r="J1040" i="16"/>
  <c r="E1042" i="16" s="1"/>
  <c r="E1047" i="16" s="1"/>
  <c r="E1048" i="16" s="1"/>
  <c r="G1040" i="16"/>
  <c r="E1029" i="16"/>
  <c r="E1030" i="16" s="1"/>
  <c r="E999" i="16"/>
  <c r="J994" i="16"/>
  <c r="G994" i="16"/>
  <c r="E953" i="16"/>
  <c r="J948" i="16"/>
  <c r="G948" i="16"/>
  <c r="E214" i="17" l="1"/>
  <c r="E219" i="17" s="1"/>
  <c r="E220" i="17" s="1"/>
  <c r="E201" i="17"/>
  <c r="E202" i="17" s="1"/>
  <c r="E168" i="17"/>
  <c r="E173" i="17" s="1"/>
  <c r="E174" i="17" s="1"/>
  <c r="E155" i="17"/>
  <c r="E156" i="17" s="1"/>
  <c r="E122" i="17"/>
  <c r="E127" i="17" s="1"/>
  <c r="E128" i="17" s="1"/>
  <c r="E109" i="17"/>
  <c r="E110" i="17" s="1"/>
  <c r="E76" i="17"/>
  <c r="E81" i="17" s="1"/>
  <c r="E82" i="17" s="1"/>
  <c r="E63" i="17"/>
  <c r="E64" i="17" s="1"/>
  <c r="E30" i="17"/>
  <c r="E35" i="17" s="1"/>
  <c r="E36" i="17" s="1"/>
  <c r="E17" i="17"/>
  <c r="E18" i="17" s="1"/>
  <c r="E753" i="17"/>
  <c r="E754" i="17" s="1"/>
  <c r="E766" i="17"/>
  <c r="E771" i="17" s="1"/>
  <c r="E772" i="17" s="1"/>
  <c r="E444" i="17"/>
  <c r="E449" i="17" s="1"/>
  <c r="E450" i="17" s="1"/>
  <c r="E431" i="17"/>
  <c r="E432" i="17" s="1"/>
  <c r="H73" i="17"/>
  <c r="K27" i="17"/>
  <c r="H72" i="17"/>
  <c r="K26" i="17"/>
  <c r="H71" i="17"/>
  <c r="K25" i="17"/>
  <c r="H28" i="17"/>
  <c r="K24" i="17"/>
  <c r="K28" i="17" s="1"/>
  <c r="H1086" i="16"/>
  <c r="K1082" i="16"/>
  <c r="K1086" i="16" s="1"/>
  <c r="K993" i="16"/>
  <c r="H1039" i="16"/>
  <c r="K1039" i="16" s="1"/>
  <c r="K990" i="16"/>
  <c r="H1036" i="16"/>
  <c r="K1036" i="16"/>
  <c r="E996" i="16"/>
  <c r="E1001" i="16" s="1"/>
  <c r="E1002" i="16" s="1"/>
  <c r="E983" i="16"/>
  <c r="E984" i="16" s="1"/>
  <c r="E950" i="16"/>
  <c r="E955" i="16" s="1"/>
  <c r="E956" i="16" s="1"/>
  <c r="E937" i="16"/>
  <c r="E938" i="16" s="1"/>
  <c r="K73" i="17" l="1"/>
  <c r="H119" i="17"/>
  <c r="K72" i="17"/>
  <c r="H118" i="17"/>
  <c r="K71" i="17"/>
  <c r="H117" i="17"/>
  <c r="K70" i="17"/>
  <c r="K74" i="17" s="1"/>
  <c r="H74" i="17"/>
  <c r="H116" i="17"/>
  <c r="H27" i="16"/>
  <c r="H24" i="16"/>
  <c r="H70" i="16" s="1"/>
  <c r="E907" i="16"/>
  <c r="J902" i="16"/>
  <c r="E891" i="16" s="1"/>
  <c r="E892" i="16" s="1"/>
  <c r="G902" i="16"/>
  <c r="E861" i="16"/>
  <c r="J856" i="16"/>
  <c r="E858" i="16" s="1"/>
  <c r="E863" i="16" s="1"/>
  <c r="E864" i="16" s="1"/>
  <c r="G856" i="16"/>
  <c r="E815" i="16"/>
  <c r="J810" i="16"/>
  <c r="G810" i="16"/>
  <c r="E769" i="16"/>
  <c r="J764" i="16"/>
  <c r="E766" i="16" s="1"/>
  <c r="E771" i="16" s="1"/>
  <c r="E772" i="16" s="1"/>
  <c r="G764" i="16"/>
  <c r="E723" i="16"/>
  <c r="J718" i="16"/>
  <c r="E720" i="16" s="1"/>
  <c r="E725" i="16" s="1"/>
  <c r="E726" i="16" s="1"/>
  <c r="G718" i="16"/>
  <c r="E707" i="16"/>
  <c r="E708" i="16" s="1"/>
  <c r="E677" i="16"/>
  <c r="J672" i="16"/>
  <c r="E674" i="16" s="1"/>
  <c r="E679" i="16" s="1"/>
  <c r="E680" i="16" s="1"/>
  <c r="G672" i="16"/>
  <c r="E631" i="16"/>
  <c r="J626" i="16"/>
  <c r="E628" i="16" s="1"/>
  <c r="E633" i="16" s="1"/>
  <c r="E634" i="16" s="1"/>
  <c r="G626" i="16"/>
  <c r="E585" i="16"/>
  <c r="J580" i="16"/>
  <c r="E582" i="16" s="1"/>
  <c r="E587" i="16" s="1"/>
  <c r="E588" i="16" s="1"/>
  <c r="G580" i="16"/>
  <c r="E539" i="16"/>
  <c r="J534" i="16"/>
  <c r="E536" i="16" s="1"/>
  <c r="E541" i="16" s="1"/>
  <c r="E542" i="16" s="1"/>
  <c r="G534" i="16"/>
  <c r="E493" i="16"/>
  <c r="J488" i="16"/>
  <c r="E490" i="16" s="1"/>
  <c r="E495" i="16" s="1"/>
  <c r="E496" i="16" s="1"/>
  <c r="G488" i="16"/>
  <c r="E447" i="16"/>
  <c r="J442" i="16"/>
  <c r="G442" i="16"/>
  <c r="E401" i="16"/>
  <c r="J396" i="16"/>
  <c r="E398" i="16" s="1"/>
  <c r="E403" i="16" s="1"/>
  <c r="E404" i="16" s="1"/>
  <c r="G396" i="16"/>
  <c r="E355" i="16"/>
  <c r="J350" i="16"/>
  <c r="E352" i="16" s="1"/>
  <c r="E357" i="16" s="1"/>
  <c r="E358" i="16" s="1"/>
  <c r="G350" i="16"/>
  <c r="E309" i="16"/>
  <c r="J304" i="16"/>
  <c r="E306" i="16" s="1"/>
  <c r="E311" i="16" s="1"/>
  <c r="E312" i="16" s="1"/>
  <c r="G304" i="16"/>
  <c r="E293" i="16"/>
  <c r="E294" i="16" s="1"/>
  <c r="E263" i="16"/>
  <c r="J258" i="16"/>
  <c r="E260" i="16" s="1"/>
  <c r="E265" i="16" s="1"/>
  <c r="E266" i="16" s="1"/>
  <c r="G258" i="16"/>
  <c r="E217" i="16"/>
  <c r="J212" i="16"/>
  <c r="E201" i="16" s="1"/>
  <c r="E202" i="16" s="1"/>
  <c r="G212" i="16"/>
  <c r="E171" i="16"/>
  <c r="J166" i="16"/>
  <c r="E155" i="16" s="1"/>
  <c r="E156" i="16" s="1"/>
  <c r="G166" i="16"/>
  <c r="E125" i="16"/>
  <c r="J120" i="16"/>
  <c r="E109" i="16" s="1"/>
  <c r="E110" i="16" s="1"/>
  <c r="G120" i="16"/>
  <c r="E79" i="16"/>
  <c r="J74" i="16"/>
  <c r="E63" i="16" s="1"/>
  <c r="E64" i="16" s="1"/>
  <c r="G74" i="16"/>
  <c r="E33" i="16"/>
  <c r="J28" i="16"/>
  <c r="E17" i="16" s="1"/>
  <c r="E18" i="16" s="1"/>
  <c r="G28" i="16"/>
  <c r="K24" i="16"/>
  <c r="H901" i="15"/>
  <c r="E907" i="15"/>
  <c r="J902" i="15"/>
  <c r="E904" i="15" s="1"/>
  <c r="E909" i="15" s="1"/>
  <c r="E910" i="15" s="1"/>
  <c r="G902" i="15"/>
  <c r="K901" i="15"/>
  <c r="H898" i="15"/>
  <c r="K898" i="15" s="1"/>
  <c r="K119" i="17" l="1"/>
  <c r="H165" i="17"/>
  <c r="K118" i="17"/>
  <c r="H164" i="17"/>
  <c r="K117" i="17"/>
  <c r="H163" i="17"/>
  <c r="H120" i="17"/>
  <c r="K116" i="17"/>
  <c r="K120" i="17" s="1"/>
  <c r="K27" i="16"/>
  <c r="H73" i="16"/>
  <c r="K70" i="16"/>
  <c r="H116" i="16"/>
  <c r="H162" i="16" s="1"/>
  <c r="H208" i="16" s="1"/>
  <c r="H254" i="16" s="1"/>
  <c r="E444" i="16"/>
  <c r="E449" i="16" s="1"/>
  <c r="E450" i="16" s="1"/>
  <c r="E431" i="16"/>
  <c r="E432" i="16" s="1"/>
  <c r="E812" i="16"/>
  <c r="E817" i="16" s="1"/>
  <c r="E818" i="16" s="1"/>
  <c r="E799" i="16"/>
  <c r="E800" i="16" s="1"/>
  <c r="E569" i="16"/>
  <c r="E570" i="16" s="1"/>
  <c r="E247" i="16"/>
  <c r="E248" i="16" s="1"/>
  <c r="E214" i="16"/>
  <c r="E219" i="16" s="1"/>
  <c r="E220" i="16" s="1"/>
  <c r="E76" i="16"/>
  <c r="E81" i="16" s="1"/>
  <c r="E82" i="16" s="1"/>
  <c r="E30" i="16"/>
  <c r="E35" i="16" s="1"/>
  <c r="E36" i="16" s="1"/>
  <c r="E477" i="16"/>
  <c r="E478" i="16" s="1"/>
  <c r="E753" i="16"/>
  <c r="E754" i="16" s="1"/>
  <c r="E385" i="16"/>
  <c r="E386" i="16" s="1"/>
  <c r="E845" i="16"/>
  <c r="E846" i="16" s="1"/>
  <c r="E661" i="16"/>
  <c r="E662" i="16" s="1"/>
  <c r="E122" i="16"/>
  <c r="E127" i="16" s="1"/>
  <c r="E128" i="16" s="1"/>
  <c r="E339" i="16"/>
  <c r="E340" i="16" s="1"/>
  <c r="E523" i="16"/>
  <c r="E524" i="16" s="1"/>
  <c r="E615" i="16"/>
  <c r="E616" i="16" s="1"/>
  <c r="E168" i="16"/>
  <c r="E173" i="16" s="1"/>
  <c r="E174" i="16" s="1"/>
  <c r="E904" i="16"/>
  <c r="E909" i="16" s="1"/>
  <c r="E910" i="16" s="1"/>
  <c r="E891" i="15"/>
  <c r="E892" i="15" s="1"/>
  <c r="K165" i="17" l="1"/>
  <c r="H211" i="17"/>
  <c r="K164" i="17"/>
  <c r="H210" i="17"/>
  <c r="K163" i="17"/>
  <c r="H209" i="17"/>
  <c r="K162" i="17"/>
  <c r="K166" i="17" s="1"/>
  <c r="H166" i="17"/>
  <c r="K73" i="16"/>
  <c r="H119" i="16"/>
  <c r="K116" i="16"/>
  <c r="E861" i="15"/>
  <c r="J856" i="15"/>
  <c r="E858" i="15" s="1"/>
  <c r="E863" i="15" s="1"/>
  <c r="E864" i="15" s="1"/>
  <c r="G856" i="15"/>
  <c r="H855" i="15"/>
  <c r="K855" i="15" s="1"/>
  <c r="H852" i="15"/>
  <c r="K852" i="15" s="1"/>
  <c r="H807" i="15"/>
  <c r="E815" i="15"/>
  <c r="J810" i="15"/>
  <c r="E812" i="15" s="1"/>
  <c r="E817" i="15" s="1"/>
  <c r="E818" i="15" s="1"/>
  <c r="G810" i="15"/>
  <c r="H809" i="15"/>
  <c r="K809" i="15" s="1"/>
  <c r="H808" i="15"/>
  <c r="H806" i="15"/>
  <c r="K806" i="15" s="1"/>
  <c r="E769" i="15"/>
  <c r="J764" i="15"/>
  <c r="E766" i="15" s="1"/>
  <c r="E771" i="15" s="1"/>
  <c r="E772" i="15" s="1"/>
  <c r="G764" i="15"/>
  <c r="H763" i="15"/>
  <c r="K763" i="15" s="1"/>
  <c r="H762" i="15"/>
  <c r="H764" i="15" s="1"/>
  <c r="K761" i="15"/>
  <c r="H761" i="15"/>
  <c r="H760" i="15"/>
  <c r="K760" i="15" s="1"/>
  <c r="H714" i="15"/>
  <c r="K714" i="15" s="1"/>
  <c r="E723" i="15"/>
  <c r="J718" i="15"/>
  <c r="E720" i="15" s="1"/>
  <c r="E725" i="15" s="1"/>
  <c r="E726" i="15" s="1"/>
  <c r="G718" i="15"/>
  <c r="H717" i="15"/>
  <c r="K717" i="15" s="1"/>
  <c r="H716" i="15"/>
  <c r="H715" i="15"/>
  <c r="K715" i="15" s="1"/>
  <c r="H668" i="15"/>
  <c r="E677" i="15"/>
  <c r="J672" i="15"/>
  <c r="E674" i="15" s="1"/>
  <c r="E679" i="15" s="1"/>
  <c r="E680" i="15" s="1"/>
  <c r="G672" i="15"/>
  <c r="H671" i="15"/>
  <c r="K671" i="15" s="1"/>
  <c r="H670" i="15"/>
  <c r="H672" i="15" s="1"/>
  <c r="K669" i="15"/>
  <c r="H669" i="15"/>
  <c r="K668" i="15"/>
  <c r="E631" i="15"/>
  <c r="J626" i="15"/>
  <c r="E628" i="15" s="1"/>
  <c r="E633" i="15" s="1"/>
  <c r="E634" i="15" s="1"/>
  <c r="G626" i="15"/>
  <c r="H625" i="15"/>
  <c r="H626" i="15" s="1"/>
  <c r="K624" i="15"/>
  <c r="H624" i="15"/>
  <c r="H623" i="15"/>
  <c r="K623" i="15" s="1"/>
  <c r="H622" i="15"/>
  <c r="K622" i="15" s="1"/>
  <c r="H576" i="15"/>
  <c r="E585" i="15"/>
  <c r="J580" i="15"/>
  <c r="E582" i="15" s="1"/>
  <c r="E587" i="15" s="1"/>
  <c r="E588" i="15" s="1"/>
  <c r="G580" i="15"/>
  <c r="H579" i="15"/>
  <c r="K579" i="15" s="1"/>
  <c r="H578" i="15"/>
  <c r="K578" i="15" s="1"/>
  <c r="H577" i="15"/>
  <c r="H580" i="15" s="1"/>
  <c r="K576" i="15"/>
  <c r="H533" i="15"/>
  <c r="E539" i="15"/>
  <c r="J534" i="15"/>
  <c r="E536" i="15" s="1"/>
  <c r="E541" i="15" s="1"/>
  <c r="E542" i="15" s="1"/>
  <c r="G534" i="15"/>
  <c r="K533" i="15"/>
  <c r="H532" i="15"/>
  <c r="K532" i="15" s="1"/>
  <c r="H531" i="15"/>
  <c r="K531" i="15" s="1"/>
  <c r="H530" i="15"/>
  <c r="H534" i="15" s="1"/>
  <c r="K211" i="17" l="1"/>
  <c r="H257" i="17"/>
  <c r="K210" i="17"/>
  <c r="H256" i="17"/>
  <c r="K209" i="17"/>
  <c r="H255" i="17"/>
  <c r="K208" i="17"/>
  <c r="H212" i="17"/>
  <c r="K119" i="16"/>
  <c r="H165" i="16"/>
  <c r="K808" i="15"/>
  <c r="H854" i="15"/>
  <c r="H900" i="15" s="1"/>
  <c r="H853" i="15"/>
  <c r="H810" i="15"/>
  <c r="K162" i="16"/>
  <c r="E845" i="15"/>
  <c r="E846" i="15" s="1"/>
  <c r="K854" i="15"/>
  <c r="E799" i="15"/>
  <c r="E800" i="15" s="1"/>
  <c r="K807" i="15"/>
  <c r="K810" i="15" s="1"/>
  <c r="E753" i="15"/>
  <c r="E754" i="15" s="1"/>
  <c r="K762" i="15"/>
  <c r="K764" i="15" s="1"/>
  <c r="H718" i="15"/>
  <c r="E707" i="15"/>
  <c r="E708" i="15" s="1"/>
  <c r="K716" i="15"/>
  <c r="K718" i="15" s="1"/>
  <c r="E661" i="15"/>
  <c r="E662" i="15" s="1"/>
  <c r="K670" i="15"/>
  <c r="K672" i="15" s="1"/>
  <c r="E615" i="15"/>
  <c r="E616" i="15" s="1"/>
  <c r="K625" i="15"/>
  <c r="K626" i="15" s="1"/>
  <c r="E569" i="15"/>
  <c r="E570" i="15" s="1"/>
  <c r="K577" i="15"/>
  <c r="K580" i="15" s="1"/>
  <c r="E523" i="15"/>
  <c r="E524" i="15" s="1"/>
  <c r="K530" i="15"/>
  <c r="K534" i="15" s="1"/>
  <c r="H484" i="15"/>
  <c r="E493" i="15"/>
  <c r="J488" i="15"/>
  <c r="E490" i="15" s="1"/>
  <c r="E495" i="15" s="1"/>
  <c r="E496" i="15" s="1"/>
  <c r="G488" i="15"/>
  <c r="H487" i="15"/>
  <c r="K487" i="15" s="1"/>
  <c r="H486" i="15"/>
  <c r="H488" i="15" s="1"/>
  <c r="H485" i="15"/>
  <c r="K485" i="15" s="1"/>
  <c r="K484" i="15"/>
  <c r="K212" i="17" l="1"/>
  <c r="K257" i="17"/>
  <c r="H303" i="17"/>
  <c r="K256" i="17"/>
  <c r="H302" i="17"/>
  <c r="K255" i="17"/>
  <c r="H301" i="17"/>
  <c r="K254" i="17"/>
  <c r="H258" i="17"/>
  <c r="H300" i="17"/>
  <c r="K165" i="16"/>
  <c r="H211" i="16"/>
  <c r="K900" i="15"/>
  <c r="H26" i="16"/>
  <c r="H899" i="15"/>
  <c r="H856" i="15"/>
  <c r="K853" i="15"/>
  <c r="K856" i="15" s="1"/>
  <c r="K208" i="16"/>
  <c r="E477" i="15"/>
  <c r="E478" i="15" s="1"/>
  <c r="K486" i="15"/>
  <c r="K488" i="15" s="1"/>
  <c r="E447" i="15"/>
  <c r="J442" i="15"/>
  <c r="E444" i="15" s="1"/>
  <c r="E449" i="15" s="1"/>
  <c r="E450" i="15" s="1"/>
  <c r="G442" i="15"/>
  <c r="H441" i="15"/>
  <c r="K441" i="15" s="1"/>
  <c r="H440" i="15"/>
  <c r="H442" i="15" s="1"/>
  <c r="H439" i="15"/>
  <c r="K439" i="15" s="1"/>
  <c r="H438" i="15"/>
  <c r="K438" i="15" s="1"/>
  <c r="H392" i="15"/>
  <c r="E401" i="15"/>
  <c r="J396" i="15"/>
  <c r="E398" i="15" s="1"/>
  <c r="E403" i="15" s="1"/>
  <c r="E404" i="15" s="1"/>
  <c r="G396" i="15"/>
  <c r="H395" i="15"/>
  <c r="K395" i="15" s="1"/>
  <c r="H394" i="15"/>
  <c r="K394" i="15" s="1"/>
  <c r="H393" i="15"/>
  <c r="H396" i="15" s="1"/>
  <c r="K392" i="15"/>
  <c r="H346" i="15"/>
  <c r="E355" i="15"/>
  <c r="J350" i="15"/>
  <c r="E352" i="15" s="1"/>
  <c r="E357" i="15" s="1"/>
  <c r="E358" i="15" s="1"/>
  <c r="G350" i="15"/>
  <c r="H349" i="15"/>
  <c r="H350" i="15" s="1"/>
  <c r="K348" i="15"/>
  <c r="H348" i="15"/>
  <c r="H347" i="15"/>
  <c r="K347" i="15" s="1"/>
  <c r="K346" i="15"/>
  <c r="H300" i="15"/>
  <c r="E309" i="15"/>
  <c r="J304" i="15"/>
  <c r="E306" i="15" s="1"/>
  <c r="E311" i="15" s="1"/>
  <c r="E312" i="15" s="1"/>
  <c r="G304" i="15"/>
  <c r="H303" i="15"/>
  <c r="K303" i="15" s="1"/>
  <c r="H302" i="15"/>
  <c r="H304" i="15" s="1"/>
  <c r="H301" i="15"/>
  <c r="K301" i="15" s="1"/>
  <c r="K300" i="15"/>
  <c r="H255" i="15"/>
  <c r="H258" i="15" s="1"/>
  <c r="H256" i="15"/>
  <c r="K256" i="15" s="1"/>
  <c r="H257" i="15"/>
  <c r="K257" i="15" s="1"/>
  <c r="H209" i="15"/>
  <c r="K209" i="15" s="1"/>
  <c r="H210" i="15"/>
  <c r="K210" i="15" s="1"/>
  <c r="H211" i="15"/>
  <c r="K211" i="15" s="1"/>
  <c r="E263" i="15"/>
  <c r="J258" i="15"/>
  <c r="E247" i="15" s="1"/>
  <c r="E248" i="15" s="1"/>
  <c r="G258" i="15"/>
  <c r="K255" i="15"/>
  <c r="K254" i="15"/>
  <c r="H254" i="15"/>
  <c r="H208" i="15"/>
  <c r="E217" i="15"/>
  <c r="J212" i="15"/>
  <c r="E201" i="15" s="1"/>
  <c r="E202" i="15" s="1"/>
  <c r="H212" i="15"/>
  <c r="G212" i="15"/>
  <c r="K208" i="15"/>
  <c r="H162" i="15"/>
  <c r="E171" i="15"/>
  <c r="J166" i="15"/>
  <c r="E155" i="15" s="1"/>
  <c r="E156" i="15" s="1"/>
  <c r="H166" i="15"/>
  <c r="G166" i="15"/>
  <c r="K165" i="15"/>
  <c r="K164" i="15"/>
  <c r="K163" i="15"/>
  <c r="K162" i="15"/>
  <c r="K166" i="15" s="1"/>
  <c r="H116" i="15"/>
  <c r="E125" i="15"/>
  <c r="J120" i="15"/>
  <c r="E109" i="15" s="1"/>
  <c r="E110" i="15" s="1"/>
  <c r="H120" i="15"/>
  <c r="G120" i="15"/>
  <c r="K119" i="15"/>
  <c r="K118" i="15"/>
  <c r="K117" i="15"/>
  <c r="K116" i="15"/>
  <c r="K120" i="15" s="1"/>
  <c r="H70" i="15"/>
  <c r="E79" i="15"/>
  <c r="J74" i="15"/>
  <c r="E63" i="15" s="1"/>
  <c r="E64" i="15" s="1"/>
  <c r="H74" i="15"/>
  <c r="G74" i="15"/>
  <c r="K73" i="15"/>
  <c r="K72" i="15"/>
  <c r="K71" i="15"/>
  <c r="K70" i="15"/>
  <c r="K74" i="15" s="1"/>
  <c r="E33" i="15"/>
  <c r="J28" i="15"/>
  <c r="E17" i="15" s="1"/>
  <c r="E18" i="15" s="1"/>
  <c r="G28" i="15"/>
  <c r="K258" i="17" l="1"/>
  <c r="K303" i="17"/>
  <c r="H349" i="17"/>
  <c r="K302" i="17"/>
  <c r="H348" i="17"/>
  <c r="K301" i="17"/>
  <c r="H347" i="17"/>
  <c r="K300" i="17"/>
  <c r="H304" i="17"/>
  <c r="H346" i="17"/>
  <c r="K211" i="16"/>
  <c r="H257" i="16"/>
  <c r="H72" i="16"/>
  <c r="K26" i="16"/>
  <c r="H25" i="16"/>
  <c r="H902" i="15"/>
  <c r="K899" i="15"/>
  <c r="K902" i="15" s="1"/>
  <c r="K254" i="16"/>
  <c r="H300" i="16"/>
  <c r="H346" i="16" s="1"/>
  <c r="H392" i="16" s="1"/>
  <c r="E431" i="15"/>
  <c r="E432" i="15" s="1"/>
  <c r="K440" i="15"/>
  <c r="K442" i="15" s="1"/>
  <c r="E385" i="15"/>
  <c r="E386" i="15" s="1"/>
  <c r="K393" i="15"/>
  <c r="K396" i="15" s="1"/>
  <c r="E339" i="15"/>
  <c r="E340" i="15" s="1"/>
  <c r="K349" i="15"/>
  <c r="K350" i="15" s="1"/>
  <c r="E293" i="15"/>
  <c r="E294" i="15" s="1"/>
  <c r="K302" i="15"/>
  <c r="K304" i="15" s="1"/>
  <c r="K258" i="15"/>
  <c r="K212" i="15"/>
  <c r="E260" i="15"/>
  <c r="E265" i="15" s="1"/>
  <c r="E266" i="15" s="1"/>
  <c r="E214" i="15"/>
  <c r="E219" i="15" s="1"/>
  <c r="E220" i="15" s="1"/>
  <c r="E168" i="15"/>
  <c r="E173" i="15" s="1"/>
  <c r="E174" i="15" s="1"/>
  <c r="E122" i="15"/>
  <c r="E127" i="15" s="1"/>
  <c r="E128" i="15" s="1"/>
  <c r="E76" i="15"/>
  <c r="E81" i="15" s="1"/>
  <c r="E82" i="15" s="1"/>
  <c r="K25" i="15"/>
  <c r="K24" i="15"/>
  <c r="K26" i="15"/>
  <c r="K27" i="15"/>
  <c r="H28" i="15"/>
  <c r="E30" i="15"/>
  <c r="E35" i="15" s="1"/>
  <c r="E36" i="15" s="1"/>
  <c r="K304" i="17" l="1"/>
  <c r="K349" i="17"/>
  <c r="H395" i="17"/>
  <c r="K348" i="17"/>
  <c r="H394" i="17"/>
  <c r="K347" i="17"/>
  <c r="H393" i="17"/>
  <c r="K346" i="17"/>
  <c r="H350" i="17"/>
  <c r="H392" i="17"/>
  <c r="H303" i="16"/>
  <c r="K257" i="16"/>
  <c r="K72" i="16"/>
  <c r="H118" i="16"/>
  <c r="K25" i="16"/>
  <c r="K28" i="16" s="1"/>
  <c r="H71" i="16"/>
  <c r="H28" i="16"/>
  <c r="K300" i="16"/>
  <c r="K28" i="15"/>
  <c r="K350" i="17" l="1"/>
  <c r="K395" i="17"/>
  <c r="H441" i="17"/>
  <c r="K394" i="17"/>
  <c r="H440" i="17"/>
  <c r="K393" i="17"/>
  <c r="H439" i="17"/>
  <c r="K392" i="17"/>
  <c r="H396" i="17"/>
  <c r="H438" i="17"/>
  <c r="K303" i="16"/>
  <c r="H349" i="16"/>
  <c r="K118" i="16"/>
  <c r="H164" i="16"/>
  <c r="H74" i="16"/>
  <c r="K71" i="16"/>
  <c r="K74" i="16" s="1"/>
  <c r="H117" i="16"/>
  <c r="K346" i="16"/>
  <c r="K396" i="17" l="1"/>
  <c r="K441" i="17"/>
  <c r="H487" i="17"/>
  <c r="K440" i="17"/>
  <c r="H486" i="17"/>
  <c r="K439" i="17"/>
  <c r="H485" i="17"/>
  <c r="K438" i="17"/>
  <c r="H442" i="17"/>
  <c r="H484" i="17"/>
  <c r="K349" i="16"/>
  <c r="H395" i="16"/>
  <c r="K164" i="16"/>
  <c r="H210" i="16"/>
  <c r="H120" i="16"/>
  <c r="K117" i="16"/>
  <c r="K120" i="16" s="1"/>
  <c r="H163" i="16"/>
  <c r="K392" i="16"/>
  <c r="H438" i="16"/>
  <c r="K442" i="17" l="1"/>
  <c r="K487" i="17"/>
  <c r="H533" i="17"/>
  <c r="K486" i="17"/>
  <c r="H532" i="17"/>
  <c r="K485" i="17"/>
  <c r="H531" i="17"/>
  <c r="K484" i="17"/>
  <c r="H488" i="17"/>
  <c r="H530" i="17"/>
  <c r="K395" i="16"/>
  <c r="H441" i="16"/>
  <c r="K210" i="16"/>
  <c r="H256" i="16"/>
  <c r="H166" i="16"/>
  <c r="K163" i="16"/>
  <c r="K166" i="16" s="1"/>
  <c r="H209" i="16"/>
  <c r="K438" i="16"/>
  <c r="H484" i="16"/>
  <c r="H530" i="16" s="1"/>
  <c r="H576" i="16" s="1"/>
  <c r="H622" i="16" s="1"/>
  <c r="H668" i="16" s="1"/>
  <c r="K533" i="17" l="1"/>
  <c r="H579" i="17"/>
  <c r="K532" i="17"/>
  <c r="H578" i="17"/>
  <c r="K531" i="17"/>
  <c r="H577" i="17"/>
  <c r="K530" i="17"/>
  <c r="H534" i="17"/>
  <c r="H576" i="17"/>
  <c r="K488" i="17"/>
  <c r="K441" i="16"/>
  <c r="H487" i="16"/>
  <c r="K256" i="16"/>
  <c r="H302" i="16"/>
  <c r="H212" i="16"/>
  <c r="K209" i="16"/>
  <c r="K212" i="16" s="1"/>
  <c r="H255" i="16"/>
  <c r="K484" i="16"/>
  <c r="K534" i="17" l="1"/>
  <c r="K579" i="17"/>
  <c r="H625" i="17"/>
  <c r="K578" i="17"/>
  <c r="H624" i="17"/>
  <c r="K577" i="17"/>
  <c r="H623" i="17"/>
  <c r="K576" i="17"/>
  <c r="H580" i="17"/>
  <c r="H622" i="17"/>
  <c r="H533" i="16"/>
  <c r="K487" i="16"/>
  <c r="H348" i="16"/>
  <c r="K302" i="16"/>
  <c r="H258" i="16"/>
  <c r="K255" i="16"/>
  <c r="K258" i="16" s="1"/>
  <c r="H301" i="16"/>
  <c r="K530" i="16"/>
  <c r="K580" i="17" l="1"/>
  <c r="K625" i="17"/>
  <c r="H671" i="17"/>
  <c r="K624" i="17"/>
  <c r="H670" i="17"/>
  <c r="K623" i="17"/>
  <c r="H669" i="17"/>
  <c r="K622" i="17"/>
  <c r="H626" i="17"/>
  <c r="H668" i="17"/>
  <c r="K533" i="16"/>
  <c r="H579" i="16"/>
  <c r="K348" i="16"/>
  <c r="H394" i="16"/>
  <c r="H304" i="16"/>
  <c r="H347" i="16"/>
  <c r="K301" i="16"/>
  <c r="K304" i="16" s="1"/>
  <c r="K576" i="16"/>
  <c r="K626" i="17" l="1"/>
  <c r="K671" i="17"/>
  <c r="H717" i="17"/>
  <c r="K670" i="17"/>
  <c r="H716" i="17"/>
  <c r="K669" i="17"/>
  <c r="H715" i="17"/>
  <c r="K668" i="17"/>
  <c r="K672" i="17" s="1"/>
  <c r="H672" i="17"/>
  <c r="H714" i="17"/>
  <c r="H625" i="16"/>
  <c r="K579" i="16"/>
  <c r="H440" i="16"/>
  <c r="K394" i="16"/>
  <c r="H350" i="16"/>
  <c r="K347" i="16"/>
  <c r="K350" i="16" s="1"/>
  <c r="H393" i="16"/>
  <c r="K622" i="16"/>
  <c r="K717" i="17" l="1"/>
  <c r="H763" i="17"/>
  <c r="K716" i="17"/>
  <c r="H762" i="17"/>
  <c r="K715" i="17"/>
  <c r="H761" i="17"/>
  <c r="K714" i="17"/>
  <c r="H718" i="17"/>
  <c r="H760" i="17"/>
  <c r="K625" i="16"/>
  <c r="H671" i="16"/>
  <c r="K440" i="16"/>
  <c r="H486" i="16"/>
  <c r="H396" i="16"/>
  <c r="H439" i="16"/>
  <c r="K393" i="16"/>
  <c r="K396" i="16" s="1"/>
  <c r="H714" i="16"/>
  <c r="K668" i="16"/>
  <c r="K763" i="17" l="1"/>
  <c r="H809" i="17"/>
  <c r="K762" i="17"/>
  <c r="H808" i="17"/>
  <c r="K761" i="17"/>
  <c r="H807" i="17"/>
  <c r="K760" i="17"/>
  <c r="H764" i="17"/>
  <c r="H806" i="17"/>
  <c r="K718" i="17"/>
  <c r="K671" i="16"/>
  <c r="H717" i="16"/>
  <c r="K486" i="16"/>
  <c r="H532" i="16"/>
  <c r="H442" i="16"/>
  <c r="H485" i="16"/>
  <c r="K439" i="16"/>
  <c r="K442" i="16" s="1"/>
  <c r="K714" i="16"/>
  <c r="H760" i="16"/>
  <c r="H806" i="16" s="1"/>
  <c r="H855" i="17" l="1"/>
  <c r="K809" i="17"/>
  <c r="K808" i="17"/>
  <c r="H854" i="17"/>
  <c r="K807" i="17"/>
  <c r="H853" i="17"/>
  <c r="H852" i="17"/>
  <c r="K806" i="17"/>
  <c r="H810" i="17"/>
  <c r="K764" i="17"/>
  <c r="K717" i="16"/>
  <c r="H763" i="16"/>
  <c r="H578" i="16"/>
  <c r="K532" i="16"/>
  <c r="H488" i="16"/>
  <c r="H531" i="16"/>
  <c r="K485" i="16"/>
  <c r="K488" i="16" s="1"/>
  <c r="K760" i="16"/>
  <c r="K855" i="17" l="1"/>
  <c r="H901" i="17"/>
  <c r="H900" i="17"/>
  <c r="K854" i="17"/>
  <c r="K853" i="17"/>
  <c r="H899" i="17"/>
  <c r="K852" i="17"/>
  <c r="H856" i="17"/>
  <c r="H898" i="17"/>
  <c r="K810" i="17"/>
  <c r="H809" i="16"/>
  <c r="K763" i="16"/>
  <c r="K578" i="16"/>
  <c r="H624" i="16"/>
  <c r="H534" i="16"/>
  <c r="K531" i="16"/>
  <c r="K534" i="16" s="1"/>
  <c r="H577" i="16"/>
  <c r="K806" i="16"/>
  <c r="H852" i="16"/>
  <c r="K901" i="17" l="1"/>
  <c r="H947" i="17"/>
  <c r="K900" i="17"/>
  <c r="H946" i="17"/>
  <c r="K899" i="17"/>
  <c r="H945" i="17"/>
  <c r="H902" i="17"/>
  <c r="H944" i="17"/>
  <c r="K898" i="17"/>
  <c r="K856" i="17"/>
  <c r="K809" i="16"/>
  <c r="H855" i="16"/>
  <c r="H670" i="16"/>
  <c r="K624" i="16"/>
  <c r="H580" i="16"/>
  <c r="K577" i="16"/>
  <c r="K580" i="16" s="1"/>
  <c r="H623" i="16"/>
  <c r="H898" i="16"/>
  <c r="H944" i="16" s="1"/>
  <c r="K944" i="16" s="1"/>
  <c r="K852" i="16"/>
  <c r="K902" i="17" l="1"/>
  <c r="K947" i="17"/>
  <c r="H993" i="17"/>
  <c r="K946" i="17"/>
  <c r="H992" i="17"/>
  <c r="K945" i="17"/>
  <c r="H991" i="17"/>
  <c r="K944" i="17"/>
  <c r="H948" i="17"/>
  <c r="H990" i="17"/>
  <c r="H901" i="16"/>
  <c r="K855" i="16"/>
  <c r="K670" i="16"/>
  <c r="H716" i="16"/>
  <c r="H626" i="16"/>
  <c r="K623" i="16"/>
  <c r="K626" i="16" s="1"/>
  <c r="H669" i="16"/>
  <c r="K898" i="16"/>
  <c r="K948" i="17" l="1"/>
  <c r="K993" i="17"/>
  <c r="H1039" i="17"/>
  <c r="K992" i="17"/>
  <c r="H1038" i="17"/>
  <c r="K991" i="17"/>
  <c r="H1037" i="17"/>
  <c r="K990" i="17"/>
  <c r="H994" i="17"/>
  <c r="H1036" i="17"/>
  <c r="H947" i="16"/>
  <c r="K947" i="16" s="1"/>
  <c r="K901" i="16"/>
  <c r="K716" i="16"/>
  <c r="H762" i="16"/>
  <c r="H672" i="16"/>
  <c r="H715" i="16"/>
  <c r="K669" i="16"/>
  <c r="K672" i="16" s="1"/>
  <c r="K994" i="17" l="1"/>
  <c r="K1039" i="17"/>
  <c r="H1085" i="17"/>
  <c r="K1085" i="17" s="1"/>
  <c r="K1038" i="17"/>
  <c r="H1084" i="17"/>
  <c r="K1084" i="17" s="1"/>
  <c r="K1037" i="17"/>
  <c r="H1083" i="17"/>
  <c r="K1083" i="17" s="1"/>
  <c r="K1036" i="17"/>
  <c r="H1040" i="17"/>
  <c r="H1082" i="17"/>
  <c r="H808" i="16"/>
  <c r="K762" i="16"/>
  <c r="H718" i="16"/>
  <c r="K715" i="16"/>
  <c r="K718" i="16" s="1"/>
  <c r="H761" i="16"/>
  <c r="K1040" i="17" l="1"/>
  <c r="K1082" i="17"/>
  <c r="K1086" i="17" s="1"/>
  <c r="H1086" i="17"/>
  <c r="K808" i="16"/>
  <c r="H854" i="16"/>
  <c r="H764" i="16"/>
  <c r="H807" i="16"/>
  <c r="K761" i="16"/>
  <c r="K764" i="16" s="1"/>
  <c r="H900" i="16" l="1"/>
  <c r="K854" i="16"/>
  <c r="H810" i="16"/>
  <c r="H853" i="16"/>
  <c r="K807" i="16"/>
  <c r="K810" i="16" s="1"/>
  <c r="H946" i="16" l="1"/>
  <c r="K900" i="16"/>
  <c r="H856" i="16"/>
  <c r="H899" i="16"/>
  <c r="K853" i="16"/>
  <c r="K856" i="16" s="1"/>
  <c r="K946" i="16" l="1"/>
  <c r="H902" i="16"/>
  <c r="H945" i="16"/>
  <c r="K899" i="16"/>
  <c r="K902" i="16" s="1"/>
  <c r="H948" i="16" l="1"/>
  <c r="K945" i="16"/>
  <c r="K948" i="16" s="1"/>
  <c r="K992" i="16" l="1"/>
  <c r="H1038" i="16"/>
  <c r="K1038" i="16" s="1"/>
  <c r="H1037" i="16"/>
  <c r="K1037" i="16" l="1"/>
  <c r="K1040" i="16" s="1"/>
  <c r="H1040" i="16"/>
  <c r="H994" i="16"/>
  <c r="K991" i="16"/>
  <c r="K994" i="16" s="1"/>
</calcChain>
</file>

<file path=xl/sharedStrings.xml><?xml version="1.0" encoding="utf-8"?>
<sst xmlns="http://schemas.openxmlformats.org/spreadsheetml/2006/main" count="3810" uniqueCount="121">
  <si>
    <t>NOTA PENCIRAN DANA (NPD)</t>
  </si>
  <si>
    <t>BENDAHARA PENGELUARAN</t>
  </si>
  <si>
    <t>Supaya Mencairkan Dana</t>
  </si>
  <si>
    <t xml:space="preserve">1. Sub Kegiatan                                                       </t>
  </si>
  <si>
    <t>:</t>
  </si>
  <si>
    <t>Beban Umum &amp; Keuangan</t>
  </si>
  <si>
    <t xml:space="preserve">2. Nomor                                                          </t>
  </si>
  <si>
    <t>2.1.4</t>
  </si>
  <si>
    <t xml:space="preserve">3. Tahun Anggaran                                           </t>
  </si>
  <si>
    <t xml:space="preserve">4. Jumlah Yang Diminta                                    </t>
  </si>
  <si>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</si>
  <si>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</si>
  <si>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</si>
  <si>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</si>
  <si>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Kode</t>
  </si>
  <si>
    <t>Uraian</t>
  </si>
  <si>
    <t>Anggaran</t>
  </si>
  <si>
    <t>Pencairan Saat ini</t>
  </si>
  <si>
    <t>Sisa Anggaran</t>
  </si>
  <si>
    <t>---------------</t>
  </si>
  <si>
    <t>1.1</t>
  </si>
  <si>
    <t>1.2</t>
  </si>
  <si>
    <t>1.3</t>
  </si>
  <si>
    <t>Beban Konsumsi Rapat dan Tamu</t>
  </si>
  <si>
    <t>Makan Minum Rapat</t>
  </si>
  <si>
    <t>JUMLAH</t>
  </si>
  <si>
    <t xml:space="preserve">Jumlah  Yang Diminta          </t>
  </si>
  <si>
    <t xml:space="preserve">PPN                                                </t>
  </si>
  <si>
    <t xml:space="preserve">PPh Psl 21/22/23/4(2)                    </t>
  </si>
  <si>
    <t xml:space="preserve">Jumlah Potongan                 </t>
  </si>
  <si>
    <t xml:space="preserve">Jumlah yang dibayarkan        </t>
  </si>
  <si>
    <t>MENGETAHUI</t>
  </si>
  <si>
    <t>YANG MEMBUAT</t>
  </si>
  <si>
    <t xml:space="preserve">                                  </t>
  </si>
  <si>
    <t>M. ZULKIFLI</t>
  </si>
  <si>
    <t>Akumulasi Pencairan dana Bulan Januari s/d Desember</t>
  </si>
  <si>
    <t>1.4</t>
  </si>
  <si>
    <t>IRNA WAHYUNI N.</t>
  </si>
  <si>
    <t>PERUMDA PASAR BANJARMASIN</t>
  </si>
  <si>
    <t>Makan Minum Kunjungan Tamu/Sosialisasi Pedagang (Termasuk Loket)</t>
  </si>
  <si>
    <t>Makan Minum Aktifitas Lapangan</t>
  </si>
  <si>
    <t>Makan Minum Kegiatan Kantor</t>
  </si>
  <si>
    <r>
      <t>Nomor : 08/DIV-KEU/PPB/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</si>
  <si>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05 Januari 2026</t>
  </si>
  <si>
    <r>
      <t>Nomor : 12/DIV-KEU/PPB/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</si>
  <si>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06 Januari 2026</t>
  </si>
  <si>
    <r>
      <t>Nomor : 13/DIV-KEU/PPB/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</si>
  <si>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07 Januari 2026</t>
  </si>
  <si>
    <r>
      <t>Nomor : 27/DIV-KEU/PPB/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</si>
  <si>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12 Januari 2026</t>
  </si>
  <si>
    <r>
      <t>Nomor : 40/DIV-KEU/PPB/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</si>
  <si>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13 Januari 2026</t>
  </si>
  <si>
    <r>
      <t>Nomor : 51/DIV-KEU/PPB/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</si>
  <si>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14 Januari 2026</t>
  </si>
  <si>
    <r>
      <t>Nomor : 52/DIV-KEU/PPB/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</si>
  <si>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56/DIV-KEU/PPB/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</si>
  <si>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57/DIV-KEU/PPB/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</si>
  <si>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15 Januari 2026</t>
  </si>
  <si>
    <r>
      <t>Nomor : 62/DIV-KEU/PPB/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</si>
  <si>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19 Januari 2026</t>
  </si>
  <si>
    <r>
      <t>Nomor : 65/DIV-KEU/PPB/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</si>
  <si>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20 Januari 2026</t>
  </si>
  <si>
    <r>
      <t>Nomor : 66/DIV-KEU/PPB/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</si>
  <si>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22 Januari 2026</t>
  </si>
  <si>
    <r>
      <t>Nomor : 77/DIV-KEU/PPB/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</si>
  <si>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23 Januari 2026</t>
  </si>
  <si>
    <r>
      <t>Nomor : 78/DIV-KEU/PPB/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</si>
  <si>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82/DIV-KEU/PPB/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</si>
  <si>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27 Januari 2026</t>
  </si>
  <si>
    <r>
      <t>Nomor : 83/DIV-KEU/PPB/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</si>
  <si>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85/DIV-KEU/PPB/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</si>
  <si>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86/DIV-KEU/PPB/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</si>
  <si>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88/DIV-KEU/PPB/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</si>
  <si>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96/DIV-KEU/PPB/I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</si>
  <si>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02 Februari 2026</t>
  </si>
  <si>
    <r>
      <t>Nomor : 97/DIV-KEU/PPB/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</si>
  <si>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r>
      <t>Nomor : 98/DIV-KEU/PPB/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</si>
  <si>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r>
      <t>Nomor : 23/DIV-KEU/PPB/I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</si>
  <si>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04 Februari 2026</t>
  </si>
  <si>
    <t>Banjarmasin, 05 Februari 2026</t>
  </si>
  <si>
    <r>
      <t>Nomor : 025/DIV-KEU/PPB/I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</si>
  <si>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27/DIV-KEU/PPB/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</si>
  <si>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t>Banjarmasin, 06 Februari 2026</t>
  </si>
  <si>
    <r>
      <t>Nomor : 28/DIV-KEU/PPB/I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</si>
  <si>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35/DIV-KEU/PPB/I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</si>
  <si>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41/DIV-KEU/PPB/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</si>
  <si>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t>Banjarmasin, 09 Februari 2026</t>
  </si>
  <si>
    <r>
      <t>Nomor : 40/DIV-KEU/PPB/I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</si>
  <si>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37/DIV-KEU/PPB/I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</si>
  <si>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 xml:space="preserve">                                           </t>
  </si>
  <si>
    <r>
      <t>Nomor : 46/DIV-KEU/PPB/I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</si>
  <si>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053/DIV-KEU/PPB/I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</si>
  <si>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11 Februari 2026</t>
  </si>
  <si>
    <r>
      <t>Nomor : 58/DIV-KEU/PPB/I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</si>
  <si>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059/DIV-KEU/PPB/I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</si>
  <si>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062/DIV-KEU/PPB/I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</si>
  <si>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12 Februari 2026</t>
  </si>
  <si>
    <t>Banjarmasin, 18 Februari 2026</t>
  </si>
  <si>
    <r>
      <t>Nomor : 67/DIV-KEU/PPB/I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</si>
  <si>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073/DIV-KEU/PPB/I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</si>
  <si>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072/DIV-KEU/PPB/I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</si>
  <si>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075/DIV-KEU/PPB/I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</si>
  <si>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077/DIV-KEU/PPB/I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</si>
  <si>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19 Februari 2026</t>
  </si>
  <si>
    <r>
      <t>Nomor : 079/DIV-KEU/PPB/I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</si>
  <si>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14 Februari 2026</t>
  </si>
  <si>
    <r>
      <t>Nomor : 063/DIV-KEU/PPB/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</si>
  <si>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080/DIV-KEU/PPB/I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</si>
  <si>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20 Februari 2026</t>
  </si>
  <si>
    <r>
      <t>Nomor : 095/DIV-KEU/PPB/I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</si>
  <si>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25 Februari 2026</t>
  </si>
  <si>
    <r>
      <t>Nomor : 038/DIV-KEU/PPB/II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</si>
  <si>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17 Maret 2026</t>
  </si>
  <si>
    <r>
      <t>Nomor : 041/DIV-KEU/PPB/I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</si>
  <si>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t>Banjarmasin, 25 Maret 2026</t>
  </si>
  <si>
    <r>
      <t>Nomor : 043/DIV-KEU/PPB/I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</si>
  <si>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r>
      <t>Nomor : 051/DIV-KEU/PPB/II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</si>
  <si>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26 Maret 2026</t>
  </si>
  <si>
    <r>
      <t>Nomor : 059/DIV-KEU/PPB/II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</si>
  <si>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27 Maret 2026</t>
  </si>
  <si>
    <r>
      <t>Nomor : 062/DIV-KEU/PPB/</t>
    </r>
    <r>
      <rPr>
        <sz val="11"/>
        <rFont val="Times New Roman"/>
        <family val="1"/>
      </rPr>
      <t>III</t>
    </r>
    <r>
      <rPr>
        <sz val="11"/>
        <color theme="1"/>
        <rFont val="Times New Roman"/>
        <family val="1"/>
      </rPr>
      <t>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</si>
</sst>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* #,##0.00_);_(* \(#,##0.00\);_(* &quot;-&quot;??_);_(@_)"/>
    <numFmt numFmtId="165" formatCode="_(* #,##0_);_(* \(#,##0\);_(* &quot;-&quot;_);_(@_)"/>
    <numFmt numFmtId="166" formatCode="_(&quot;Rp&quot;* #,##0_);_(&quot;Rp&quot;* \(#,##0\);_(&quot;Rp&quot;* &quot;-&quot;_);_(@_)"/>
    <numFmt numFmtId="167" formatCode="_(* #,##0_);_(* \(#,##0\);_(* &quot;-&quot;??_);_(@_)"/>
    <numFmt numFmtId="168" formatCode="_-[$Rp-421]* #,##0_-;\-[$Rp-421]* #,##0_-;_-[$Rp-421]* &quot;-&quot;_-;_-@_-"/>
  </numFmts>
  <fonts count="16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1"/>
      <color indexed="8"/>
      <name val="Times New Roman"/>
      <family val="1"/>
    </font>
    <font>
      <sz val="11"/>
      <color theme="1"/>
      <name val="Times New Roman"/>
      <family val="1"/>
    </font>
    <font>
      <sz val="8"/>
      <color theme="1"/>
      <name val="Calibri"/>
      <family val="2"/>
      <scheme val="minor"/>
    </font>
    <font>
      <sz val="9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>
      <alignment vertical="top"/>
      <protection locked="0"/>
    </xf>
    <xf numFmtId="166" fontId="12" fillId="0" borderId="0" applyFont="0" applyFill="0" applyBorder="0" applyAlignment="0" applyProtection="0"/>
    <xf numFmtId="0" fontId="14" fillId="0" borderId="0"/>
  </cellStyleXfs>
  <cellXfs count="75">
    <xf numFmtId="0" fontId="0" fillId="0" borderId="0" xfId="0"/>
    <xf numFmtId="164" fontId="0" fillId="0" borderId="0" xfId="1" applyFont="1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1" applyFont="1" applyBorder="1" applyAlignment="1">
      <alignment horizontal="center"/>
    </xf>
    <xf numFmtId="164" fontId="0" fillId="0" borderId="0" xfId="1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164" fontId="4" fillId="0" borderId="0" xfId="1" applyFon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164" fontId="3" fillId="0" borderId="0" xfId="1" applyFont="1" applyBorder="1"/>
    <xf numFmtId="0" fontId="3" fillId="0" borderId="0" xfId="0" applyFont="1" applyAlignment="1">
      <alignment horizontal="left"/>
    </xf>
    <xf numFmtId="42" fontId="3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/>
    <xf numFmtId="0" fontId="3" fillId="0" borderId="2" xfId="4" applyNumberFormat="1" applyFont="1" applyBorder="1" applyAlignment="1">
      <alignment horizontal="left" vertical="center"/>
    </xf>
    <xf numFmtId="0" fontId="3" fillId="0" borderId="3" xfId="4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 wrapText="1"/>
    </xf>
    <xf numFmtId="167" fontId="3" fillId="0" borderId="8" xfId="1" applyNumberFormat="1" applyFont="1" applyBorder="1" applyAlignment="1">
      <alignment horizontal="right" vertical="center"/>
    </xf>
    <xf numFmtId="165" fontId="8" fillId="0" borderId="7" xfId="3" applyFont="1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7" fillId="0" borderId="2" xfId="0" applyFont="1" applyBorder="1" applyAlignment="1">
      <alignment horizontal="center" vertical="center"/>
    </xf>
    <xf numFmtId="0" fontId="7" fillId="0" borderId="6" xfId="0" applyFont="1" applyBorder="1"/>
    <xf numFmtId="0" fontId="9" fillId="0" borderId="0" xfId="0" applyFont="1"/>
    <xf numFmtId="0" fontId="10" fillId="0" borderId="0" xfId="0" applyFont="1"/>
    <xf numFmtId="164" fontId="3" fillId="0" borderId="2" xfId="1" applyFont="1" applyFill="1" applyBorder="1" applyAlignment="1">
      <alignment horizontal="center" vertical="center" wrapText="1"/>
    </xf>
    <xf numFmtId="164" fontId="3" fillId="0" borderId="2" xfId="1" applyFont="1" applyFill="1" applyBorder="1" applyAlignment="1">
      <alignment horizontal="center" vertical="center"/>
    </xf>
    <xf numFmtId="167" fontId="3" fillId="0" borderId="8" xfId="1" applyNumberFormat="1" applyFont="1" applyBorder="1" applyAlignment="1">
      <alignment vertical="center"/>
    </xf>
    <xf numFmtId="0" fontId="3" fillId="0" borderId="2" xfId="0" applyFont="1" applyBorder="1"/>
    <xf numFmtId="0" fontId="3" fillId="0" borderId="3" xfId="0" applyFont="1" applyBorder="1"/>
    <xf numFmtId="168" fontId="3" fillId="0" borderId="5" xfId="2" applyNumberFormat="1" applyFont="1" applyBorder="1"/>
    <xf numFmtId="168" fontId="3" fillId="0" borderId="2" xfId="2" applyNumberFormat="1" applyFont="1" applyBorder="1"/>
    <xf numFmtId="0" fontId="4" fillId="0" borderId="4" xfId="0" applyFont="1" applyBorder="1"/>
    <xf numFmtId="168" fontId="4" fillId="0" borderId="4" xfId="2" applyNumberFormat="1" applyFont="1" applyBorder="1"/>
    <xf numFmtId="168" fontId="3" fillId="0" borderId="0" xfId="0" applyNumberFormat="1" applyFont="1" applyAlignment="1">
      <alignment horizontal="left"/>
    </xf>
    <xf numFmtId="164" fontId="3" fillId="0" borderId="0" xfId="1" applyFont="1" applyBorder="1" applyAlignment="1"/>
    <xf numFmtId="168" fontId="3" fillId="0" borderId="0" xfId="0" applyNumberFormat="1" applyFont="1"/>
    <xf numFmtId="164" fontId="3" fillId="0" borderId="0" xfId="0" applyNumberFormat="1" applyFont="1"/>
    <xf numFmtId="166" fontId="3" fillId="0" borderId="0" xfId="0" applyNumberFormat="1" applyFont="1"/>
    <xf numFmtId="0" fontId="9" fillId="0" borderId="0" xfId="0" applyFont="1" applyAlignment="1">
      <alignment horizontal="left"/>
    </xf>
    <xf numFmtId="164" fontId="9" fillId="0" borderId="0" xfId="1" applyFont="1" applyBorder="1"/>
    <xf numFmtId="0" fontId="3" fillId="0" borderId="0" xfId="1" applyNumberFormat="1" applyFont="1" applyBorder="1"/>
    <xf numFmtId="164" fontId="11" fillId="0" borderId="0" xfId="1" applyFont="1" applyBorder="1" applyAlignment="1">
      <alignment horizontal="left"/>
    </xf>
    <xf numFmtId="0" fontId="11" fillId="0" borderId="0" xfId="0" applyFont="1"/>
    <xf numFmtId="164" fontId="7" fillId="0" borderId="0" xfId="1" applyFont="1" applyBorder="1"/>
    <xf numFmtId="0" fontId="7" fillId="0" borderId="0" xfId="0" applyFont="1"/>
    <xf numFmtId="0" fontId="3" fillId="0" borderId="0" xfId="0" quotePrefix="1" applyFont="1"/>
    <xf numFmtId="0" fontId="3" fillId="0" borderId="0" xfId="0" quotePrefix="1" applyFont="1" applyAlignment="1">
      <alignment horizontal="center" vertical="center"/>
    </xf>
    <xf numFmtId="165" fontId="8" fillId="0" borderId="7" xfId="3" quotePrefix="1" applyFont="1" applyBorder="1" applyAlignment="1" applyProtection="1">
      <alignment horizontal="center"/>
    </xf>
    <xf numFmtId="0" fontId="3" fillId="0" borderId="2" xfId="0" quotePrefix="1" applyFont="1" applyBorder="1" applyAlignment="1">
      <alignment horizontal="center" vertical="center"/>
    </xf>
    <xf numFmtId="167" fontId="3" fillId="0" borderId="8" xfId="1" applyNumberFormat="1" applyFont="1" applyFill="1" applyBorder="1" applyAlignment="1">
      <alignment horizontal="right" vertical="center"/>
    </xf>
    <xf numFmtId="0" fontId="3" fillId="0" borderId="4" xfId="0" applyFont="1" applyBorder="1"/>
    <xf numFmtId="167" fontId="3" fillId="0" borderId="8" xfId="1" applyNumberFormat="1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9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10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6">
    <cellStyle name="Comma" xfId="1" builtinId="3"/>
    <cellStyle name="Comma [0]" xfId="2" builtinId="6"/>
    <cellStyle name="Comma [0] 2 2" xfId="3" xr:uid="{00000000-0005-0000-0000-000031000000}"/>
    <cellStyle name="Currency [0] 7" xfId="4" xr:uid="{00000000-0005-0000-0000-000032000000}"/>
    <cellStyle name="Normal" xfId="0" builtinId="0"/>
    <cellStyle name="Normal 2" xfId="5" xr:uid="{00000000-0005-0000-0000-000033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874</xdr:row>
      <xdr:rowOff>9525</xdr:rowOff>
    </xdr:from>
    <xdr:to>
      <xdr:col>10</xdr:col>
      <xdr:colOff>1162051</xdr:colOff>
      <xdr:row>883</xdr:row>
      <xdr:rowOff>154565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A37D2E71-123E-4165-B334-0A528A7B5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7932717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828</xdr:row>
      <xdr:rowOff>9525</xdr:rowOff>
    </xdr:from>
    <xdr:to>
      <xdr:col>10</xdr:col>
      <xdr:colOff>1162051</xdr:colOff>
      <xdr:row>837</xdr:row>
      <xdr:rowOff>154565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ABC1F619-DA09-4343-9A4E-F02C35E91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6994505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782</xdr:row>
      <xdr:rowOff>9525</xdr:rowOff>
    </xdr:from>
    <xdr:to>
      <xdr:col>10</xdr:col>
      <xdr:colOff>1162051</xdr:colOff>
      <xdr:row>791</xdr:row>
      <xdr:rowOff>154565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9368291A-8AC0-4185-8F33-EF170BD58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6056292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736</xdr:row>
      <xdr:rowOff>9525</xdr:rowOff>
    </xdr:from>
    <xdr:to>
      <xdr:col>10</xdr:col>
      <xdr:colOff>1162051</xdr:colOff>
      <xdr:row>745</xdr:row>
      <xdr:rowOff>154565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AD4C2738-23DF-4A70-9DB4-317F173AB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5118080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690</xdr:row>
      <xdr:rowOff>9525</xdr:rowOff>
    </xdr:from>
    <xdr:to>
      <xdr:col>10</xdr:col>
      <xdr:colOff>1162051</xdr:colOff>
      <xdr:row>699</xdr:row>
      <xdr:rowOff>154565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1DEDE3AA-E50F-4AA6-93A2-718683414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4179867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644</xdr:row>
      <xdr:rowOff>9525</xdr:rowOff>
    </xdr:from>
    <xdr:to>
      <xdr:col>10</xdr:col>
      <xdr:colOff>1162051</xdr:colOff>
      <xdr:row>653</xdr:row>
      <xdr:rowOff>154565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107EC833-4E4A-438A-8E73-F1D80DA9C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3241655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598</xdr:row>
      <xdr:rowOff>9525</xdr:rowOff>
    </xdr:from>
    <xdr:to>
      <xdr:col>10</xdr:col>
      <xdr:colOff>1162051</xdr:colOff>
      <xdr:row>607</xdr:row>
      <xdr:rowOff>154565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1D15866E-7930-4E53-BB2E-04964564D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2303442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552</xdr:row>
      <xdr:rowOff>9525</xdr:rowOff>
    </xdr:from>
    <xdr:to>
      <xdr:col>10</xdr:col>
      <xdr:colOff>1162051</xdr:colOff>
      <xdr:row>561</xdr:row>
      <xdr:rowOff>154565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C72427-BD7A-47FB-A467-CDD70D0C9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1365230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506</xdr:row>
      <xdr:rowOff>9525</xdr:rowOff>
    </xdr:from>
    <xdr:to>
      <xdr:col>10</xdr:col>
      <xdr:colOff>1162051</xdr:colOff>
      <xdr:row>515</xdr:row>
      <xdr:rowOff>154565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F1616C2-F0C0-41CB-8958-4AB44A9DD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0427017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460</xdr:row>
      <xdr:rowOff>9525</xdr:rowOff>
    </xdr:from>
    <xdr:to>
      <xdr:col>10</xdr:col>
      <xdr:colOff>1162051</xdr:colOff>
      <xdr:row>469</xdr:row>
      <xdr:rowOff>154565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426B75D-2253-4D49-89C3-D616B9CE1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9471660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414</xdr:row>
      <xdr:rowOff>9525</xdr:rowOff>
    </xdr:from>
    <xdr:to>
      <xdr:col>10</xdr:col>
      <xdr:colOff>1162051</xdr:colOff>
      <xdr:row>423</xdr:row>
      <xdr:rowOff>154565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81070C0-7415-41A1-90A0-2CDE1755D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8496300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368</xdr:row>
      <xdr:rowOff>9525</xdr:rowOff>
    </xdr:from>
    <xdr:to>
      <xdr:col>10</xdr:col>
      <xdr:colOff>1162051</xdr:colOff>
      <xdr:row>377</xdr:row>
      <xdr:rowOff>154565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2D6C307-B312-450E-902A-EEDC2E2E0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7558087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322</xdr:row>
      <xdr:rowOff>9525</xdr:rowOff>
    </xdr:from>
    <xdr:to>
      <xdr:col>10</xdr:col>
      <xdr:colOff>1162051</xdr:colOff>
      <xdr:row>331</xdr:row>
      <xdr:rowOff>154565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2C99752-D7DA-46BB-A1A6-2746AB0A8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6602730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276</xdr:row>
      <xdr:rowOff>9525</xdr:rowOff>
    </xdr:from>
    <xdr:to>
      <xdr:col>10</xdr:col>
      <xdr:colOff>1162051</xdr:colOff>
      <xdr:row>285</xdr:row>
      <xdr:rowOff>154565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D452F0F-07BC-4216-B5F7-A13E3F957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5664517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230</xdr:row>
      <xdr:rowOff>9525</xdr:rowOff>
    </xdr:from>
    <xdr:to>
      <xdr:col>10</xdr:col>
      <xdr:colOff>1162051</xdr:colOff>
      <xdr:row>239</xdr:row>
      <xdr:rowOff>154565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1D125CF-93B9-4A81-AE58-B5B6AF129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4726305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184</xdr:row>
      <xdr:rowOff>9525</xdr:rowOff>
    </xdr:from>
    <xdr:to>
      <xdr:col>10</xdr:col>
      <xdr:colOff>1162051</xdr:colOff>
      <xdr:row>193</xdr:row>
      <xdr:rowOff>154565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EB4FEFD-3203-4132-A166-528384D68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3771900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138</xdr:row>
      <xdr:rowOff>9525</xdr:rowOff>
    </xdr:from>
    <xdr:to>
      <xdr:col>10</xdr:col>
      <xdr:colOff>1162051</xdr:colOff>
      <xdr:row>147</xdr:row>
      <xdr:rowOff>154565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3A3AF-0A44-41B9-8989-FDB9440F6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2833687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92</xdr:row>
      <xdr:rowOff>9525</xdr:rowOff>
    </xdr:from>
    <xdr:to>
      <xdr:col>10</xdr:col>
      <xdr:colOff>1162051</xdr:colOff>
      <xdr:row>101</xdr:row>
      <xdr:rowOff>154565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90EC396-71A2-409A-9591-7FE3EA8A5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895475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46</xdr:row>
      <xdr:rowOff>9525</xdr:rowOff>
    </xdr:from>
    <xdr:to>
      <xdr:col>10</xdr:col>
      <xdr:colOff>1162051</xdr:colOff>
      <xdr:row>55</xdr:row>
      <xdr:rowOff>154565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560F4C-21DE-4893-AC4F-769FC5065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957262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28574</xdr:colOff>
      <xdr:row>0</xdr:row>
      <xdr:rowOff>9526</xdr:rowOff>
    </xdr:from>
    <xdr:to>
      <xdr:col>10</xdr:col>
      <xdr:colOff>1171575</xdr:colOff>
      <xdr:row>9</xdr:row>
      <xdr:rowOff>154566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34405CF-DD11-4B39-8F47-E62A21556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4" y="9526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6B8D7B77-C9BE-4C86-A05B-96031242D89A}"/>
            </a:ext>
          </a:extLst>
        </xdr:cNvPr>
        <xdr:cNvCxnSpPr/>
      </xdr:nvCxnSpPr>
      <xdr:spPr>
        <a:xfrm>
          <a:off x="19050" y="140970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52</xdr:row>
      <xdr:rowOff>47625</xdr:rowOff>
    </xdr:from>
    <xdr:to>
      <xdr:col>10</xdr:col>
      <xdr:colOff>1162050</xdr:colOff>
      <xdr:row>52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FCE718B-7347-4CA5-AE82-AD04BAEEC512}"/>
            </a:ext>
          </a:extLst>
        </xdr:cNvPr>
        <xdr:cNvCxnSpPr/>
      </xdr:nvCxnSpPr>
      <xdr:spPr>
        <a:xfrm>
          <a:off x="19050" y="120967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98</xdr:row>
      <xdr:rowOff>47625</xdr:rowOff>
    </xdr:from>
    <xdr:to>
      <xdr:col>10</xdr:col>
      <xdr:colOff>1162050</xdr:colOff>
      <xdr:row>98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2878B9A-E0F8-49C3-99E0-171ED365F624}"/>
            </a:ext>
          </a:extLst>
        </xdr:cNvPr>
        <xdr:cNvCxnSpPr/>
      </xdr:nvCxnSpPr>
      <xdr:spPr>
        <a:xfrm>
          <a:off x="19050" y="1077277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144</xdr:row>
      <xdr:rowOff>47625</xdr:rowOff>
    </xdr:from>
    <xdr:to>
      <xdr:col>10</xdr:col>
      <xdr:colOff>1162050</xdr:colOff>
      <xdr:row>144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23501629-7AC7-48FA-BC29-596D4FD91CF7}"/>
            </a:ext>
          </a:extLst>
        </xdr:cNvPr>
        <xdr:cNvCxnSpPr/>
      </xdr:nvCxnSpPr>
      <xdr:spPr>
        <a:xfrm>
          <a:off x="19050" y="2015490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190</xdr:row>
      <xdr:rowOff>47625</xdr:rowOff>
    </xdr:from>
    <xdr:to>
      <xdr:col>10</xdr:col>
      <xdr:colOff>1162050</xdr:colOff>
      <xdr:row>190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84C84AA-BDBF-440D-861C-84364BAF65AB}"/>
            </a:ext>
          </a:extLst>
        </xdr:cNvPr>
        <xdr:cNvCxnSpPr/>
      </xdr:nvCxnSpPr>
      <xdr:spPr>
        <a:xfrm>
          <a:off x="19050" y="2953702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236</xdr:row>
      <xdr:rowOff>47625</xdr:rowOff>
    </xdr:from>
    <xdr:to>
      <xdr:col>10</xdr:col>
      <xdr:colOff>1162050</xdr:colOff>
      <xdr:row>236</xdr:row>
      <xdr:rowOff>47625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6CFB47D2-5118-4E14-8E54-F641F8F0B4FF}"/>
            </a:ext>
          </a:extLst>
        </xdr:cNvPr>
        <xdr:cNvCxnSpPr/>
      </xdr:nvCxnSpPr>
      <xdr:spPr>
        <a:xfrm>
          <a:off x="19050" y="3891915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282</xdr:row>
      <xdr:rowOff>47625</xdr:rowOff>
    </xdr:from>
    <xdr:to>
      <xdr:col>10</xdr:col>
      <xdr:colOff>1162050</xdr:colOff>
      <xdr:row>282</xdr:row>
      <xdr:rowOff>47625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8C48DA68-DCBB-4206-AC01-091D358A56C4}"/>
            </a:ext>
          </a:extLst>
        </xdr:cNvPr>
        <xdr:cNvCxnSpPr/>
      </xdr:nvCxnSpPr>
      <xdr:spPr>
        <a:xfrm>
          <a:off x="19050" y="4846320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328</xdr:row>
      <xdr:rowOff>47625</xdr:rowOff>
    </xdr:from>
    <xdr:to>
      <xdr:col>10</xdr:col>
      <xdr:colOff>1162050</xdr:colOff>
      <xdr:row>328</xdr:row>
      <xdr:rowOff>47625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F0E7342-F7BC-4195-92E6-C4A1C16301A2}"/>
            </a:ext>
          </a:extLst>
        </xdr:cNvPr>
        <xdr:cNvCxnSpPr/>
      </xdr:nvCxnSpPr>
      <xdr:spPr>
        <a:xfrm>
          <a:off x="19050" y="5784532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374</xdr:row>
      <xdr:rowOff>47625</xdr:rowOff>
    </xdr:from>
    <xdr:to>
      <xdr:col>10</xdr:col>
      <xdr:colOff>1162050</xdr:colOff>
      <xdr:row>374</xdr:row>
      <xdr:rowOff>47625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E9972B38-D8D4-4E08-A359-DDD0BF5DC8E2}"/>
            </a:ext>
          </a:extLst>
        </xdr:cNvPr>
        <xdr:cNvCxnSpPr/>
      </xdr:nvCxnSpPr>
      <xdr:spPr>
        <a:xfrm>
          <a:off x="19050" y="6722745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420</xdr:row>
      <xdr:rowOff>47625</xdr:rowOff>
    </xdr:from>
    <xdr:to>
      <xdr:col>10</xdr:col>
      <xdr:colOff>1162050</xdr:colOff>
      <xdr:row>420</xdr:row>
      <xdr:rowOff>47625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FEC67D16-8B9C-4503-9197-84FC8342194F}"/>
            </a:ext>
          </a:extLst>
        </xdr:cNvPr>
        <xdr:cNvCxnSpPr/>
      </xdr:nvCxnSpPr>
      <xdr:spPr>
        <a:xfrm>
          <a:off x="19050" y="7678102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466</xdr:row>
      <xdr:rowOff>47625</xdr:rowOff>
    </xdr:from>
    <xdr:to>
      <xdr:col>10</xdr:col>
      <xdr:colOff>1162050</xdr:colOff>
      <xdr:row>466</xdr:row>
      <xdr:rowOff>47625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FC4605E9-83DA-4C83-8003-5417EEED53D1}"/>
            </a:ext>
          </a:extLst>
        </xdr:cNvPr>
        <xdr:cNvCxnSpPr/>
      </xdr:nvCxnSpPr>
      <xdr:spPr>
        <a:xfrm>
          <a:off x="19050" y="8633460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512</xdr:row>
      <xdr:rowOff>47625</xdr:rowOff>
    </xdr:from>
    <xdr:to>
      <xdr:col>10</xdr:col>
      <xdr:colOff>1162050</xdr:colOff>
      <xdr:row>512</xdr:row>
      <xdr:rowOff>47625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E6940389-7AD1-4760-9FF9-DB5D51D83510}"/>
            </a:ext>
          </a:extLst>
        </xdr:cNvPr>
        <xdr:cNvCxnSpPr/>
      </xdr:nvCxnSpPr>
      <xdr:spPr>
        <a:xfrm>
          <a:off x="19050" y="9591675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558</xdr:row>
      <xdr:rowOff>47625</xdr:rowOff>
    </xdr:from>
    <xdr:to>
      <xdr:col>10</xdr:col>
      <xdr:colOff>1162050</xdr:colOff>
      <xdr:row>558</xdr:row>
      <xdr:rowOff>47625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1F738477-7EAE-423A-B98F-E682542DE394}"/>
            </a:ext>
          </a:extLst>
        </xdr:cNvPr>
        <xdr:cNvCxnSpPr/>
      </xdr:nvCxnSpPr>
      <xdr:spPr>
        <a:xfrm>
          <a:off x="19050" y="10547032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604</xdr:row>
      <xdr:rowOff>47625</xdr:rowOff>
    </xdr:from>
    <xdr:to>
      <xdr:col>10</xdr:col>
      <xdr:colOff>1162050</xdr:colOff>
      <xdr:row>604</xdr:row>
      <xdr:rowOff>47625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E89F8E59-6B69-40A8-9D20-BD88E7284072}"/>
            </a:ext>
          </a:extLst>
        </xdr:cNvPr>
        <xdr:cNvCxnSpPr/>
      </xdr:nvCxnSpPr>
      <xdr:spPr>
        <a:xfrm>
          <a:off x="19050" y="11485245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650</xdr:row>
      <xdr:rowOff>47625</xdr:rowOff>
    </xdr:from>
    <xdr:to>
      <xdr:col>10</xdr:col>
      <xdr:colOff>1162050</xdr:colOff>
      <xdr:row>650</xdr:row>
      <xdr:rowOff>47625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454A2EEC-131F-4D32-A870-39DC4401DC91}"/>
            </a:ext>
          </a:extLst>
        </xdr:cNvPr>
        <xdr:cNvCxnSpPr/>
      </xdr:nvCxnSpPr>
      <xdr:spPr>
        <a:xfrm>
          <a:off x="19050" y="12423457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696</xdr:row>
      <xdr:rowOff>47625</xdr:rowOff>
    </xdr:from>
    <xdr:to>
      <xdr:col>10</xdr:col>
      <xdr:colOff>1162050</xdr:colOff>
      <xdr:row>696</xdr:row>
      <xdr:rowOff>47625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53D89487-8A9C-4AFE-826F-093B1FFABDAF}"/>
            </a:ext>
          </a:extLst>
        </xdr:cNvPr>
        <xdr:cNvCxnSpPr/>
      </xdr:nvCxnSpPr>
      <xdr:spPr>
        <a:xfrm>
          <a:off x="19050" y="13361670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742</xdr:row>
      <xdr:rowOff>47625</xdr:rowOff>
    </xdr:from>
    <xdr:to>
      <xdr:col>10</xdr:col>
      <xdr:colOff>1162050</xdr:colOff>
      <xdr:row>742</xdr:row>
      <xdr:rowOff>47625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3BA23D22-F13E-467F-A239-8B47BF01AD38}"/>
            </a:ext>
          </a:extLst>
        </xdr:cNvPr>
        <xdr:cNvCxnSpPr/>
      </xdr:nvCxnSpPr>
      <xdr:spPr>
        <a:xfrm>
          <a:off x="19050" y="14299882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788</xdr:row>
      <xdr:rowOff>47625</xdr:rowOff>
    </xdr:from>
    <xdr:to>
      <xdr:col>10</xdr:col>
      <xdr:colOff>1162050</xdr:colOff>
      <xdr:row>788</xdr:row>
      <xdr:rowOff>47625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6F7F5C37-412B-4AC7-B861-FEE9759B26C3}"/>
            </a:ext>
          </a:extLst>
        </xdr:cNvPr>
        <xdr:cNvCxnSpPr/>
      </xdr:nvCxnSpPr>
      <xdr:spPr>
        <a:xfrm>
          <a:off x="19050" y="15238095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834</xdr:row>
      <xdr:rowOff>47625</xdr:rowOff>
    </xdr:from>
    <xdr:to>
      <xdr:col>10</xdr:col>
      <xdr:colOff>1162050</xdr:colOff>
      <xdr:row>834</xdr:row>
      <xdr:rowOff>47625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A8038231-19DE-41AA-9633-A3A6756AFB08}"/>
            </a:ext>
          </a:extLst>
        </xdr:cNvPr>
        <xdr:cNvCxnSpPr/>
      </xdr:nvCxnSpPr>
      <xdr:spPr>
        <a:xfrm>
          <a:off x="19050" y="16176307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880</xdr:row>
      <xdr:rowOff>47625</xdr:rowOff>
    </xdr:from>
    <xdr:to>
      <xdr:col>10</xdr:col>
      <xdr:colOff>1162050</xdr:colOff>
      <xdr:row>880</xdr:row>
      <xdr:rowOff>47625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148E1243-6799-44E3-A571-28A498136C2C}"/>
            </a:ext>
          </a:extLst>
        </xdr:cNvPr>
        <xdr:cNvCxnSpPr/>
      </xdr:nvCxnSpPr>
      <xdr:spPr>
        <a:xfrm>
          <a:off x="19050" y="17114520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1058</xdr:row>
      <xdr:rowOff>9525</xdr:rowOff>
    </xdr:from>
    <xdr:to>
      <xdr:col>10</xdr:col>
      <xdr:colOff>1162051</xdr:colOff>
      <xdr:row>1067</xdr:row>
      <xdr:rowOff>154565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467CCE70-62ED-4ECE-8AC1-D917D0A60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21766530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1012</xdr:row>
      <xdr:rowOff>9525</xdr:rowOff>
    </xdr:from>
    <xdr:to>
      <xdr:col>10</xdr:col>
      <xdr:colOff>1162051</xdr:colOff>
      <xdr:row>1021</xdr:row>
      <xdr:rowOff>154565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6EDE59F-7918-4AC3-BF5E-816D443BE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21766530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966</xdr:row>
      <xdr:rowOff>9525</xdr:rowOff>
    </xdr:from>
    <xdr:to>
      <xdr:col>10</xdr:col>
      <xdr:colOff>1162051</xdr:colOff>
      <xdr:row>975</xdr:row>
      <xdr:rowOff>154565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575A4AD4-9214-489A-AF24-0B7601174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20828317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920</xdr:row>
      <xdr:rowOff>9525</xdr:rowOff>
    </xdr:from>
    <xdr:to>
      <xdr:col>10</xdr:col>
      <xdr:colOff>1162051</xdr:colOff>
      <xdr:row>929</xdr:row>
      <xdr:rowOff>154565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78DC2D35-2967-4F14-8A28-6BF9D06BE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8951892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874</xdr:row>
      <xdr:rowOff>9525</xdr:rowOff>
    </xdr:from>
    <xdr:to>
      <xdr:col>10</xdr:col>
      <xdr:colOff>1162051</xdr:colOff>
      <xdr:row>883</xdr:row>
      <xdr:rowOff>154565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B4262C-999E-4ADE-9EB9-56DE7948E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7932717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828</xdr:row>
      <xdr:rowOff>9525</xdr:rowOff>
    </xdr:from>
    <xdr:to>
      <xdr:col>10</xdr:col>
      <xdr:colOff>1162051</xdr:colOff>
      <xdr:row>837</xdr:row>
      <xdr:rowOff>154565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CE578C-D1E5-4E9E-9CC6-9ECB07967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6994505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782</xdr:row>
      <xdr:rowOff>9525</xdr:rowOff>
    </xdr:from>
    <xdr:to>
      <xdr:col>10</xdr:col>
      <xdr:colOff>1162051</xdr:colOff>
      <xdr:row>791</xdr:row>
      <xdr:rowOff>154565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22CD68-EF60-4246-850F-85A89C029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6056292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736</xdr:row>
      <xdr:rowOff>9525</xdr:rowOff>
    </xdr:from>
    <xdr:to>
      <xdr:col>10</xdr:col>
      <xdr:colOff>1162051</xdr:colOff>
      <xdr:row>745</xdr:row>
      <xdr:rowOff>154565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11B7B4-9984-4324-BC89-F3E9C45BD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5118080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690</xdr:row>
      <xdr:rowOff>9525</xdr:rowOff>
    </xdr:from>
    <xdr:to>
      <xdr:col>10</xdr:col>
      <xdr:colOff>1162051</xdr:colOff>
      <xdr:row>699</xdr:row>
      <xdr:rowOff>154565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3AC5BE2-841A-4F26-BE6B-EA5032F22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4179867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644</xdr:row>
      <xdr:rowOff>9525</xdr:rowOff>
    </xdr:from>
    <xdr:to>
      <xdr:col>10</xdr:col>
      <xdr:colOff>1162051</xdr:colOff>
      <xdr:row>653</xdr:row>
      <xdr:rowOff>154565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5FCE56-0A03-4E9E-B110-014B54167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3241655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598</xdr:row>
      <xdr:rowOff>9525</xdr:rowOff>
    </xdr:from>
    <xdr:to>
      <xdr:col>10</xdr:col>
      <xdr:colOff>1162051</xdr:colOff>
      <xdr:row>607</xdr:row>
      <xdr:rowOff>154565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7A644FA-27C6-40BF-AECE-A62E9BC22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2303442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552</xdr:row>
      <xdr:rowOff>9525</xdr:rowOff>
    </xdr:from>
    <xdr:to>
      <xdr:col>10</xdr:col>
      <xdr:colOff>1162051</xdr:colOff>
      <xdr:row>561</xdr:row>
      <xdr:rowOff>154565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9582160-5EAE-4D14-B80C-34FD5CEC1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1365230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506</xdr:row>
      <xdr:rowOff>9525</xdr:rowOff>
    </xdr:from>
    <xdr:to>
      <xdr:col>10</xdr:col>
      <xdr:colOff>1162051</xdr:colOff>
      <xdr:row>515</xdr:row>
      <xdr:rowOff>154565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270E77C-BC9E-4830-88A6-67E5FA1CD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0427017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460</xdr:row>
      <xdr:rowOff>9525</xdr:rowOff>
    </xdr:from>
    <xdr:to>
      <xdr:col>10</xdr:col>
      <xdr:colOff>1162051</xdr:colOff>
      <xdr:row>469</xdr:row>
      <xdr:rowOff>154565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271CBEF-08BB-48ED-B18A-5E743EE3B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9471660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414</xdr:row>
      <xdr:rowOff>9525</xdr:rowOff>
    </xdr:from>
    <xdr:to>
      <xdr:col>10</xdr:col>
      <xdr:colOff>1162051</xdr:colOff>
      <xdr:row>423</xdr:row>
      <xdr:rowOff>154565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0BAD03A-BD25-4223-8311-B1DA07F72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8513445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368</xdr:row>
      <xdr:rowOff>9525</xdr:rowOff>
    </xdr:from>
    <xdr:to>
      <xdr:col>10</xdr:col>
      <xdr:colOff>1162051</xdr:colOff>
      <xdr:row>377</xdr:row>
      <xdr:rowOff>154565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E6ADF57-39EA-4F24-AC7B-EA6C552DC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7558087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322</xdr:row>
      <xdr:rowOff>9525</xdr:rowOff>
    </xdr:from>
    <xdr:to>
      <xdr:col>10</xdr:col>
      <xdr:colOff>1162051</xdr:colOff>
      <xdr:row>331</xdr:row>
      <xdr:rowOff>154565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E5C9278-16C0-4740-897F-45C882618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6602730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276</xdr:row>
      <xdr:rowOff>9525</xdr:rowOff>
    </xdr:from>
    <xdr:to>
      <xdr:col>10</xdr:col>
      <xdr:colOff>1162051</xdr:colOff>
      <xdr:row>285</xdr:row>
      <xdr:rowOff>154565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BE78DB9-6A98-41F2-8CEE-5F070FE76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5664517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230</xdr:row>
      <xdr:rowOff>9525</xdr:rowOff>
    </xdr:from>
    <xdr:to>
      <xdr:col>10</xdr:col>
      <xdr:colOff>1162051</xdr:colOff>
      <xdr:row>239</xdr:row>
      <xdr:rowOff>154565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1AE3CBE-92F8-49DD-B6E1-569AF907E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4726305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184</xdr:row>
      <xdr:rowOff>9525</xdr:rowOff>
    </xdr:from>
    <xdr:to>
      <xdr:col>10</xdr:col>
      <xdr:colOff>1162051</xdr:colOff>
      <xdr:row>193</xdr:row>
      <xdr:rowOff>154565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87F150F-3B27-4DBC-BC15-E2B4751A2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3771900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138</xdr:row>
      <xdr:rowOff>9525</xdr:rowOff>
    </xdr:from>
    <xdr:to>
      <xdr:col>10</xdr:col>
      <xdr:colOff>1162051</xdr:colOff>
      <xdr:row>147</xdr:row>
      <xdr:rowOff>154565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8B4CBF2-801E-4AF2-B08E-0AA86FAEE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2833687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92</xdr:row>
      <xdr:rowOff>9525</xdr:rowOff>
    </xdr:from>
    <xdr:to>
      <xdr:col>10</xdr:col>
      <xdr:colOff>1162051</xdr:colOff>
      <xdr:row>101</xdr:row>
      <xdr:rowOff>154565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57FC47-088D-497F-8BCB-D4B98E583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895475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46</xdr:row>
      <xdr:rowOff>9525</xdr:rowOff>
    </xdr:from>
    <xdr:to>
      <xdr:col>10</xdr:col>
      <xdr:colOff>1162051</xdr:colOff>
      <xdr:row>55</xdr:row>
      <xdr:rowOff>154565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83C7FD8-E5A8-4C65-8A6D-5688C1F55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957262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28574</xdr:colOff>
      <xdr:row>0</xdr:row>
      <xdr:rowOff>9526</xdr:rowOff>
    </xdr:from>
    <xdr:to>
      <xdr:col>10</xdr:col>
      <xdr:colOff>1171575</xdr:colOff>
      <xdr:row>9</xdr:row>
      <xdr:rowOff>154566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B503744-9B26-4AEE-B300-50F26C5F5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4" y="9526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BDC38679-AF22-430A-A5BB-628FA355B1AD}"/>
            </a:ext>
          </a:extLst>
        </xdr:cNvPr>
        <xdr:cNvCxnSpPr/>
      </xdr:nvCxnSpPr>
      <xdr:spPr>
        <a:xfrm>
          <a:off x="19050" y="120967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52</xdr:row>
      <xdr:rowOff>47625</xdr:rowOff>
    </xdr:from>
    <xdr:to>
      <xdr:col>10</xdr:col>
      <xdr:colOff>1162050</xdr:colOff>
      <xdr:row>52</xdr:row>
      <xdr:rowOff>47625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3C09F4BC-B6DD-413A-98C3-EB602B010DC0}"/>
            </a:ext>
          </a:extLst>
        </xdr:cNvPr>
        <xdr:cNvCxnSpPr/>
      </xdr:nvCxnSpPr>
      <xdr:spPr>
        <a:xfrm>
          <a:off x="19050" y="1077277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98</xdr:row>
      <xdr:rowOff>47625</xdr:rowOff>
    </xdr:from>
    <xdr:to>
      <xdr:col>10</xdr:col>
      <xdr:colOff>1162050</xdr:colOff>
      <xdr:row>98</xdr:row>
      <xdr:rowOff>47625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66BACCB4-9F08-4DBF-A6ED-8EC0C53207BB}"/>
            </a:ext>
          </a:extLst>
        </xdr:cNvPr>
        <xdr:cNvCxnSpPr/>
      </xdr:nvCxnSpPr>
      <xdr:spPr>
        <a:xfrm>
          <a:off x="19050" y="2015490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144</xdr:row>
      <xdr:rowOff>47625</xdr:rowOff>
    </xdr:from>
    <xdr:to>
      <xdr:col>10</xdr:col>
      <xdr:colOff>1162050</xdr:colOff>
      <xdr:row>144</xdr:row>
      <xdr:rowOff>47625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9F2F41DE-98EA-418F-8B32-9EAD41EEDB35}"/>
            </a:ext>
          </a:extLst>
        </xdr:cNvPr>
        <xdr:cNvCxnSpPr/>
      </xdr:nvCxnSpPr>
      <xdr:spPr>
        <a:xfrm>
          <a:off x="19050" y="2953702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190</xdr:row>
      <xdr:rowOff>47625</xdr:rowOff>
    </xdr:from>
    <xdr:to>
      <xdr:col>10</xdr:col>
      <xdr:colOff>1162050</xdr:colOff>
      <xdr:row>190</xdr:row>
      <xdr:rowOff>47625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9696A81D-2613-4DB2-A58F-C510B36197D2}"/>
            </a:ext>
          </a:extLst>
        </xdr:cNvPr>
        <xdr:cNvCxnSpPr/>
      </xdr:nvCxnSpPr>
      <xdr:spPr>
        <a:xfrm>
          <a:off x="19050" y="3891915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236</xdr:row>
      <xdr:rowOff>47625</xdr:rowOff>
    </xdr:from>
    <xdr:to>
      <xdr:col>10</xdr:col>
      <xdr:colOff>1162050</xdr:colOff>
      <xdr:row>236</xdr:row>
      <xdr:rowOff>47625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81123589-19CE-4D53-AD09-A0BB8D0E5C4A}"/>
            </a:ext>
          </a:extLst>
        </xdr:cNvPr>
        <xdr:cNvCxnSpPr/>
      </xdr:nvCxnSpPr>
      <xdr:spPr>
        <a:xfrm>
          <a:off x="19050" y="4846320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282</xdr:row>
      <xdr:rowOff>47625</xdr:rowOff>
    </xdr:from>
    <xdr:to>
      <xdr:col>10</xdr:col>
      <xdr:colOff>1162050</xdr:colOff>
      <xdr:row>282</xdr:row>
      <xdr:rowOff>47625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41F9C66A-CC43-4C1A-B373-5B36C7CF06AE}"/>
            </a:ext>
          </a:extLst>
        </xdr:cNvPr>
        <xdr:cNvCxnSpPr/>
      </xdr:nvCxnSpPr>
      <xdr:spPr>
        <a:xfrm>
          <a:off x="19050" y="5784532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328</xdr:row>
      <xdr:rowOff>47625</xdr:rowOff>
    </xdr:from>
    <xdr:to>
      <xdr:col>10</xdr:col>
      <xdr:colOff>1162050</xdr:colOff>
      <xdr:row>328</xdr:row>
      <xdr:rowOff>47625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62A09B59-2952-41EF-898C-87DDF0740F80}"/>
            </a:ext>
          </a:extLst>
        </xdr:cNvPr>
        <xdr:cNvCxnSpPr/>
      </xdr:nvCxnSpPr>
      <xdr:spPr>
        <a:xfrm>
          <a:off x="19050" y="6722745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374</xdr:row>
      <xdr:rowOff>47625</xdr:rowOff>
    </xdr:from>
    <xdr:to>
      <xdr:col>10</xdr:col>
      <xdr:colOff>1162050</xdr:colOff>
      <xdr:row>374</xdr:row>
      <xdr:rowOff>47625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98434ACD-91C4-49B0-A735-BA64A018BE82}"/>
            </a:ext>
          </a:extLst>
        </xdr:cNvPr>
        <xdr:cNvCxnSpPr/>
      </xdr:nvCxnSpPr>
      <xdr:spPr>
        <a:xfrm>
          <a:off x="19050" y="7678102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420</xdr:row>
      <xdr:rowOff>47625</xdr:rowOff>
    </xdr:from>
    <xdr:to>
      <xdr:col>10</xdr:col>
      <xdr:colOff>1162050</xdr:colOff>
      <xdr:row>420</xdr:row>
      <xdr:rowOff>47625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BD4F098A-B792-41CD-A4C3-35BFE0BD9B78}"/>
            </a:ext>
          </a:extLst>
        </xdr:cNvPr>
        <xdr:cNvCxnSpPr/>
      </xdr:nvCxnSpPr>
      <xdr:spPr>
        <a:xfrm>
          <a:off x="19050" y="8633460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466</xdr:row>
      <xdr:rowOff>47625</xdr:rowOff>
    </xdr:from>
    <xdr:to>
      <xdr:col>10</xdr:col>
      <xdr:colOff>1162050</xdr:colOff>
      <xdr:row>466</xdr:row>
      <xdr:rowOff>47625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8392B729-C650-4B11-9FED-AFDB1213BE0E}"/>
            </a:ext>
          </a:extLst>
        </xdr:cNvPr>
        <xdr:cNvCxnSpPr/>
      </xdr:nvCxnSpPr>
      <xdr:spPr>
        <a:xfrm>
          <a:off x="19050" y="9591675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512</xdr:row>
      <xdr:rowOff>47625</xdr:rowOff>
    </xdr:from>
    <xdr:to>
      <xdr:col>10</xdr:col>
      <xdr:colOff>1162050</xdr:colOff>
      <xdr:row>512</xdr:row>
      <xdr:rowOff>47625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B30F0174-958F-4CB8-9A23-9D3EC120AD76}"/>
            </a:ext>
          </a:extLst>
        </xdr:cNvPr>
        <xdr:cNvCxnSpPr/>
      </xdr:nvCxnSpPr>
      <xdr:spPr>
        <a:xfrm>
          <a:off x="19050" y="10547032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558</xdr:row>
      <xdr:rowOff>47625</xdr:rowOff>
    </xdr:from>
    <xdr:to>
      <xdr:col>10</xdr:col>
      <xdr:colOff>1162050</xdr:colOff>
      <xdr:row>558</xdr:row>
      <xdr:rowOff>47625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85CA9E-9A8E-4F76-B605-EE9D17957443}"/>
            </a:ext>
          </a:extLst>
        </xdr:cNvPr>
        <xdr:cNvCxnSpPr/>
      </xdr:nvCxnSpPr>
      <xdr:spPr>
        <a:xfrm>
          <a:off x="19050" y="11485245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604</xdr:row>
      <xdr:rowOff>47625</xdr:rowOff>
    </xdr:from>
    <xdr:to>
      <xdr:col>10</xdr:col>
      <xdr:colOff>1162050</xdr:colOff>
      <xdr:row>604</xdr:row>
      <xdr:rowOff>47625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E9ACBE4E-5E9B-4580-B194-BE7D302A5BF7}"/>
            </a:ext>
          </a:extLst>
        </xdr:cNvPr>
        <xdr:cNvCxnSpPr/>
      </xdr:nvCxnSpPr>
      <xdr:spPr>
        <a:xfrm>
          <a:off x="19050" y="12423457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650</xdr:row>
      <xdr:rowOff>47625</xdr:rowOff>
    </xdr:from>
    <xdr:to>
      <xdr:col>10</xdr:col>
      <xdr:colOff>1162050</xdr:colOff>
      <xdr:row>650</xdr:row>
      <xdr:rowOff>47625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CF8B31D5-FB95-4BF0-BB71-B76C3F0FDB78}"/>
            </a:ext>
          </a:extLst>
        </xdr:cNvPr>
        <xdr:cNvCxnSpPr/>
      </xdr:nvCxnSpPr>
      <xdr:spPr>
        <a:xfrm>
          <a:off x="19050" y="13361670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696</xdr:row>
      <xdr:rowOff>47625</xdr:rowOff>
    </xdr:from>
    <xdr:to>
      <xdr:col>10</xdr:col>
      <xdr:colOff>1162050</xdr:colOff>
      <xdr:row>696</xdr:row>
      <xdr:rowOff>47625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3F0515D4-80B6-4372-82B6-ACA398F19D57}"/>
            </a:ext>
          </a:extLst>
        </xdr:cNvPr>
        <xdr:cNvCxnSpPr/>
      </xdr:nvCxnSpPr>
      <xdr:spPr>
        <a:xfrm>
          <a:off x="19050" y="14299882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742</xdr:row>
      <xdr:rowOff>47625</xdr:rowOff>
    </xdr:from>
    <xdr:to>
      <xdr:col>10</xdr:col>
      <xdr:colOff>1162050</xdr:colOff>
      <xdr:row>742</xdr:row>
      <xdr:rowOff>47625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7CB54B14-77E6-457E-B58F-D075DA7C1DEF}"/>
            </a:ext>
          </a:extLst>
        </xdr:cNvPr>
        <xdr:cNvCxnSpPr/>
      </xdr:nvCxnSpPr>
      <xdr:spPr>
        <a:xfrm>
          <a:off x="19050" y="15238095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788</xdr:row>
      <xdr:rowOff>47625</xdr:rowOff>
    </xdr:from>
    <xdr:to>
      <xdr:col>10</xdr:col>
      <xdr:colOff>1162050</xdr:colOff>
      <xdr:row>788</xdr:row>
      <xdr:rowOff>47625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73236931-4F87-4986-85E0-BB4EA20045E9}"/>
            </a:ext>
          </a:extLst>
        </xdr:cNvPr>
        <xdr:cNvCxnSpPr/>
      </xdr:nvCxnSpPr>
      <xdr:spPr>
        <a:xfrm>
          <a:off x="19050" y="16176307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834</xdr:row>
      <xdr:rowOff>47625</xdr:rowOff>
    </xdr:from>
    <xdr:to>
      <xdr:col>10</xdr:col>
      <xdr:colOff>1162050</xdr:colOff>
      <xdr:row>834</xdr:row>
      <xdr:rowOff>47625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475B79C-365D-4101-9454-5234D547E37B}"/>
            </a:ext>
          </a:extLst>
        </xdr:cNvPr>
        <xdr:cNvCxnSpPr/>
      </xdr:nvCxnSpPr>
      <xdr:spPr>
        <a:xfrm>
          <a:off x="19050" y="17114520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880</xdr:row>
      <xdr:rowOff>47625</xdr:rowOff>
    </xdr:from>
    <xdr:to>
      <xdr:col>10</xdr:col>
      <xdr:colOff>1162050</xdr:colOff>
      <xdr:row>880</xdr:row>
      <xdr:rowOff>47625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3F1E7673-E529-4C48-8C75-F3DA8AD79C4D}"/>
            </a:ext>
          </a:extLst>
        </xdr:cNvPr>
        <xdr:cNvCxnSpPr/>
      </xdr:nvCxnSpPr>
      <xdr:spPr>
        <a:xfrm>
          <a:off x="19050" y="18052732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926</xdr:row>
      <xdr:rowOff>47625</xdr:rowOff>
    </xdr:from>
    <xdr:to>
      <xdr:col>10</xdr:col>
      <xdr:colOff>1162050</xdr:colOff>
      <xdr:row>926</xdr:row>
      <xdr:rowOff>47625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ACB63564-00CE-4077-ABB6-783844E7F6EE}"/>
            </a:ext>
          </a:extLst>
        </xdr:cNvPr>
        <xdr:cNvCxnSpPr/>
      </xdr:nvCxnSpPr>
      <xdr:spPr>
        <a:xfrm>
          <a:off x="19050" y="18133695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972</xdr:row>
      <xdr:rowOff>47625</xdr:rowOff>
    </xdr:from>
    <xdr:to>
      <xdr:col>10</xdr:col>
      <xdr:colOff>1162050</xdr:colOff>
      <xdr:row>972</xdr:row>
      <xdr:rowOff>47625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2A2528A7-7DA3-4D7B-9D01-767903898B2C}"/>
            </a:ext>
          </a:extLst>
        </xdr:cNvPr>
        <xdr:cNvCxnSpPr/>
      </xdr:nvCxnSpPr>
      <xdr:spPr>
        <a:xfrm>
          <a:off x="19050" y="20010120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1018</xdr:row>
      <xdr:rowOff>47625</xdr:rowOff>
    </xdr:from>
    <xdr:to>
      <xdr:col>10</xdr:col>
      <xdr:colOff>1162050</xdr:colOff>
      <xdr:row>1018</xdr:row>
      <xdr:rowOff>47625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8B33B431-95D2-4245-A262-E3C1693404F9}"/>
            </a:ext>
          </a:extLst>
        </xdr:cNvPr>
        <xdr:cNvCxnSpPr/>
      </xdr:nvCxnSpPr>
      <xdr:spPr>
        <a:xfrm>
          <a:off x="19050" y="20948332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1064</xdr:row>
      <xdr:rowOff>47625</xdr:rowOff>
    </xdr:from>
    <xdr:to>
      <xdr:col>10</xdr:col>
      <xdr:colOff>1162050</xdr:colOff>
      <xdr:row>1064</xdr:row>
      <xdr:rowOff>47625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AEB11585-A440-494E-9593-050183639593}"/>
            </a:ext>
          </a:extLst>
        </xdr:cNvPr>
        <xdr:cNvCxnSpPr/>
      </xdr:nvCxnSpPr>
      <xdr:spPr>
        <a:xfrm>
          <a:off x="19050" y="20948332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1058</xdr:row>
      <xdr:rowOff>9525</xdr:rowOff>
    </xdr:from>
    <xdr:to>
      <xdr:col>10</xdr:col>
      <xdr:colOff>1162051</xdr:colOff>
      <xdr:row>1067</xdr:row>
      <xdr:rowOff>154565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610578-FCEA-4CC0-A330-82AD2D28D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21766530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1012</xdr:row>
      <xdr:rowOff>9525</xdr:rowOff>
    </xdr:from>
    <xdr:to>
      <xdr:col>10</xdr:col>
      <xdr:colOff>1162051</xdr:colOff>
      <xdr:row>1021</xdr:row>
      <xdr:rowOff>154565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FD4F21-1F48-4A8F-BF5D-EA72A1B41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20828317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966</xdr:row>
      <xdr:rowOff>9525</xdr:rowOff>
    </xdr:from>
    <xdr:to>
      <xdr:col>10</xdr:col>
      <xdr:colOff>1162051</xdr:colOff>
      <xdr:row>975</xdr:row>
      <xdr:rowOff>154565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A8895B-1B96-463E-81C9-FD9848A76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9890105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920</xdr:row>
      <xdr:rowOff>9525</xdr:rowOff>
    </xdr:from>
    <xdr:to>
      <xdr:col>10</xdr:col>
      <xdr:colOff>1162051</xdr:colOff>
      <xdr:row>929</xdr:row>
      <xdr:rowOff>154565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8BFE9F2-C07D-4BBE-A48D-A95F90A7E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8951892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874</xdr:row>
      <xdr:rowOff>9525</xdr:rowOff>
    </xdr:from>
    <xdr:to>
      <xdr:col>10</xdr:col>
      <xdr:colOff>1162051</xdr:colOff>
      <xdr:row>883</xdr:row>
      <xdr:rowOff>154565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E572DC8-B7F4-4DD5-BE65-22FBE8D26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8013680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828</xdr:row>
      <xdr:rowOff>9525</xdr:rowOff>
    </xdr:from>
    <xdr:to>
      <xdr:col>10</xdr:col>
      <xdr:colOff>1162051</xdr:colOff>
      <xdr:row>837</xdr:row>
      <xdr:rowOff>154565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907AA3-44C1-4A52-A1FD-D672C27C9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7075467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782</xdr:row>
      <xdr:rowOff>9525</xdr:rowOff>
    </xdr:from>
    <xdr:to>
      <xdr:col>10</xdr:col>
      <xdr:colOff>1162051</xdr:colOff>
      <xdr:row>791</xdr:row>
      <xdr:rowOff>154565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FEE6A2F-8160-440A-B982-BFAA5C5E0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6137255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736</xdr:row>
      <xdr:rowOff>9525</xdr:rowOff>
    </xdr:from>
    <xdr:to>
      <xdr:col>10</xdr:col>
      <xdr:colOff>1162051</xdr:colOff>
      <xdr:row>745</xdr:row>
      <xdr:rowOff>154565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EED457D-3B91-4C67-B7E8-E97361A13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5199042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690</xdr:row>
      <xdr:rowOff>9525</xdr:rowOff>
    </xdr:from>
    <xdr:to>
      <xdr:col>10</xdr:col>
      <xdr:colOff>1162051</xdr:colOff>
      <xdr:row>699</xdr:row>
      <xdr:rowOff>154565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175E4FB-C103-43EC-9773-3EA48B91F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4260830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644</xdr:row>
      <xdr:rowOff>9525</xdr:rowOff>
    </xdr:from>
    <xdr:to>
      <xdr:col>10</xdr:col>
      <xdr:colOff>1162051</xdr:colOff>
      <xdr:row>653</xdr:row>
      <xdr:rowOff>154565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0F3E94B-8923-4A14-91A2-E508AB05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3304520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598</xdr:row>
      <xdr:rowOff>9525</xdr:rowOff>
    </xdr:from>
    <xdr:to>
      <xdr:col>10</xdr:col>
      <xdr:colOff>1162051</xdr:colOff>
      <xdr:row>607</xdr:row>
      <xdr:rowOff>154565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A22AE4F-FA35-48AB-A51E-DEAB1139D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2366307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552</xdr:row>
      <xdr:rowOff>9525</xdr:rowOff>
    </xdr:from>
    <xdr:to>
      <xdr:col>10</xdr:col>
      <xdr:colOff>1162051</xdr:colOff>
      <xdr:row>561</xdr:row>
      <xdr:rowOff>154565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487C1BD-F3C7-4259-825A-548E1FCB0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1413807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506</xdr:row>
      <xdr:rowOff>9525</xdr:rowOff>
    </xdr:from>
    <xdr:to>
      <xdr:col>10</xdr:col>
      <xdr:colOff>1162051</xdr:colOff>
      <xdr:row>515</xdr:row>
      <xdr:rowOff>154565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902CCFB-12D9-48A7-AF66-BF2E52C19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0475595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460</xdr:row>
      <xdr:rowOff>9525</xdr:rowOff>
    </xdr:from>
    <xdr:to>
      <xdr:col>10</xdr:col>
      <xdr:colOff>1162051</xdr:colOff>
      <xdr:row>469</xdr:row>
      <xdr:rowOff>154565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C00588C-8027-49C7-BB3A-3D46CD563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9520237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414</xdr:row>
      <xdr:rowOff>9525</xdr:rowOff>
    </xdr:from>
    <xdr:to>
      <xdr:col>10</xdr:col>
      <xdr:colOff>1162051</xdr:colOff>
      <xdr:row>423</xdr:row>
      <xdr:rowOff>154565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D3C9D0D-2C55-4DB6-9756-5C5C9EECE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8562022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368</xdr:row>
      <xdr:rowOff>9525</xdr:rowOff>
    </xdr:from>
    <xdr:to>
      <xdr:col>10</xdr:col>
      <xdr:colOff>1162051</xdr:colOff>
      <xdr:row>377</xdr:row>
      <xdr:rowOff>154565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011D64B-E912-4CAD-BBB7-608619383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7606665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322</xdr:row>
      <xdr:rowOff>9525</xdr:rowOff>
    </xdr:from>
    <xdr:to>
      <xdr:col>10</xdr:col>
      <xdr:colOff>1162051</xdr:colOff>
      <xdr:row>331</xdr:row>
      <xdr:rowOff>154565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CDCC578-4540-4EBA-B2CB-C12F25F4F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6651307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276</xdr:row>
      <xdr:rowOff>9525</xdr:rowOff>
    </xdr:from>
    <xdr:to>
      <xdr:col>10</xdr:col>
      <xdr:colOff>1162051</xdr:colOff>
      <xdr:row>285</xdr:row>
      <xdr:rowOff>154565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03DE532-88E4-4A26-8A95-A55615B18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5713095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230</xdr:row>
      <xdr:rowOff>9525</xdr:rowOff>
    </xdr:from>
    <xdr:to>
      <xdr:col>10</xdr:col>
      <xdr:colOff>1162051</xdr:colOff>
      <xdr:row>239</xdr:row>
      <xdr:rowOff>154565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DE94A1E-AA00-43CA-9D8B-912FA1948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4759642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184</xdr:row>
      <xdr:rowOff>9525</xdr:rowOff>
    </xdr:from>
    <xdr:to>
      <xdr:col>10</xdr:col>
      <xdr:colOff>1162051</xdr:colOff>
      <xdr:row>193</xdr:row>
      <xdr:rowOff>154565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060DB07-EE64-4F18-895E-317804F0A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3805237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138</xdr:row>
      <xdr:rowOff>9525</xdr:rowOff>
    </xdr:from>
    <xdr:to>
      <xdr:col>10</xdr:col>
      <xdr:colOff>1162051</xdr:colOff>
      <xdr:row>147</xdr:row>
      <xdr:rowOff>154565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07C5237-0102-45C8-B37A-FCA92DA9E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28670250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92</xdr:row>
      <xdr:rowOff>9525</xdr:rowOff>
    </xdr:from>
    <xdr:to>
      <xdr:col>10</xdr:col>
      <xdr:colOff>1162051</xdr:colOff>
      <xdr:row>101</xdr:row>
      <xdr:rowOff>154565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8BAE87F-3B65-46A0-BF7B-1ED1FB2EA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911667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46</xdr:row>
      <xdr:rowOff>9525</xdr:rowOff>
    </xdr:from>
    <xdr:to>
      <xdr:col>10</xdr:col>
      <xdr:colOff>1162051</xdr:colOff>
      <xdr:row>55</xdr:row>
      <xdr:rowOff>154565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EBD2316-1761-423E-979D-833410EEF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9572625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28574</xdr:colOff>
      <xdr:row>0</xdr:row>
      <xdr:rowOff>9526</xdr:rowOff>
    </xdr:from>
    <xdr:to>
      <xdr:col>10</xdr:col>
      <xdr:colOff>1171575</xdr:colOff>
      <xdr:row>9</xdr:row>
      <xdr:rowOff>154566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D087D1A-E2DC-437B-993F-5CD37BA0D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4" y="9526"/>
          <a:ext cx="8229601" cy="187859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ADA1C1FD-F143-4B2D-913D-4804F4F5A792}"/>
            </a:ext>
          </a:extLst>
        </xdr:cNvPr>
        <xdr:cNvCxnSpPr/>
      </xdr:nvCxnSpPr>
      <xdr:spPr>
        <a:xfrm>
          <a:off x="19050" y="120967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52</xdr:row>
      <xdr:rowOff>47625</xdr:rowOff>
    </xdr:from>
    <xdr:to>
      <xdr:col>10</xdr:col>
      <xdr:colOff>1162050</xdr:colOff>
      <xdr:row>52</xdr:row>
      <xdr:rowOff>47625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1E849366-6970-4571-85BC-A93144929C72}"/>
            </a:ext>
          </a:extLst>
        </xdr:cNvPr>
        <xdr:cNvCxnSpPr/>
      </xdr:nvCxnSpPr>
      <xdr:spPr>
        <a:xfrm>
          <a:off x="19050" y="1077277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98</xdr:row>
      <xdr:rowOff>47625</xdr:rowOff>
    </xdr:from>
    <xdr:to>
      <xdr:col>10</xdr:col>
      <xdr:colOff>1162050</xdr:colOff>
      <xdr:row>98</xdr:row>
      <xdr:rowOff>47625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C64A4587-F721-4E61-B469-DA96CABFDDB0}"/>
            </a:ext>
          </a:extLst>
        </xdr:cNvPr>
        <xdr:cNvCxnSpPr/>
      </xdr:nvCxnSpPr>
      <xdr:spPr>
        <a:xfrm>
          <a:off x="19050" y="2031682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144</xdr:row>
      <xdr:rowOff>47625</xdr:rowOff>
    </xdr:from>
    <xdr:to>
      <xdr:col>10</xdr:col>
      <xdr:colOff>1162050</xdr:colOff>
      <xdr:row>144</xdr:row>
      <xdr:rowOff>47625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709F577D-B83B-43F8-9655-3B4182D517FA}"/>
            </a:ext>
          </a:extLst>
        </xdr:cNvPr>
        <xdr:cNvCxnSpPr/>
      </xdr:nvCxnSpPr>
      <xdr:spPr>
        <a:xfrm>
          <a:off x="19050" y="2987040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190</xdr:row>
      <xdr:rowOff>47625</xdr:rowOff>
    </xdr:from>
    <xdr:to>
      <xdr:col>10</xdr:col>
      <xdr:colOff>1162050</xdr:colOff>
      <xdr:row>190</xdr:row>
      <xdr:rowOff>47625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24E5D958-E14C-455B-A5E2-F7915416DD06}"/>
            </a:ext>
          </a:extLst>
        </xdr:cNvPr>
        <xdr:cNvCxnSpPr/>
      </xdr:nvCxnSpPr>
      <xdr:spPr>
        <a:xfrm>
          <a:off x="19050" y="3925252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236</xdr:row>
      <xdr:rowOff>47625</xdr:rowOff>
    </xdr:from>
    <xdr:to>
      <xdr:col>10</xdr:col>
      <xdr:colOff>1162050</xdr:colOff>
      <xdr:row>236</xdr:row>
      <xdr:rowOff>47625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92B4BF9B-3F39-44AE-8240-13FF27BEFFC9}"/>
            </a:ext>
          </a:extLst>
        </xdr:cNvPr>
        <xdr:cNvCxnSpPr/>
      </xdr:nvCxnSpPr>
      <xdr:spPr>
        <a:xfrm>
          <a:off x="19050" y="4879657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282</xdr:row>
      <xdr:rowOff>47625</xdr:rowOff>
    </xdr:from>
    <xdr:to>
      <xdr:col>10</xdr:col>
      <xdr:colOff>1162050</xdr:colOff>
      <xdr:row>282</xdr:row>
      <xdr:rowOff>47625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A503321F-492B-4D27-AD9E-B629F5A12E3A}"/>
            </a:ext>
          </a:extLst>
        </xdr:cNvPr>
        <xdr:cNvCxnSpPr/>
      </xdr:nvCxnSpPr>
      <xdr:spPr>
        <a:xfrm>
          <a:off x="19050" y="5833110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328</xdr:row>
      <xdr:rowOff>47625</xdr:rowOff>
    </xdr:from>
    <xdr:to>
      <xdr:col>10</xdr:col>
      <xdr:colOff>1162050</xdr:colOff>
      <xdr:row>328</xdr:row>
      <xdr:rowOff>47625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7E0C5838-75D0-43BE-BFF6-79624F150F36}"/>
            </a:ext>
          </a:extLst>
        </xdr:cNvPr>
        <xdr:cNvCxnSpPr/>
      </xdr:nvCxnSpPr>
      <xdr:spPr>
        <a:xfrm>
          <a:off x="19050" y="6771322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374</xdr:row>
      <xdr:rowOff>47625</xdr:rowOff>
    </xdr:from>
    <xdr:to>
      <xdr:col>10</xdr:col>
      <xdr:colOff>1162050</xdr:colOff>
      <xdr:row>374</xdr:row>
      <xdr:rowOff>47625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4D59742F-EDE5-48A3-B1B1-0C70BC20D558}"/>
            </a:ext>
          </a:extLst>
        </xdr:cNvPr>
        <xdr:cNvCxnSpPr/>
      </xdr:nvCxnSpPr>
      <xdr:spPr>
        <a:xfrm>
          <a:off x="19050" y="7726680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420</xdr:row>
      <xdr:rowOff>47625</xdr:rowOff>
    </xdr:from>
    <xdr:to>
      <xdr:col>10</xdr:col>
      <xdr:colOff>1162050</xdr:colOff>
      <xdr:row>420</xdr:row>
      <xdr:rowOff>47625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17B0E382-7AEA-4993-AFFC-489D88D4150D}"/>
            </a:ext>
          </a:extLst>
        </xdr:cNvPr>
        <xdr:cNvCxnSpPr/>
      </xdr:nvCxnSpPr>
      <xdr:spPr>
        <a:xfrm>
          <a:off x="19050" y="8682037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466</xdr:row>
      <xdr:rowOff>47625</xdr:rowOff>
    </xdr:from>
    <xdr:to>
      <xdr:col>10</xdr:col>
      <xdr:colOff>1162050</xdr:colOff>
      <xdr:row>466</xdr:row>
      <xdr:rowOff>47625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3E9366A5-9551-479E-9131-2E41A30BD8CD}"/>
            </a:ext>
          </a:extLst>
        </xdr:cNvPr>
        <xdr:cNvCxnSpPr/>
      </xdr:nvCxnSpPr>
      <xdr:spPr>
        <a:xfrm>
          <a:off x="19050" y="9640252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512</xdr:row>
      <xdr:rowOff>47625</xdr:rowOff>
    </xdr:from>
    <xdr:to>
      <xdr:col>10</xdr:col>
      <xdr:colOff>1162050</xdr:colOff>
      <xdr:row>512</xdr:row>
      <xdr:rowOff>47625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E226F432-0640-450D-977C-C26AA58D38CE}"/>
            </a:ext>
          </a:extLst>
        </xdr:cNvPr>
        <xdr:cNvCxnSpPr/>
      </xdr:nvCxnSpPr>
      <xdr:spPr>
        <a:xfrm>
          <a:off x="19050" y="10595610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558</xdr:row>
      <xdr:rowOff>47625</xdr:rowOff>
    </xdr:from>
    <xdr:to>
      <xdr:col>10</xdr:col>
      <xdr:colOff>1162050</xdr:colOff>
      <xdr:row>558</xdr:row>
      <xdr:rowOff>47625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84D00A10-C7D0-4E4B-ABD6-88647EF7A5A6}"/>
            </a:ext>
          </a:extLst>
        </xdr:cNvPr>
        <xdr:cNvCxnSpPr/>
      </xdr:nvCxnSpPr>
      <xdr:spPr>
        <a:xfrm>
          <a:off x="19050" y="11533822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604</xdr:row>
      <xdr:rowOff>47625</xdr:rowOff>
    </xdr:from>
    <xdr:to>
      <xdr:col>10</xdr:col>
      <xdr:colOff>1162050</xdr:colOff>
      <xdr:row>604</xdr:row>
      <xdr:rowOff>47625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187292D3-B5F9-4B2F-A106-FE1D97386FA5}"/>
            </a:ext>
          </a:extLst>
        </xdr:cNvPr>
        <xdr:cNvCxnSpPr/>
      </xdr:nvCxnSpPr>
      <xdr:spPr>
        <a:xfrm>
          <a:off x="19050" y="12486322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650</xdr:row>
      <xdr:rowOff>47625</xdr:rowOff>
    </xdr:from>
    <xdr:to>
      <xdr:col>10</xdr:col>
      <xdr:colOff>1162050</xdr:colOff>
      <xdr:row>650</xdr:row>
      <xdr:rowOff>47625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885F1CA-F0F1-43C7-B763-6A457A5F4863}"/>
            </a:ext>
          </a:extLst>
        </xdr:cNvPr>
        <xdr:cNvCxnSpPr/>
      </xdr:nvCxnSpPr>
      <xdr:spPr>
        <a:xfrm>
          <a:off x="19050" y="13424535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696</xdr:row>
      <xdr:rowOff>47625</xdr:rowOff>
    </xdr:from>
    <xdr:to>
      <xdr:col>10</xdr:col>
      <xdr:colOff>1162050</xdr:colOff>
      <xdr:row>696</xdr:row>
      <xdr:rowOff>47625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435D3720-EB80-48C1-A182-AA5AC5CD86FD}"/>
            </a:ext>
          </a:extLst>
        </xdr:cNvPr>
        <xdr:cNvCxnSpPr/>
      </xdr:nvCxnSpPr>
      <xdr:spPr>
        <a:xfrm>
          <a:off x="19050" y="14380845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742</xdr:row>
      <xdr:rowOff>47625</xdr:rowOff>
    </xdr:from>
    <xdr:to>
      <xdr:col>10</xdr:col>
      <xdr:colOff>1162050</xdr:colOff>
      <xdr:row>742</xdr:row>
      <xdr:rowOff>47625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6995F655-5FA9-45F7-AB0C-E7E3EC05BEF5}"/>
            </a:ext>
          </a:extLst>
        </xdr:cNvPr>
        <xdr:cNvCxnSpPr/>
      </xdr:nvCxnSpPr>
      <xdr:spPr>
        <a:xfrm>
          <a:off x="19050" y="15319057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788</xdr:row>
      <xdr:rowOff>47625</xdr:rowOff>
    </xdr:from>
    <xdr:to>
      <xdr:col>10</xdr:col>
      <xdr:colOff>1162050</xdr:colOff>
      <xdr:row>788</xdr:row>
      <xdr:rowOff>47625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F967A746-E493-449B-9351-ACEA2CAD0176}"/>
            </a:ext>
          </a:extLst>
        </xdr:cNvPr>
        <xdr:cNvCxnSpPr/>
      </xdr:nvCxnSpPr>
      <xdr:spPr>
        <a:xfrm>
          <a:off x="19050" y="16257270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834</xdr:row>
      <xdr:rowOff>47625</xdr:rowOff>
    </xdr:from>
    <xdr:to>
      <xdr:col>10</xdr:col>
      <xdr:colOff>1162050</xdr:colOff>
      <xdr:row>834</xdr:row>
      <xdr:rowOff>47625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37C771A3-94CD-4FF5-B64A-20176D645431}"/>
            </a:ext>
          </a:extLst>
        </xdr:cNvPr>
        <xdr:cNvCxnSpPr/>
      </xdr:nvCxnSpPr>
      <xdr:spPr>
        <a:xfrm>
          <a:off x="19050" y="17195482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880</xdr:row>
      <xdr:rowOff>47625</xdr:rowOff>
    </xdr:from>
    <xdr:to>
      <xdr:col>10</xdr:col>
      <xdr:colOff>1162050</xdr:colOff>
      <xdr:row>880</xdr:row>
      <xdr:rowOff>47625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F8F3E649-FB98-43DF-9E47-3744F61C1601}"/>
            </a:ext>
          </a:extLst>
        </xdr:cNvPr>
        <xdr:cNvCxnSpPr/>
      </xdr:nvCxnSpPr>
      <xdr:spPr>
        <a:xfrm>
          <a:off x="19050" y="18133695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926</xdr:row>
      <xdr:rowOff>47625</xdr:rowOff>
    </xdr:from>
    <xdr:to>
      <xdr:col>10</xdr:col>
      <xdr:colOff>1162050</xdr:colOff>
      <xdr:row>926</xdr:row>
      <xdr:rowOff>47625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A44F6624-49DA-458B-9F5B-108045BA10D5}"/>
            </a:ext>
          </a:extLst>
        </xdr:cNvPr>
        <xdr:cNvCxnSpPr/>
      </xdr:nvCxnSpPr>
      <xdr:spPr>
        <a:xfrm>
          <a:off x="19050" y="19071907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972</xdr:row>
      <xdr:rowOff>47625</xdr:rowOff>
    </xdr:from>
    <xdr:to>
      <xdr:col>10</xdr:col>
      <xdr:colOff>1162050</xdr:colOff>
      <xdr:row>972</xdr:row>
      <xdr:rowOff>47625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9EF3895C-B7AC-4E31-B34D-C063540D9410}"/>
            </a:ext>
          </a:extLst>
        </xdr:cNvPr>
        <xdr:cNvCxnSpPr/>
      </xdr:nvCxnSpPr>
      <xdr:spPr>
        <a:xfrm>
          <a:off x="19050" y="20010120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1018</xdr:row>
      <xdr:rowOff>47625</xdr:rowOff>
    </xdr:from>
    <xdr:to>
      <xdr:col>10</xdr:col>
      <xdr:colOff>1162050</xdr:colOff>
      <xdr:row>1018</xdr:row>
      <xdr:rowOff>47625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87BC229D-F9B6-4B5F-A2BB-E1D07B4914F2}"/>
            </a:ext>
          </a:extLst>
        </xdr:cNvPr>
        <xdr:cNvCxnSpPr/>
      </xdr:nvCxnSpPr>
      <xdr:spPr>
        <a:xfrm>
          <a:off x="19050" y="20948332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1064</xdr:row>
      <xdr:rowOff>47625</xdr:rowOff>
    </xdr:from>
    <xdr:to>
      <xdr:col>10</xdr:col>
      <xdr:colOff>1162050</xdr:colOff>
      <xdr:row>1064</xdr:row>
      <xdr:rowOff>47625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F09D401E-9FDF-478E-84D6-8A4B612D2291}"/>
            </a:ext>
          </a:extLst>
        </xdr:cNvPr>
        <xdr:cNvCxnSpPr/>
      </xdr:nvCxnSpPr>
      <xdr:spPr>
        <a:xfrm>
          <a:off x="19050" y="21886545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E4F74-2DDC-49E7-9DDB-1995440C9441}">
  <dimension ref="A1:W919"/>
  <sheetViews>
    <sheetView view="pageBreakPreview" topLeftCell="A746" zoomScaleNormal="100" workbookViewId="0">
      <selection activeCell="K781" sqref="A737:K781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31.7109375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1" spans="1:23">
      <c r="L1" s="29"/>
      <c r="M1" s="30"/>
      <c r="N1" s="30"/>
      <c r="O1" s="30"/>
      <c r="P1" s="30"/>
      <c r="Q1" s="30"/>
      <c r="R1" s="30"/>
      <c r="S1" s="30"/>
      <c r="T1" s="30"/>
      <c r="U1" s="30"/>
      <c r="V1" s="30"/>
      <c r="W1" s="29"/>
    </row>
    <row r="2" spans="1:23">
      <c r="L2" s="29"/>
      <c r="M2" s="30"/>
      <c r="N2" s="30"/>
      <c r="O2" s="30"/>
      <c r="P2" s="30"/>
      <c r="Q2" s="30"/>
      <c r="R2" s="30"/>
      <c r="S2" s="30"/>
      <c r="T2" s="30"/>
      <c r="U2" s="30"/>
      <c r="V2" s="30"/>
      <c r="W2" s="29"/>
    </row>
    <row r="3" spans="1:23">
      <c r="L3" s="29"/>
      <c r="M3" s="30"/>
      <c r="N3" s="30"/>
      <c r="O3" s="30"/>
      <c r="P3" s="30"/>
      <c r="Q3" s="30"/>
      <c r="R3" s="30"/>
      <c r="S3" s="30"/>
      <c r="T3" s="30"/>
      <c r="U3" s="30"/>
      <c r="V3" s="30"/>
      <c r="W3" s="29"/>
    </row>
    <row r="4" spans="1:23" ht="15.75">
      <c r="C4" s="2"/>
      <c r="D4" s="2"/>
      <c r="E4" s="2"/>
      <c r="F4" s="2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29"/>
    </row>
    <row r="5" spans="1:23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  <c r="L5" s="29"/>
      <c r="M5" s="30"/>
      <c r="N5" s="30"/>
      <c r="O5" s="30"/>
      <c r="P5" s="30"/>
      <c r="Q5" s="30"/>
      <c r="R5" s="30"/>
      <c r="S5" s="30"/>
      <c r="T5" s="30"/>
      <c r="U5" s="30"/>
      <c r="V5" s="30"/>
      <c r="W5" s="29"/>
    </row>
    <row r="6" spans="1:23">
      <c r="H6" s="5"/>
      <c r="I6" s="5"/>
      <c r="J6" s="5"/>
      <c r="K6" s="5"/>
      <c r="L6" s="29"/>
      <c r="M6" s="30"/>
      <c r="N6" s="30"/>
      <c r="O6" s="30"/>
      <c r="P6" s="30"/>
      <c r="Q6" s="30"/>
      <c r="R6" s="30"/>
      <c r="S6" s="30"/>
      <c r="T6" s="30"/>
      <c r="U6" s="30"/>
      <c r="V6" s="30"/>
      <c r="W6" s="29"/>
    </row>
    <row r="7" spans="1:23">
      <c r="H7" s="5"/>
      <c r="I7" s="5"/>
      <c r="J7" s="5"/>
      <c r="K7" s="5"/>
      <c r="L7" s="29"/>
      <c r="M7" s="30"/>
      <c r="N7" s="30"/>
      <c r="O7" s="30"/>
      <c r="P7" s="30"/>
      <c r="Q7" s="30"/>
      <c r="R7" s="30"/>
      <c r="S7" s="30"/>
      <c r="T7" s="30"/>
      <c r="U7" s="30"/>
      <c r="V7" s="30"/>
      <c r="W7" s="29"/>
    </row>
    <row r="8" spans="1:23" ht="15" customHeight="1">
      <c r="A8" s="72" t="s">
        <v>0</v>
      </c>
      <c r="B8" s="72"/>
      <c r="C8" s="73"/>
      <c r="D8" s="73"/>
      <c r="E8" s="73"/>
      <c r="F8" s="73"/>
      <c r="G8" s="73"/>
      <c r="H8" s="73"/>
      <c r="I8" s="73"/>
      <c r="J8" s="73"/>
      <c r="K8" s="73"/>
      <c r="L8" s="29"/>
      <c r="M8" s="30"/>
      <c r="N8" s="30"/>
      <c r="O8" s="30"/>
      <c r="P8" s="30"/>
      <c r="Q8" s="30"/>
      <c r="R8" s="30"/>
      <c r="S8" s="30"/>
      <c r="T8" s="30"/>
      <c r="U8" s="30"/>
      <c r="V8" s="30"/>
      <c r="W8" s="29"/>
    </row>
    <row r="9" spans="1:23" ht="15" customHeight="1">
      <c r="A9" s="73" t="s">
        <v>42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29"/>
      <c r="M9" s="30"/>
      <c r="N9" s="30"/>
      <c r="O9" s="30"/>
      <c r="P9" s="30"/>
      <c r="Q9" s="30"/>
      <c r="R9" s="30"/>
      <c r="S9" s="30"/>
      <c r="T9" s="30"/>
      <c r="U9" s="30"/>
      <c r="V9" s="30"/>
      <c r="W9" s="29"/>
    </row>
    <row r="10" spans="1:23" ht="15" customHeight="1">
      <c r="A10" s="73" t="s">
        <v>1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29"/>
    </row>
    <row r="11" spans="1:23" ht="15" customHeight="1">
      <c r="A11" s="73" t="s">
        <v>38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29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29"/>
    </row>
    <row r="12" spans="1:23" ht="15" customHeight="1">
      <c r="A12" s="73" t="s">
        <v>2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29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29"/>
    </row>
    <row r="13" spans="1:23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  <c r="L13" s="29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29"/>
    </row>
    <row r="14" spans="1:23">
      <c r="A14" s="52" t="s">
        <v>3</v>
      </c>
      <c r="B14" s="10"/>
      <c r="C14" s="10"/>
      <c r="D14" s="53" t="s">
        <v>4</v>
      </c>
      <c r="E14" s="10" t="s">
        <v>5</v>
      </c>
      <c r="F14" s="11"/>
      <c r="G14" s="10"/>
      <c r="H14" s="12"/>
      <c r="I14" s="12"/>
      <c r="J14" s="12"/>
      <c r="K14" s="9"/>
      <c r="L14" s="29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29"/>
    </row>
    <row r="15" spans="1:23">
      <c r="A15" s="52" t="s">
        <v>6</v>
      </c>
      <c r="B15" s="10"/>
      <c r="C15" s="10"/>
      <c r="D15" s="53" t="s">
        <v>4</v>
      </c>
      <c r="E15" s="10" t="s">
        <v>7</v>
      </c>
      <c r="F15" s="11"/>
      <c r="G15" s="10"/>
      <c r="H15" s="12"/>
      <c r="I15" s="12"/>
      <c r="J15" s="12"/>
      <c r="K15" s="9"/>
      <c r="L15" s="29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29"/>
    </row>
    <row r="16" spans="1:23">
      <c r="A16" s="52" t="s">
        <v>8</v>
      </c>
      <c r="B16" s="10"/>
      <c r="C16" s="10"/>
      <c r="D16" s="53" t="s">
        <v>4</v>
      </c>
      <c r="E16" s="13">
        <v>2026</v>
      </c>
      <c r="F16" s="11"/>
      <c r="G16" s="13"/>
      <c r="H16" s="12"/>
      <c r="I16" s="12"/>
      <c r="J16" s="12"/>
      <c r="K16" s="9"/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29"/>
    </row>
    <row r="17" spans="1:23">
      <c r="A17" s="52" t="s">
        <v>9</v>
      </c>
      <c r="B17" s="10"/>
      <c r="C17" s="10"/>
      <c r="D17" s="53" t="s">
        <v>4</v>
      </c>
      <c r="E17" s="14">
        <f>J28</f>
        <v>139300</v>
      </c>
      <c r="F17" s="11"/>
      <c r="G17" s="14"/>
      <c r="H17" s="12"/>
      <c r="I17" s="12"/>
      <c r="J17" s="12"/>
      <c r="K17" s="9"/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29"/>
    </row>
    <row r="18" spans="1:23" ht="15.75">
      <c r="A18" s="10"/>
      <c r="B18" s="10"/>
      <c r="C18" s="15" t="s">
        <v>10</v>
      </c>
      <c r="D18" s="53" t="s">
        <v>4</v>
      </c>
      <c r="E18" s="1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Tiga Puluh Sembilan Ribu Tiga Ratus Rupiah</v>
      </c>
      <c r="F18" s="11"/>
      <c r="G18" s="16"/>
      <c r="H18" s="12"/>
      <c r="I18" s="12"/>
      <c r="J18" s="12"/>
      <c r="K18" s="9"/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9"/>
    </row>
    <row r="19" spans="1:23" ht="15.75">
      <c r="A19" s="10"/>
      <c r="B19" s="10"/>
      <c r="C19" s="15"/>
      <c r="D19" s="15"/>
      <c r="E19" s="15"/>
      <c r="F19" s="11"/>
      <c r="G19" s="16"/>
      <c r="H19" s="12"/>
      <c r="I19" s="12"/>
      <c r="J19" s="12"/>
      <c r="K19" s="9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9"/>
    </row>
    <row r="20" spans="1:23">
      <c r="A20" s="10" t="s">
        <v>11</v>
      </c>
      <c r="B20" s="10"/>
      <c r="C20" s="10"/>
      <c r="D20" s="10"/>
      <c r="E20" s="10"/>
      <c r="F20" s="10"/>
      <c r="G20" s="10"/>
      <c r="H20" s="12"/>
      <c r="I20" s="12"/>
      <c r="J20" s="12"/>
      <c r="K20" s="9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9"/>
    </row>
    <row r="21" spans="1:23">
      <c r="A21" s="74" t="s">
        <v>12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9"/>
    </row>
    <row r="22" spans="1:23" ht="61.5" customHeight="1">
      <c r="A22" s="17" t="s">
        <v>13</v>
      </c>
      <c r="B22" s="18" t="s">
        <v>14</v>
      </c>
      <c r="C22" s="59" t="s">
        <v>15</v>
      </c>
      <c r="D22" s="60"/>
      <c r="E22" s="61"/>
      <c r="F22" s="19"/>
      <c r="G22" s="20" t="s">
        <v>16</v>
      </c>
      <c r="H22" s="21" t="s">
        <v>35</v>
      </c>
      <c r="I22" s="21"/>
      <c r="J22" s="31" t="s">
        <v>17</v>
      </c>
      <c r="K22" s="32" t="s">
        <v>18</v>
      </c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9"/>
    </row>
    <row r="23" spans="1:23">
      <c r="A23" s="27">
        <v>1</v>
      </c>
      <c r="B23" s="24"/>
      <c r="C23" s="28" t="s">
        <v>23</v>
      </c>
      <c r="D23" s="57"/>
      <c r="E23" s="26"/>
      <c r="F23" s="25"/>
      <c r="G23" s="54" t="s">
        <v>19</v>
      </c>
      <c r="H23" s="54" t="s">
        <v>19</v>
      </c>
      <c r="I23" s="54"/>
      <c r="J23" s="54" t="s">
        <v>19</v>
      </c>
      <c r="K23" s="54" t="s">
        <v>19</v>
      </c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9"/>
    </row>
    <row r="24" spans="1:23">
      <c r="A24" s="24"/>
      <c r="B24" s="55" t="s">
        <v>20</v>
      </c>
      <c r="C24" s="25" t="s">
        <v>24</v>
      </c>
      <c r="D24" s="10"/>
      <c r="E24" s="26"/>
      <c r="F24" s="25"/>
      <c r="G24" s="23">
        <v>45000000</v>
      </c>
      <c r="H24" s="56">
        <v>0</v>
      </c>
      <c r="I24" s="56"/>
      <c r="J24" s="56">
        <v>139300</v>
      </c>
      <c r="K24" s="58">
        <f t="shared" ref="K24:K27" si="0">G24-H24-J24</f>
        <v>44860700</v>
      </c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29"/>
    </row>
    <row r="25" spans="1:23" ht="28.5" customHeight="1">
      <c r="A25" s="24"/>
      <c r="B25" s="55" t="s">
        <v>21</v>
      </c>
      <c r="C25" s="62" t="s">
        <v>39</v>
      </c>
      <c r="D25" s="63"/>
      <c r="E25" s="64"/>
      <c r="F25" s="25"/>
      <c r="G25" s="23">
        <v>35000000</v>
      </c>
      <c r="H25" s="56">
        <v>0</v>
      </c>
      <c r="I25" s="56"/>
      <c r="J25" s="56">
        <v>0</v>
      </c>
      <c r="K25" s="58">
        <f t="shared" si="0"/>
        <v>35000000</v>
      </c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9"/>
    </row>
    <row r="26" spans="1:23">
      <c r="A26" s="24"/>
      <c r="B26" s="55" t="s">
        <v>22</v>
      </c>
      <c r="C26" s="65" t="s">
        <v>40</v>
      </c>
      <c r="D26" s="66"/>
      <c r="E26" s="67"/>
      <c r="F26" s="25"/>
      <c r="G26" s="23">
        <v>30000000</v>
      </c>
      <c r="H26" s="56">
        <v>0</v>
      </c>
      <c r="I26" s="22"/>
      <c r="J26" s="22">
        <v>0</v>
      </c>
      <c r="K26" s="33">
        <f t="shared" si="0"/>
        <v>30000000</v>
      </c>
      <c r="L26" s="29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9"/>
    </row>
    <row r="27" spans="1:23">
      <c r="A27" s="24"/>
      <c r="B27" s="55" t="s">
        <v>36</v>
      </c>
      <c r="C27" s="68" t="s">
        <v>41</v>
      </c>
      <c r="D27" s="69"/>
      <c r="E27" s="70"/>
      <c r="F27" s="25"/>
      <c r="G27" s="23">
        <v>28125000</v>
      </c>
      <c r="H27" s="56">
        <v>0</v>
      </c>
      <c r="I27" s="22"/>
      <c r="J27" s="22">
        <v>0</v>
      </c>
      <c r="K27" s="33">
        <f t="shared" si="0"/>
        <v>28125000</v>
      </c>
      <c r="L27" s="29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9"/>
    </row>
    <row r="28" spans="1:23" ht="14.25" customHeight="1">
      <c r="A28" s="34"/>
      <c r="B28" s="34"/>
      <c r="C28" s="34" t="s">
        <v>25</v>
      </c>
      <c r="D28" s="34"/>
      <c r="E28" s="34"/>
      <c r="F28" s="35"/>
      <c r="G28" s="36">
        <f>SUM(G23:G27)</f>
        <v>138125000</v>
      </c>
      <c r="H28" s="37">
        <f>SUM(H23:H27)</f>
        <v>0</v>
      </c>
      <c r="I28" s="37"/>
      <c r="J28" s="37">
        <f>SUM(J23:J27)</f>
        <v>139300</v>
      </c>
      <c r="K28" s="37">
        <f>SUM(K23:K27)</f>
        <v>137985700</v>
      </c>
      <c r="L28" s="2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9"/>
    </row>
    <row r="29" spans="1:23">
      <c r="A29" s="38"/>
      <c r="B29" s="8"/>
      <c r="C29" s="8"/>
      <c r="D29" s="8"/>
      <c r="E29" s="8"/>
      <c r="F29" s="8"/>
      <c r="G29" s="39"/>
      <c r="H29" s="39"/>
      <c r="I29" s="39"/>
      <c r="J29" s="39"/>
      <c r="K29" s="39"/>
      <c r="L29" s="29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9"/>
    </row>
    <row r="30" spans="1:23">
      <c r="A30" s="71" t="s">
        <v>26</v>
      </c>
      <c r="B30" s="71"/>
      <c r="C30" s="71"/>
      <c r="D30" s="11" t="s">
        <v>4</v>
      </c>
      <c r="E30" s="14">
        <f>J28</f>
        <v>139300</v>
      </c>
      <c r="F30" s="40"/>
      <c r="G30" s="41"/>
      <c r="H30" s="41"/>
      <c r="I30" s="41"/>
      <c r="J30" s="9"/>
      <c r="K30" s="9"/>
      <c r="L30" s="29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29"/>
    </row>
    <row r="31" spans="1:23">
      <c r="A31" s="10" t="s">
        <v>27</v>
      </c>
      <c r="B31" s="10"/>
      <c r="C31" s="10"/>
      <c r="D31" s="11" t="s">
        <v>4</v>
      </c>
      <c r="E31" s="42"/>
      <c r="F31" s="42"/>
      <c r="G31" s="43"/>
      <c r="H31" s="12"/>
      <c r="I31" s="12"/>
      <c r="J31" s="9"/>
      <c r="K31" s="9"/>
      <c r="L31" s="29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29"/>
    </row>
    <row r="32" spans="1:23">
      <c r="A32" s="10" t="s">
        <v>28</v>
      </c>
      <c r="B32" s="10"/>
      <c r="C32" s="10"/>
      <c r="D32" s="11" t="s">
        <v>4</v>
      </c>
      <c r="E32" s="44"/>
      <c r="F32" s="44"/>
      <c r="G32" s="43"/>
      <c r="H32" s="12"/>
      <c r="I32" s="12"/>
      <c r="J32" s="9"/>
      <c r="K32" s="9"/>
      <c r="L32" s="29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9"/>
    </row>
    <row r="33" spans="1:23">
      <c r="A33" s="10" t="s">
        <v>29</v>
      </c>
      <c r="B33" s="10"/>
      <c r="C33" s="10"/>
      <c r="D33" s="11" t="s">
        <v>4</v>
      </c>
      <c r="E33" s="44">
        <f>E31+E32</f>
        <v>0</v>
      </c>
      <c r="F33" s="44"/>
      <c r="G33" s="10"/>
      <c r="H33" s="12"/>
      <c r="I33" s="12"/>
      <c r="J33" s="46"/>
      <c r="K33" s="46"/>
      <c r="L33" s="29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9"/>
    </row>
    <row r="34" spans="1:23">
      <c r="A34" s="13"/>
      <c r="B34" s="13"/>
      <c r="C34" s="13"/>
      <c r="D34" s="11"/>
      <c r="E34" s="13"/>
      <c r="F34" s="13"/>
      <c r="G34" s="10"/>
      <c r="H34" s="12"/>
      <c r="I34" s="12"/>
      <c r="J34" s="46"/>
      <c r="K34" s="46"/>
      <c r="L34" s="2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9"/>
    </row>
    <row r="35" spans="1:23">
      <c r="A35" s="71" t="s">
        <v>30</v>
      </c>
      <c r="B35" s="71"/>
      <c r="C35" s="71"/>
      <c r="D35" s="11" t="s">
        <v>4</v>
      </c>
      <c r="E35" s="40">
        <f>E30-E33</f>
        <v>139300</v>
      </c>
      <c r="F35" s="40"/>
      <c r="G35" s="10"/>
      <c r="H35" s="12"/>
      <c r="I35" s="12"/>
      <c r="J35" s="46"/>
      <c r="K35" s="46"/>
      <c r="L35" s="29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29"/>
    </row>
    <row r="36" spans="1:23" ht="15.75">
      <c r="A36" s="13"/>
      <c r="B36" s="13"/>
      <c r="C36" s="10"/>
      <c r="D36" s="10"/>
      <c r="E36" s="16" t="str">
        <f>PROPER(IF(E35=0,"nol",IF(E35&lt;0,"minus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35),"000000000000000"),1,3)=0,"",MID(TEXT(ABS(E35),"000000000000000"),1,1)&amp;" ratus "&amp;MID(TEXT(ABS(E35),"000000000000000"),2,1)&amp;" puluh "&amp;MID(TEXT(ABS(E35),"000000000000000"),3,1)&amp;" trilyun ")&amp;IF(--MID(TEXT(ABS(E35),"000000000000000"),4,3)=0,"",MID(TEXT(ABS(E35),"000000000000000"),4,1)&amp;" ratus "&amp;MID(TEXT(ABS(E35),"000000000000000"),5,1)&amp;" puluh "&amp;MID(TEXT(ABS(E35),"000000000000000"),6,1)&amp;" milyar ")&amp;IF(--MID(TEXT(ABS(E35),"000000000000000"),7,3)=0,"",MID(TEXT(ABS(E35),"000000000000000"),7,1)&amp;" ratus "&amp;MID(TEXT(ABS(E35),"000000000000000"),8,1)&amp;" puluh "&amp;MID(TEXT(ABS(E35),"000000000000000"),9,1)&amp;" juta ")&amp;IF(--MID(TEXT(ABS(E35),"000000000000000"),10,3)=0,"",IF(--MID(TEXT(ABS(E35),"000000000000000"),10,3)=1,"*",MID(TEXT(ABS(E35),"000000000000000"),10,1)&amp;" ratus "&amp;MID(TEXT(ABS(E35),"000000000000000"),11,1)&amp;" puluh ")&amp;MID(TEXT(ABS(E35),"000000000000000"),12,1)&amp;" ribu ")&amp;IF(--MID(TEXT(ABS(E35),"000000000000000"),13,3)=0,"",MID(TEXT(ABS(E35),"000000000000000"),13,1)&amp;" ratus "&amp;MID(TEXT(ABS(E35),"000000000000000"),14,1)&amp;" puluh "&amp;MID(TEXT(ABS(E35),"000000000000000"),15,1)),1,"satu"),2,"dua"),3,"tiga"),4,"empat"),5,"lima"),6,"enam"),7,"tujuh"),8,"delapan"),9,"sembilan"),"0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Tiga Puluh Sembilan Ribu Tiga Ratus Rupiah</v>
      </c>
      <c r="F36" s="10"/>
      <c r="G36" s="10"/>
      <c r="H36" s="10"/>
      <c r="I36" s="10"/>
      <c r="J36" s="46"/>
      <c r="K36" s="46"/>
      <c r="L36" s="29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29"/>
    </row>
    <row r="37" spans="1:23">
      <c r="A37" s="45"/>
      <c r="B37" s="45"/>
      <c r="C37" s="45"/>
      <c r="D37" s="45"/>
      <c r="E37" s="45"/>
      <c r="F37" s="45"/>
      <c r="G37" s="29"/>
      <c r="H37" s="46"/>
      <c r="I37" s="46"/>
      <c r="J37" s="46"/>
      <c r="K37" s="46"/>
      <c r="L37" s="29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29"/>
    </row>
    <row r="38" spans="1:23">
      <c r="A38" s="29"/>
      <c r="B38" s="29"/>
      <c r="C38" s="29"/>
      <c r="D38" s="29"/>
      <c r="E38" s="29"/>
      <c r="F38" s="29"/>
      <c r="G38" s="29"/>
      <c r="H38"/>
      <c r="I38"/>
      <c r="J38" s="46"/>
      <c r="K38" s="46"/>
      <c r="L38" s="29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29"/>
    </row>
    <row r="39" spans="1:23">
      <c r="A39" s="13"/>
      <c r="B39" s="13"/>
      <c r="C39" s="10"/>
      <c r="D39" s="10"/>
      <c r="E39" s="10"/>
      <c r="F39" s="10"/>
      <c r="G39" s="10"/>
      <c r="I39" s="47"/>
      <c r="J39" s="47" t="s">
        <v>43</v>
      </c>
      <c r="K39" s="46"/>
      <c r="L39" s="29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29"/>
    </row>
    <row r="40" spans="1:23">
      <c r="A40" s="12" t="s">
        <v>31</v>
      </c>
      <c r="B40" s="10"/>
      <c r="C40" s="10"/>
      <c r="D40" s="10"/>
      <c r="E40" s="10"/>
      <c r="F40" s="10"/>
      <c r="G40" s="10"/>
      <c r="I40" s="12"/>
      <c r="J40" s="12" t="s">
        <v>32</v>
      </c>
      <c r="K40" s="46"/>
      <c r="L40" s="29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29"/>
    </row>
    <row r="41" spans="1:23">
      <c r="A41" s="10"/>
      <c r="B41" s="10"/>
      <c r="C41" s="10"/>
      <c r="D41" s="10"/>
      <c r="E41" s="10"/>
      <c r="F41" s="10"/>
      <c r="G41" s="10"/>
      <c r="I41" s="12"/>
      <c r="J41" s="12"/>
      <c r="K41" s="46"/>
      <c r="L41" s="29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29"/>
    </row>
    <row r="42" spans="1:23">
      <c r="A42" s="10"/>
      <c r="B42" s="10"/>
      <c r="C42" s="10"/>
      <c r="D42" s="10"/>
      <c r="E42" s="10"/>
      <c r="F42" s="10"/>
      <c r="G42" s="10"/>
      <c r="I42" s="12"/>
      <c r="J42" s="12"/>
      <c r="K42" s="46"/>
      <c r="L42" s="29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29"/>
    </row>
    <row r="43" spans="1:23">
      <c r="A43" s="10"/>
      <c r="B43" s="10"/>
      <c r="C43" s="10"/>
      <c r="D43" s="10"/>
      <c r="E43" s="10"/>
      <c r="F43" s="10"/>
      <c r="G43" s="10"/>
      <c r="I43" s="12"/>
      <c r="J43" s="12"/>
      <c r="K43" s="46"/>
      <c r="L43" s="29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29"/>
    </row>
    <row r="44" spans="1:23">
      <c r="A44" s="10"/>
      <c r="B44" s="10"/>
      <c r="C44" s="10"/>
      <c r="D44" s="10"/>
      <c r="E44" s="10"/>
      <c r="F44" s="10"/>
      <c r="G44" s="10"/>
      <c r="I44" s="12"/>
      <c r="J44" s="12"/>
      <c r="K44" s="46"/>
      <c r="L44" s="29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29"/>
    </row>
    <row r="45" spans="1:23">
      <c r="A45" s="48" t="s">
        <v>37</v>
      </c>
      <c r="B45" s="48"/>
      <c r="C45" s="49"/>
      <c r="D45" s="49"/>
      <c r="E45" s="49"/>
      <c r="F45" s="49"/>
      <c r="G45" s="10" t="s">
        <v>33</v>
      </c>
      <c r="I45" s="48"/>
      <c r="J45" s="48" t="s">
        <v>34</v>
      </c>
      <c r="K45" s="46"/>
      <c r="L45" s="29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29"/>
    </row>
    <row r="46" spans="1:23">
      <c r="A46" s="50"/>
      <c r="B46" s="50"/>
      <c r="C46" s="51"/>
      <c r="D46" s="51"/>
      <c r="E46" s="51"/>
      <c r="F46" s="51"/>
      <c r="G46" s="51"/>
      <c r="H46" s="50"/>
      <c r="I46" s="50"/>
      <c r="J46" s="50"/>
      <c r="K46" s="46"/>
      <c r="L46" s="29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29"/>
    </row>
    <row r="50" spans="1:11" ht="15.75">
      <c r="C50" s="2"/>
      <c r="D50" s="2"/>
      <c r="E50" s="2"/>
      <c r="F50" s="2"/>
    </row>
    <row r="51" spans="1:11" ht="15.75">
      <c r="A51" s="3"/>
      <c r="B51" s="3"/>
      <c r="C51" s="2"/>
      <c r="D51" s="2"/>
      <c r="E51" s="2"/>
      <c r="F51" s="2"/>
      <c r="G51" s="3"/>
      <c r="H51" s="4"/>
      <c r="I51" s="4"/>
      <c r="J51" s="4"/>
      <c r="K51" s="5"/>
    </row>
    <row r="52" spans="1:11">
      <c r="H52" s="5"/>
      <c r="I52" s="5"/>
      <c r="J52" s="5"/>
      <c r="K52" s="5"/>
    </row>
    <row r="53" spans="1:11">
      <c r="H53" s="5"/>
      <c r="I53" s="5"/>
      <c r="J53" s="5"/>
      <c r="K53" s="5"/>
    </row>
    <row r="54" spans="1:11">
      <c r="A54" s="72" t="s">
        <v>0</v>
      </c>
      <c r="B54" s="72"/>
      <c r="C54" s="73"/>
      <c r="D54" s="73"/>
      <c r="E54" s="73"/>
      <c r="F54" s="73"/>
      <c r="G54" s="73"/>
      <c r="H54" s="73"/>
      <c r="I54" s="73"/>
      <c r="J54" s="73"/>
      <c r="K54" s="73"/>
    </row>
    <row r="55" spans="1:11">
      <c r="A55" s="73" t="s">
        <v>44</v>
      </c>
      <c r="B55" s="73"/>
      <c r="C55" s="73"/>
      <c r="D55" s="73"/>
      <c r="E55" s="73"/>
      <c r="F55" s="73"/>
      <c r="G55" s="73"/>
      <c r="H55" s="73"/>
      <c r="I55" s="73"/>
      <c r="J55" s="73"/>
      <c r="K55" s="73"/>
    </row>
    <row r="56" spans="1:11">
      <c r="A56" s="73" t="s">
        <v>1</v>
      </c>
      <c r="B56" s="73"/>
      <c r="C56" s="73"/>
      <c r="D56" s="73"/>
      <c r="E56" s="73"/>
      <c r="F56" s="73"/>
      <c r="G56" s="73"/>
      <c r="H56" s="73"/>
      <c r="I56" s="73"/>
      <c r="J56" s="73"/>
      <c r="K56" s="73"/>
    </row>
    <row r="57" spans="1:11">
      <c r="A57" s="73" t="s">
        <v>38</v>
      </c>
      <c r="B57" s="73"/>
      <c r="C57" s="73"/>
      <c r="D57" s="73"/>
      <c r="E57" s="73"/>
      <c r="F57" s="73"/>
      <c r="G57" s="73"/>
      <c r="H57" s="73"/>
      <c r="I57" s="73"/>
      <c r="J57" s="73"/>
      <c r="K57" s="73"/>
    </row>
    <row r="58" spans="1:11">
      <c r="A58" s="73" t="s">
        <v>2</v>
      </c>
      <c r="B58" s="73"/>
      <c r="C58" s="73"/>
      <c r="D58" s="73"/>
      <c r="E58" s="73"/>
      <c r="F58" s="73"/>
      <c r="G58" s="73"/>
      <c r="H58" s="73"/>
      <c r="I58" s="73"/>
      <c r="J58" s="73"/>
      <c r="K58" s="73"/>
    </row>
    <row r="59" spans="1:11">
      <c r="A59" s="6"/>
      <c r="B59" s="6"/>
      <c r="C59" s="7"/>
      <c r="D59" s="7"/>
      <c r="E59" s="7"/>
      <c r="F59" s="7"/>
      <c r="G59" s="8"/>
      <c r="H59" s="9"/>
      <c r="I59" s="9"/>
      <c r="J59" s="9"/>
      <c r="K59" s="9"/>
    </row>
    <row r="60" spans="1:11">
      <c r="A60" s="52" t="s">
        <v>3</v>
      </c>
      <c r="B60" s="10"/>
      <c r="C60" s="10"/>
      <c r="D60" s="53" t="s">
        <v>4</v>
      </c>
      <c r="E60" s="10" t="s">
        <v>5</v>
      </c>
      <c r="F60" s="11"/>
      <c r="G60" s="10"/>
      <c r="H60" s="12"/>
      <c r="I60" s="12"/>
      <c r="J60" s="12"/>
      <c r="K60" s="9"/>
    </row>
    <row r="61" spans="1:11">
      <c r="A61" s="52" t="s">
        <v>6</v>
      </c>
      <c r="B61" s="10"/>
      <c r="C61" s="10"/>
      <c r="D61" s="53" t="s">
        <v>4</v>
      </c>
      <c r="E61" s="10" t="s">
        <v>7</v>
      </c>
      <c r="F61" s="11"/>
      <c r="G61" s="10"/>
      <c r="H61" s="12"/>
      <c r="I61" s="12"/>
      <c r="J61" s="12"/>
      <c r="K61" s="9"/>
    </row>
    <row r="62" spans="1:11">
      <c r="A62" s="52" t="s">
        <v>8</v>
      </c>
      <c r="B62" s="10"/>
      <c r="C62" s="10"/>
      <c r="D62" s="53" t="s">
        <v>4</v>
      </c>
      <c r="E62" s="13">
        <v>2026</v>
      </c>
      <c r="F62" s="11"/>
      <c r="G62" s="13"/>
      <c r="H62" s="12"/>
      <c r="I62" s="12"/>
      <c r="J62" s="12"/>
      <c r="K62" s="9"/>
    </row>
    <row r="63" spans="1:11">
      <c r="A63" s="52" t="s">
        <v>9</v>
      </c>
      <c r="B63" s="10"/>
      <c r="C63" s="10"/>
      <c r="D63" s="53" t="s">
        <v>4</v>
      </c>
      <c r="E63" s="14">
        <f>J74</f>
        <v>396000</v>
      </c>
      <c r="F63" s="11"/>
      <c r="G63" s="14"/>
      <c r="H63" s="12"/>
      <c r="I63" s="12"/>
      <c r="J63" s="12"/>
      <c r="K63" s="9"/>
    </row>
    <row r="64" spans="1:11" ht="15.75">
      <c r="A64" s="10"/>
      <c r="B64" s="10"/>
      <c r="C64" s="15" t="s">
        <v>10</v>
      </c>
      <c r="D64" s="53" t="s">
        <v>4</v>
      </c>
      <c r="E64" s="16" t="str">
        <f>PROPER(IF(E63=0,"nol",IF(E63&lt;0,"minus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63),"000000000000000"),1,3)=0,"",MID(TEXT(ABS(E63),"000000000000000"),1,1)&amp;" ratus "&amp;MID(TEXT(ABS(E63),"000000000000000"),2,1)&amp;" puluh "&amp;MID(TEXT(ABS(E63),"000000000000000"),3,1)&amp;" trilyun ")&amp;IF(--MID(TEXT(ABS(E63),"000000000000000"),4,3)=0,"",MID(TEXT(ABS(E63),"000000000000000"),4,1)&amp;" ratus "&amp;MID(TEXT(ABS(E63),"000000000000000"),5,1)&amp;" puluh "&amp;MID(TEXT(ABS(E63),"000000000000000"),6,1)&amp;" milyar ")&amp;IF(--MID(TEXT(ABS(E63),"000000000000000"),7,3)=0,"",MID(TEXT(ABS(E63),"000000000000000"),7,1)&amp;" ratus "&amp;MID(TEXT(ABS(E63),"000000000000000"),8,1)&amp;" puluh "&amp;MID(TEXT(ABS(E63),"000000000000000"),9,1)&amp;" juta ")&amp;IF(--MID(TEXT(ABS(E63),"000000000000000"),10,3)=0,"",IF(--MID(TEXT(ABS(E63),"000000000000000"),10,3)=1,"*",MID(TEXT(ABS(E63),"000000000000000"),10,1)&amp;" ratus "&amp;MID(TEXT(ABS(E63),"000000000000000"),11,1)&amp;" puluh ")&amp;MID(TEXT(ABS(E63),"000000000000000"),12,1)&amp;" ribu ")&amp;IF(--MID(TEXT(ABS(E63),"000000000000000"),13,3)=0,"",MID(TEXT(ABS(E63),"000000000000000"),13,1)&amp;" ratus "&amp;MID(TEXT(ABS(E63),"000000000000000"),14,1)&amp;" puluh "&amp;MID(TEXT(ABS(E63),"000000000000000"),15,1)),1,"satu"),2,"dua"),3,"tiga"),4,"empat"),5,"lima"),6,"enam"),7,"tujuh"),8,"delapan"),9,"sembilan"),"0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Sembilan Puluh Enam Ribu Rupiah</v>
      </c>
      <c r="F64" s="11"/>
      <c r="G64" s="16"/>
      <c r="H64" s="12"/>
      <c r="I64" s="12"/>
      <c r="J64" s="12"/>
      <c r="K64" s="9"/>
    </row>
    <row r="65" spans="1:11" ht="15.75">
      <c r="A65" s="10"/>
      <c r="B65" s="10"/>
      <c r="C65" s="15"/>
      <c r="D65" s="15"/>
      <c r="E65" s="15"/>
      <c r="F65" s="11"/>
      <c r="G65" s="16"/>
      <c r="H65" s="12"/>
      <c r="I65" s="12"/>
      <c r="J65" s="12"/>
      <c r="K65" s="9"/>
    </row>
    <row r="66" spans="1:11">
      <c r="A66" s="10" t="s">
        <v>11</v>
      </c>
      <c r="B66" s="10"/>
      <c r="C66" s="10"/>
      <c r="D66" s="10"/>
      <c r="E66" s="10"/>
      <c r="F66" s="10"/>
      <c r="G66" s="10"/>
      <c r="H66" s="12"/>
      <c r="I66" s="12"/>
      <c r="J66" s="12"/>
      <c r="K66" s="9"/>
    </row>
    <row r="67" spans="1:11">
      <c r="A67" s="74" t="s">
        <v>12</v>
      </c>
      <c r="B67" s="74"/>
      <c r="C67" s="74"/>
      <c r="D67" s="74"/>
      <c r="E67" s="74"/>
      <c r="F67" s="74"/>
      <c r="G67" s="74"/>
      <c r="H67" s="74"/>
      <c r="I67" s="74"/>
      <c r="J67" s="74"/>
      <c r="K67" s="74"/>
    </row>
    <row r="68" spans="1:11" ht="60">
      <c r="A68" s="17" t="s">
        <v>13</v>
      </c>
      <c r="B68" s="18" t="s">
        <v>14</v>
      </c>
      <c r="C68" s="59" t="s">
        <v>15</v>
      </c>
      <c r="D68" s="60"/>
      <c r="E68" s="61"/>
      <c r="F68" s="19"/>
      <c r="G68" s="20" t="s">
        <v>16</v>
      </c>
      <c r="H68" s="21" t="s">
        <v>35</v>
      </c>
      <c r="I68" s="21"/>
      <c r="J68" s="31" t="s">
        <v>17</v>
      </c>
      <c r="K68" s="32" t="s">
        <v>18</v>
      </c>
    </row>
    <row r="69" spans="1:11">
      <c r="A69" s="27">
        <v>1</v>
      </c>
      <c r="B69" s="24"/>
      <c r="C69" s="28" t="s">
        <v>23</v>
      </c>
      <c r="D69" s="57"/>
      <c r="E69" s="26"/>
      <c r="F69" s="25"/>
      <c r="G69" s="54" t="s">
        <v>19</v>
      </c>
      <c r="H69" s="54" t="s">
        <v>19</v>
      </c>
      <c r="I69" s="54"/>
      <c r="J69" s="54" t="s">
        <v>19</v>
      </c>
      <c r="K69" s="54" t="s">
        <v>19</v>
      </c>
    </row>
    <row r="70" spans="1:11">
      <c r="A70" s="24"/>
      <c r="B70" s="55" t="s">
        <v>20</v>
      </c>
      <c r="C70" s="25" t="s">
        <v>24</v>
      </c>
      <c r="D70" s="10"/>
      <c r="E70" s="26"/>
      <c r="F70" s="25"/>
      <c r="G70" s="23">
        <v>45000000</v>
      </c>
      <c r="H70" s="56">
        <f>J24</f>
        <v>139300</v>
      </c>
      <c r="I70" s="56"/>
      <c r="J70" s="56">
        <v>396000</v>
      </c>
      <c r="K70" s="58">
        <f t="shared" ref="K70:K73" si="1">G70-H70-J70</f>
        <v>44464700</v>
      </c>
    </row>
    <row r="71" spans="1:11">
      <c r="A71" s="24"/>
      <c r="B71" s="55" t="s">
        <v>21</v>
      </c>
      <c r="C71" s="62" t="s">
        <v>39</v>
      </c>
      <c r="D71" s="63"/>
      <c r="E71" s="64"/>
      <c r="F71" s="25"/>
      <c r="G71" s="23">
        <v>35000000</v>
      </c>
      <c r="H71" s="56">
        <v>0</v>
      </c>
      <c r="I71" s="56"/>
      <c r="J71" s="56">
        <v>0</v>
      </c>
      <c r="K71" s="58">
        <f t="shared" si="1"/>
        <v>35000000</v>
      </c>
    </row>
    <row r="72" spans="1:11">
      <c r="A72" s="24"/>
      <c r="B72" s="55" t="s">
        <v>22</v>
      </c>
      <c r="C72" s="65" t="s">
        <v>40</v>
      </c>
      <c r="D72" s="66"/>
      <c r="E72" s="67"/>
      <c r="F72" s="25"/>
      <c r="G72" s="23">
        <v>30000000</v>
      </c>
      <c r="H72" s="56">
        <v>0</v>
      </c>
      <c r="I72" s="22"/>
      <c r="J72" s="22">
        <v>0</v>
      </c>
      <c r="K72" s="33">
        <f t="shared" si="1"/>
        <v>30000000</v>
      </c>
    </row>
    <row r="73" spans="1:11">
      <c r="A73" s="24"/>
      <c r="B73" s="55" t="s">
        <v>36</v>
      </c>
      <c r="C73" s="68" t="s">
        <v>41</v>
      </c>
      <c r="D73" s="69"/>
      <c r="E73" s="70"/>
      <c r="F73" s="25"/>
      <c r="G73" s="23">
        <v>28125000</v>
      </c>
      <c r="H73" s="56">
        <v>0</v>
      </c>
      <c r="I73" s="22"/>
      <c r="J73" s="22">
        <v>0</v>
      </c>
      <c r="K73" s="33">
        <f t="shared" si="1"/>
        <v>28125000</v>
      </c>
    </row>
    <row r="74" spans="1:11">
      <c r="A74" s="34"/>
      <c r="B74" s="34"/>
      <c r="C74" s="34" t="s">
        <v>25</v>
      </c>
      <c r="D74" s="34"/>
      <c r="E74" s="34"/>
      <c r="F74" s="35"/>
      <c r="G74" s="36">
        <f>SUM(G69:G73)</f>
        <v>138125000</v>
      </c>
      <c r="H74" s="37">
        <f>SUM(H69:H73)</f>
        <v>139300</v>
      </c>
      <c r="I74" s="37"/>
      <c r="J74" s="37">
        <f>SUM(J69:J73)</f>
        <v>396000</v>
      </c>
      <c r="K74" s="37">
        <f>SUM(K69:K73)</f>
        <v>137589700</v>
      </c>
    </row>
    <row r="75" spans="1:11">
      <c r="A75" s="38"/>
      <c r="B75" s="8"/>
      <c r="C75" s="8"/>
      <c r="D75" s="8"/>
      <c r="E75" s="8"/>
      <c r="F75" s="8"/>
      <c r="G75" s="39"/>
      <c r="H75" s="39"/>
      <c r="I75" s="39"/>
      <c r="J75" s="39"/>
      <c r="K75" s="39"/>
    </row>
    <row r="76" spans="1:11">
      <c r="A76" s="71" t="s">
        <v>26</v>
      </c>
      <c r="B76" s="71"/>
      <c r="C76" s="71"/>
      <c r="D76" s="11" t="s">
        <v>4</v>
      </c>
      <c r="E76" s="14">
        <f>J74</f>
        <v>396000</v>
      </c>
      <c r="F76" s="40"/>
      <c r="G76" s="41"/>
      <c r="H76" s="41"/>
      <c r="I76" s="41"/>
      <c r="J76" s="9"/>
      <c r="K76" s="9"/>
    </row>
    <row r="77" spans="1:11">
      <c r="A77" s="10" t="s">
        <v>27</v>
      </c>
      <c r="B77" s="10"/>
      <c r="C77" s="10"/>
      <c r="D77" s="11" t="s">
        <v>4</v>
      </c>
      <c r="E77" s="42"/>
      <c r="F77" s="42"/>
      <c r="G77" s="43"/>
      <c r="H77" s="12"/>
      <c r="I77" s="12"/>
      <c r="J77" s="9"/>
      <c r="K77" s="9"/>
    </row>
    <row r="78" spans="1:11">
      <c r="A78" s="10" t="s">
        <v>28</v>
      </c>
      <c r="B78" s="10"/>
      <c r="C78" s="10"/>
      <c r="D78" s="11" t="s">
        <v>4</v>
      </c>
      <c r="E78" s="44"/>
      <c r="F78" s="44"/>
      <c r="G78" s="43"/>
      <c r="H78" s="12"/>
      <c r="I78" s="12"/>
      <c r="J78" s="9"/>
      <c r="K78" s="9"/>
    </row>
    <row r="79" spans="1:11">
      <c r="A79" s="10" t="s">
        <v>29</v>
      </c>
      <c r="B79" s="10"/>
      <c r="C79" s="10"/>
      <c r="D79" s="11" t="s">
        <v>4</v>
      </c>
      <c r="E79" s="44">
        <f>E77+E78</f>
        <v>0</v>
      </c>
      <c r="F79" s="44"/>
      <c r="G79" s="10"/>
      <c r="H79" s="12"/>
      <c r="I79" s="12"/>
      <c r="J79" s="46"/>
      <c r="K79" s="46"/>
    </row>
    <row r="80" spans="1:11">
      <c r="A80" s="13"/>
      <c r="B80" s="13"/>
      <c r="C80" s="13"/>
      <c r="D80" s="11"/>
      <c r="E80" s="13"/>
      <c r="F80" s="13"/>
      <c r="G80" s="10"/>
      <c r="H80" s="12"/>
      <c r="I80" s="12"/>
      <c r="J80" s="46"/>
      <c r="K80" s="46"/>
    </row>
    <row r="81" spans="1:11">
      <c r="A81" s="71" t="s">
        <v>30</v>
      </c>
      <c r="B81" s="71"/>
      <c r="C81" s="71"/>
      <c r="D81" s="11" t="s">
        <v>4</v>
      </c>
      <c r="E81" s="40">
        <f>E76-E79</f>
        <v>396000</v>
      </c>
      <c r="F81" s="40"/>
      <c r="G81" s="10"/>
      <c r="H81" s="12"/>
      <c r="I81" s="12"/>
      <c r="J81" s="46"/>
      <c r="K81" s="46"/>
    </row>
    <row r="82" spans="1:11" ht="15.75">
      <c r="A82" s="13"/>
      <c r="B82" s="13"/>
      <c r="C82" s="10"/>
      <c r="D82" s="10"/>
      <c r="E82" s="16" t="str">
        <f>PROPER(IF(E81=0,"nol",IF(E81&lt;0,"minus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81),"000000000000000"),1,3)=0,"",MID(TEXT(ABS(E81),"000000000000000"),1,1)&amp;" ratus "&amp;MID(TEXT(ABS(E81),"000000000000000"),2,1)&amp;" puluh "&amp;MID(TEXT(ABS(E81),"000000000000000"),3,1)&amp;" trilyun ")&amp;IF(--MID(TEXT(ABS(E81),"000000000000000"),4,3)=0,"",MID(TEXT(ABS(E81),"000000000000000"),4,1)&amp;" ratus "&amp;MID(TEXT(ABS(E81),"000000000000000"),5,1)&amp;" puluh "&amp;MID(TEXT(ABS(E81),"000000000000000"),6,1)&amp;" milyar ")&amp;IF(--MID(TEXT(ABS(E81),"000000000000000"),7,3)=0,"",MID(TEXT(ABS(E81),"000000000000000"),7,1)&amp;" ratus "&amp;MID(TEXT(ABS(E81),"000000000000000"),8,1)&amp;" puluh "&amp;MID(TEXT(ABS(E81),"000000000000000"),9,1)&amp;" juta ")&amp;IF(--MID(TEXT(ABS(E81),"000000000000000"),10,3)=0,"",IF(--MID(TEXT(ABS(E81),"000000000000000"),10,3)=1,"*",MID(TEXT(ABS(E81),"000000000000000"),10,1)&amp;" ratus "&amp;MID(TEXT(ABS(E81),"000000000000000"),11,1)&amp;" puluh ")&amp;MID(TEXT(ABS(E81),"000000000000000"),12,1)&amp;" ribu ")&amp;IF(--MID(TEXT(ABS(E81),"000000000000000"),13,3)=0,"",MID(TEXT(ABS(E81),"000000000000000"),13,1)&amp;" ratus "&amp;MID(TEXT(ABS(E81),"000000000000000"),14,1)&amp;" puluh "&amp;MID(TEXT(ABS(E81),"000000000000000"),15,1)),1,"satu"),2,"dua"),3,"tiga"),4,"empat"),5,"lima"),6,"enam"),7,"tujuh"),8,"delapan"),9,"sembilan"),"0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Sembilan Puluh Enam Ribu Rupiah</v>
      </c>
      <c r="F82" s="10"/>
      <c r="G82" s="10"/>
      <c r="H82" s="10"/>
      <c r="I82" s="10"/>
      <c r="J82" s="46"/>
      <c r="K82" s="46"/>
    </row>
    <row r="83" spans="1:11">
      <c r="A83" s="45"/>
      <c r="B83" s="45"/>
      <c r="C83" s="45"/>
      <c r="D83" s="45"/>
      <c r="E83" s="45"/>
      <c r="F83" s="45"/>
      <c r="G83" s="29"/>
      <c r="H83" s="46"/>
      <c r="I83" s="46"/>
      <c r="J83" s="46"/>
      <c r="K83" s="46"/>
    </row>
    <row r="84" spans="1:11">
      <c r="A84" s="29"/>
      <c r="B84" s="29"/>
      <c r="C84" s="29"/>
      <c r="D84" s="29"/>
      <c r="E84" s="29"/>
      <c r="F84" s="29"/>
      <c r="G84" s="29"/>
      <c r="H84"/>
      <c r="I84"/>
      <c r="J84" s="46"/>
      <c r="K84" s="46"/>
    </row>
    <row r="85" spans="1:11">
      <c r="A85" s="13"/>
      <c r="B85" s="13"/>
      <c r="C85" s="10"/>
      <c r="D85" s="10"/>
      <c r="E85" s="10"/>
      <c r="F85" s="10"/>
      <c r="G85" s="10"/>
      <c r="I85" s="47"/>
      <c r="J85" s="47" t="s">
        <v>45</v>
      </c>
      <c r="K85" s="46"/>
    </row>
    <row r="86" spans="1:11">
      <c r="A86" s="12" t="s">
        <v>31</v>
      </c>
      <c r="B86" s="10"/>
      <c r="C86" s="10"/>
      <c r="D86" s="10"/>
      <c r="E86" s="10"/>
      <c r="F86" s="10"/>
      <c r="G86" s="10"/>
      <c r="I86" s="12"/>
      <c r="J86" s="12" t="s">
        <v>32</v>
      </c>
      <c r="K86" s="46"/>
    </row>
    <row r="87" spans="1:11">
      <c r="A87" s="10"/>
      <c r="B87" s="10"/>
      <c r="C87" s="10"/>
      <c r="D87" s="10"/>
      <c r="E87" s="10"/>
      <c r="F87" s="10"/>
      <c r="G87" s="10"/>
      <c r="I87" s="12"/>
      <c r="J87" s="12"/>
      <c r="K87" s="46"/>
    </row>
    <row r="88" spans="1:11">
      <c r="A88" s="10"/>
      <c r="B88" s="10"/>
      <c r="C88" s="10"/>
      <c r="D88" s="10"/>
      <c r="E88" s="10"/>
      <c r="F88" s="10"/>
      <c r="G88" s="10"/>
      <c r="I88" s="12"/>
      <c r="J88" s="12"/>
      <c r="K88" s="46"/>
    </row>
    <row r="89" spans="1:11">
      <c r="A89" s="10"/>
      <c r="B89" s="10"/>
      <c r="C89" s="10"/>
      <c r="D89" s="10"/>
      <c r="E89" s="10"/>
      <c r="F89" s="10"/>
      <c r="G89" s="10"/>
      <c r="I89" s="12"/>
      <c r="J89" s="12"/>
      <c r="K89" s="46"/>
    </row>
    <row r="90" spans="1:11">
      <c r="A90" s="10"/>
      <c r="B90" s="10"/>
      <c r="C90" s="10"/>
      <c r="D90" s="10"/>
      <c r="E90" s="10"/>
      <c r="F90" s="10"/>
      <c r="G90" s="10"/>
      <c r="I90" s="12"/>
      <c r="J90" s="12"/>
      <c r="K90" s="46"/>
    </row>
    <row r="91" spans="1:11">
      <c r="A91" s="48" t="s">
        <v>37</v>
      </c>
      <c r="B91" s="48"/>
      <c r="C91" s="49"/>
      <c r="D91" s="49"/>
      <c r="E91" s="49"/>
      <c r="F91" s="49"/>
      <c r="G91" s="10" t="s">
        <v>33</v>
      </c>
      <c r="I91" s="48"/>
      <c r="J91" s="48" t="s">
        <v>34</v>
      </c>
      <c r="K91" s="46"/>
    </row>
    <row r="96" spans="1:11" ht="15.75">
      <c r="C96" s="2"/>
      <c r="D96" s="2"/>
      <c r="E96" s="2"/>
      <c r="F96" s="2"/>
    </row>
    <row r="97" spans="1:11" ht="15.75">
      <c r="A97" s="3"/>
      <c r="B97" s="3"/>
      <c r="C97" s="2"/>
      <c r="D97" s="2"/>
      <c r="E97" s="2"/>
      <c r="F97" s="2"/>
      <c r="G97" s="3"/>
      <c r="H97" s="4"/>
      <c r="I97" s="4"/>
      <c r="J97" s="4"/>
      <c r="K97" s="5"/>
    </row>
    <row r="98" spans="1:11">
      <c r="H98" s="5"/>
      <c r="I98" s="5"/>
      <c r="J98" s="5"/>
      <c r="K98" s="5"/>
    </row>
    <row r="99" spans="1:11">
      <c r="H99" s="5"/>
      <c r="I99" s="5"/>
      <c r="J99" s="5"/>
      <c r="K99" s="5"/>
    </row>
    <row r="100" spans="1:11">
      <c r="A100" s="72" t="s">
        <v>0</v>
      </c>
      <c r="B100" s="72"/>
      <c r="C100" s="73"/>
      <c r="D100" s="73"/>
      <c r="E100" s="73"/>
      <c r="F100" s="73"/>
      <c r="G100" s="73"/>
      <c r="H100" s="73"/>
      <c r="I100" s="73"/>
      <c r="J100" s="73"/>
      <c r="K100" s="73"/>
    </row>
    <row r="101" spans="1:11">
      <c r="A101" s="73" t="s">
        <v>46</v>
      </c>
      <c r="B101" s="73"/>
      <c r="C101" s="73"/>
      <c r="D101" s="73"/>
      <c r="E101" s="73"/>
      <c r="F101" s="73"/>
      <c r="G101" s="73"/>
      <c r="H101" s="73"/>
      <c r="I101" s="73"/>
      <c r="J101" s="73"/>
      <c r="K101" s="73"/>
    </row>
    <row r="102" spans="1:11">
      <c r="A102" s="73" t="s">
        <v>1</v>
      </c>
      <c r="B102" s="73"/>
      <c r="C102" s="73"/>
      <c r="D102" s="73"/>
      <c r="E102" s="73"/>
      <c r="F102" s="73"/>
      <c r="G102" s="73"/>
      <c r="H102" s="73"/>
      <c r="I102" s="73"/>
      <c r="J102" s="73"/>
      <c r="K102" s="73"/>
    </row>
    <row r="103" spans="1:11">
      <c r="A103" s="73" t="s">
        <v>38</v>
      </c>
      <c r="B103" s="73"/>
      <c r="C103" s="73"/>
      <c r="D103" s="73"/>
      <c r="E103" s="73"/>
      <c r="F103" s="73"/>
      <c r="G103" s="73"/>
      <c r="H103" s="73"/>
      <c r="I103" s="73"/>
      <c r="J103" s="73"/>
      <c r="K103" s="73"/>
    </row>
    <row r="104" spans="1:11">
      <c r="A104" s="73" t="s">
        <v>2</v>
      </c>
      <c r="B104" s="73"/>
      <c r="C104" s="73"/>
      <c r="D104" s="73"/>
      <c r="E104" s="73"/>
      <c r="F104" s="73"/>
      <c r="G104" s="73"/>
      <c r="H104" s="73"/>
      <c r="I104" s="73"/>
      <c r="J104" s="73"/>
      <c r="K104" s="73"/>
    </row>
    <row r="105" spans="1:11">
      <c r="A105" s="6"/>
      <c r="B105" s="6"/>
      <c r="C105" s="7"/>
      <c r="D105" s="7"/>
      <c r="E105" s="7"/>
      <c r="F105" s="7"/>
      <c r="G105" s="8"/>
      <c r="H105" s="9"/>
      <c r="I105" s="9"/>
      <c r="J105" s="9"/>
      <c r="K105" s="9"/>
    </row>
    <row r="106" spans="1:11">
      <c r="A106" s="52" t="s">
        <v>3</v>
      </c>
      <c r="B106" s="10"/>
      <c r="C106" s="10"/>
      <c r="D106" s="53" t="s">
        <v>4</v>
      </c>
      <c r="E106" s="10" t="s">
        <v>5</v>
      </c>
      <c r="F106" s="11"/>
      <c r="G106" s="10"/>
      <c r="H106" s="12"/>
      <c r="I106" s="12"/>
      <c r="J106" s="12"/>
      <c r="K106" s="9"/>
    </row>
    <row r="107" spans="1:11">
      <c r="A107" s="52" t="s">
        <v>6</v>
      </c>
      <c r="B107" s="10"/>
      <c r="C107" s="10"/>
      <c r="D107" s="53" t="s">
        <v>4</v>
      </c>
      <c r="E107" s="10" t="s">
        <v>7</v>
      </c>
      <c r="F107" s="11"/>
      <c r="G107" s="10"/>
      <c r="H107" s="12"/>
      <c r="I107" s="12"/>
      <c r="J107" s="12"/>
      <c r="K107" s="9"/>
    </row>
    <row r="108" spans="1:11">
      <c r="A108" s="52" t="s">
        <v>8</v>
      </c>
      <c r="B108" s="10"/>
      <c r="C108" s="10"/>
      <c r="D108" s="53" t="s">
        <v>4</v>
      </c>
      <c r="E108" s="13">
        <v>2026</v>
      </c>
      <c r="F108" s="11"/>
      <c r="G108" s="13"/>
      <c r="H108" s="12"/>
      <c r="I108" s="12"/>
      <c r="J108" s="12"/>
      <c r="K108" s="9"/>
    </row>
    <row r="109" spans="1:11">
      <c r="A109" s="52" t="s">
        <v>9</v>
      </c>
      <c r="B109" s="10"/>
      <c r="C109" s="10"/>
      <c r="D109" s="53" t="s">
        <v>4</v>
      </c>
      <c r="E109" s="14">
        <f>J120</f>
        <v>335000</v>
      </c>
      <c r="F109" s="11"/>
      <c r="G109" s="14"/>
      <c r="H109" s="12"/>
      <c r="I109" s="12"/>
      <c r="J109" s="12"/>
      <c r="K109" s="9"/>
    </row>
    <row r="110" spans="1:11" ht="15.75">
      <c r="A110" s="10"/>
      <c r="B110" s="10"/>
      <c r="C110" s="15" t="s">
        <v>10</v>
      </c>
      <c r="D110" s="53" t="s">
        <v>4</v>
      </c>
      <c r="E110" s="16" t="str">
        <f>PROPER(IF(E109=0,"nol",IF(E109&lt;0,"minus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109),"000000000000000"),1,3)=0,"",MID(TEXT(ABS(E109),"000000000000000"),1,1)&amp;" ratus "&amp;MID(TEXT(ABS(E109),"000000000000000"),2,1)&amp;" puluh "&amp;MID(TEXT(ABS(E109),"000000000000000"),3,1)&amp;" trilyun ")&amp;IF(--MID(TEXT(ABS(E109),"000000000000000"),4,3)=0,"",MID(TEXT(ABS(E109),"000000000000000"),4,1)&amp;" ratus "&amp;MID(TEXT(ABS(E109),"000000000000000"),5,1)&amp;" puluh "&amp;MID(TEXT(ABS(E109),"000000000000000"),6,1)&amp;" milyar ")&amp;IF(--MID(TEXT(ABS(E109),"000000000000000"),7,3)=0,"",MID(TEXT(ABS(E109),"000000000000000"),7,1)&amp;" ratus "&amp;MID(TEXT(ABS(E109),"000000000000000"),8,1)&amp;" puluh "&amp;MID(TEXT(ABS(E109),"000000000000000"),9,1)&amp;" juta ")&amp;IF(--MID(TEXT(ABS(E109),"000000000000000"),10,3)=0,"",IF(--MID(TEXT(ABS(E109),"000000000000000"),10,3)=1,"*",MID(TEXT(ABS(E109),"000000000000000"),10,1)&amp;" ratus "&amp;MID(TEXT(ABS(E109),"000000000000000"),11,1)&amp;" puluh ")&amp;MID(TEXT(ABS(E109),"000000000000000"),12,1)&amp;" ribu ")&amp;IF(--MID(TEXT(ABS(E109),"000000000000000"),13,3)=0,"",MID(TEXT(ABS(E109),"000000000000000"),13,1)&amp;" ratus "&amp;MID(TEXT(ABS(E109),"000000000000000"),14,1)&amp;" puluh "&amp;MID(TEXT(ABS(E109),"000000000000000"),15,1)),1,"satu"),2,"dua"),3,"tiga"),4,"empat"),5,"lima"),6,"enam"),7,"tujuh"),8,"delapan"),9,"sembilan"),"0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Tiga Puluh Lima Ribu Rupiah</v>
      </c>
      <c r="F110" s="11"/>
      <c r="G110" s="16"/>
      <c r="H110" s="12"/>
      <c r="I110" s="12"/>
      <c r="J110" s="12"/>
      <c r="K110" s="9"/>
    </row>
    <row r="111" spans="1:11" ht="15.75">
      <c r="A111" s="10"/>
      <c r="B111" s="10"/>
      <c r="C111" s="15"/>
      <c r="D111" s="15"/>
      <c r="E111" s="15"/>
      <c r="F111" s="11"/>
      <c r="G111" s="16"/>
      <c r="H111" s="12"/>
      <c r="I111" s="12"/>
      <c r="J111" s="12"/>
      <c r="K111" s="9"/>
    </row>
    <row r="112" spans="1:11">
      <c r="A112" s="10" t="s">
        <v>11</v>
      </c>
      <c r="B112" s="10"/>
      <c r="C112" s="10"/>
      <c r="D112" s="10"/>
      <c r="E112" s="10"/>
      <c r="F112" s="10"/>
      <c r="G112" s="10"/>
      <c r="H112" s="12"/>
      <c r="I112" s="12"/>
      <c r="J112" s="12"/>
      <c r="K112" s="9"/>
    </row>
    <row r="113" spans="1:11">
      <c r="A113" s="74" t="s">
        <v>12</v>
      </c>
      <c r="B113" s="74"/>
      <c r="C113" s="74"/>
      <c r="D113" s="74"/>
      <c r="E113" s="74"/>
      <c r="F113" s="74"/>
      <c r="G113" s="74"/>
      <c r="H113" s="74"/>
      <c r="I113" s="74"/>
      <c r="J113" s="74"/>
      <c r="K113" s="74"/>
    </row>
    <row r="114" spans="1:11" ht="60">
      <c r="A114" s="17" t="s">
        <v>13</v>
      </c>
      <c r="B114" s="18" t="s">
        <v>14</v>
      </c>
      <c r="C114" s="59" t="s">
        <v>15</v>
      </c>
      <c r="D114" s="60"/>
      <c r="E114" s="61"/>
      <c r="F114" s="19"/>
      <c r="G114" s="20" t="s">
        <v>16</v>
      </c>
      <c r="H114" s="21" t="s">
        <v>35</v>
      </c>
      <c r="I114" s="21"/>
      <c r="J114" s="31" t="s">
        <v>17</v>
      </c>
      <c r="K114" s="32" t="s">
        <v>18</v>
      </c>
    </row>
    <row r="115" spans="1:11">
      <c r="A115" s="27">
        <v>1</v>
      </c>
      <c r="B115" s="24"/>
      <c r="C115" s="28" t="s">
        <v>23</v>
      </c>
      <c r="D115" s="57"/>
      <c r="E115" s="26"/>
      <c r="F115" s="25"/>
      <c r="G115" s="54" t="s">
        <v>19</v>
      </c>
      <c r="H115" s="54" t="s">
        <v>19</v>
      </c>
      <c r="I115" s="54"/>
      <c r="J115" s="54" t="s">
        <v>19</v>
      </c>
      <c r="K115" s="54" t="s">
        <v>19</v>
      </c>
    </row>
    <row r="116" spans="1:11">
      <c r="A116" s="24"/>
      <c r="B116" s="55" t="s">
        <v>20</v>
      </c>
      <c r="C116" s="25" t="s">
        <v>24</v>
      </c>
      <c r="D116" s="10"/>
      <c r="E116" s="26"/>
      <c r="F116" s="25"/>
      <c r="G116" s="23">
        <v>45000000</v>
      </c>
      <c r="H116" s="56">
        <f>H70+J70</f>
        <v>535300</v>
      </c>
      <c r="I116" s="56"/>
      <c r="J116" s="56">
        <v>335000</v>
      </c>
      <c r="K116" s="58">
        <f t="shared" ref="K116:K119" si="2">G116-H116-J116</f>
        <v>44129700</v>
      </c>
    </row>
    <row r="117" spans="1:11">
      <c r="A117" s="24"/>
      <c r="B117" s="55" t="s">
        <v>21</v>
      </c>
      <c r="C117" s="62" t="s">
        <v>39</v>
      </c>
      <c r="D117" s="63"/>
      <c r="E117" s="64"/>
      <c r="F117" s="25"/>
      <c r="G117" s="23">
        <v>35000000</v>
      </c>
      <c r="H117" s="56">
        <v>0</v>
      </c>
      <c r="I117" s="56"/>
      <c r="J117" s="56">
        <v>0</v>
      </c>
      <c r="K117" s="58">
        <f t="shared" si="2"/>
        <v>35000000</v>
      </c>
    </row>
    <row r="118" spans="1:11">
      <c r="A118" s="24"/>
      <c r="B118" s="55" t="s">
        <v>22</v>
      </c>
      <c r="C118" s="65" t="s">
        <v>40</v>
      </c>
      <c r="D118" s="66"/>
      <c r="E118" s="67"/>
      <c r="F118" s="25"/>
      <c r="G118" s="23">
        <v>30000000</v>
      </c>
      <c r="H118" s="56">
        <v>0</v>
      </c>
      <c r="I118" s="22"/>
      <c r="J118" s="22">
        <v>0</v>
      </c>
      <c r="K118" s="33">
        <f t="shared" si="2"/>
        <v>30000000</v>
      </c>
    </row>
    <row r="119" spans="1:11">
      <c r="A119" s="24"/>
      <c r="B119" s="55" t="s">
        <v>36</v>
      </c>
      <c r="C119" s="68" t="s">
        <v>41</v>
      </c>
      <c r="D119" s="69"/>
      <c r="E119" s="70"/>
      <c r="F119" s="25"/>
      <c r="G119" s="23">
        <v>28125000</v>
      </c>
      <c r="H119" s="56">
        <v>0</v>
      </c>
      <c r="I119" s="22"/>
      <c r="J119" s="22">
        <v>0</v>
      </c>
      <c r="K119" s="33">
        <f t="shared" si="2"/>
        <v>28125000</v>
      </c>
    </row>
    <row r="120" spans="1:11">
      <c r="A120" s="34"/>
      <c r="B120" s="34"/>
      <c r="C120" s="34" t="s">
        <v>25</v>
      </c>
      <c r="D120" s="34"/>
      <c r="E120" s="34"/>
      <c r="F120" s="35"/>
      <c r="G120" s="36">
        <f>SUM(G115:G119)</f>
        <v>138125000</v>
      </c>
      <c r="H120" s="37">
        <f>SUM(H115:H119)</f>
        <v>535300</v>
      </c>
      <c r="I120" s="37"/>
      <c r="J120" s="37">
        <f>SUM(J115:J119)</f>
        <v>335000</v>
      </c>
      <c r="K120" s="37">
        <f>SUM(K115:K119)</f>
        <v>137254700</v>
      </c>
    </row>
    <row r="121" spans="1:11">
      <c r="A121" s="38"/>
      <c r="B121" s="8"/>
      <c r="C121" s="8"/>
      <c r="D121" s="8"/>
      <c r="E121" s="8"/>
      <c r="F121" s="8"/>
      <c r="G121" s="39"/>
      <c r="H121" s="39"/>
      <c r="I121" s="39"/>
      <c r="J121" s="39"/>
      <c r="K121" s="39"/>
    </row>
    <row r="122" spans="1:11">
      <c r="A122" s="71" t="s">
        <v>26</v>
      </c>
      <c r="B122" s="71"/>
      <c r="C122" s="71"/>
      <c r="D122" s="11" t="s">
        <v>4</v>
      </c>
      <c r="E122" s="14">
        <f>J120</f>
        <v>335000</v>
      </c>
      <c r="F122" s="40"/>
      <c r="G122" s="41"/>
      <c r="H122" s="41"/>
      <c r="I122" s="41"/>
      <c r="J122" s="9"/>
      <c r="K122" s="9"/>
    </row>
    <row r="123" spans="1:11">
      <c r="A123" s="10" t="s">
        <v>27</v>
      </c>
      <c r="B123" s="10"/>
      <c r="C123" s="10"/>
      <c r="D123" s="11" t="s">
        <v>4</v>
      </c>
      <c r="E123" s="42"/>
      <c r="F123" s="42"/>
      <c r="G123" s="43"/>
      <c r="H123" s="12"/>
      <c r="I123" s="12"/>
      <c r="J123" s="9"/>
      <c r="K123" s="9"/>
    </row>
    <row r="124" spans="1:11">
      <c r="A124" s="10" t="s">
        <v>28</v>
      </c>
      <c r="B124" s="10"/>
      <c r="C124" s="10"/>
      <c r="D124" s="11" t="s">
        <v>4</v>
      </c>
      <c r="E124" s="44"/>
      <c r="F124" s="44"/>
      <c r="G124" s="43"/>
      <c r="H124" s="12"/>
      <c r="I124" s="12"/>
      <c r="J124" s="9"/>
      <c r="K124" s="9"/>
    </row>
    <row r="125" spans="1:11">
      <c r="A125" s="10" t="s">
        <v>29</v>
      </c>
      <c r="B125" s="10"/>
      <c r="C125" s="10"/>
      <c r="D125" s="11" t="s">
        <v>4</v>
      </c>
      <c r="E125" s="44">
        <f>E123+E124</f>
        <v>0</v>
      </c>
      <c r="F125" s="44"/>
      <c r="G125" s="10"/>
      <c r="H125" s="12"/>
      <c r="I125" s="12"/>
      <c r="J125" s="46"/>
      <c r="K125" s="46"/>
    </row>
    <row r="126" spans="1:11">
      <c r="A126" s="13"/>
      <c r="B126" s="13"/>
      <c r="C126" s="13"/>
      <c r="D126" s="11"/>
      <c r="E126" s="13"/>
      <c r="F126" s="13"/>
      <c r="G126" s="10"/>
      <c r="H126" s="12"/>
      <c r="I126" s="12"/>
      <c r="J126" s="46"/>
      <c r="K126" s="46"/>
    </row>
    <row r="127" spans="1:11">
      <c r="A127" s="71" t="s">
        <v>30</v>
      </c>
      <c r="B127" s="71"/>
      <c r="C127" s="71"/>
      <c r="D127" s="11" t="s">
        <v>4</v>
      </c>
      <c r="E127" s="40">
        <f>E122-E125</f>
        <v>335000</v>
      </c>
      <c r="F127" s="40"/>
      <c r="G127" s="10"/>
      <c r="H127" s="12"/>
      <c r="I127" s="12"/>
      <c r="J127" s="46"/>
      <c r="K127" s="46"/>
    </row>
    <row r="128" spans="1:11" ht="15.75">
      <c r="A128" s="13"/>
      <c r="B128" s="13"/>
      <c r="C128" s="10"/>
      <c r="D128" s="10"/>
      <c r="E128" s="16" t="str">
        <f>PROPER(IF(E127=0,"nol",IF(E127&lt;0,"minus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127),"000000000000000"),1,3)=0,"",MID(TEXT(ABS(E127),"000000000000000"),1,1)&amp;" ratus "&amp;MID(TEXT(ABS(E127),"000000000000000"),2,1)&amp;" puluh "&amp;MID(TEXT(ABS(E127),"000000000000000"),3,1)&amp;" trilyun ")&amp;IF(--MID(TEXT(ABS(E127),"000000000000000"),4,3)=0,"",MID(TEXT(ABS(E127),"000000000000000"),4,1)&amp;" ratus "&amp;MID(TEXT(ABS(E127),"000000000000000"),5,1)&amp;" puluh "&amp;MID(TEXT(ABS(E127),"000000000000000"),6,1)&amp;" milyar ")&amp;IF(--MID(TEXT(ABS(E127),"000000000000000"),7,3)=0,"",MID(TEXT(ABS(E127),"000000000000000"),7,1)&amp;" ratus "&amp;MID(TEXT(ABS(E127),"000000000000000"),8,1)&amp;" puluh "&amp;MID(TEXT(ABS(E127),"000000000000000"),9,1)&amp;" juta ")&amp;IF(--MID(TEXT(ABS(E127),"000000000000000"),10,3)=0,"",IF(--MID(TEXT(ABS(E127),"000000000000000"),10,3)=1,"*",MID(TEXT(ABS(E127),"000000000000000"),10,1)&amp;" ratus "&amp;MID(TEXT(ABS(E127),"000000000000000"),11,1)&amp;" puluh ")&amp;MID(TEXT(ABS(E127),"000000000000000"),12,1)&amp;" ribu ")&amp;IF(--MID(TEXT(ABS(E127),"000000000000000"),13,3)=0,"",MID(TEXT(ABS(E127),"000000000000000"),13,1)&amp;" ratus "&amp;MID(TEXT(ABS(E127),"000000000000000"),14,1)&amp;" puluh "&amp;MID(TEXT(ABS(E127),"000000000000000"),15,1)),1,"satu"),2,"dua"),3,"tiga"),4,"empat"),5,"lima"),6,"enam"),7,"tujuh"),8,"delapan"),9,"sembilan"),"0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Tiga Puluh Lima Ribu Rupiah</v>
      </c>
      <c r="F128" s="10"/>
      <c r="G128" s="10"/>
      <c r="H128" s="10"/>
      <c r="I128" s="10"/>
      <c r="J128" s="46"/>
      <c r="K128" s="46"/>
    </row>
    <row r="129" spans="1:11">
      <c r="A129" s="45"/>
      <c r="B129" s="45"/>
      <c r="C129" s="45"/>
      <c r="D129" s="45"/>
      <c r="E129" s="45"/>
      <c r="F129" s="45"/>
      <c r="G129" s="29"/>
      <c r="H129" s="46"/>
      <c r="I129" s="46"/>
      <c r="J129" s="46"/>
      <c r="K129" s="46"/>
    </row>
    <row r="130" spans="1:11">
      <c r="A130" s="29"/>
      <c r="B130" s="29"/>
      <c r="C130" s="29"/>
      <c r="D130" s="29"/>
      <c r="E130" s="29"/>
      <c r="F130" s="29"/>
      <c r="G130" s="29"/>
      <c r="H130"/>
      <c r="I130"/>
      <c r="J130" s="46"/>
      <c r="K130" s="46"/>
    </row>
    <row r="131" spans="1:11">
      <c r="A131" s="13"/>
      <c r="B131" s="13"/>
      <c r="C131" s="10"/>
      <c r="D131" s="10"/>
      <c r="E131" s="10"/>
      <c r="F131" s="10"/>
      <c r="G131" s="10"/>
      <c r="I131" s="47"/>
      <c r="J131" s="47" t="s">
        <v>47</v>
      </c>
      <c r="K131" s="46"/>
    </row>
    <row r="132" spans="1:11">
      <c r="A132" s="12" t="s">
        <v>31</v>
      </c>
      <c r="B132" s="10"/>
      <c r="C132" s="10"/>
      <c r="D132" s="10"/>
      <c r="E132" s="10"/>
      <c r="F132" s="10"/>
      <c r="G132" s="10"/>
      <c r="I132" s="12"/>
      <c r="J132" s="12" t="s">
        <v>32</v>
      </c>
      <c r="K132" s="46"/>
    </row>
    <row r="133" spans="1:11">
      <c r="A133" s="10"/>
      <c r="B133" s="10"/>
      <c r="C133" s="10"/>
      <c r="D133" s="10"/>
      <c r="E133" s="10"/>
      <c r="F133" s="10"/>
      <c r="G133" s="10"/>
      <c r="I133" s="12"/>
      <c r="J133" s="12"/>
      <c r="K133" s="46"/>
    </row>
    <row r="134" spans="1:11">
      <c r="A134" s="10"/>
      <c r="B134" s="10"/>
      <c r="C134" s="10"/>
      <c r="D134" s="10"/>
      <c r="E134" s="10"/>
      <c r="F134" s="10"/>
      <c r="G134" s="10"/>
      <c r="I134" s="12"/>
      <c r="J134" s="12"/>
      <c r="K134" s="46"/>
    </row>
    <row r="135" spans="1:11">
      <c r="A135" s="10"/>
      <c r="B135" s="10"/>
      <c r="C135" s="10"/>
      <c r="D135" s="10"/>
      <c r="E135" s="10"/>
      <c r="F135" s="10"/>
      <c r="G135" s="10"/>
      <c r="I135" s="12"/>
      <c r="J135" s="12"/>
      <c r="K135" s="46"/>
    </row>
    <row r="136" spans="1:11">
      <c r="A136" s="10"/>
      <c r="B136" s="10"/>
      <c r="C136" s="10"/>
      <c r="D136" s="10"/>
      <c r="E136" s="10"/>
      <c r="F136" s="10"/>
      <c r="G136" s="10"/>
      <c r="I136" s="12"/>
      <c r="J136" s="12"/>
      <c r="K136" s="46"/>
    </row>
    <row r="137" spans="1:11">
      <c r="A137" s="48" t="s">
        <v>37</v>
      </c>
      <c r="B137" s="48"/>
      <c r="C137" s="49"/>
      <c r="D137" s="49"/>
      <c r="E137" s="49"/>
      <c r="F137" s="49"/>
      <c r="G137" s="10" t="s">
        <v>33</v>
      </c>
      <c r="I137" s="48"/>
      <c r="J137" s="48" t="s">
        <v>34</v>
      </c>
      <c r="K137" s="46"/>
    </row>
    <row r="142" spans="1:11" ht="15.75">
      <c r="C142" s="2"/>
      <c r="D142" s="2"/>
      <c r="E142" s="2"/>
      <c r="F142" s="2"/>
    </row>
    <row r="143" spans="1:11" ht="15.75">
      <c r="A143" s="3"/>
      <c r="B143" s="3"/>
      <c r="C143" s="2"/>
      <c r="D143" s="2"/>
      <c r="E143" s="2"/>
      <c r="F143" s="2"/>
      <c r="G143" s="3"/>
      <c r="H143" s="4"/>
      <c r="I143" s="4"/>
      <c r="J143" s="4"/>
      <c r="K143" s="5"/>
    </row>
    <row r="144" spans="1:11">
      <c r="H144" s="5"/>
      <c r="I144" s="5"/>
      <c r="J144" s="5"/>
      <c r="K144" s="5"/>
    </row>
    <row r="145" spans="1:11">
      <c r="H145" s="5"/>
      <c r="I145" s="5"/>
      <c r="J145" s="5"/>
      <c r="K145" s="5"/>
    </row>
    <row r="146" spans="1:11">
      <c r="A146" s="72" t="s">
        <v>0</v>
      </c>
      <c r="B146" s="72"/>
      <c r="C146" s="73"/>
      <c r="D146" s="73"/>
      <c r="E146" s="73"/>
      <c r="F146" s="73"/>
      <c r="G146" s="73"/>
      <c r="H146" s="73"/>
      <c r="I146" s="73"/>
      <c r="J146" s="73"/>
      <c r="K146" s="73"/>
    </row>
    <row r="147" spans="1:11">
      <c r="A147" s="73" t="s">
        <v>48</v>
      </c>
      <c r="B147" s="73"/>
      <c r="C147" s="73"/>
      <c r="D147" s="73"/>
      <c r="E147" s="73"/>
      <c r="F147" s="73"/>
      <c r="G147" s="73"/>
      <c r="H147" s="73"/>
      <c r="I147" s="73"/>
      <c r="J147" s="73"/>
      <c r="K147" s="73"/>
    </row>
    <row r="148" spans="1:11">
      <c r="A148" s="73" t="s">
        <v>1</v>
      </c>
      <c r="B148" s="73"/>
      <c r="C148" s="73"/>
      <c r="D148" s="73"/>
      <c r="E148" s="73"/>
      <c r="F148" s="73"/>
      <c r="G148" s="73"/>
      <c r="H148" s="73"/>
      <c r="I148" s="73"/>
      <c r="J148" s="73"/>
      <c r="K148" s="73"/>
    </row>
    <row r="149" spans="1:11">
      <c r="A149" s="73" t="s">
        <v>38</v>
      </c>
      <c r="B149" s="73"/>
      <c r="C149" s="73"/>
      <c r="D149" s="73"/>
      <c r="E149" s="73"/>
      <c r="F149" s="73"/>
      <c r="G149" s="73"/>
      <c r="H149" s="73"/>
      <c r="I149" s="73"/>
      <c r="J149" s="73"/>
      <c r="K149" s="73"/>
    </row>
    <row r="150" spans="1:11">
      <c r="A150" s="73" t="s">
        <v>2</v>
      </c>
      <c r="B150" s="73"/>
      <c r="C150" s="73"/>
      <c r="D150" s="73"/>
      <c r="E150" s="73"/>
      <c r="F150" s="73"/>
      <c r="G150" s="73"/>
      <c r="H150" s="73"/>
      <c r="I150" s="73"/>
      <c r="J150" s="73"/>
      <c r="K150" s="73"/>
    </row>
    <row r="151" spans="1:11">
      <c r="A151" s="6"/>
      <c r="B151" s="6"/>
      <c r="C151" s="7"/>
      <c r="D151" s="7"/>
      <c r="E151" s="7"/>
      <c r="F151" s="7"/>
      <c r="G151" s="8"/>
      <c r="H151" s="9"/>
      <c r="I151" s="9"/>
      <c r="J151" s="9"/>
      <c r="K151" s="9"/>
    </row>
    <row r="152" spans="1:11">
      <c r="A152" s="52" t="s">
        <v>3</v>
      </c>
      <c r="B152" s="10"/>
      <c r="C152" s="10"/>
      <c r="D152" s="53" t="s">
        <v>4</v>
      </c>
      <c r="E152" s="10" t="s">
        <v>5</v>
      </c>
      <c r="F152" s="11"/>
      <c r="G152" s="10"/>
      <c r="H152" s="12"/>
      <c r="I152" s="12"/>
      <c r="J152" s="12"/>
      <c r="K152" s="9"/>
    </row>
    <row r="153" spans="1:11">
      <c r="A153" s="52" t="s">
        <v>6</v>
      </c>
      <c r="B153" s="10"/>
      <c r="C153" s="10"/>
      <c r="D153" s="53" t="s">
        <v>4</v>
      </c>
      <c r="E153" s="10" t="s">
        <v>7</v>
      </c>
      <c r="F153" s="11"/>
      <c r="G153" s="10"/>
      <c r="H153" s="12"/>
      <c r="I153" s="12"/>
      <c r="J153" s="12"/>
      <c r="K153" s="9"/>
    </row>
    <row r="154" spans="1:11">
      <c r="A154" s="52" t="s">
        <v>8</v>
      </c>
      <c r="B154" s="10"/>
      <c r="C154" s="10"/>
      <c r="D154" s="53" t="s">
        <v>4</v>
      </c>
      <c r="E154" s="13">
        <v>2026</v>
      </c>
      <c r="F154" s="11"/>
      <c r="G154" s="13"/>
      <c r="H154" s="12"/>
      <c r="I154" s="12"/>
      <c r="J154" s="12"/>
      <c r="K154" s="9"/>
    </row>
    <row r="155" spans="1:11">
      <c r="A155" s="52" t="s">
        <v>9</v>
      </c>
      <c r="B155" s="10"/>
      <c r="C155" s="10"/>
      <c r="D155" s="53" t="s">
        <v>4</v>
      </c>
      <c r="E155" s="14">
        <f>J166</f>
        <v>50000</v>
      </c>
      <c r="F155" s="11"/>
      <c r="G155" s="14"/>
      <c r="H155" s="12"/>
      <c r="I155" s="12"/>
      <c r="J155" s="12"/>
      <c r="K155" s="9"/>
    </row>
    <row r="156" spans="1:11" ht="15.75">
      <c r="A156" s="10"/>
      <c r="B156" s="10"/>
      <c r="C156" s="15" t="s">
        <v>10</v>
      </c>
      <c r="D156" s="53" t="s">
        <v>4</v>
      </c>
      <c r="E156" s="16" t="str">
        <f>PROPER(IF(E155=0,"nol",IF(E155&lt;0,"minus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155),"000000000000000"),1,3)=0,"",MID(TEXT(ABS(E155),"000000000000000"),1,1)&amp;" ratus "&amp;MID(TEXT(ABS(E155),"000000000000000"),2,1)&amp;" puluh "&amp;MID(TEXT(ABS(E155),"000000000000000"),3,1)&amp;" trilyun ")&amp;IF(--MID(TEXT(ABS(E155),"000000000000000"),4,3)=0,"",MID(TEXT(ABS(E155),"000000000000000"),4,1)&amp;" ratus "&amp;MID(TEXT(ABS(E155),"000000000000000"),5,1)&amp;" puluh "&amp;MID(TEXT(ABS(E155),"000000000000000"),6,1)&amp;" milyar ")&amp;IF(--MID(TEXT(ABS(E155),"000000000000000"),7,3)=0,"",MID(TEXT(ABS(E155),"000000000000000"),7,1)&amp;" ratus "&amp;MID(TEXT(ABS(E155),"000000000000000"),8,1)&amp;" puluh "&amp;MID(TEXT(ABS(E155),"000000000000000"),9,1)&amp;" juta ")&amp;IF(--MID(TEXT(ABS(E155),"000000000000000"),10,3)=0,"",IF(--MID(TEXT(ABS(E155),"000000000000000"),10,3)=1,"*",MID(TEXT(ABS(E155),"000000000000000"),10,1)&amp;" ratus "&amp;MID(TEXT(ABS(E155),"000000000000000"),11,1)&amp;" puluh ")&amp;MID(TEXT(ABS(E155),"000000000000000"),12,1)&amp;" ribu ")&amp;IF(--MID(TEXT(ABS(E155),"000000000000000"),13,3)=0,"",MID(TEXT(ABS(E155),"000000000000000"),13,1)&amp;" ratus "&amp;MID(TEXT(ABS(E155),"000000000000000"),14,1)&amp;" puluh "&amp;MID(TEXT(ABS(E155),"000000000000000"),15,1)),1,"satu"),2,"dua"),3,"tiga"),4,"empat"),5,"lima"),6,"enam"),7,"tujuh"),8,"delapan"),9,"sembilan"),"0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Puluh Ribu Rupiah</v>
      </c>
      <c r="F156" s="11"/>
      <c r="G156" s="16"/>
      <c r="H156" s="12"/>
      <c r="I156" s="12"/>
      <c r="J156" s="12"/>
      <c r="K156" s="9"/>
    </row>
    <row r="157" spans="1:11" ht="15.75">
      <c r="A157" s="10"/>
      <c r="B157" s="10"/>
      <c r="C157" s="15"/>
      <c r="D157" s="15"/>
      <c r="E157" s="15"/>
      <c r="F157" s="11"/>
      <c r="G157" s="16"/>
      <c r="H157" s="12"/>
      <c r="I157" s="12"/>
      <c r="J157" s="12"/>
      <c r="K157" s="9"/>
    </row>
    <row r="158" spans="1:11">
      <c r="A158" s="10" t="s">
        <v>11</v>
      </c>
      <c r="B158" s="10"/>
      <c r="C158" s="10"/>
      <c r="D158" s="10"/>
      <c r="E158" s="10"/>
      <c r="F158" s="10"/>
      <c r="G158" s="10"/>
      <c r="H158" s="12"/>
      <c r="I158" s="12"/>
      <c r="J158" s="12"/>
      <c r="K158" s="9"/>
    </row>
    <row r="159" spans="1:11">
      <c r="A159" s="74" t="s">
        <v>12</v>
      </c>
      <c r="B159" s="74"/>
      <c r="C159" s="74"/>
      <c r="D159" s="74"/>
      <c r="E159" s="74"/>
      <c r="F159" s="74"/>
      <c r="G159" s="74"/>
      <c r="H159" s="74"/>
      <c r="I159" s="74"/>
      <c r="J159" s="74"/>
      <c r="K159" s="74"/>
    </row>
    <row r="160" spans="1:11" ht="60">
      <c r="A160" s="17" t="s">
        <v>13</v>
      </c>
      <c r="B160" s="18" t="s">
        <v>14</v>
      </c>
      <c r="C160" s="59" t="s">
        <v>15</v>
      </c>
      <c r="D160" s="60"/>
      <c r="E160" s="61"/>
      <c r="F160" s="19"/>
      <c r="G160" s="20" t="s">
        <v>16</v>
      </c>
      <c r="H160" s="21" t="s">
        <v>35</v>
      </c>
      <c r="I160" s="21"/>
      <c r="J160" s="31" t="s">
        <v>17</v>
      </c>
      <c r="K160" s="32" t="s">
        <v>18</v>
      </c>
    </row>
    <row r="161" spans="1:11">
      <c r="A161" s="27">
        <v>1</v>
      </c>
      <c r="B161" s="24"/>
      <c r="C161" s="28" t="s">
        <v>23</v>
      </c>
      <c r="D161" s="57"/>
      <c r="E161" s="26"/>
      <c r="F161" s="25"/>
      <c r="G161" s="54" t="s">
        <v>19</v>
      </c>
      <c r="H161" s="54" t="s">
        <v>19</v>
      </c>
      <c r="I161" s="54"/>
      <c r="J161" s="54" t="s">
        <v>19</v>
      </c>
      <c r="K161" s="54" t="s">
        <v>19</v>
      </c>
    </row>
    <row r="162" spans="1:11">
      <c r="A162" s="24"/>
      <c r="B162" s="55" t="s">
        <v>20</v>
      </c>
      <c r="C162" s="25" t="s">
        <v>24</v>
      </c>
      <c r="D162" s="10"/>
      <c r="E162" s="26"/>
      <c r="F162" s="25"/>
      <c r="G162" s="23">
        <v>45000000</v>
      </c>
      <c r="H162" s="56">
        <f>H116+J116</f>
        <v>870300</v>
      </c>
      <c r="I162" s="56"/>
      <c r="J162" s="56">
        <v>50000</v>
      </c>
      <c r="K162" s="58">
        <f t="shared" ref="K162:K165" si="3">G162-H162-J162</f>
        <v>44079700</v>
      </c>
    </row>
    <row r="163" spans="1:11">
      <c r="A163" s="24"/>
      <c r="B163" s="55" t="s">
        <v>21</v>
      </c>
      <c r="C163" s="62" t="s">
        <v>39</v>
      </c>
      <c r="D163" s="63"/>
      <c r="E163" s="64"/>
      <c r="F163" s="25"/>
      <c r="G163" s="23">
        <v>35000000</v>
      </c>
      <c r="H163" s="56">
        <v>0</v>
      </c>
      <c r="I163" s="56"/>
      <c r="J163" s="56">
        <v>0</v>
      </c>
      <c r="K163" s="58">
        <f t="shared" si="3"/>
        <v>35000000</v>
      </c>
    </row>
    <row r="164" spans="1:11">
      <c r="A164" s="24"/>
      <c r="B164" s="55" t="s">
        <v>22</v>
      </c>
      <c r="C164" s="65" t="s">
        <v>40</v>
      </c>
      <c r="D164" s="66"/>
      <c r="E164" s="67"/>
      <c r="F164" s="25"/>
      <c r="G164" s="23">
        <v>30000000</v>
      </c>
      <c r="H164" s="56">
        <v>0</v>
      </c>
      <c r="I164" s="22"/>
      <c r="J164" s="22">
        <v>0</v>
      </c>
      <c r="K164" s="33">
        <f t="shared" si="3"/>
        <v>30000000</v>
      </c>
    </row>
    <row r="165" spans="1:11">
      <c r="A165" s="24"/>
      <c r="B165" s="55" t="s">
        <v>36</v>
      </c>
      <c r="C165" s="68" t="s">
        <v>41</v>
      </c>
      <c r="D165" s="69"/>
      <c r="E165" s="70"/>
      <c r="F165" s="25"/>
      <c r="G165" s="23">
        <v>28125000</v>
      </c>
      <c r="H165" s="56">
        <v>0</v>
      </c>
      <c r="I165" s="22"/>
      <c r="J165" s="22">
        <v>0</v>
      </c>
      <c r="K165" s="33">
        <f t="shared" si="3"/>
        <v>28125000</v>
      </c>
    </row>
    <row r="166" spans="1:11">
      <c r="A166" s="34"/>
      <c r="B166" s="34"/>
      <c r="C166" s="34" t="s">
        <v>25</v>
      </c>
      <c r="D166" s="34"/>
      <c r="E166" s="34"/>
      <c r="F166" s="35"/>
      <c r="G166" s="36">
        <f>SUM(G161:G165)</f>
        <v>138125000</v>
      </c>
      <c r="H166" s="37">
        <f>SUM(H161:H165)</f>
        <v>870300</v>
      </c>
      <c r="I166" s="37"/>
      <c r="J166" s="37">
        <f>SUM(J161:J165)</f>
        <v>50000</v>
      </c>
      <c r="K166" s="37">
        <f>SUM(K161:K165)</f>
        <v>137204700</v>
      </c>
    </row>
    <row r="167" spans="1:11">
      <c r="A167" s="38"/>
      <c r="B167" s="8"/>
      <c r="C167" s="8"/>
      <c r="D167" s="8"/>
      <c r="E167" s="8"/>
      <c r="F167" s="8"/>
      <c r="G167" s="39"/>
      <c r="H167" s="39"/>
      <c r="I167" s="39"/>
      <c r="J167" s="39"/>
      <c r="K167" s="39"/>
    </row>
    <row r="168" spans="1:11">
      <c r="A168" s="71" t="s">
        <v>26</v>
      </c>
      <c r="B168" s="71"/>
      <c r="C168" s="71"/>
      <c r="D168" s="11" t="s">
        <v>4</v>
      </c>
      <c r="E168" s="14">
        <f>J166</f>
        <v>50000</v>
      </c>
      <c r="F168" s="40"/>
      <c r="G168" s="41"/>
      <c r="H168" s="41"/>
      <c r="I168" s="41"/>
      <c r="J168" s="9"/>
      <c r="K168" s="9"/>
    </row>
    <row r="169" spans="1:11">
      <c r="A169" s="10" t="s">
        <v>27</v>
      </c>
      <c r="B169" s="10"/>
      <c r="C169" s="10"/>
      <c r="D169" s="11" t="s">
        <v>4</v>
      </c>
      <c r="E169" s="42"/>
      <c r="F169" s="42"/>
      <c r="G169" s="43"/>
      <c r="H169" s="12"/>
      <c r="I169" s="12"/>
      <c r="J169" s="9"/>
      <c r="K169" s="9"/>
    </row>
    <row r="170" spans="1:11">
      <c r="A170" s="10" t="s">
        <v>28</v>
      </c>
      <c r="B170" s="10"/>
      <c r="C170" s="10"/>
      <c r="D170" s="11" t="s">
        <v>4</v>
      </c>
      <c r="E170" s="44"/>
      <c r="F170" s="44"/>
      <c r="G170" s="43"/>
      <c r="H170" s="12"/>
      <c r="I170" s="12"/>
      <c r="J170" s="9"/>
      <c r="K170" s="9"/>
    </row>
    <row r="171" spans="1:11">
      <c r="A171" s="10" t="s">
        <v>29</v>
      </c>
      <c r="B171" s="10"/>
      <c r="C171" s="10"/>
      <c r="D171" s="11" t="s">
        <v>4</v>
      </c>
      <c r="E171" s="44">
        <f>E169+E170</f>
        <v>0</v>
      </c>
      <c r="F171" s="44"/>
      <c r="G171" s="10"/>
      <c r="H171" s="12"/>
      <c r="I171" s="12"/>
      <c r="J171" s="46"/>
      <c r="K171" s="46"/>
    </row>
    <row r="172" spans="1:11">
      <c r="A172" s="13"/>
      <c r="B172" s="13"/>
      <c r="C172" s="13"/>
      <c r="D172" s="11"/>
      <c r="E172" s="13"/>
      <c r="F172" s="13"/>
      <c r="G172" s="10"/>
      <c r="H172" s="12"/>
      <c r="I172" s="12"/>
      <c r="J172" s="46"/>
      <c r="K172" s="46"/>
    </row>
    <row r="173" spans="1:11">
      <c r="A173" s="71" t="s">
        <v>30</v>
      </c>
      <c r="B173" s="71"/>
      <c r="C173" s="71"/>
      <c r="D173" s="11" t="s">
        <v>4</v>
      </c>
      <c r="E173" s="40">
        <f>E168-E171</f>
        <v>50000</v>
      </c>
      <c r="F173" s="40"/>
      <c r="G173" s="10"/>
      <c r="H173" s="12"/>
      <c r="I173" s="12"/>
      <c r="J173" s="46"/>
      <c r="K173" s="46"/>
    </row>
    <row r="174" spans="1:11" ht="15.75">
      <c r="A174" s="13"/>
      <c r="B174" s="13"/>
      <c r="C174" s="10"/>
      <c r="D174" s="10"/>
      <c r="E174" s="16" t="str">
        <f>PROPER(IF(E173=0,"nol",IF(E173&lt;0,"minus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173),"000000000000000"),1,3)=0,"",MID(TEXT(ABS(E173),"000000000000000"),1,1)&amp;" ratus "&amp;MID(TEXT(ABS(E173),"000000000000000"),2,1)&amp;" puluh "&amp;MID(TEXT(ABS(E173),"000000000000000"),3,1)&amp;" trilyun ")&amp;IF(--MID(TEXT(ABS(E173),"000000000000000"),4,3)=0,"",MID(TEXT(ABS(E173),"000000000000000"),4,1)&amp;" ratus "&amp;MID(TEXT(ABS(E173),"000000000000000"),5,1)&amp;" puluh "&amp;MID(TEXT(ABS(E173),"000000000000000"),6,1)&amp;" milyar ")&amp;IF(--MID(TEXT(ABS(E173),"000000000000000"),7,3)=0,"",MID(TEXT(ABS(E173),"000000000000000"),7,1)&amp;" ratus "&amp;MID(TEXT(ABS(E173),"000000000000000"),8,1)&amp;" puluh "&amp;MID(TEXT(ABS(E173),"000000000000000"),9,1)&amp;" juta ")&amp;IF(--MID(TEXT(ABS(E173),"000000000000000"),10,3)=0,"",IF(--MID(TEXT(ABS(E173),"000000000000000"),10,3)=1,"*",MID(TEXT(ABS(E173),"000000000000000"),10,1)&amp;" ratus "&amp;MID(TEXT(ABS(E173),"000000000000000"),11,1)&amp;" puluh ")&amp;MID(TEXT(ABS(E173),"000000000000000"),12,1)&amp;" ribu ")&amp;IF(--MID(TEXT(ABS(E173),"000000000000000"),13,3)=0,"",MID(TEXT(ABS(E173),"000000000000000"),13,1)&amp;" ratus "&amp;MID(TEXT(ABS(E173),"000000000000000"),14,1)&amp;" puluh "&amp;MID(TEXT(ABS(E173),"000000000000000"),15,1)),1,"satu"),2,"dua"),3,"tiga"),4,"empat"),5,"lima"),6,"enam"),7,"tujuh"),8,"delapan"),9,"sembilan"),"0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Puluh Ribu Rupiah</v>
      </c>
      <c r="F174" s="10"/>
      <c r="G174" s="10"/>
      <c r="H174" s="10"/>
      <c r="I174" s="10"/>
      <c r="J174" s="46"/>
      <c r="K174" s="46"/>
    </row>
    <row r="175" spans="1:11">
      <c r="A175" s="45"/>
      <c r="B175" s="45"/>
      <c r="C175" s="45"/>
      <c r="D175" s="45"/>
      <c r="E175" s="45"/>
      <c r="F175" s="45"/>
      <c r="G175" s="29"/>
      <c r="H175" s="46"/>
      <c r="I175" s="46"/>
      <c r="J175" s="46"/>
      <c r="K175" s="46"/>
    </row>
    <row r="176" spans="1:11">
      <c r="A176" s="29"/>
      <c r="B176" s="29"/>
      <c r="C176" s="29"/>
      <c r="D176" s="29"/>
      <c r="E176" s="29"/>
      <c r="F176" s="29"/>
      <c r="G176" s="29"/>
      <c r="H176"/>
      <c r="I176"/>
      <c r="J176" s="46"/>
      <c r="K176" s="46"/>
    </row>
    <row r="177" spans="1:11">
      <c r="A177" s="13"/>
      <c r="B177" s="13"/>
      <c r="C177" s="10"/>
      <c r="D177" s="10"/>
      <c r="E177" s="10"/>
      <c r="F177" s="10"/>
      <c r="G177" s="10"/>
      <c r="I177" s="47"/>
      <c r="J177" s="47" t="s">
        <v>49</v>
      </c>
      <c r="K177" s="46"/>
    </row>
    <row r="178" spans="1:11">
      <c r="A178" s="12" t="s">
        <v>31</v>
      </c>
      <c r="B178" s="10"/>
      <c r="C178" s="10"/>
      <c r="D178" s="10"/>
      <c r="E178" s="10"/>
      <c r="F178" s="10"/>
      <c r="G178" s="10"/>
      <c r="I178" s="12"/>
      <c r="J178" s="12" t="s">
        <v>32</v>
      </c>
      <c r="K178" s="46"/>
    </row>
    <row r="179" spans="1:11">
      <c r="A179" s="10"/>
      <c r="B179" s="10"/>
      <c r="C179" s="10"/>
      <c r="D179" s="10"/>
      <c r="E179" s="10"/>
      <c r="F179" s="10"/>
      <c r="G179" s="10"/>
      <c r="I179" s="12"/>
      <c r="J179" s="12"/>
      <c r="K179" s="46"/>
    </row>
    <row r="180" spans="1:11">
      <c r="A180" s="10"/>
      <c r="B180" s="10"/>
      <c r="C180" s="10"/>
      <c r="D180" s="10"/>
      <c r="E180" s="10"/>
      <c r="F180" s="10"/>
      <c r="G180" s="10"/>
      <c r="I180" s="12"/>
      <c r="J180" s="12"/>
      <c r="K180" s="46"/>
    </row>
    <row r="181" spans="1:11">
      <c r="A181" s="10"/>
      <c r="B181" s="10"/>
      <c r="C181" s="10"/>
      <c r="D181" s="10"/>
      <c r="E181" s="10"/>
      <c r="F181" s="10"/>
      <c r="G181" s="10"/>
      <c r="I181" s="12"/>
      <c r="J181" s="12"/>
      <c r="K181" s="46"/>
    </row>
    <row r="182" spans="1:11">
      <c r="A182" s="10"/>
      <c r="B182" s="10"/>
      <c r="C182" s="10"/>
      <c r="D182" s="10"/>
      <c r="E182" s="10"/>
      <c r="F182" s="10"/>
      <c r="G182" s="10"/>
      <c r="I182" s="12"/>
      <c r="J182" s="12"/>
      <c r="K182" s="46"/>
    </row>
    <row r="183" spans="1:11">
      <c r="A183" s="48" t="s">
        <v>37</v>
      </c>
      <c r="B183" s="48"/>
      <c r="C183" s="49"/>
      <c r="D183" s="49"/>
      <c r="E183" s="49"/>
      <c r="F183" s="49"/>
      <c r="G183" s="10" t="s">
        <v>33</v>
      </c>
      <c r="I183" s="48"/>
      <c r="J183" s="48" t="s">
        <v>34</v>
      </c>
      <c r="K183" s="46"/>
    </row>
    <row r="188" spans="1:11" ht="15.75">
      <c r="C188" s="2"/>
      <c r="D188" s="2"/>
      <c r="E188" s="2"/>
      <c r="F188" s="2"/>
    </row>
    <row r="189" spans="1:11" ht="15.75">
      <c r="A189" s="3"/>
      <c r="B189" s="3"/>
      <c r="C189" s="2"/>
      <c r="D189" s="2"/>
      <c r="E189" s="2"/>
      <c r="F189" s="2"/>
      <c r="G189" s="3"/>
      <c r="H189" s="4"/>
      <c r="I189" s="4"/>
      <c r="J189" s="4"/>
      <c r="K189" s="5"/>
    </row>
    <row r="190" spans="1:11">
      <c r="H190" s="5"/>
      <c r="I190" s="5"/>
      <c r="J190" s="5"/>
      <c r="K190" s="5"/>
    </row>
    <row r="191" spans="1:11">
      <c r="H191" s="5"/>
      <c r="I191" s="5"/>
      <c r="J191" s="5"/>
      <c r="K191" s="5"/>
    </row>
    <row r="192" spans="1:11">
      <c r="A192" s="72" t="s">
        <v>0</v>
      </c>
      <c r="B192" s="72"/>
      <c r="C192" s="73"/>
      <c r="D192" s="73"/>
      <c r="E192" s="73"/>
      <c r="F192" s="73"/>
      <c r="G192" s="73"/>
      <c r="H192" s="73"/>
      <c r="I192" s="73"/>
      <c r="J192" s="73"/>
      <c r="K192" s="73"/>
    </row>
    <row r="193" spans="1:11">
      <c r="A193" s="73" t="s">
        <v>50</v>
      </c>
      <c r="B193" s="73"/>
      <c r="C193" s="73"/>
      <c r="D193" s="73"/>
      <c r="E193" s="73"/>
      <c r="F193" s="73"/>
      <c r="G193" s="73"/>
      <c r="H193" s="73"/>
      <c r="I193" s="73"/>
      <c r="J193" s="73"/>
      <c r="K193" s="73"/>
    </row>
    <row r="194" spans="1:11">
      <c r="A194" s="73" t="s">
        <v>1</v>
      </c>
      <c r="B194" s="73"/>
      <c r="C194" s="73"/>
      <c r="D194" s="73"/>
      <c r="E194" s="73"/>
      <c r="F194" s="73"/>
      <c r="G194" s="73"/>
      <c r="H194" s="73"/>
      <c r="I194" s="73"/>
      <c r="J194" s="73"/>
      <c r="K194" s="73"/>
    </row>
    <row r="195" spans="1:11">
      <c r="A195" s="73" t="s">
        <v>38</v>
      </c>
      <c r="B195" s="73"/>
      <c r="C195" s="73"/>
      <c r="D195" s="73"/>
      <c r="E195" s="73"/>
      <c r="F195" s="73"/>
      <c r="G195" s="73"/>
      <c r="H195" s="73"/>
      <c r="I195" s="73"/>
      <c r="J195" s="73"/>
      <c r="K195" s="73"/>
    </row>
    <row r="196" spans="1:11">
      <c r="A196" s="73" t="s">
        <v>2</v>
      </c>
      <c r="B196" s="73"/>
      <c r="C196" s="73"/>
      <c r="D196" s="73"/>
      <c r="E196" s="73"/>
      <c r="F196" s="73"/>
      <c r="G196" s="73"/>
      <c r="H196" s="73"/>
      <c r="I196" s="73"/>
      <c r="J196" s="73"/>
      <c r="K196" s="73"/>
    </row>
    <row r="197" spans="1:11">
      <c r="A197" s="6"/>
      <c r="B197" s="6"/>
      <c r="C197" s="7"/>
      <c r="D197" s="7"/>
      <c r="E197" s="7"/>
      <c r="F197" s="7"/>
      <c r="G197" s="8"/>
      <c r="H197" s="9"/>
      <c r="I197" s="9"/>
      <c r="J197" s="9"/>
      <c r="K197" s="9"/>
    </row>
    <row r="198" spans="1:11">
      <c r="A198" s="52" t="s">
        <v>3</v>
      </c>
      <c r="B198" s="10"/>
      <c r="C198" s="10"/>
      <c r="D198" s="53" t="s">
        <v>4</v>
      </c>
      <c r="E198" s="10" t="s">
        <v>5</v>
      </c>
      <c r="F198" s="11"/>
      <c r="G198" s="10"/>
      <c r="H198" s="12"/>
      <c r="I198" s="12"/>
      <c r="J198" s="12"/>
      <c r="K198" s="9"/>
    </row>
    <row r="199" spans="1:11">
      <c r="A199" s="52" t="s">
        <v>6</v>
      </c>
      <c r="B199" s="10"/>
      <c r="C199" s="10"/>
      <c r="D199" s="53" t="s">
        <v>4</v>
      </c>
      <c r="E199" s="10" t="s">
        <v>7</v>
      </c>
      <c r="F199" s="11"/>
      <c r="G199" s="10"/>
      <c r="H199" s="12"/>
      <c r="I199" s="12"/>
      <c r="J199" s="12"/>
      <c r="K199" s="9"/>
    </row>
    <row r="200" spans="1:11">
      <c r="A200" s="52" t="s">
        <v>8</v>
      </c>
      <c r="B200" s="10"/>
      <c r="C200" s="10"/>
      <c r="D200" s="53" t="s">
        <v>4</v>
      </c>
      <c r="E200" s="13">
        <v>2026</v>
      </c>
      <c r="F200" s="11"/>
      <c r="G200" s="13"/>
      <c r="H200" s="12"/>
      <c r="I200" s="12"/>
      <c r="J200" s="12"/>
      <c r="K200" s="9"/>
    </row>
    <row r="201" spans="1:11">
      <c r="A201" s="52" t="s">
        <v>9</v>
      </c>
      <c r="B201" s="10"/>
      <c r="C201" s="10"/>
      <c r="D201" s="53" t="s">
        <v>4</v>
      </c>
      <c r="E201" s="14">
        <f>J212</f>
        <v>2460000</v>
      </c>
      <c r="F201" s="11"/>
      <c r="G201" s="14"/>
      <c r="H201" s="12"/>
      <c r="I201" s="12"/>
      <c r="J201" s="12"/>
      <c r="K201" s="9"/>
    </row>
    <row r="202" spans="1:11" ht="15.75">
      <c r="A202" s="10"/>
      <c r="B202" s="10"/>
      <c r="C202" s="15" t="s">
        <v>10</v>
      </c>
      <c r="D202" s="53" t="s">
        <v>4</v>
      </c>
      <c r="E202" s="16" t="str">
        <f>PROPER(IF(E201=0,"nol",IF(E201&lt;0,"minus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201),"000000000000000"),1,3)=0,"",MID(TEXT(ABS(E201),"000000000000000"),1,1)&amp;" ratus "&amp;MID(TEXT(ABS(E201),"000000000000000"),2,1)&amp;" puluh "&amp;MID(TEXT(ABS(E201),"000000000000000"),3,1)&amp;" trilyun ")&amp;IF(--MID(TEXT(ABS(E201),"000000000000000"),4,3)=0,"",MID(TEXT(ABS(E201),"000000000000000"),4,1)&amp;" ratus "&amp;MID(TEXT(ABS(E201),"000000000000000"),5,1)&amp;" puluh "&amp;MID(TEXT(ABS(E201),"000000000000000"),6,1)&amp;" milyar ")&amp;IF(--MID(TEXT(ABS(E201),"000000000000000"),7,3)=0,"",MID(TEXT(ABS(E201),"000000000000000"),7,1)&amp;" ratus "&amp;MID(TEXT(ABS(E201),"000000000000000"),8,1)&amp;" puluh "&amp;MID(TEXT(ABS(E201),"000000000000000"),9,1)&amp;" juta ")&amp;IF(--MID(TEXT(ABS(E201),"000000000000000"),10,3)=0,"",IF(--MID(TEXT(ABS(E201),"000000000000000"),10,3)=1,"*",MID(TEXT(ABS(E201),"000000000000000"),10,1)&amp;" ratus "&amp;MID(TEXT(ABS(E201),"000000000000000"),11,1)&amp;" puluh ")&amp;MID(TEXT(ABS(E201),"000000000000000"),12,1)&amp;" ribu ")&amp;IF(--MID(TEXT(ABS(E201),"000000000000000"),13,3)=0,"",MID(TEXT(ABS(E201),"000000000000000"),13,1)&amp;" ratus "&amp;MID(TEXT(ABS(E201),"000000000000000"),14,1)&amp;" puluh "&amp;MID(TEXT(ABS(E201),"000000000000000"),15,1)),1,"satu"),2,"dua"),3,"tiga"),4,"empat"),5,"lima"),6,"enam"),7,"tujuh"),8,"delapan"),9,"sembilan"),"0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Juta Empat Ratus Enam Puluh Ribu Rupiah</v>
      </c>
      <c r="F202" s="11"/>
      <c r="G202" s="16"/>
      <c r="H202" s="12"/>
      <c r="I202" s="12"/>
      <c r="J202" s="12"/>
      <c r="K202" s="9"/>
    </row>
    <row r="203" spans="1:11" ht="15.75">
      <c r="A203" s="10"/>
      <c r="B203" s="10"/>
      <c r="C203" s="15"/>
      <c r="D203" s="15"/>
      <c r="E203" s="15"/>
      <c r="F203" s="11"/>
      <c r="G203" s="16"/>
      <c r="H203" s="12"/>
      <c r="I203" s="12"/>
      <c r="J203" s="12"/>
      <c r="K203" s="9"/>
    </row>
    <row r="204" spans="1:11">
      <c r="A204" s="10" t="s">
        <v>11</v>
      </c>
      <c r="B204" s="10"/>
      <c r="C204" s="10"/>
      <c r="D204" s="10"/>
      <c r="E204" s="10"/>
      <c r="F204" s="10"/>
      <c r="G204" s="10"/>
      <c r="H204" s="12"/>
      <c r="I204" s="12"/>
      <c r="J204" s="12"/>
      <c r="K204" s="9"/>
    </row>
    <row r="205" spans="1:11">
      <c r="A205" s="74" t="s">
        <v>12</v>
      </c>
      <c r="B205" s="74"/>
      <c r="C205" s="74"/>
      <c r="D205" s="74"/>
      <c r="E205" s="74"/>
      <c r="F205" s="74"/>
      <c r="G205" s="74"/>
      <c r="H205" s="74"/>
      <c r="I205" s="74"/>
      <c r="J205" s="74"/>
      <c r="K205" s="74"/>
    </row>
    <row r="206" spans="1:11" ht="60">
      <c r="A206" s="17" t="s">
        <v>13</v>
      </c>
      <c r="B206" s="18" t="s">
        <v>14</v>
      </c>
      <c r="C206" s="59" t="s">
        <v>15</v>
      </c>
      <c r="D206" s="60"/>
      <c r="E206" s="61"/>
      <c r="F206" s="19"/>
      <c r="G206" s="20" t="s">
        <v>16</v>
      </c>
      <c r="H206" s="21" t="s">
        <v>35</v>
      </c>
      <c r="I206" s="21"/>
      <c r="J206" s="31" t="s">
        <v>17</v>
      </c>
      <c r="K206" s="32" t="s">
        <v>18</v>
      </c>
    </row>
    <row r="207" spans="1:11">
      <c r="A207" s="27">
        <v>1</v>
      </c>
      <c r="B207" s="24"/>
      <c r="C207" s="28" t="s">
        <v>23</v>
      </c>
      <c r="D207" s="57"/>
      <c r="E207" s="26"/>
      <c r="F207" s="25"/>
      <c r="G207" s="54" t="s">
        <v>19</v>
      </c>
      <c r="H207" s="54" t="s">
        <v>19</v>
      </c>
      <c r="I207" s="54"/>
      <c r="J207" s="54" t="s">
        <v>19</v>
      </c>
      <c r="K207" s="54" t="s">
        <v>19</v>
      </c>
    </row>
    <row r="208" spans="1:11">
      <c r="A208" s="24"/>
      <c r="B208" s="55" t="s">
        <v>20</v>
      </c>
      <c r="C208" s="25" t="s">
        <v>24</v>
      </c>
      <c r="D208" s="10"/>
      <c r="E208" s="26"/>
      <c r="F208" s="25"/>
      <c r="G208" s="23">
        <v>45000000</v>
      </c>
      <c r="H208" s="56">
        <f>H162+J162</f>
        <v>920300</v>
      </c>
      <c r="I208" s="56"/>
      <c r="J208" s="56">
        <v>0</v>
      </c>
      <c r="K208" s="58">
        <f t="shared" ref="K208:K211" si="4">G208-H208-J208</f>
        <v>44079700</v>
      </c>
    </row>
    <row r="209" spans="1:11" ht="27.75" customHeight="1">
      <c r="A209" s="24"/>
      <c r="B209" s="55" t="s">
        <v>21</v>
      </c>
      <c r="C209" s="62" t="s">
        <v>39</v>
      </c>
      <c r="D209" s="63"/>
      <c r="E209" s="64"/>
      <c r="F209" s="25"/>
      <c r="G209" s="23">
        <v>35000000</v>
      </c>
      <c r="H209" s="56">
        <f t="shared" ref="H209:H211" si="5">H163+J163</f>
        <v>0</v>
      </c>
      <c r="I209" s="56"/>
      <c r="J209" s="56">
        <v>2460000</v>
      </c>
      <c r="K209" s="58">
        <f t="shared" si="4"/>
        <v>32540000</v>
      </c>
    </row>
    <row r="210" spans="1:11">
      <c r="A210" s="24"/>
      <c r="B210" s="55" t="s">
        <v>22</v>
      </c>
      <c r="C210" s="65" t="s">
        <v>40</v>
      </c>
      <c r="D210" s="66"/>
      <c r="E210" s="67"/>
      <c r="F210" s="25"/>
      <c r="G210" s="23">
        <v>30000000</v>
      </c>
      <c r="H210" s="56">
        <f t="shared" si="5"/>
        <v>0</v>
      </c>
      <c r="I210" s="22"/>
      <c r="J210" s="22">
        <v>0</v>
      </c>
      <c r="K210" s="33">
        <f t="shared" si="4"/>
        <v>30000000</v>
      </c>
    </row>
    <row r="211" spans="1:11">
      <c r="A211" s="24"/>
      <c r="B211" s="55" t="s">
        <v>36</v>
      </c>
      <c r="C211" s="68" t="s">
        <v>41</v>
      </c>
      <c r="D211" s="69"/>
      <c r="E211" s="70"/>
      <c r="F211" s="25"/>
      <c r="G211" s="23">
        <v>28125000</v>
      </c>
      <c r="H211" s="56">
        <f t="shared" si="5"/>
        <v>0</v>
      </c>
      <c r="I211" s="22"/>
      <c r="J211" s="22">
        <v>0</v>
      </c>
      <c r="K211" s="33">
        <f t="shared" si="4"/>
        <v>28125000</v>
      </c>
    </row>
    <row r="212" spans="1:11">
      <c r="A212" s="34"/>
      <c r="B212" s="34"/>
      <c r="C212" s="34" t="s">
        <v>25</v>
      </c>
      <c r="D212" s="34"/>
      <c r="E212" s="34"/>
      <c r="F212" s="35"/>
      <c r="G212" s="36">
        <f>SUM(G207:G211)</f>
        <v>138125000</v>
      </c>
      <c r="H212" s="37">
        <f>SUM(H207:H211)</f>
        <v>920300</v>
      </c>
      <c r="I212" s="37"/>
      <c r="J212" s="37">
        <f>SUM(J207:J211)</f>
        <v>2460000</v>
      </c>
      <c r="K212" s="37">
        <f>SUM(K207:K211)</f>
        <v>134744700</v>
      </c>
    </row>
    <row r="213" spans="1:11">
      <c r="A213" s="38"/>
      <c r="B213" s="8"/>
      <c r="C213" s="8"/>
      <c r="D213" s="8"/>
      <c r="E213" s="8"/>
      <c r="F213" s="8"/>
      <c r="G213" s="39"/>
      <c r="H213" s="39"/>
      <c r="I213" s="39"/>
      <c r="J213" s="39"/>
      <c r="K213" s="39"/>
    </row>
    <row r="214" spans="1:11">
      <c r="A214" s="71" t="s">
        <v>26</v>
      </c>
      <c r="B214" s="71"/>
      <c r="C214" s="71"/>
      <c r="D214" s="11" t="s">
        <v>4</v>
      </c>
      <c r="E214" s="14">
        <f>J212</f>
        <v>2460000</v>
      </c>
      <c r="F214" s="40"/>
      <c r="G214" s="41"/>
      <c r="H214" s="41"/>
      <c r="I214" s="41"/>
      <c r="J214" s="9"/>
      <c r="K214" s="9"/>
    </row>
    <row r="215" spans="1:11">
      <c r="A215" s="10" t="s">
        <v>27</v>
      </c>
      <c r="B215" s="10"/>
      <c r="C215" s="10"/>
      <c r="D215" s="11" t="s">
        <v>4</v>
      </c>
      <c r="E215" s="42"/>
      <c r="F215" s="42"/>
      <c r="G215" s="43"/>
      <c r="H215" s="12"/>
      <c r="I215" s="12"/>
      <c r="J215" s="9"/>
      <c r="K215" s="9"/>
    </row>
    <row r="216" spans="1:11">
      <c r="A216" s="10" t="s">
        <v>28</v>
      </c>
      <c r="B216" s="10"/>
      <c r="C216" s="10"/>
      <c r="D216" s="11" t="s">
        <v>4</v>
      </c>
      <c r="E216" s="44"/>
      <c r="F216" s="44"/>
      <c r="G216" s="43"/>
      <c r="H216" s="12"/>
      <c r="I216" s="12"/>
      <c r="J216" s="9"/>
      <c r="K216" s="9"/>
    </row>
    <row r="217" spans="1:11">
      <c r="A217" s="10" t="s">
        <v>29</v>
      </c>
      <c r="B217" s="10"/>
      <c r="C217" s="10"/>
      <c r="D217" s="11" t="s">
        <v>4</v>
      </c>
      <c r="E217" s="44">
        <f>E215+E216</f>
        <v>0</v>
      </c>
      <c r="F217" s="44"/>
      <c r="G217" s="10"/>
      <c r="H217" s="12"/>
      <c r="I217" s="12"/>
      <c r="J217" s="46"/>
      <c r="K217" s="46"/>
    </row>
    <row r="218" spans="1:11">
      <c r="A218" s="13"/>
      <c r="B218" s="13"/>
      <c r="C218" s="13"/>
      <c r="D218" s="11"/>
      <c r="E218" s="13"/>
      <c r="F218" s="13"/>
      <c r="G218" s="10"/>
      <c r="H218" s="12"/>
      <c r="I218" s="12"/>
      <c r="J218" s="46"/>
      <c r="K218" s="46"/>
    </row>
    <row r="219" spans="1:11">
      <c r="A219" s="71" t="s">
        <v>30</v>
      </c>
      <c r="B219" s="71"/>
      <c r="C219" s="71"/>
      <c r="D219" s="11" t="s">
        <v>4</v>
      </c>
      <c r="E219" s="40">
        <f>E214-E217</f>
        <v>2460000</v>
      </c>
      <c r="F219" s="40"/>
      <c r="G219" s="10"/>
      <c r="H219" s="12"/>
      <c r="I219" s="12"/>
      <c r="J219" s="46"/>
      <c r="K219" s="46"/>
    </row>
    <row r="220" spans="1:11" ht="15.75">
      <c r="A220" s="13"/>
      <c r="B220" s="13"/>
      <c r="C220" s="10"/>
      <c r="D220" s="10"/>
      <c r="E220" s="16" t="str">
        <f>PROPER(IF(E219=0,"nol",IF(E219&lt;0,"minus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219),"000000000000000"),1,3)=0,"",MID(TEXT(ABS(E219),"000000000000000"),1,1)&amp;" ratus "&amp;MID(TEXT(ABS(E219),"000000000000000"),2,1)&amp;" puluh "&amp;MID(TEXT(ABS(E219),"000000000000000"),3,1)&amp;" trilyun ")&amp;IF(--MID(TEXT(ABS(E219),"000000000000000"),4,3)=0,"",MID(TEXT(ABS(E219),"000000000000000"),4,1)&amp;" ratus "&amp;MID(TEXT(ABS(E219),"000000000000000"),5,1)&amp;" puluh "&amp;MID(TEXT(ABS(E219),"000000000000000"),6,1)&amp;" milyar ")&amp;IF(--MID(TEXT(ABS(E219),"000000000000000"),7,3)=0,"",MID(TEXT(ABS(E219),"000000000000000"),7,1)&amp;" ratus "&amp;MID(TEXT(ABS(E219),"000000000000000"),8,1)&amp;" puluh "&amp;MID(TEXT(ABS(E219),"000000000000000"),9,1)&amp;" juta ")&amp;IF(--MID(TEXT(ABS(E219),"000000000000000"),10,3)=0,"",IF(--MID(TEXT(ABS(E219),"000000000000000"),10,3)=1,"*",MID(TEXT(ABS(E219),"000000000000000"),10,1)&amp;" ratus "&amp;MID(TEXT(ABS(E219),"000000000000000"),11,1)&amp;" puluh ")&amp;MID(TEXT(ABS(E219),"000000000000000"),12,1)&amp;" ribu ")&amp;IF(--MID(TEXT(ABS(E219),"000000000000000"),13,3)=0,"",MID(TEXT(ABS(E219),"000000000000000"),13,1)&amp;" ratus "&amp;MID(TEXT(ABS(E219),"000000000000000"),14,1)&amp;" puluh "&amp;MID(TEXT(ABS(E219),"000000000000000"),15,1)),1,"satu"),2,"dua"),3,"tiga"),4,"empat"),5,"lima"),6,"enam"),7,"tujuh"),8,"delapan"),9,"sembilan"),"0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Juta Empat Ratus Enam Puluh Ribu Rupiah</v>
      </c>
      <c r="F220" s="10"/>
      <c r="G220" s="10"/>
      <c r="H220" s="10"/>
      <c r="I220" s="10"/>
      <c r="J220" s="46"/>
      <c r="K220" s="46"/>
    </row>
    <row r="221" spans="1:11">
      <c r="A221" s="45"/>
      <c r="B221" s="45"/>
      <c r="C221" s="45"/>
      <c r="D221" s="45"/>
      <c r="E221" s="45"/>
      <c r="F221" s="45"/>
      <c r="G221" s="29"/>
      <c r="H221" s="46"/>
      <c r="I221" s="46"/>
      <c r="J221" s="46"/>
      <c r="K221" s="46"/>
    </row>
    <row r="222" spans="1:11">
      <c r="A222" s="29"/>
      <c r="B222" s="29"/>
      <c r="C222" s="29"/>
      <c r="D222" s="29"/>
      <c r="E222" s="29"/>
      <c r="F222" s="29"/>
      <c r="G222" s="29"/>
      <c r="H222"/>
      <c r="I222"/>
      <c r="J222" s="46"/>
      <c r="K222" s="46"/>
    </row>
    <row r="223" spans="1:11">
      <c r="A223" s="13"/>
      <c r="B223" s="13"/>
      <c r="C223" s="10"/>
      <c r="D223" s="10"/>
      <c r="E223" s="10"/>
      <c r="F223" s="10"/>
      <c r="G223" s="10"/>
      <c r="I223" s="47"/>
      <c r="J223" s="47" t="s">
        <v>51</v>
      </c>
      <c r="K223" s="46"/>
    </row>
    <row r="224" spans="1:11">
      <c r="A224" s="12" t="s">
        <v>31</v>
      </c>
      <c r="B224" s="10"/>
      <c r="C224" s="10"/>
      <c r="D224" s="10"/>
      <c r="E224" s="10"/>
      <c r="F224" s="10"/>
      <c r="G224" s="10"/>
      <c r="I224" s="12"/>
      <c r="J224" s="12" t="s">
        <v>32</v>
      </c>
      <c r="K224" s="46"/>
    </row>
    <row r="225" spans="1:11">
      <c r="A225" s="10"/>
      <c r="B225" s="10"/>
      <c r="C225" s="10"/>
      <c r="D225" s="10"/>
      <c r="E225" s="10"/>
      <c r="F225" s="10"/>
      <c r="G225" s="10"/>
      <c r="I225" s="12"/>
      <c r="J225" s="12"/>
      <c r="K225" s="46"/>
    </row>
    <row r="226" spans="1:11">
      <c r="A226" s="10"/>
      <c r="B226" s="10"/>
      <c r="C226" s="10"/>
      <c r="D226" s="10"/>
      <c r="E226" s="10"/>
      <c r="F226" s="10"/>
      <c r="G226" s="10"/>
      <c r="I226" s="12"/>
      <c r="J226" s="12"/>
      <c r="K226" s="46"/>
    </row>
    <row r="227" spans="1:11">
      <c r="A227" s="10"/>
      <c r="B227" s="10"/>
      <c r="C227" s="10"/>
      <c r="D227" s="10"/>
      <c r="E227" s="10"/>
      <c r="F227" s="10"/>
      <c r="G227" s="10"/>
      <c r="I227" s="12"/>
      <c r="J227" s="12"/>
      <c r="K227" s="46"/>
    </row>
    <row r="228" spans="1:11">
      <c r="A228" s="10"/>
      <c r="B228" s="10"/>
      <c r="C228" s="10"/>
      <c r="D228" s="10"/>
      <c r="E228" s="10"/>
      <c r="F228" s="10"/>
      <c r="G228" s="10"/>
      <c r="I228" s="12"/>
      <c r="J228" s="12"/>
      <c r="K228" s="46"/>
    </row>
    <row r="229" spans="1:11">
      <c r="A229" s="48" t="s">
        <v>37</v>
      </c>
      <c r="B229" s="48"/>
      <c r="C229" s="49"/>
      <c r="D229" s="49"/>
      <c r="E229" s="49"/>
      <c r="F229" s="49"/>
      <c r="G229" s="10" t="s">
        <v>33</v>
      </c>
      <c r="I229" s="48"/>
      <c r="J229" s="48" t="s">
        <v>34</v>
      </c>
      <c r="K229" s="46"/>
    </row>
    <row r="234" spans="1:11" ht="15.75">
      <c r="C234" s="2"/>
      <c r="D234" s="2"/>
      <c r="E234" s="2"/>
      <c r="F234" s="2"/>
    </row>
    <row r="235" spans="1:11" ht="15.75">
      <c r="A235" s="3"/>
      <c r="B235" s="3"/>
      <c r="C235" s="2"/>
      <c r="D235" s="2"/>
      <c r="E235" s="2"/>
      <c r="F235" s="2"/>
      <c r="G235" s="3"/>
      <c r="H235" s="4"/>
      <c r="I235" s="4"/>
      <c r="J235" s="4"/>
      <c r="K235" s="5"/>
    </row>
    <row r="236" spans="1:11">
      <c r="H236" s="5"/>
      <c r="I236" s="5"/>
      <c r="J236" s="5"/>
      <c r="K236" s="5"/>
    </row>
    <row r="237" spans="1:11">
      <c r="H237" s="5"/>
      <c r="I237" s="5"/>
      <c r="J237" s="5"/>
      <c r="K237" s="5"/>
    </row>
    <row r="238" spans="1:11">
      <c r="A238" s="72" t="s">
        <v>0</v>
      </c>
      <c r="B238" s="72"/>
      <c r="C238" s="73"/>
      <c r="D238" s="73"/>
      <c r="E238" s="73"/>
      <c r="F238" s="73"/>
      <c r="G238" s="73"/>
      <c r="H238" s="73"/>
      <c r="I238" s="73"/>
      <c r="J238" s="73"/>
      <c r="K238" s="73"/>
    </row>
    <row r="239" spans="1:11">
      <c r="A239" s="73" t="s">
        <v>52</v>
      </c>
      <c r="B239" s="73"/>
      <c r="C239" s="73"/>
      <c r="D239" s="73"/>
      <c r="E239" s="73"/>
      <c r="F239" s="73"/>
      <c r="G239" s="73"/>
      <c r="H239" s="73"/>
      <c r="I239" s="73"/>
      <c r="J239" s="73"/>
      <c r="K239" s="73"/>
    </row>
    <row r="240" spans="1:11">
      <c r="A240" s="73" t="s">
        <v>1</v>
      </c>
      <c r="B240" s="73"/>
      <c r="C240" s="73"/>
      <c r="D240" s="73"/>
      <c r="E240" s="73"/>
      <c r="F240" s="73"/>
      <c r="G240" s="73"/>
      <c r="H240" s="73"/>
      <c r="I240" s="73"/>
      <c r="J240" s="73"/>
      <c r="K240" s="73"/>
    </row>
    <row r="241" spans="1:11">
      <c r="A241" s="73" t="s">
        <v>38</v>
      </c>
      <c r="B241" s="73"/>
      <c r="C241" s="73"/>
      <c r="D241" s="73"/>
      <c r="E241" s="73"/>
      <c r="F241" s="73"/>
      <c r="G241" s="73"/>
      <c r="H241" s="73"/>
      <c r="I241" s="73"/>
      <c r="J241" s="73"/>
      <c r="K241" s="73"/>
    </row>
    <row r="242" spans="1:11">
      <c r="A242" s="73" t="s">
        <v>2</v>
      </c>
      <c r="B242" s="73"/>
      <c r="C242" s="73"/>
      <c r="D242" s="73"/>
      <c r="E242" s="73"/>
      <c r="F242" s="73"/>
      <c r="G242" s="73"/>
      <c r="H242" s="73"/>
      <c r="I242" s="73"/>
      <c r="J242" s="73"/>
      <c r="K242" s="73"/>
    </row>
    <row r="243" spans="1:11">
      <c r="A243" s="6"/>
      <c r="B243" s="6"/>
      <c r="C243" s="7"/>
      <c r="D243" s="7"/>
      <c r="E243" s="7"/>
      <c r="F243" s="7"/>
      <c r="G243" s="8"/>
      <c r="H243" s="9"/>
      <c r="I243" s="9"/>
      <c r="J243" s="9"/>
      <c r="K243" s="9"/>
    </row>
    <row r="244" spans="1:11">
      <c r="A244" s="52" t="s">
        <v>3</v>
      </c>
      <c r="B244" s="10"/>
      <c r="C244" s="10"/>
      <c r="D244" s="53" t="s">
        <v>4</v>
      </c>
      <c r="E244" s="10" t="s">
        <v>5</v>
      </c>
      <c r="F244" s="11"/>
      <c r="G244" s="10"/>
      <c r="H244" s="12"/>
      <c r="I244" s="12"/>
      <c r="J244" s="12"/>
      <c r="K244" s="9"/>
    </row>
    <row r="245" spans="1:11">
      <c r="A245" s="52" t="s">
        <v>6</v>
      </c>
      <c r="B245" s="10"/>
      <c r="C245" s="10"/>
      <c r="D245" s="53" t="s">
        <v>4</v>
      </c>
      <c r="E245" s="10" t="s">
        <v>7</v>
      </c>
      <c r="F245" s="11"/>
      <c r="G245" s="10"/>
      <c r="H245" s="12"/>
      <c r="I245" s="12"/>
      <c r="J245" s="12"/>
      <c r="K245" s="9"/>
    </row>
    <row r="246" spans="1:11">
      <c r="A246" s="52" t="s">
        <v>8</v>
      </c>
      <c r="B246" s="10"/>
      <c r="C246" s="10"/>
      <c r="D246" s="53" t="s">
        <v>4</v>
      </c>
      <c r="E246" s="13">
        <v>2026</v>
      </c>
      <c r="F246" s="11"/>
      <c r="G246" s="13"/>
      <c r="H246" s="12"/>
      <c r="I246" s="12"/>
      <c r="J246" s="12"/>
      <c r="K246" s="9"/>
    </row>
    <row r="247" spans="1:11">
      <c r="A247" s="52" t="s">
        <v>9</v>
      </c>
      <c r="B247" s="10"/>
      <c r="C247" s="10"/>
      <c r="D247" s="53" t="s">
        <v>4</v>
      </c>
      <c r="E247" s="14">
        <f>J258</f>
        <v>552500</v>
      </c>
      <c r="F247" s="11"/>
      <c r="G247" s="14"/>
      <c r="H247" s="12"/>
      <c r="I247" s="12"/>
      <c r="J247" s="12"/>
      <c r="K247" s="9"/>
    </row>
    <row r="248" spans="1:11" ht="15.75">
      <c r="A248" s="10"/>
      <c r="B248" s="10"/>
      <c r="C248" s="15" t="s">
        <v>10</v>
      </c>
      <c r="D248" s="53" t="s">
        <v>4</v>
      </c>
      <c r="E248" s="16" t="str">
        <f>PROPER(IF(E247=0,"nol",IF(E247&lt;0,"minus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247),"000000000000000"),1,3)=0,"",MID(TEXT(ABS(E247),"000000000000000"),1,1)&amp;" ratus "&amp;MID(TEXT(ABS(E247),"000000000000000"),2,1)&amp;" puluh "&amp;MID(TEXT(ABS(E247),"000000000000000"),3,1)&amp;" trilyun ")&amp;IF(--MID(TEXT(ABS(E247),"000000000000000"),4,3)=0,"",MID(TEXT(ABS(E247),"000000000000000"),4,1)&amp;" ratus "&amp;MID(TEXT(ABS(E247),"000000000000000"),5,1)&amp;" puluh "&amp;MID(TEXT(ABS(E247),"000000000000000"),6,1)&amp;" milyar ")&amp;IF(--MID(TEXT(ABS(E247),"000000000000000"),7,3)=0,"",MID(TEXT(ABS(E247),"000000000000000"),7,1)&amp;" ratus "&amp;MID(TEXT(ABS(E247),"000000000000000"),8,1)&amp;" puluh "&amp;MID(TEXT(ABS(E247),"000000000000000"),9,1)&amp;" juta ")&amp;IF(--MID(TEXT(ABS(E247),"000000000000000"),10,3)=0,"",IF(--MID(TEXT(ABS(E247),"000000000000000"),10,3)=1,"*",MID(TEXT(ABS(E247),"000000000000000"),10,1)&amp;" ratus "&amp;MID(TEXT(ABS(E247),"000000000000000"),11,1)&amp;" puluh ")&amp;MID(TEXT(ABS(E247),"000000000000000"),12,1)&amp;" ribu ")&amp;IF(--MID(TEXT(ABS(E247),"000000000000000"),13,3)=0,"",MID(TEXT(ABS(E247),"000000000000000"),13,1)&amp;" ratus "&amp;MID(TEXT(ABS(E247),"000000000000000"),14,1)&amp;" puluh "&amp;MID(TEXT(ABS(E247),"000000000000000"),15,1)),1,"satu"),2,"dua"),3,"tiga"),4,"empat"),5,"lima"),6,"enam"),7,"tujuh"),8,"delapan"),9,"sembilan"),"0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Ratus Lima Puluh Dua Ribu Lima Ratus Rupiah</v>
      </c>
      <c r="F248" s="11"/>
      <c r="G248" s="16"/>
      <c r="H248" s="12"/>
      <c r="I248" s="12"/>
      <c r="J248" s="12"/>
      <c r="K248" s="9"/>
    </row>
    <row r="249" spans="1:11" ht="15.75">
      <c r="A249" s="10"/>
      <c r="B249" s="10"/>
      <c r="C249" s="15"/>
      <c r="D249" s="15"/>
      <c r="E249" s="15"/>
      <c r="F249" s="11"/>
      <c r="G249" s="16"/>
      <c r="H249" s="12"/>
      <c r="I249" s="12"/>
      <c r="J249" s="12"/>
      <c r="K249" s="9"/>
    </row>
    <row r="250" spans="1:11">
      <c r="A250" s="10" t="s">
        <v>11</v>
      </c>
      <c r="B250" s="10"/>
      <c r="C250" s="10"/>
      <c r="D250" s="10"/>
      <c r="E250" s="10"/>
      <c r="F250" s="10"/>
      <c r="G250" s="10"/>
      <c r="H250" s="12"/>
      <c r="I250" s="12"/>
      <c r="J250" s="12"/>
      <c r="K250" s="9"/>
    </row>
    <row r="251" spans="1:11">
      <c r="A251" s="74" t="s">
        <v>12</v>
      </c>
      <c r="B251" s="74"/>
      <c r="C251" s="74"/>
      <c r="D251" s="74"/>
      <c r="E251" s="74"/>
      <c r="F251" s="74"/>
      <c r="G251" s="74"/>
      <c r="H251" s="74"/>
      <c r="I251" s="74"/>
      <c r="J251" s="74"/>
      <c r="K251" s="74"/>
    </row>
    <row r="252" spans="1:11" ht="60">
      <c r="A252" s="17" t="s">
        <v>13</v>
      </c>
      <c r="B252" s="18" t="s">
        <v>14</v>
      </c>
      <c r="C252" s="59" t="s">
        <v>15</v>
      </c>
      <c r="D252" s="60"/>
      <c r="E252" s="61"/>
      <c r="F252" s="19"/>
      <c r="G252" s="20" t="s">
        <v>16</v>
      </c>
      <c r="H252" s="21" t="s">
        <v>35</v>
      </c>
      <c r="I252" s="21"/>
      <c r="J252" s="31" t="s">
        <v>17</v>
      </c>
      <c r="K252" s="32" t="s">
        <v>18</v>
      </c>
    </row>
    <row r="253" spans="1:11">
      <c r="A253" s="27">
        <v>1</v>
      </c>
      <c r="B253" s="24"/>
      <c r="C253" s="28" t="s">
        <v>23</v>
      </c>
      <c r="D253" s="57"/>
      <c r="E253" s="26"/>
      <c r="F253" s="25"/>
      <c r="G253" s="54" t="s">
        <v>19</v>
      </c>
      <c r="H253" s="54" t="s">
        <v>19</v>
      </c>
      <c r="I253" s="54"/>
      <c r="J253" s="54" t="s">
        <v>19</v>
      </c>
      <c r="K253" s="54" t="s">
        <v>19</v>
      </c>
    </row>
    <row r="254" spans="1:11">
      <c r="A254" s="24"/>
      <c r="B254" s="55" t="s">
        <v>20</v>
      </c>
      <c r="C254" s="25" t="s">
        <v>24</v>
      </c>
      <c r="D254" s="10"/>
      <c r="E254" s="26"/>
      <c r="F254" s="25"/>
      <c r="G254" s="23">
        <v>45000000</v>
      </c>
      <c r="H254" s="56">
        <f>H208+J208</f>
        <v>920300</v>
      </c>
      <c r="I254" s="56"/>
      <c r="J254" s="56">
        <v>552500</v>
      </c>
      <c r="K254" s="58">
        <f t="shared" ref="K254:K257" si="6">G254-H254-J254</f>
        <v>43527200</v>
      </c>
    </row>
    <row r="255" spans="1:11">
      <c r="A255" s="24"/>
      <c r="B255" s="55" t="s">
        <v>21</v>
      </c>
      <c r="C255" s="62" t="s">
        <v>39</v>
      </c>
      <c r="D255" s="63"/>
      <c r="E255" s="64"/>
      <c r="F255" s="25"/>
      <c r="G255" s="23">
        <v>35000000</v>
      </c>
      <c r="H255" s="56">
        <f t="shared" ref="H255:H257" si="7">H209+J209</f>
        <v>2460000</v>
      </c>
      <c r="I255" s="56"/>
      <c r="J255" s="56">
        <v>0</v>
      </c>
      <c r="K255" s="58">
        <f t="shared" si="6"/>
        <v>32540000</v>
      </c>
    </row>
    <row r="256" spans="1:11">
      <c r="A256" s="24"/>
      <c r="B256" s="55" t="s">
        <v>22</v>
      </c>
      <c r="C256" s="65" t="s">
        <v>40</v>
      </c>
      <c r="D256" s="66"/>
      <c r="E256" s="67"/>
      <c r="F256" s="25"/>
      <c r="G256" s="23">
        <v>30000000</v>
      </c>
      <c r="H256" s="56">
        <f t="shared" si="7"/>
        <v>0</v>
      </c>
      <c r="I256" s="22"/>
      <c r="J256" s="22">
        <v>0</v>
      </c>
      <c r="K256" s="33">
        <f t="shared" si="6"/>
        <v>30000000</v>
      </c>
    </row>
    <row r="257" spans="1:11">
      <c r="A257" s="24"/>
      <c r="B257" s="55" t="s">
        <v>36</v>
      </c>
      <c r="C257" s="68" t="s">
        <v>41</v>
      </c>
      <c r="D257" s="69"/>
      <c r="E257" s="70"/>
      <c r="F257" s="25"/>
      <c r="G257" s="23">
        <v>28125000</v>
      </c>
      <c r="H257" s="56">
        <f t="shared" si="7"/>
        <v>0</v>
      </c>
      <c r="I257" s="22"/>
      <c r="J257" s="22">
        <v>0</v>
      </c>
      <c r="K257" s="33">
        <f t="shared" si="6"/>
        <v>28125000</v>
      </c>
    </row>
    <row r="258" spans="1:11">
      <c r="A258" s="34"/>
      <c r="B258" s="34"/>
      <c r="C258" s="34" t="s">
        <v>25</v>
      </c>
      <c r="D258" s="34"/>
      <c r="E258" s="34"/>
      <c r="F258" s="35"/>
      <c r="G258" s="36">
        <f>SUM(G253:G257)</f>
        <v>138125000</v>
      </c>
      <c r="H258" s="37">
        <f>SUM(H253:H257)</f>
        <v>3380300</v>
      </c>
      <c r="I258" s="37"/>
      <c r="J258" s="37">
        <f>SUM(J253:J257)</f>
        <v>552500</v>
      </c>
      <c r="K258" s="37">
        <f>SUM(K253:K257)</f>
        <v>134192200</v>
      </c>
    </row>
    <row r="259" spans="1:11">
      <c r="A259" s="38"/>
      <c r="B259" s="8"/>
      <c r="C259" s="8"/>
      <c r="D259" s="8"/>
      <c r="E259" s="8"/>
      <c r="F259" s="8"/>
      <c r="G259" s="39"/>
      <c r="H259" s="39"/>
      <c r="I259" s="39"/>
      <c r="J259" s="39"/>
      <c r="K259" s="39"/>
    </row>
    <row r="260" spans="1:11">
      <c r="A260" s="71" t="s">
        <v>26</v>
      </c>
      <c r="B260" s="71"/>
      <c r="C260" s="71"/>
      <c r="D260" s="11" t="s">
        <v>4</v>
      </c>
      <c r="E260" s="14">
        <f>J258</f>
        <v>552500</v>
      </c>
      <c r="F260" s="40"/>
      <c r="G260" s="41"/>
      <c r="H260" s="41"/>
      <c r="I260" s="41"/>
      <c r="J260" s="9"/>
      <c r="K260" s="9"/>
    </row>
    <row r="261" spans="1:11">
      <c r="A261" s="10" t="s">
        <v>27</v>
      </c>
      <c r="B261" s="10"/>
      <c r="C261" s="10"/>
      <c r="D261" s="11" t="s">
        <v>4</v>
      </c>
      <c r="E261" s="42"/>
      <c r="F261" s="42"/>
      <c r="G261" s="43"/>
      <c r="H261" s="12"/>
      <c r="I261" s="12"/>
      <c r="J261" s="9"/>
      <c r="K261" s="9"/>
    </row>
    <row r="262" spans="1:11">
      <c r="A262" s="10" t="s">
        <v>28</v>
      </c>
      <c r="B262" s="10"/>
      <c r="C262" s="10"/>
      <c r="D262" s="11" t="s">
        <v>4</v>
      </c>
      <c r="E262" s="44"/>
      <c r="F262" s="44"/>
      <c r="G262" s="43"/>
      <c r="H262" s="12"/>
      <c r="I262" s="12"/>
      <c r="J262" s="9"/>
      <c r="K262" s="9"/>
    </row>
    <row r="263" spans="1:11">
      <c r="A263" s="10" t="s">
        <v>29</v>
      </c>
      <c r="B263" s="10"/>
      <c r="C263" s="10"/>
      <c r="D263" s="11" t="s">
        <v>4</v>
      </c>
      <c r="E263" s="44">
        <f>E261+E262</f>
        <v>0</v>
      </c>
      <c r="F263" s="44"/>
      <c r="G263" s="10"/>
      <c r="H263" s="12"/>
      <c r="I263" s="12"/>
      <c r="J263" s="46"/>
      <c r="K263" s="46"/>
    </row>
    <row r="264" spans="1:11">
      <c r="A264" s="13"/>
      <c r="B264" s="13"/>
      <c r="C264" s="13"/>
      <c r="D264" s="11"/>
      <c r="E264" s="13"/>
      <c r="F264" s="13"/>
      <c r="G264" s="10"/>
      <c r="H264" s="12"/>
      <c r="I264" s="12"/>
      <c r="J264" s="46"/>
      <c r="K264" s="46"/>
    </row>
    <row r="265" spans="1:11">
      <c r="A265" s="71" t="s">
        <v>30</v>
      </c>
      <c r="B265" s="71"/>
      <c r="C265" s="71"/>
      <c r="D265" s="11" t="s">
        <v>4</v>
      </c>
      <c r="E265" s="40">
        <f>E260-E263</f>
        <v>552500</v>
      </c>
      <c r="F265" s="40"/>
      <c r="G265" s="10"/>
      <c r="H265" s="12"/>
      <c r="I265" s="12"/>
      <c r="J265" s="46"/>
      <c r="K265" s="46"/>
    </row>
    <row r="266" spans="1:11" ht="15.75">
      <c r="A266" s="13"/>
      <c r="B266" s="13"/>
      <c r="C266" s="10"/>
      <c r="D266" s="10"/>
      <c r="E266" s="16" t="str">
        <f>PROPER(IF(E265=0,"nol",IF(E265&lt;0,"minus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265),"000000000000000"),1,3)=0,"",MID(TEXT(ABS(E265),"000000000000000"),1,1)&amp;" ratus "&amp;MID(TEXT(ABS(E265),"000000000000000"),2,1)&amp;" puluh "&amp;MID(TEXT(ABS(E265),"000000000000000"),3,1)&amp;" trilyun ")&amp;IF(--MID(TEXT(ABS(E265),"000000000000000"),4,3)=0,"",MID(TEXT(ABS(E265),"000000000000000"),4,1)&amp;" ratus "&amp;MID(TEXT(ABS(E265),"000000000000000"),5,1)&amp;" puluh "&amp;MID(TEXT(ABS(E265),"000000000000000"),6,1)&amp;" milyar ")&amp;IF(--MID(TEXT(ABS(E265),"000000000000000"),7,3)=0,"",MID(TEXT(ABS(E265),"000000000000000"),7,1)&amp;" ratus "&amp;MID(TEXT(ABS(E265),"000000000000000"),8,1)&amp;" puluh "&amp;MID(TEXT(ABS(E265),"000000000000000"),9,1)&amp;" juta ")&amp;IF(--MID(TEXT(ABS(E265),"000000000000000"),10,3)=0,"",IF(--MID(TEXT(ABS(E265),"000000000000000"),10,3)=1,"*",MID(TEXT(ABS(E265),"000000000000000"),10,1)&amp;" ratus "&amp;MID(TEXT(ABS(E265),"000000000000000"),11,1)&amp;" puluh ")&amp;MID(TEXT(ABS(E265),"000000000000000"),12,1)&amp;" ribu ")&amp;IF(--MID(TEXT(ABS(E265),"000000000000000"),13,3)=0,"",MID(TEXT(ABS(E265),"000000000000000"),13,1)&amp;" ratus "&amp;MID(TEXT(ABS(E265),"000000000000000"),14,1)&amp;" puluh "&amp;MID(TEXT(ABS(E265),"000000000000000"),15,1)),1,"satu"),2,"dua"),3,"tiga"),4,"empat"),5,"lima"),6,"enam"),7,"tujuh"),8,"delapan"),9,"sembilan"),"0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Ratus Lima Puluh Dua Ribu Lima Ratus Rupiah</v>
      </c>
      <c r="F266" s="10"/>
      <c r="G266" s="10"/>
      <c r="H266" s="10"/>
      <c r="I266" s="10"/>
      <c r="J266" s="46"/>
      <c r="K266" s="46"/>
    </row>
    <row r="267" spans="1:11">
      <c r="A267" s="45"/>
      <c r="B267" s="45"/>
      <c r="C267" s="45"/>
      <c r="D267" s="45"/>
      <c r="E267" s="45"/>
      <c r="F267" s="45"/>
      <c r="G267" s="29"/>
      <c r="H267" s="46"/>
      <c r="I267" s="46"/>
      <c r="J267" s="46"/>
      <c r="K267" s="46"/>
    </row>
    <row r="268" spans="1:11">
      <c r="A268" s="29"/>
      <c r="B268" s="29"/>
      <c r="C268" s="29"/>
      <c r="D268" s="29"/>
      <c r="E268" s="29"/>
      <c r="F268" s="29"/>
      <c r="G268" s="29"/>
      <c r="H268"/>
      <c r="I268"/>
      <c r="J268" s="46"/>
      <c r="K268" s="46"/>
    </row>
    <row r="269" spans="1:11">
      <c r="A269" s="13"/>
      <c r="B269" s="13"/>
      <c r="C269" s="10"/>
      <c r="D269" s="10"/>
      <c r="E269" s="10"/>
      <c r="F269" s="10"/>
      <c r="G269" s="10"/>
      <c r="I269" s="47"/>
      <c r="J269" s="47" t="s">
        <v>53</v>
      </c>
      <c r="K269" s="46"/>
    </row>
    <row r="270" spans="1:11">
      <c r="A270" s="12" t="s">
        <v>31</v>
      </c>
      <c r="B270" s="10"/>
      <c r="C270" s="10"/>
      <c r="D270" s="10"/>
      <c r="E270" s="10"/>
      <c r="F270" s="10"/>
      <c r="G270" s="10"/>
      <c r="I270" s="12"/>
      <c r="J270" s="12" t="s">
        <v>32</v>
      </c>
      <c r="K270" s="46"/>
    </row>
    <row r="271" spans="1:11">
      <c r="A271" s="10"/>
      <c r="B271" s="10"/>
      <c r="C271" s="10"/>
      <c r="D271" s="10"/>
      <c r="E271" s="10"/>
      <c r="F271" s="10"/>
      <c r="G271" s="10"/>
      <c r="I271" s="12"/>
      <c r="J271" s="12"/>
      <c r="K271" s="46"/>
    </row>
    <row r="272" spans="1:11">
      <c r="A272" s="10"/>
      <c r="B272" s="10"/>
      <c r="C272" s="10"/>
      <c r="D272" s="10"/>
      <c r="E272" s="10"/>
      <c r="F272" s="10"/>
      <c r="G272" s="10"/>
      <c r="I272" s="12"/>
      <c r="J272" s="12"/>
      <c r="K272" s="46"/>
    </row>
    <row r="273" spans="1:11">
      <c r="A273" s="10"/>
      <c r="B273" s="10"/>
      <c r="C273" s="10"/>
      <c r="D273" s="10"/>
      <c r="E273" s="10"/>
      <c r="F273" s="10"/>
      <c r="G273" s="10"/>
      <c r="I273" s="12"/>
      <c r="J273" s="12"/>
      <c r="K273" s="46"/>
    </row>
    <row r="274" spans="1:11">
      <c r="A274" s="10"/>
      <c r="B274" s="10"/>
      <c r="C274" s="10"/>
      <c r="D274" s="10"/>
      <c r="E274" s="10"/>
      <c r="F274" s="10"/>
      <c r="G274" s="10"/>
      <c r="I274" s="12"/>
      <c r="J274" s="12"/>
      <c r="K274" s="46"/>
    </row>
    <row r="275" spans="1:11">
      <c r="A275" s="48" t="s">
        <v>37</v>
      </c>
      <c r="B275" s="48"/>
      <c r="C275" s="49"/>
      <c r="D275" s="49"/>
      <c r="E275" s="49"/>
      <c r="F275" s="49"/>
      <c r="G275" s="10" t="s">
        <v>33</v>
      </c>
      <c r="I275" s="48"/>
      <c r="J275" s="48" t="s">
        <v>34</v>
      </c>
      <c r="K275" s="46"/>
    </row>
    <row r="280" spans="1:11" ht="15.75">
      <c r="C280" s="2"/>
      <c r="D280" s="2"/>
      <c r="E280" s="2"/>
      <c r="F280" s="2"/>
    </row>
    <row r="281" spans="1:11" ht="15.75">
      <c r="A281" s="3"/>
      <c r="B281" s="3"/>
      <c r="C281" s="2"/>
      <c r="D281" s="2"/>
      <c r="E281" s="2"/>
      <c r="F281" s="2"/>
      <c r="G281" s="3"/>
      <c r="H281" s="4"/>
      <c r="I281" s="4"/>
      <c r="J281" s="4"/>
      <c r="K281" s="5"/>
    </row>
    <row r="282" spans="1:11">
      <c r="H282" s="5"/>
      <c r="I282" s="5"/>
      <c r="J282" s="5"/>
      <c r="K282" s="5"/>
    </row>
    <row r="283" spans="1:11">
      <c r="H283" s="5"/>
      <c r="I283" s="5"/>
      <c r="J283" s="5"/>
      <c r="K283" s="5"/>
    </row>
    <row r="284" spans="1:11">
      <c r="A284" s="72" t="s">
        <v>0</v>
      </c>
      <c r="B284" s="72"/>
      <c r="C284" s="73"/>
      <c r="D284" s="73"/>
      <c r="E284" s="73"/>
      <c r="F284" s="73"/>
      <c r="G284" s="73"/>
      <c r="H284" s="73"/>
      <c r="I284" s="73"/>
      <c r="J284" s="73"/>
      <c r="K284" s="73"/>
    </row>
    <row r="285" spans="1:11">
      <c r="A285" s="73" t="s">
        <v>54</v>
      </c>
      <c r="B285" s="73"/>
      <c r="C285" s="73"/>
      <c r="D285" s="73"/>
      <c r="E285" s="73"/>
      <c r="F285" s="73"/>
      <c r="G285" s="73"/>
      <c r="H285" s="73"/>
      <c r="I285" s="73"/>
      <c r="J285" s="73"/>
      <c r="K285" s="73"/>
    </row>
    <row r="286" spans="1:11">
      <c r="A286" s="73" t="s">
        <v>1</v>
      </c>
      <c r="B286" s="73"/>
      <c r="C286" s="73"/>
      <c r="D286" s="73"/>
      <c r="E286" s="73"/>
      <c r="F286" s="73"/>
      <c r="G286" s="73"/>
      <c r="H286" s="73"/>
      <c r="I286" s="73"/>
      <c r="J286" s="73"/>
      <c r="K286" s="73"/>
    </row>
    <row r="287" spans="1:11">
      <c r="A287" s="73" t="s">
        <v>38</v>
      </c>
      <c r="B287" s="73"/>
      <c r="C287" s="73"/>
      <c r="D287" s="73"/>
      <c r="E287" s="73"/>
      <c r="F287" s="73"/>
      <c r="G287" s="73"/>
      <c r="H287" s="73"/>
      <c r="I287" s="73"/>
      <c r="J287" s="73"/>
      <c r="K287" s="73"/>
    </row>
    <row r="288" spans="1:11">
      <c r="A288" s="73" t="s">
        <v>2</v>
      </c>
      <c r="B288" s="73"/>
      <c r="C288" s="73"/>
      <c r="D288" s="73"/>
      <c r="E288" s="73"/>
      <c r="F288" s="73"/>
      <c r="G288" s="73"/>
      <c r="H288" s="73"/>
      <c r="I288" s="73"/>
      <c r="J288" s="73"/>
      <c r="K288" s="73"/>
    </row>
    <row r="289" spans="1:11">
      <c r="A289" s="6"/>
      <c r="B289" s="6"/>
      <c r="C289" s="7"/>
      <c r="D289" s="7"/>
      <c r="E289" s="7"/>
      <c r="F289" s="7"/>
      <c r="G289" s="8"/>
      <c r="H289" s="9"/>
      <c r="I289" s="9"/>
      <c r="J289" s="9"/>
      <c r="K289" s="9"/>
    </row>
    <row r="290" spans="1:11">
      <c r="A290" s="52" t="s">
        <v>3</v>
      </c>
      <c r="B290" s="10"/>
      <c r="C290" s="10"/>
      <c r="D290" s="53" t="s">
        <v>4</v>
      </c>
      <c r="E290" s="10" t="s">
        <v>5</v>
      </c>
      <c r="F290" s="11"/>
      <c r="G290" s="10"/>
      <c r="H290" s="12"/>
      <c r="I290" s="12"/>
      <c r="J290" s="12"/>
      <c r="K290" s="9"/>
    </row>
    <row r="291" spans="1:11">
      <c r="A291" s="52" t="s">
        <v>6</v>
      </c>
      <c r="B291" s="10"/>
      <c r="C291" s="10"/>
      <c r="D291" s="53" t="s">
        <v>4</v>
      </c>
      <c r="E291" s="10" t="s">
        <v>7</v>
      </c>
      <c r="F291" s="11"/>
      <c r="G291" s="10"/>
      <c r="H291" s="12"/>
      <c r="I291" s="12"/>
      <c r="J291" s="12"/>
      <c r="K291" s="9"/>
    </row>
    <row r="292" spans="1:11">
      <c r="A292" s="52" t="s">
        <v>8</v>
      </c>
      <c r="B292" s="10"/>
      <c r="C292" s="10"/>
      <c r="D292" s="53" t="s">
        <v>4</v>
      </c>
      <c r="E292" s="13">
        <v>2026</v>
      </c>
      <c r="F292" s="11"/>
      <c r="G292" s="13"/>
      <c r="H292" s="12"/>
      <c r="I292" s="12"/>
      <c r="J292" s="12"/>
      <c r="K292" s="9"/>
    </row>
    <row r="293" spans="1:11">
      <c r="A293" s="52" t="s">
        <v>9</v>
      </c>
      <c r="B293" s="10"/>
      <c r="C293" s="10"/>
      <c r="D293" s="53" t="s">
        <v>4</v>
      </c>
      <c r="E293" s="14">
        <f>J304</f>
        <v>226000</v>
      </c>
      <c r="F293" s="11"/>
      <c r="G293" s="14"/>
      <c r="H293" s="12"/>
      <c r="I293" s="12"/>
      <c r="J293" s="12"/>
      <c r="K293" s="9"/>
    </row>
    <row r="294" spans="1:11" ht="15.75">
      <c r="A294" s="10"/>
      <c r="B294" s="10"/>
      <c r="C294" s="15" t="s">
        <v>10</v>
      </c>
      <c r="D294" s="53" t="s">
        <v>4</v>
      </c>
      <c r="E294" s="16" t="str">
        <f>PROPER(IF(E293=0,"nol",IF(E293&lt;0,"minus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293),"000000000000000"),1,3)=0,"",MID(TEXT(ABS(E293),"000000000000000"),1,1)&amp;" ratus "&amp;MID(TEXT(ABS(E293),"000000000000000"),2,1)&amp;" puluh "&amp;MID(TEXT(ABS(E293),"000000000000000"),3,1)&amp;" trilyun ")&amp;IF(--MID(TEXT(ABS(E293),"000000000000000"),4,3)=0,"",MID(TEXT(ABS(E293),"000000000000000"),4,1)&amp;" ratus "&amp;MID(TEXT(ABS(E293),"000000000000000"),5,1)&amp;" puluh "&amp;MID(TEXT(ABS(E293),"000000000000000"),6,1)&amp;" milyar ")&amp;IF(--MID(TEXT(ABS(E293),"000000000000000"),7,3)=0,"",MID(TEXT(ABS(E293),"000000000000000"),7,1)&amp;" ratus "&amp;MID(TEXT(ABS(E293),"000000000000000"),8,1)&amp;" puluh "&amp;MID(TEXT(ABS(E293),"000000000000000"),9,1)&amp;" juta ")&amp;IF(--MID(TEXT(ABS(E293),"000000000000000"),10,3)=0,"",IF(--MID(TEXT(ABS(E293),"000000000000000"),10,3)=1,"*",MID(TEXT(ABS(E293),"000000000000000"),10,1)&amp;" ratus "&amp;MID(TEXT(ABS(E293),"000000000000000"),11,1)&amp;" puluh ")&amp;MID(TEXT(ABS(E293),"000000000000000"),12,1)&amp;" ribu ")&amp;IF(--MID(TEXT(ABS(E293),"000000000000000"),13,3)=0,"",MID(TEXT(ABS(E293),"000000000000000"),13,1)&amp;" ratus "&amp;MID(TEXT(ABS(E293),"000000000000000"),14,1)&amp;" puluh "&amp;MID(TEXT(ABS(E293),"000000000000000"),15,1)),1,"satu"),2,"dua"),3,"tiga"),4,"empat"),5,"lima"),6,"enam"),7,"tujuh"),8,"delapan"),9,"sembilan"),"0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Dua Puluh Enam Ribu Rupiah</v>
      </c>
      <c r="F294" s="11"/>
      <c r="G294" s="16"/>
      <c r="H294" s="12"/>
      <c r="I294" s="12"/>
      <c r="J294" s="12"/>
      <c r="K294" s="9"/>
    </row>
    <row r="295" spans="1:11" ht="15.75">
      <c r="A295" s="10"/>
      <c r="B295" s="10"/>
      <c r="C295" s="15"/>
      <c r="D295" s="15"/>
      <c r="E295" s="15"/>
      <c r="F295" s="11"/>
      <c r="G295" s="16"/>
      <c r="H295" s="12"/>
      <c r="I295" s="12"/>
      <c r="J295" s="12"/>
      <c r="K295" s="9"/>
    </row>
    <row r="296" spans="1:11">
      <c r="A296" s="10" t="s">
        <v>11</v>
      </c>
      <c r="B296" s="10"/>
      <c r="C296" s="10"/>
      <c r="D296" s="10"/>
      <c r="E296" s="10"/>
      <c r="F296" s="10"/>
      <c r="G296" s="10"/>
      <c r="H296" s="12"/>
      <c r="I296" s="12"/>
      <c r="J296" s="12"/>
      <c r="K296" s="9"/>
    </row>
    <row r="297" spans="1:11">
      <c r="A297" s="74" t="s">
        <v>12</v>
      </c>
      <c r="B297" s="74"/>
      <c r="C297" s="74"/>
      <c r="D297" s="74"/>
      <c r="E297" s="74"/>
      <c r="F297" s="74"/>
      <c r="G297" s="74"/>
      <c r="H297" s="74"/>
      <c r="I297" s="74"/>
      <c r="J297" s="74"/>
      <c r="K297" s="74"/>
    </row>
    <row r="298" spans="1:11" ht="60">
      <c r="A298" s="17" t="s">
        <v>13</v>
      </c>
      <c r="B298" s="18" t="s">
        <v>14</v>
      </c>
      <c r="C298" s="59" t="s">
        <v>15</v>
      </c>
      <c r="D298" s="60"/>
      <c r="E298" s="61"/>
      <c r="F298" s="19"/>
      <c r="G298" s="20" t="s">
        <v>16</v>
      </c>
      <c r="H298" s="21" t="s">
        <v>35</v>
      </c>
      <c r="I298" s="21"/>
      <c r="J298" s="31" t="s">
        <v>17</v>
      </c>
      <c r="K298" s="32" t="s">
        <v>18</v>
      </c>
    </row>
    <row r="299" spans="1:11">
      <c r="A299" s="27">
        <v>1</v>
      </c>
      <c r="B299" s="24"/>
      <c r="C299" s="28" t="s">
        <v>23</v>
      </c>
      <c r="D299" s="57"/>
      <c r="E299" s="26"/>
      <c r="F299" s="25"/>
      <c r="G299" s="54" t="s">
        <v>19</v>
      </c>
      <c r="H299" s="54" t="s">
        <v>19</v>
      </c>
      <c r="I299" s="54"/>
      <c r="J299" s="54" t="s">
        <v>19</v>
      </c>
      <c r="K299" s="54" t="s">
        <v>19</v>
      </c>
    </row>
    <row r="300" spans="1:11">
      <c r="A300" s="24"/>
      <c r="B300" s="55" t="s">
        <v>20</v>
      </c>
      <c r="C300" s="25" t="s">
        <v>24</v>
      </c>
      <c r="D300" s="10"/>
      <c r="E300" s="26"/>
      <c r="F300" s="25"/>
      <c r="G300" s="23">
        <v>45000000</v>
      </c>
      <c r="H300" s="56">
        <f>H254+J254</f>
        <v>1472800</v>
      </c>
      <c r="I300" s="56"/>
      <c r="J300" s="56">
        <v>226000</v>
      </c>
      <c r="K300" s="58">
        <f t="shared" ref="K300:K303" si="8">G300-H300-J300</f>
        <v>43301200</v>
      </c>
    </row>
    <row r="301" spans="1:11">
      <c r="A301" s="24"/>
      <c r="B301" s="55" t="s">
        <v>21</v>
      </c>
      <c r="C301" s="62" t="s">
        <v>39</v>
      </c>
      <c r="D301" s="63"/>
      <c r="E301" s="64"/>
      <c r="F301" s="25"/>
      <c r="G301" s="23">
        <v>35000000</v>
      </c>
      <c r="H301" s="56">
        <f t="shared" ref="H301:H303" si="9">H255+J255</f>
        <v>2460000</v>
      </c>
      <c r="I301" s="56"/>
      <c r="J301" s="56">
        <v>0</v>
      </c>
      <c r="K301" s="58">
        <f t="shared" si="8"/>
        <v>32540000</v>
      </c>
    </row>
    <row r="302" spans="1:11">
      <c r="A302" s="24"/>
      <c r="B302" s="55" t="s">
        <v>22</v>
      </c>
      <c r="C302" s="65" t="s">
        <v>40</v>
      </c>
      <c r="D302" s="66"/>
      <c r="E302" s="67"/>
      <c r="F302" s="25"/>
      <c r="G302" s="23">
        <v>30000000</v>
      </c>
      <c r="H302" s="56">
        <f t="shared" si="9"/>
        <v>0</v>
      </c>
      <c r="I302" s="22"/>
      <c r="J302" s="22">
        <v>0</v>
      </c>
      <c r="K302" s="33">
        <f t="shared" si="8"/>
        <v>30000000</v>
      </c>
    </row>
    <row r="303" spans="1:11">
      <c r="A303" s="24"/>
      <c r="B303" s="55" t="s">
        <v>36</v>
      </c>
      <c r="C303" s="68" t="s">
        <v>41</v>
      </c>
      <c r="D303" s="69"/>
      <c r="E303" s="70"/>
      <c r="F303" s="25"/>
      <c r="G303" s="23">
        <v>28125000</v>
      </c>
      <c r="H303" s="56">
        <f t="shared" si="9"/>
        <v>0</v>
      </c>
      <c r="I303" s="22"/>
      <c r="J303" s="22">
        <v>0</v>
      </c>
      <c r="K303" s="33">
        <f t="shared" si="8"/>
        <v>28125000</v>
      </c>
    </row>
    <row r="304" spans="1:11">
      <c r="A304" s="34"/>
      <c r="B304" s="34"/>
      <c r="C304" s="34" t="s">
        <v>25</v>
      </c>
      <c r="D304" s="34"/>
      <c r="E304" s="34"/>
      <c r="F304" s="35"/>
      <c r="G304" s="36">
        <f>SUM(G299:G303)</f>
        <v>138125000</v>
      </c>
      <c r="H304" s="37">
        <f>SUM(H299:H303)</f>
        <v>3932800</v>
      </c>
      <c r="I304" s="37"/>
      <c r="J304" s="37">
        <f>SUM(J299:J303)</f>
        <v>226000</v>
      </c>
      <c r="K304" s="37">
        <f>SUM(K299:K303)</f>
        <v>133966200</v>
      </c>
    </row>
    <row r="305" spans="1:11">
      <c r="A305" s="38"/>
      <c r="B305" s="8"/>
      <c r="C305" s="8"/>
      <c r="D305" s="8"/>
      <c r="E305" s="8"/>
      <c r="F305" s="8"/>
      <c r="G305" s="39"/>
      <c r="H305" s="39"/>
      <c r="I305" s="39"/>
      <c r="J305" s="39"/>
      <c r="K305" s="39"/>
    </row>
    <row r="306" spans="1:11">
      <c r="A306" s="71" t="s">
        <v>26</v>
      </c>
      <c r="B306" s="71"/>
      <c r="C306" s="71"/>
      <c r="D306" s="11" t="s">
        <v>4</v>
      </c>
      <c r="E306" s="14">
        <f>J304</f>
        <v>226000</v>
      </c>
      <c r="F306" s="40"/>
      <c r="G306" s="41"/>
      <c r="H306" s="41"/>
      <c r="I306" s="41"/>
      <c r="J306" s="9"/>
      <c r="K306" s="9"/>
    </row>
    <row r="307" spans="1:11">
      <c r="A307" s="10" t="s">
        <v>27</v>
      </c>
      <c r="B307" s="10"/>
      <c r="C307" s="10"/>
      <c r="D307" s="11" t="s">
        <v>4</v>
      </c>
      <c r="E307" s="42"/>
      <c r="F307" s="42"/>
      <c r="G307" s="43"/>
      <c r="H307" s="12"/>
      <c r="I307" s="12"/>
      <c r="J307" s="9"/>
      <c r="K307" s="9"/>
    </row>
    <row r="308" spans="1:11">
      <c r="A308" s="10" t="s">
        <v>28</v>
      </c>
      <c r="B308" s="10"/>
      <c r="C308" s="10"/>
      <c r="D308" s="11" t="s">
        <v>4</v>
      </c>
      <c r="E308" s="44"/>
      <c r="F308" s="44"/>
      <c r="G308" s="43"/>
      <c r="H308" s="12"/>
      <c r="I308" s="12"/>
      <c r="J308" s="9"/>
      <c r="K308" s="9"/>
    </row>
    <row r="309" spans="1:11">
      <c r="A309" s="10" t="s">
        <v>29</v>
      </c>
      <c r="B309" s="10"/>
      <c r="C309" s="10"/>
      <c r="D309" s="11" t="s">
        <v>4</v>
      </c>
      <c r="E309" s="44">
        <f>E307+E308</f>
        <v>0</v>
      </c>
      <c r="F309" s="44"/>
      <c r="G309" s="10"/>
      <c r="H309" s="12"/>
      <c r="I309" s="12"/>
      <c r="J309" s="46"/>
      <c r="K309" s="46"/>
    </row>
    <row r="310" spans="1:11">
      <c r="A310" s="13"/>
      <c r="B310" s="13"/>
      <c r="C310" s="13"/>
      <c r="D310" s="11"/>
      <c r="E310" s="13"/>
      <c r="F310" s="13"/>
      <c r="G310" s="10"/>
      <c r="H310" s="12"/>
      <c r="I310" s="12"/>
      <c r="J310" s="46"/>
      <c r="K310" s="46"/>
    </row>
    <row r="311" spans="1:11">
      <c r="A311" s="71" t="s">
        <v>30</v>
      </c>
      <c r="B311" s="71"/>
      <c r="C311" s="71"/>
      <c r="D311" s="11" t="s">
        <v>4</v>
      </c>
      <c r="E311" s="40">
        <f>E306-E309</f>
        <v>226000</v>
      </c>
      <c r="F311" s="40"/>
      <c r="G311" s="10"/>
      <c r="H311" s="12"/>
      <c r="I311" s="12"/>
      <c r="J311" s="46"/>
      <c r="K311" s="46"/>
    </row>
    <row r="312" spans="1:11" ht="15.75">
      <c r="A312" s="13"/>
      <c r="B312" s="13"/>
      <c r="C312" s="10"/>
      <c r="D312" s="10"/>
      <c r="E312" s="16" t="str">
        <f>PROPER(IF(E311=0,"nol",IF(E311&lt;0,"minus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311),"000000000000000"),1,3)=0,"",MID(TEXT(ABS(E311),"000000000000000"),1,1)&amp;" ratus "&amp;MID(TEXT(ABS(E311),"000000000000000"),2,1)&amp;" puluh "&amp;MID(TEXT(ABS(E311),"000000000000000"),3,1)&amp;" trilyun ")&amp;IF(--MID(TEXT(ABS(E311),"000000000000000"),4,3)=0,"",MID(TEXT(ABS(E311),"000000000000000"),4,1)&amp;" ratus "&amp;MID(TEXT(ABS(E311),"000000000000000"),5,1)&amp;" puluh "&amp;MID(TEXT(ABS(E311),"000000000000000"),6,1)&amp;" milyar ")&amp;IF(--MID(TEXT(ABS(E311),"000000000000000"),7,3)=0,"",MID(TEXT(ABS(E311),"000000000000000"),7,1)&amp;" ratus "&amp;MID(TEXT(ABS(E311),"000000000000000"),8,1)&amp;" puluh "&amp;MID(TEXT(ABS(E311),"000000000000000"),9,1)&amp;" juta ")&amp;IF(--MID(TEXT(ABS(E311),"000000000000000"),10,3)=0,"",IF(--MID(TEXT(ABS(E311),"000000000000000"),10,3)=1,"*",MID(TEXT(ABS(E311),"000000000000000"),10,1)&amp;" ratus "&amp;MID(TEXT(ABS(E311),"000000000000000"),11,1)&amp;" puluh ")&amp;MID(TEXT(ABS(E311),"000000000000000"),12,1)&amp;" ribu ")&amp;IF(--MID(TEXT(ABS(E311),"000000000000000"),13,3)=0,"",MID(TEXT(ABS(E311),"000000000000000"),13,1)&amp;" ratus "&amp;MID(TEXT(ABS(E311),"000000000000000"),14,1)&amp;" puluh "&amp;MID(TEXT(ABS(E311),"000000000000000"),15,1)),1,"satu"),2,"dua"),3,"tiga"),4,"empat"),5,"lima"),6,"enam"),7,"tujuh"),8,"delapan"),9,"sembilan"),"0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Dua Puluh Enam Ribu Rupiah</v>
      </c>
      <c r="F312" s="10"/>
      <c r="G312" s="10"/>
      <c r="H312" s="10"/>
      <c r="I312" s="10"/>
      <c r="J312" s="46"/>
      <c r="K312" s="46"/>
    </row>
    <row r="313" spans="1:11">
      <c r="A313" s="45"/>
      <c r="B313" s="45"/>
      <c r="C313" s="45"/>
      <c r="D313" s="45"/>
      <c r="E313" s="45"/>
      <c r="F313" s="45"/>
      <c r="G313" s="29"/>
      <c r="H313" s="46"/>
      <c r="I313" s="46"/>
      <c r="J313" s="46"/>
      <c r="K313" s="46"/>
    </row>
    <row r="314" spans="1:11">
      <c r="A314" s="29"/>
      <c r="B314" s="29"/>
      <c r="C314" s="29"/>
      <c r="D314" s="29"/>
      <c r="E314" s="29"/>
      <c r="F314" s="29"/>
      <c r="G314" s="29"/>
      <c r="H314"/>
      <c r="I314"/>
      <c r="J314" s="46"/>
      <c r="K314" s="46"/>
    </row>
    <row r="315" spans="1:11">
      <c r="A315" s="13"/>
      <c r="B315" s="13"/>
      <c r="C315" s="10"/>
      <c r="D315" s="10"/>
      <c r="E315" s="10"/>
      <c r="F315" s="10"/>
      <c r="G315" s="10"/>
      <c r="I315" s="47"/>
      <c r="J315" s="47" t="s">
        <v>53</v>
      </c>
      <c r="K315" s="46"/>
    </row>
    <row r="316" spans="1:11">
      <c r="A316" s="12" t="s">
        <v>31</v>
      </c>
      <c r="B316" s="10"/>
      <c r="C316" s="10"/>
      <c r="D316" s="10"/>
      <c r="E316" s="10"/>
      <c r="F316" s="10"/>
      <c r="G316" s="10"/>
      <c r="I316" s="12"/>
      <c r="J316" s="12" t="s">
        <v>32</v>
      </c>
      <c r="K316" s="46"/>
    </row>
    <row r="317" spans="1:11">
      <c r="A317" s="10"/>
      <c r="B317" s="10"/>
      <c r="C317" s="10"/>
      <c r="D317" s="10"/>
      <c r="E317" s="10"/>
      <c r="F317" s="10"/>
      <c r="G317" s="10"/>
      <c r="I317" s="12"/>
      <c r="J317" s="12"/>
      <c r="K317" s="46"/>
    </row>
    <row r="318" spans="1:11">
      <c r="A318" s="10"/>
      <c r="B318" s="10"/>
      <c r="C318" s="10"/>
      <c r="D318" s="10"/>
      <c r="E318" s="10"/>
      <c r="F318" s="10"/>
      <c r="G318" s="10"/>
      <c r="I318" s="12"/>
      <c r="J318" s="12"/>
      <c r="K318" s="46"/>
    </row>
    <row r="319" spans="1:11">
      <c r="A319" s="10"/>
      <c r="B319" s="10"/>
      <c r="C319" s="10"/>
      <c r="D319" s="10"/>
      <c r="E319" s="10"/>
      <c r="F319" s="10"/>
      <c r="G319" s="10"/>
      <c r="I319" s="12"/>
      <c r="J319" s="12"/>
      <c r="K319" s="46"/>
    </row>
    <row r="320" spans="1:11">
      <c r="A320" s="10"/>
      <c r="B320" s="10"/>
      <c r="C320" s="10"/>
      <c r="D320" s="10"/>
      <c r="E320" s="10"/>
      <c r="F320" s="10"/>
      <c r="G320" s="10"/>
      <c r="I320" s="12"/>
      <c r="J320" s="12"/>
      <c r="K320" s="46"/>
    </row>
    <row r="321" spans="1:11">
      <c r="A321" s="48" t="s">
        <v>37</v>
      </c>
      <c r="B321" s="48"/>
      <c r="C321" s="49"/>
      <c r="D321" s="49"/>
      <c r="E321" s="49"/>
      <c r="F321" s="49"/>
      <c r="G321" s="10" t="s">
        <v>33</v>
      </c>
      <c r="I321" s="48"/>
      <c r="J321" s="48" t="s">
        <v>34</v>
      </c>
      <c r="K321" s="46"/>
    </row>
    <row r="326" spans="1:11" ht="15.75">
      <c r="C326" s="2"/>
      <c r="D326" s="2"/>
      <c r="E326" s="2"/>
      <c r="F326" s="2"/>
    </row>
    <row r="327" spans="1:11" ht="15.75">
      <c r="A327" s="3"/>
      <c r="B327" s="3"/>
      <c r="C327" s="2"/>
      <c r="D327" s="2"/>
      <c r="E327" s="2"/>
      <c r="F327" s="2"/>
      <c r="G327" s="3"/>
      <c r="H327" s="4"/>
      <c r="I327" s="4"/>
      <c r="J327" s="4"/>
      <c r="K327" s="5"/>
    </row>
    <row r="328" spans="1:11">
      <c r="H328" s="5"/>
      <c r="I328" s="5"/>
      <c r="J328" s="5"/>
      <c r="K328" s="5"/>
    </row>
    <row r="329" spans="1:11">
      <c r="H329" s="5"/>
      <c r="I329" s="5"/>
      <c r="J329" s="5"/>
      <c r="K329" s="5"/>
    </row>
    <row r="330" spans="1:11">
      <c r="A330" s="72" t="s">
        <v>0</v>
      </c>
      <c r="B330" s="72"/>
      <c r="C330" s="73"/>
      <c r="D330" s="73"/>
      <c r="E330" s="73"/>
      <c r="F330" s="73"/>
      <c r="G330" s="73"/>
      <c r="H330" s="73"/>
      <c r="I330" s="73"/>
      <c r="J330" s="73"/>
      <c r="K330" s="73"/>
    </row>
    <row r="331" spans="1:11">
      <c r="A331" s="73" t="s">
        <v>55</v>
      </c>
      <c r="B331" s="73"/>
      <c r="C331" s="73"/>
      <c r="D331" s="73"/>
      <c r="E331" s="73"/>
      <c r="F331" s="73"/>
      <c r="G331" s="73"/>
      <c r="H331" s="73"/>
      <c r="I331" s="73"/>
      <c r="J331" s="73"/>
      <c r="K331" s="73"/>
    </row>
    <row r="332" spans="1:11">
      <c r="A332" s="73" t="s">
        <v>1</v>
      </c>
      <c r="B332" s="73"/>
      <c r="C332" s="73"/>
      <c r="D332" s="73"/>
      <c r="E332" s="73"/>
      <c r="F332" s="73"/>
      <c r="G332" s="73"/>
      <c r="H332" s="73"/>
      <c r="I332" s="73"/>
      <c r="J332" s="73"/>
      <c r="K332" s="73"/>
    </row>
    <row r="333" spans="1:11">
      <c r="A333" s="73" t="s">
        <v>38</v>
      </c>
      <c r="B333" s="73"/>
      <c r="C333" s="73"/>
      <c r="D333" s="73"/>
      <c r="E333" s="73"/>
      <c r="F333" s="73"/>
      <c r="G333" s="73"/>
      <c r="H333" s="73"/>
      <c r="I333" s="73"/>
      <c r="J333" s="73"/>
      <c r="K333" s="73"/>
    </row>
    <row r="334" spans="1:11">
      <c r="A334" s="73" t="s">
        <v>2</v>
      </c>
      <c r="B334" s="73"/>
      <c r="C334" s="73"/>
      <c r="D334" s="73"/>
      <c r="E334" s="73"/>
      <c r="F334" s="73"/>
      <c r="G334" s="73"/>
      <c r="H334" s="73"/>
      <c r="I334" s="73"/>
      <c r="J334" s="73"/>
      <c r="K334" s="73"/>
    </row>
    <row r="335" spans="1:11">
      <c r="A335" s="6"/>
      <c r="B335" s="6"/>
      <c r="C335" s="7"/>
      <c r="D335" s="7"/>
      <c r="E335" s="7"/>
      <c r="F335" s="7"/>
      <c r="G335" s="8"/>
      <c r="H335" s="9"/>
      <c r="I335" s="9"/>
      <c r="J335" s="9"/>
      <c r="K335" s="9"/>
    </row>
    <row r="336" spans="1:11">
      <c r="A336" s="52" t="s">
        <v>3</v>
      </c>
      <c r="B336" s="10"/>
      <c r="C336" s="10"/>
      <c r="D336" s="53" t="s">
        <v>4</v>
      </c>
      <c r="E336" s="10" t="s">
        <v>5</v>
      </c>
      <c r="F336" s="11"/>
      <c r="G336" s="10"/>
      <c r="H336" s="12"/>
      <c r="I336" s="12"/>
      <c r="J336" s="12"/>
      <c r="K336" s="9"/>
    </row>
    <row r="337" spans="1:11">
      <c r="A337" s="52" t="s">
        <v>6</v>
      </c>
      <c r="B337" s="10"/>
      <c r="C337" s="10"/>
      <c r="D337" s="53" t="s">
        <v>4</v>
      </c>
      <c r="E337" s="10" t="s">
        <v>7</v>
      </c>
      <c r="F337" s="11"/>
      <c r="G337" s="10"/>
      <c r="H337" s="12"/>
      <c r="I337" s="12"/>
      <c r="J337" s="12"/>
      <c r="K337" s="9"/>
    </row>
    <row r="338" spans="1:11">
      <c r="A338" s="52" t="s">
        <v>8</v>
      </c>
      <c r="B338" s="10"/>
      <c r="C338" s="10"/>
      <c r="D338" s="53" t="s">
        <v>4</v>
      </c>
      <c r="E338" s="13">
        <v>2026</v>
      </c>
      <c r="F338" s="11"/>
      <c r="G338" s="13"/>
      <c r="H338" s="12"/>
      <c r="I338" s="12"/>
      <c r="J338" s="12"/>
      <c r="K338" s="9"/>
    </row>
    <row r="339" spans="1:11">
      <c r="A339" s="52" t="s">
        <v>9</v>
      </c>
      <c r="B339" s="10"/>
      <c r="C339" s="10"/>
      <c r="D339" s="53" t="s">
        <v>4</v>
      </c>
      <c r="E339" s="14">
        <f>J350</f>
        <v>150000</v>
      </c>
      <c r="F339" s="11"/>
      <c r="G339" s="14"/>
      <c r="H339" s="12"/>
      <c r="I339" s="12"/>
      <c r="J339" s="12"/>
      <c r="K339" s="9"/>
    </row>
    <row r="340" spans="1:11" ht="15.75">
      <c r="A340" s="10"/>
      <c r="B340" s="10"/>
      <c r="C340" s="15" t="s">
        <v>10</v>
      </c>
      <c r="D340" s="53" t="s">
        <v>4</v>
      </c>
      <c r="E340" s="16" t="str">
        <f>PROPER(IF(E339=0,"nol",IF(E339&lt;0,"minus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339),"000000000000000"),1,3)=0,"",MID(TEXT(ABS(E339),"000000000000000"),1,1)&amp;" ratus "&amp;MID(TEXT(ABS(E339),"000000000000000"),2,1)&amp;" puluh "&amp;MID(TEXT(ABS(E339),"000000000000000"),3,1)&amp;" trilyun ")&amp;IF(--MID(TEXT(ABS(E339),"000000000000000"),4,3)=0,"",MID(TEXT(ABS(E339),"000000000000000"),4,1)&amp;" ratus "&amp;MID(TEXT(ABS(E339),"000000000000000"),5,1)&amp;" puluh "&amp;MID(TEXT(ABS(E339),"000000000000000"),6,1)&amp;" milyar ")&amp;IF(--MID(TEXT(ABS(E339),"000000000000000"),7,3)=0,"",MID(TEXT(ABS(E339),"000000000000000"),7,1)&amp;" ratus "&amp;MID(TEXT(ABS(E339),"000000000000000"),8,1)&amp;" puluh "&amp;MID(TEXT(ABS(E339),"000000000000000"),9,1)&amp;" juta ")&amp;IF(--MID(TEXT(ABS(E339),"000000000000000"),10,3)=0,"",IF(--MID(TEXT(ABS(E339),"000000000000000"),10,3)=1,"*",MID(TEXT(ABS(E339),"000000000000000"),10,1)&amp;" ratus "&amp;MID(TEXT(ABS(E339),"000000000000000"),11,1)&amp;" puluh ")&amp;MID(TEXT(ABS(E339),"000000000000000"),12,1)&amp;" ribu ")&amp;IF(--MID(TEXT(ABS(E339),"000000000000000"),13,3)=0,"",MID(TEXT(ABS(E339),"000000000000000"),13,1)&amp;" ratus "&amp;MID(TEXT(ABS(E339),"000000000000000"),14,1)&amp;" puluh "&amp;MID(TEXT(ABS(E339),"000000000000000"),15,1)),1,"satu"),2,"dua"),3,"tiga"),4,"empat"),5,"lima"),6,"enam"),7,"tujuh"),8,"delapan"),9,"sembilan"),"0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Lima Puluh Ribu Rupiah</v>
      </c>
      <c r="F340" s="11"/>
      <c r="G340" s="16"/>
      <c r="H340" s="12"/>
      <c r="I340" s="12"/>
      <c r="J340" s="12"/>
      <c r="K340" s="9"/>
    </row>
    <row r="341" spans="1:11" ht="15.75">
      <c r="A341" s="10"/>
      <c r="B341" s="10"/>
      <c r="C341" s="15"/>
      <c r="D341" s="15"/>
      <c r="E341" s="15"/>
      <c r="F341" s="11"/>
      <c r="G341" s="16"/>
      <c r="H341" s="12"/>
      <c r="I341" s="12"/>
      <c r="J341" s="12"/>
      <c r="K341" s="9"/>
    </row>
    <row r="342" spans="1:11">
      <c r="A342" s="10" t="s">
        <v>11</v>
      </c>
      <c r="B342" s="10"/>
      <c r="C342" s="10"/>
      <c r="D342" s="10"/>
      <c r="E342" s="10"/>
      <c r="F342" s="10"/>
      <c r="G342" s="10"/>
      <c r="H342" s="12"/>
      <c r="I342" s="12"/>
      <c r="J342" s="12"/>
      <c r="K342" s="9"/>
    </row>
    <row r="343" spans="1:11">
      <c r="A343" s="74" t="s">
        <v>12</v>
      </c>
      <c r="B343" s="74"/>
      <c r="C343" s="74"/>
      <c r="D343" s="74"/>
      <c r="E343" s="74"/>
      <c r="F343" s="74"/>
      <c r="G343" s="74"/>
      <c r="H343" s="74"/>
      <c r="I343" s="74"/>
      <c r="J343" s="74"/>
      <c r="K343" s="74"/>
    </row>
    <row r="344" spans="1:11" ht="60">
      <c r="A344" s="17" t="s">
        <v>13</v>
      </c>
      <c r="B344" s="18" t="s">
        <v>14</v>
      </c>
      <c r="C344" s="59" t="s">
        <v>15</v>
      </c>
      <c r="D344" s="60"/>
      <c r="E344" s="61"/>
      <c r="F344" s="19"/>
      <c r="G344" s="20" t="s">
        <v>16</v>
      </c>
      <c r="H344" s="21" t="s">
        <v>35</v>
      </c>
      <c r="I344" s="21"/>
      <c r="J344" s="31" t="s">
        <v>17</v>
      </c>
      <c r="K344" s="32" t="s">
        <v>18</v>
      </c>
    </row>
    <row r="345" spans="1:11">
      <c r="A345" s="27">
        <v>1</v>
      </c>
      <c r="B345" s="24"/>
      <c r="C345" s="28" t="s">
        <v>23</v>
      </c>
      <c r="D345" s="57"/>
      <c r="E345" s="26"/>
      <c r="F345" s="25"/>
      <c r="G345" s="54" t="s">
        <v>19</v>
      </c>
      <c r="H345" s="54" t="s">
        <v>19</v>
      </c>
      <c r="I345" s="54"/>
      <c r="J345" s="54" t="s">
        <v>19</v>
      </c>
      <c r="K345" s="54" t="s">
        <v>19</v>
      </c>
    </row>
    <row r="346" spans="1:11">
      <c r="A346" s="24"/>
      <c r="B346" s="55" t="s">
        <v>20</v>
      </c>
      <c r="C346" s="25" t="s">
        <v>24</v>
      </c>
      <c r="D346" s="10"/>
      <c r="E346" s="26"/>
      <c r="F346" s="25"/>
      <c r="G346" s="23">
        <v>45000000</v>
      </c>
      <c r="H346" s="56">
        <f>H300+J300</f>
        <v>1698800</v>
      </c>
      <c r="I346" s="56"/>
      <c r="J346" s="56">
        <v>150000</v>
      </c>
      <c r="K346" s="58">
        <f t="shared" ref="K346:K349" si="10">G346-H346-J346</f>
        <v>43151200</v>
      </c>
    </row>
    <row r="347" spans="1:11" ht="28.5" customHeight="1">
      <c r="A347" s="24"/>
      <c r="B347" s="55" t="s">
        <v>21</v>
      </c>
      <c r="C347" s="62" t="s">
        <v>39</v>
      </c>
      <c r="D347" s="63"/>
      <c r="E347" s="64"/>
      <c r="F347" s="25"/>
      <c r="G347" s="23">
        <v>35000000</v>
      </c>
      <c r="H347" s="56">
        <f t="shared" ref="H347:H349" si="11">H301+J301</f>
        <v>2460000</v>
      </c>
      <c r="I347" s="56"/>
      <c r="J347" s="56">
        <v>0</v>
      </c>
      <c r="K347" s="58">
        <f t="shared" si="10"/>
        <v>32540000</v>
      </c>
    </row>
    <row r="348" spans="1:11">
      <c r="A348" s="24"/>
      <c r="B348" s="55" t="s">
        <v>22</v>
      </c>
      <c r="C348" s="65" t="s">
        <v>40</v>
      </c>
      <c r="D348" s="66"/>
      <c r="E348" s="67"/>
      <c r="F348" s="25"/>
      <c r="G348" s="23">
        <v>30000000</v>
      </c>
      <c r="H348" s="56">
        <f t="shared" si="11"/>
        <v>0</v>
      </c>
      <c r="I348" s="22"/>
      <c r="J348" s="22">
        <v>0</v>
      </c>
      <c r="K348" s="33">
        <f t="shared" si="10"/>
        <v>30000000</v>
      </c>
    </row>
    <row r="349" spans="1:11">
      <c r="A349" s="24"/>
      <c r="B349" s="55" t="s">
        <v>36</v>
      </c>
      <c r="C349" s="68" t="s">
        <v>41</v>
      </c>
      <c r="D349" s="69"/>
      <c r="E349" s="70"/>
      <c r="F349" s="25"/>
      <c r="G349" s="23">
        <v>28125000</v>
      </c>
      <c r="H349" s="56">
        <f t="shared" si="11"/>
        <v>0</v>
      </c>
      <c r="I349" s="22"/>
      <c r="J349" s="22">
        <v>0</v>
      </c>
      <c r="K349" s="33">
        <f t="shared" si="10"/>
        <v>28125000</v>
      </c>
    </row>
    <row r="350" spans="1:11">
      <c r="A350" s="34"/>
      <c r="B350" s="34"/>
      <c r="C350" s="34" t="s">
        <v>25</v>
      </c>
      <c r="D350" s="34"/>
      <c r="E350" s="34"/>
      <c r="F350" s="35"/>
      <c r="G350" s="36">
        <f>SUM(G345:G349)</f>
        <v>138125000</v>
      </c>
      <c r="H350" s="37">
        <f>SUM(H345:H349)</f>
        <v>4158800</v>
      </c>
      <c r="I350" s="37"/>
      <c r="J350" s="37">
        <f>SUM(J345:J349)</f>
        <v>150000</v>
      </c>
      <c r="K350" s="37">
        <f>SUM(K345:K349)</f>
        <v>133816200</v>
      </c>
    </row>
    <row r="351" spans="1:11">
      <c r="A351" s="38"/>
      <c r="B351" s="8"/>
      <c r="C351" s="8"/>
      <c r="D351" s="8"/>
      <c r="E351" s="8"/>
      <c r="F351" s="8"/>
      <c r="G351" s="39"/>
      <c r="H351" s="39"/>
      <c r="I351" s="39"/>
      <c r="J351" s="39"/>
      <c r="K351" s="39"/>
    </row>
    <row r="352" spans="1:11">
      <c r="A352" s="71" t="s">
        <v>26</v>
      </c>
      <c r="B352" s="71"/>
      <c r="C352" s="71"/>
      <c r="D352" s="11" t="s">
        <v>4</v>
      </c>
      <c r="E352" s="14">
        <f>J350</f>
        <v>150000</v>
      </c>
      <c r="F352" s="40"/>
      <c r="G352" s="41"/>
      <c r="H352" s="41"/>
      <c r="I352" s="41"/>
      <c r="J352" s="9"/>
      <c r="K352" s="9"/>
    </row>
    <row r="353" spans="1:11">
      <c r="A353" s="10" t="s">
        <v>27</v>
      </c>
      <c r="B353" s="10"/>
      <c r="C353" s="10"/>
      <c r="D353" s="11" t="s">
        <v>4</v>
      </c>
      <c r="E353" s="42"/>
      <c r="F353" s="42"/>
      <c r="G353" s="43"/>
      <c r="H353" s="12"/>
      <c r="I353" s="12"/>
      <c r="J353" s="9"/>
      <c r="K353" s="9"/>
    </row>
    <row r="354" spans="1:11">
      <c r="A354" s="10" t="s">
        <v>28</v>
      </c>
      <c r="B354" s="10"/>
      <c r="C354" s="10"/>
      <c r="D354" s="11" t="s">
        <v>4</v>
      </c>
      <c r="E354" s="44"/>
      <c r="F354" s="44"/>
      <c r="G354" s="43"/>
      <c r="H354" s="12"/>
      <c r="I354" s="12"/>
      <c r="J354" s="9"/>
      <c r="K354" s="9"/>
    </row>
    <row r="355" spans="1:11">
      <c r="A355" s="10" t="s">
        <v>29</v>
      </c>
      <c r="B355" s="10"/>
      <c r="C355" s="10"/>
      <c r="D355" s="11" t="s">
        <v>4</v>
      </c>
      <c r="E355" s="44">
        <f>E353+E354</f>
        <v>0</v>
      </c>
      <c r="F355" s="44"/>
      <c r="G355" s="10"/>
      <c r="H355" s="12"/>
      <c r="I355" s="12"/>
      <c r="J355" s="46"/>
      <c r="K355" s="46"/>
    </row>
    <row r="356" spans="1:11">
      <c r="A356" s="13"/>
      <c r="B356" s="13"/>
      <c r="C356" s="13"/>
      <c r="D356" s="11"/>
      <c r="E356" s="13"/>
      <c r="F356" s="13"/>
      <c r="G356" s="10"/>
      <c r="H356" s="12"/>
      <c r="I356" s="12"/>
      <c r="J356" s="46"/>
      <c r="K356" s="46"/>
    </row>
    <row r="357" spans="1:11">
      <c r="A357" s="71" t="s">
        <v>30</v>
      </c>
      <c r="B357" s="71"/>
      <c r="C357" s="71"/>
      <c r="D357" s="11" t="s">
        <v>4</v>
      </c>
      <c r="E357" s="40">
        <f>E352-E355</f>
        <v>150000</v>
      </c>
      <c r="F357" s="40"/>
      <c r="G357" s="10"/>
      <c r="H357" s="12"/>
      <c r="I357" s="12"/>
      <c r="J357" s="46"/>
      <c r="K357" s="46"/>
    </row>
    <row r="358" spans="1:11" ht="15.75">
      <c r="A358" s="13"/>
      <c r="B358" s="13"/>
      <c r="C358" s="10"/>
      <c r="D358" s="10"/>
      <c r="E358" s="16" t="str">
        <f>PROPER(IF(E357=0,"nol",IF(E357&lt;0,"minus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357),"000000000000000"),1,3)=0,"",MID(TEXT(ABS(E357),"000000000000000"),1,1)&amp;" ratus "&amp;MID(TEXT(ABS(E357),"000000000000000"),2,1)&amp;" puluh "&amp;MID(TEXT(ABS(E357),"000000000000000"),3,1)&amp;" trilyun ")&amp;IF(--MID(TEXT(ABS(E357),"000000000000000"),4,3)=0,"",MID(TEXT(ABS(E357),"000000000000000"),4,1)&amp;" ratus "&amp;MID(TEXT(ABS(E357),"000000000000000"),5,1)&amp;" puluh "&amp;MID(TEXT(ABS(E357),"000000000000000"),6,1)&amp;" milyar ")&amp;IF(--MID(TEXT(ABS(E357),"000000000000000"),7,3)=0,"",MID(TEXT(ABS(E357),"000000000000000"),7,1)&amp;" ratus "&amp;MID(TEXT(ABS(E357),"000000000000000"),8,1)&amp;" puluh "&amp;MID(TEXT(ABS(E357),"000000000000000"),9,1)&amp;" juta ")&amp;IF(--MID(TEXT(ABS(E357),"000000000000000"),10,3)=0,"",IF(--MID(TEXT(ABS(E357),"000000000000000"),10,3)=1,"*",MID(TEXT(ABS(E357),"000000000000000"),10,1)&amp;" ratus "&amp;MID(TEXT(ABS(E357),"000000000000000"),11,1)&amp;" puluh ")&amp;MID(TEXT(ABS(E357),"000000000000000"),12,1)&amp;" ribu ")&amp;IF(--MID(TEXT(ABS(E357),"000000000000000"),13,3)=0,"",MID(TEXT(ABS(E357),"000000000000000"),13,1)&amp;" ratus "&amp;MID(TEXT(ABS(E357),"000000000000000"),14,1)&amp;" puluh "&amp;MID(TEXT(ABS(E357),"000000000000000"),15,1)),1,"satu"),2,"dua"),3,"tiga"),4,"empat"),5,"lima"),6,"enam"),7,"tujuh"),8,"delapan"),9,"sembilan"),"0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Lima Puluh Ribu Rupiah</v>
      </c>
      <c r="F358" s="10"/>
      <c r="G358" s="10"/>
      <c r="H358" s="10"/>
      <c r="I358" s="10"/>
      <c r="J358" s="46"/>
      <c r="K358" s="46"/>
    </row>
    <row r="359" spans="1:11">
      <c r="A359" s="45"/>
      <c r="B359" s="45"/>
      <c r="C359" s="45"/>
      <c r="D359" s="45"/>
      <c r="E359" s="45"/>
      <c r="F359" s="45"/>
      <c r="G359" s="29"/>
      <c r="H359" s="46"/>
      <c r="I359" s="46"/>
      <c r="J359" s="46"/>
      <c r="K359" s="46"/>
    </row>
    <row r="360" spans="1:11">
      <c r="A360" s="29"/>
      <c r="B360" s="29"/>
      <c r="C360" s="29"/>
      <c r="D360" s="29"/>
      <c r="E360" s="29"/>
      <c r="F360" s="29"/>
      <c r="G360" s="29"/>
      <c r="H360"/>
      <c r="I360"/>
      <c r="J360" s="46"/>
      <c r="K360" s="46"/>
    </row>
    <row r="361" spans="1:11">
      <c r="A361" s="13"/>
      <c r="B361" s="13"/>
      <c r="C361" s="10"/>
      <c r="D361" s="10"/>
      <c r="E361" s="10"/>
      <c r="F361" s="10"/>
      <c r="G361" s="10"/>
      <c r="I361" s="47"/>
      <c r="J361" s="47" t="s">
        <v>43</v>
      </c>
      <c r="K361" s="46"/>
    </row>
    <row r="362" spans="1:11">
      <c r="A362" s="12" t="s">
        <v>31</v>
      </c>
      <c r="B362" s="10"/>
      <c r="C362" s="10"/>
      <c r="D362" s="10"/>
      <c r="E362" s="10"/>
      <c r="F362" s="10"/>
      <c r="G362" s="10"/>
      <c r="I362" s="12"/>
      <c r="J362" s="12" t="s">
        <v>32</v>
      </c>
      <c r="K362" s="46"/>
    </row>
    <row r="363" spans="1:11">
      <c r="A363" s="10"/>
      <c r="B363" s="10"/>
      <c r="C363" s="10"/>
      <c r="D363" s="10"/>
      <c r="E363" s="10"/>
      <c r="F363" s="10"/>
      <c r="G363" s="10"/>
      <c r="I363" s="12"/>
      <c r="J363" s="12"/>
      <c r="K363" s="46"/>
    </row>
    <row r="364" spans="1:11">
      <c r="A364" s="10"/>
      <c r="B364" s="10"/>
      <c r="C364" s="10"/>
      <c r="D364" s="10"/>
      <c r="E364" s="10"/>
      <c r="F364" s="10"/>
      <c r="G364" s="10"/>
      <c r="I364" s="12"/>
      <c r="J364" s="12"/>
      <c r="K364" s="46"/>
    </row>
    <row r="365" spans="1:11">
      <c r="A365" s="10"/>
      <c r="B365" s="10"/>
      <c r="C365" s="10"/>
      <c r="D365" s="10"/>
      <c r="E365" s="10"/>
      <c r="F365" s="10"/>
      <c r="G365" s="10"/>
      <c r="I365" s="12"/>
      <c r="J365" s="12"/>
      <c r="K365" s="46"/>
    </row>
    <row r="366" spans="1:11">
      <c r="A366" s="10"/>
      <c r="B366" s="10"/>
      <c r="C366" s="10"/>
      <c r="D366" s="10"/>
      <c r="E366" s="10"/>
      <c r="F366" s="10"/>
      <c r="G366" s="10"/>
      <c r="I366" s="12"/>
      <c r="J366" s="12"/>
      <c r="K366" s="46"/>
    </row>
    <row r="367" spans="1:11">
      <c r="A367" s="48" t="s">
        <v>37</v>
      </c>
      <c r="B367" s="48"/>
      <c r="C367" s="49"/>
      <c r="D367" s="49"/>
      <c r="E367" s="49"/>
      <c r="F367" s="49"/>
      <c r="G367" s="10" t="s">
        <v>33</v>
      </c>
      <c r="I367" s="48"/>
      <c r="J367" s="48" t="s">
        <v>34</v>
      </c>
      <c r="K367" s="46"/>
    </row>
    <row r="372" spans="1:11" ht="15.75">
      <c r="C372" s="2"/>
      <c r="D372" s="2"/>
      <c r="E372" s="2"/>
      <c r="F372" s="2"/>
    </row>
    <row r="373" spans="1:11" ht="15.75">
      <c r="A373" s="3"/>
      <c r="B373" s="3"/>
      <c r="C373" s="2"/>
      <c r="D373" s="2"/>
      <c r="E373" s="2"/>
      <c r="F373" s="2"/>
      <c r="G373" s="3"/>
      <c r="H373" s="4"/>
      <c r="I373" s="4"/>
      <c r="J373" s="4"/>
      <c r="K373" s="5"/>
    </row>
    <row r="374" spans="1:11">
      <c r="H374" s="5"/>
      <c r="I374" s="5"/>
      <c r="J374" s="5"/>
      <c r="K374" s="5"/>
    </row>
    <row r="375" spans="1:11">
      <c r="H375" s="5"/>
      <c r="I375" s="5"/>
      <c r="J375" s="5"/>
      <c r="K375" s="5"/>
    </row>
    <row r="376" spans="1:11">
      <c r="A376" s="72" t="s">
        <v>0</v>
      </c>
      <c r="B376" s="72"/>
      <c r="C376" s="73"/>
      <c r="D376" s="73"/>
      <c r="E376" s="73"/>
      <c r="F376" s="73"/>
      <c r="G376" s="73"/>
      <c r="H376" s="73"/>
      <c r="I376" s="73"/>
      <c r="J376" s="73"/>
      <c r="K376" s="73"/>
    </row>
    <row r="377" spans="1:11">
      <c r="A377" s="73" t="s">
        <v>56</v>
      </c>
      <c r="B377" s="73"/>
      <c r="C377" s="73"/>
      <c r="D377" s="73"/>
      <c r="E377" s="73"/>
      <c r="F377" s="73"/>
      <c r="G377" s="73"/>
      <c r="H377" s="73"/>
      <c r="I377" s="73"/>
      <c r="J377" s="73"/>
      <c r="K377" s="73"/>
    </row>
    <row r="378" spans="1:11">
      <c r="A378" s="73" t="s">
        <v>1</v>
      </c>
      <c r="B378" s="73"/>
      <c r="C378" s="73"/>
      <c r="D378" s="73"/>
      <c r="E378" s="73"/>
      <c r="F378" s="73"/>
      <c r="G378" s="73"/>
      <c r="H378" s="73"/>
      <c r="I378" s="73"/>
      <c r="J378" s="73"/>
      <c r="K378" s="73"/>
    </row>
    <row r="379" spans="1:11">
      <c r="A379" s="73" t="s">
        <v>38</v>
      </c>
      <c r="B379" s="73"/>
      <c r="C379" s="73"/>
      <c r="D379" s="73"/>
      <c r="E379" s="73"/>
      <c r="F379" s="73"/>
      <c r="G379" s="73"/>
      <c r="H379" s="73"/>
      <c r="I379" s="73"/>
      <c r="J379" s="73"/>
      <c r="K379" s="73"/>
    </row>
    <row r="380" spans="1:11">
      <c r="A380" s="73" t="s">
        <v>2</v>
      </c>
      <c r="B380" s="73"/>
      <c r="C380" s="73"/>
      <c r="D380" s="73"/>
      <c r="E380" s="73"/>
      <c r="F380" s="73"/>
      <c r="G380" s="73"/>
      <c r="H380" s="73"/>
      <c r="I380" s="73"/>
      <c r="J380" s="73"/>
      <c r="K380" s="73"/>
    </row>
    <row r="381" spans="1:11">
      <c r="A381" s="6"/>
      <c r="B381" s="6"/>
      <c r="C381" s="7"/>
      <c r="D381" s="7"/>
      <c r="E381" s="7"/>
      <c r="F381" s="7"/>
      <c r="G381" s="8"/>
      <c r="H381" s="9"/>
      <c r="I381" s="9"/>
      <c r="J381" s="9"/>
      <c r="K381" s="9"/>
    </row>
    <row r="382" spans="1:11">
      <c r="A382" s="52" t="s">
        <v>3</v>
      </c>
      <c r="B382" s="10"/>
      <c r="C382" s="10"/>
      <c r="D382" s="53" t="s">
        <v>4</v>
      </c>
      <c r="E382" s="10" t="s">
        <v>5</v>
      </c>
      <c r="F382" s="11"/>
      <c r="G382" s="10"/>
      <c r="H382" s="12"/>
      <c r="I382" s="12"/>
      <c r="J382" s="12"/>
      <c r="K382" s="9"/>
    </row>
    <row r="383" spans="1:11">
      <c r="A383" s="52" t="s">
        <v>6</v>
      </c>
      <c r="B383" s="10"/>
      <c r="C383" s="10"/>
      <c r="D383" s="53" t="s">
        <v>4</v>
      </c>
      <c r="E383" s="10" t="s">
        <v>7</v>
      </c>
      <c r="F383" s="11"/>
      <c r="G383" s="10"/>
      <c r="H383" s="12"/>
      <c r="I383" s="12"/>
      <c r="J383" s="12"/>
      <c r="K383" s="9"/>
    </row>
    <row r="384" spans="1:11">
      <c r="A384" s="52" t="s">
        <v>8</v>
      </c>
      <c r="B384" s="10"/>
      <c r="C384" s="10"/>
      <c r="D384" s="53" t="s">
        <v>4</v>
      </c>
      <c r="E384" s="13">
        <v>2026</v>
      </c>
      <c r="F384" s="11"/>
      <c r="G384" s="13"/>
      <c r="H384" s="12"/>
      <c r="I384" s="12"/>
      <c r="J384" s="12"/>
      <c r="K384" s="9"/>
    </row>
    <row r="385" spans="1:11">
      <c r="A385" s="52" t="s">
        <v>9</v>
      </c>
      <c r="B385" s="10"/>
      <c r="C385" s="10"/>
      <c r="D385" s="53" t="s">
        <v>4</v>
      </c>
      <c r="E385" s="14">
        <f>J396</f>
        <v>72000</v>
      </c>
      <c r="F385" s="11"/>
      <c r="G385" s="14"/>
      <c r="H385" s="12"/>
      <c r="I385" s="12"/>
      <c r="J385" s="12"/>
      <c r="K385" s="9"/>
    </row>
    <row r="386" spans="1:11" ht="15.75">
      <c r="A386" s="10"/>
      <c r="B386" s="10"/>
      <c r="C386" s="15" t="s">
        <v>10</v>
      </c>
      <c r="D386" s="53" t="s">
        <v>4</v>
      </c>
      <c r="E386" s="16" t="str">
        <f>PROPER(IF(E385=0,"nol",IF(E385&lt;0,"minus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385),"000000000000000"),1,3)=0,"",MID(TEXT(ABS(E385),"000000000000000"),1,1)&amp;" ratus "&amp;MID(TEXT(ABS(E385),"000000000000000"),2,1)&amp;" puluh "&amp;MID(TEXT(ABS(E385),"000000000000000"),3,1)&amp;" trilyun ")&amp;IF(--MID(TEXT(ABS(E385),"000000000000000"),4,3)=0,"",MID(TEXT(ABS(E385),"000000000000000"),4,1)&amp;" ratus "&amp;MID(TEXT(ABS(E385),"000000000000000"),5,1)&amp;" puluh "&amp;MID(TEXT(ABS(E385),"000000000000000"),6,1)&amp;" milyar ")&amp;IF(--MID(TEXT(ABS(E385),"000000000000000"),7,3)=0,"",MID(TEXT(ABS(E385),"000000000000000"),7,1)&amp;" ratus "&amp;MID(TEXT(ABS(E385),"000000000000000"),8,1)&amp;" puluh "&amp;MID(TEXT(ABS(E385),"000000000000000"),9,1)&amp;" juta ")&amp;IF(--MID(TEXT(ABS(E385),"000000000000000"),10,3)=0,"",IF(--MID(TEXT(ABS(E385),"000000000000000"),10,3)=1,"*",MID(TEXT(ABS(E385),"000000000000000"),10,1)&amp;" ratus "&amp;MID(TEXT(ABS(E385),"000000000000000"),11,1)&amp;" puluh ")&amp;MID(TEXT(ABS(E385),"000000000000000"),12,1)&amp;" ribu ")&amp;IF(--MID(TEXT(ABS(E385),"000000000000000"),13,3)=0,"",MID(TEXT(ABS(E385),"000000000000000"),13,1)&amp;" ratus "&amp;MID(TEXT(ABS(E385),"000000000000000"),14,1)&amp;" puluh "&amp;MID(TEXT(ABS(E385),"000000000000000"),15,1)),1,"satu"),2,"dua"),3,"tiga"),4,"empat"),5,"lima"),6,"enam"),7,"tujuh"),8,"delapan"),9,"sembilan"),"0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Puluh Dua Ribu Rupiah</v>
      </c>
      <c r="F386" s="11"/>
      <c r="G386" s="16"/>
      <c r="H386" s="12"/>
      <c r="I386" s="12"/>
      <c r="J386" s="12"/>
      <c r="K386" s="9"/>
    </row>
    <row r="387" spans="1:11" ht="15.75">
      <c r="A387" s="10"/>
      <c r="B387" s="10"/>
      <c r="C387" s="15"/>
      <c r="D387" s="15"/>
      <c r="E387" s="15"/>
      <c r="F387" s="11"/>
      <c r="G387" s="16"/>
      <c r="H387" s="12"/>
      <c r="I387" s="12"/>
      <c r="J387" s="12"/>
      <c r="K387" s="9"/>
    </row>
    <row r="388" spans="1:11">
      <c r="A388" s="10" t="s">
        <v>11</v>
      </c>
      <c r="B388" s="10"/>
      <c r="C388" s="10"/>
      <c r="D388" s="10"/>
      <c r="E388" s="10"/>
      <c r="F388" s="10"/>
      <c r="G388" s="10"/>
      <c r="H388" s="12"/>
      <c r="I388" s="12"/>
      <c r="J388" s="12"/>
      <c r="K388" s="9"/>
    </row>
    <row r="389" spans="1:11">
      <c r="A389" s="74" t="s">
        <v>12</v>
      </c>
      <c r="B389" s="74"/>
      <c r="C389" s="74"/>
      <c r="D389" s="74"/>
      <c r="E389" s="74"/>
      <c r="F389" s="74"/>
      <c r="G389" s="74"/>
      <c r="H389" s="74"/>
      <c r="I389" s="74"/>
      <c r="J389" s="74"/>
      <c r="K389" s="74"/>
    </row>
    <row r="390" spans="1:11" ht="60">
      <c r="A390" s="17" t="s">
        <v>13</v>
      </c>
      <c r="B390" s="18" t="s">
        <v>14</v>
      </c>
      <c r="C390" s="59" t="s">
        <v>15</v>
      </c>
      <c r="D390" s="60"/>
      <c r="E390" s="61"/>
      <c r="F390" s="19"/>
      <c r="G390" s="20" t="s">
        <v>16</v>
      </c>
      <c r="H390" s="21" t="s">
        <v>35</v>
      </c>
      <c r="I390" s="21"/>
      <c r="J390" s="31" t="s">
        <v>17</v>
      </c>
      <c r="K390" s="32" t="s">
        <v>18</v>
      </c>
    </row>
    <row r="391" spans="1:11">
      <c r="A391" s="27">
        <v>1</v>
      </c>
      <c r="B391" s="24"/>
      <c r="C391" s="28" t="s">
        <v>23</v>
      </c>
      <c r="D391" s="57"/>
      <c r="E391" s="26"/>
      <c r="F391" s="25"/>
      <c r="G391" s="54" t="s">
        <v>19</v>
      </c>
      <c r="H391" s="54" t="s">
        <v>19</v>
      </c>
      <c r="I391" s="54"/>
      <c r="J391" s="54" t="s">
        <v>19</v>
      </c>
      <c r="K391" s="54" t="s">
        <v>19</v>
      </c>
    </row>
    <row r="392" spans="1:11">
      <c r="A392" s="24"/>
      <c r="B392" s="55" t="s">
        <v>20</v>
      </c>
      <c r="C392" s="25" t="s">
        <v>24</v>
      </c>
      <c r="D392" s="10"/>
      <c r="E392" s="26"/>
      <c r="F392" s="25"/>
      <c r="G392" s="23">
        <v>45000000</v>
      </c>
      <c r="H392" s="56">
        <f>H346+J346</f>
        <v>1848800</v>
      </c>
      <c r="I392" s="56"/>
      <c r="J392" s="56">
        <v>0</v>
      </c>
      <c r="K392" s="58">
        <f t="shared" ref="K392:K395" si="12">G392-H392-J392</f>
        <v>43151200</v>
      </c>
    </row>
    <row r="393" spans="1:11" ht="28.5" customHeight="1">
      <c r="A393" s="24"/>
      <c r="B393" s="55" t="s">
        <v>21</v>
      </c>
      <c r="C393" s="62" t="s">
        <v>39</v>
      </c>
      <c r="D393" s="63"/>
      <c r="E393" s="64"/>
      <c r="F393" s="25"/>
      <c r="G393" s="23">
        <v>35000000</v>
      </c>
      <c r="H393" s="56">
        <f t="shared" ref="H393:H395" si="13">H347+J347</f>
        <v>2460000</v>
      </c>
      <c r="I393" s="56"/>
      <c r="J393" s="56">
        <v>0</v>
      </c>
      <c r="K393" s="58">
        <f t="shared" si="12"/>
        <v>32540000</v>
      </c>
    </row>
    <row r="394" spans="1:11">
      <c r="A394" s="24"/>
      <c r="B394" s="55" t="s">
        <v>22</v>
      </c>
      <c r="C394" s="65" t="s">
        <v>40</v>
      </c>
      <c r="D394" s="66"/>
      <c r="E394" s="67"/>
      <c r="F394" s="25"/>
      <c r="G394" s="23">
        <v>30000000</v>
      </c>
      <c r="H394" s="56">
        <f t="shared" si="13"/>
        <v>0</v>
      </c>
      <c r="I394" s="22"/>
      <c r="J394" s="22">
        <v>0</v>
      </c>
      <c r="K394" s="33">
        <f t="shared" si="12"/>
        <v>30000000</v>
      </c>
    </row>
    <row r="395" spans="1:11">
      <c r="A395" s="24"/>
      <c r="B395" s="55" t="s">
        <v>36</v>
      </c>
      <c r="C395" s="68" t="s">
        <v>41</v>
      </c>
      <c r="D395" s="69"/>
      <c r="E395" s="70"/>
      <c r="F395" s="25"/>
      <c r="G395" s="23">
        <v>28125000</v>
      </c>
      <c r="H395" s="56">
        <f t="shared" si="13"/>
        <v>0</v>
      </c>
      <c r="I395" s="22"/>
      <c r="J395" s="22">
        <v>72000</v>
      </c>
      <c r="K395" s="33">
        <f t="shared" si="12"/>
        <v>28053000</v>
      </c>
    </row>
    <row r="396" spans="1:11">
      <c r="A396" s="34"/>
      <c r="B396" s="34"/>
      <c r="C396" s="34" t="s">
        <v>25</v>
      </c>
      <c r="D396" s="34"/>
      <c r="E396" s="34"/>
      <c r="F396" s="35"/>
      <c r="G396" s="36">
        <f>SUM(G391:G395)</f>
        <v>138125000</v>
      </c>
      <c r="H396" s="37">
        <f>SUM(H391:H395)</f>
        <v>4308800</v>
      </c>
      <c r="I396" s="37"/>
      <c r="J396" s="37">
        <f>SUM(J391:J395)</f>
        <v>72000</v>
      </c>
      <c r="K396" s="37">
        <f>SUM(K391:K395)</f>
        <v>133744200</v>
      </c>
    </row>
    <row r="397" spans="1:11">
      <c r="A397" s="38"/>
      <c r="B397" s="8"/>
      <c r="C397" s="8"/>
      <c r="D397" s="8"/>
      <c r="E397" s="8"/>
      <c r="F397" s="8"/>
      <c r="G397" s="39"/>
      <c r="H397" s="39"/>
      <c r="I397" s="39"/>
      <c r="J397" s="39"/>
      <c r="K397" s="39"/>
    </row>
    <row r="398" spans="1:11">
      <c r="A398" s="71" t="s">
        <v>26</v>
      </c>
      <c r="B398" s="71"/>
      <c r="C398" s="71"/>
      <c r="D398" s="11" t="s">
        <v>4</v>
      </c>
      <c r="E398" s="14">
        <f>J396</f>
        <v>72000</v>
      </c>
      <c r="F398" s="40"/>
      <c r="G398" s="41"/>
      <c r="H398" s="41"/>
      <c r="I398" s="41"/>
      <c r="J398" s="9"/>
      <c r="K398" s="9"/>
    </row>
    <row r="399" spans="1:11">
      <c r="A399" s="10" t="s">
        <v>27</v>
      </c>
      <c r="B399" s="10"/>
      <c r="C399" s="10"/>
      <c r="D399" s="11" t="s">
        <v>4</v>
      </c>
      <c r="E399" s="42"/>
      <c r="F399" s="42"/>
      <c r="G399" s="43"/>
      <c r="H399" s="12"/>
      <c r="I399" s="12"/>
      <c r="J399" s="9"/>
      <c r="K399" s="9"/>
    </row>
    <row r="400" spans="1:11">
      <c r="A400" s="10" t="s">
        <v>28</v>
      </c>
      <c r="B400" s="10"/>
      <c r="C400" s="10"/>
      <c r="D400" s="11" t="s">
        <v>4</v>
      </c>
      <c r="E400" s="44"/>
      <c r="F400" s="44"/>
      <c r="G400" s="43"/>
      <c r="H400" s="12"/>
      <c r="I400" s="12"/>
      <c r="J400" s="9"/>
      <c r="K400" s="9"/>
    </row>
    <row r="401" spans="1:11">
      <c r="A401" s="10" t="s">
        <v>29</v>
      </c>
      <c r="B401" s="10"/>
      <c r="C401" s="10"/>
      <c r="D401" s="11" t="s">
        <v>4</v>
      </c>
      <c r="E401" s="44">
        <f>E399+E400</f>
        <v>0</v>
      </c>
      <c r="F401" s="44"/>
      <c r="G401" s="10"/>
      <c r="H401" s="12"/>
      <c r="I401" s="12"/>
      <c r="J401" s="46"/>
      <c r="K401" s="46"/>
    </row>
    <row r="402" spans="1:11">
      <c r="A402" s="13"/>
      <c r="B402" s="13"/>
      <c r="C402" s="13"/>
      <c r="D402" s="11"/>
      <c r="E402" s="13"/>
      <c r="F402" s="13"/>
      <c r="G402" s="10"/>
      <c r="H402" s="12"/>
      <c r="I402" s="12"/>
      <c r="J402" s="46"/>
      <c r="K402" s="46"/>
    </row>
    <row r="403" spans="1:11">
      <c r="A403" s="71" t="s">
        <v>30</v>
      </c>
      <c r="B403" s="71"/>
      <c r="C403" s="71"/>
      <c r="D403" s="11" t="s">
        <v>4</v>
      </c>
      <c r="E403" s="40">
        <f>E398-E401</f>
        <v>72000</v>
      </c>
      <c r="F403" s="40"/>
      <c r="G403" s="10"/>
      <c r="H403" s="12"/>
      <c r="I403" s="12"/>
      <c r="J403" s="46"/>
      <c r="K403" s="46"/>
    </row>
    <row r="404" spans="1:11" ht="15.75">
      <c r="A404" s="13"/>
      <c r="B404" s="13"/>
      <c r="C404" s="10"/>
      <c r="D404" s="10"/>
      <c r="E404" s="16" t="str">
        <f>PROPER(IF(E403=0,"nol",IF(E403&lt;0,"minus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403),"000000000000000"),1,3)=0,"",MID(TEXT(ABS(E403),"000000000000000"),1,1)&amp;" ratus "&amp;MID(TEXT(ABS(E403),"000000000000000"),2,1)&amp;" puluh "&amp;MID(TEXT(ABS(E403),"000000000000000"),3,1)&amp;" trilyun ")&amp;IF(--MID(TEXT(ABS(E403),"000000000000000"),4,3)=0,"",MID(TEXT(ABS(E403),"000000000000000"),4,1)&amp;" ratus "&amp;MID(TEXT(ABS(E403),"000000000000000"),5,1)&amp;" puluh "&amp;MID(TEXT(ABS(E403),"000000000000000"),6,1)&amp;" milyar ")&amp;IF(--MID(TEXT(ABS(E403),"000000000000000"),7,3)=0,"",MID(TEXT(ABS(E403),"000000000000000"),7,1)&amp;" ratus "&amp;MID(TEXT(ABS(E403),"000000000000000"),8,1)&amp;" puluh "&amp;MID(TEXT(ABS(E403),"000000000000000"),9,1)&amp;" juta ")&amp;IF(--MID(TEXT(ABS(E403),"000000000000000"),10,3)=0,"",IF(--MID(TEXT(ABS(E403),"000000000000000"),10,3)=1,"*",MID(TEXT(ABS(E403),"000000000000000"),10,1)&amp;" ratus "&amp;MID(TEXT(ABS(E403),"000000000000000"),11,1)&amp;" puluh ")&amp;MID(TEXT(ABS(E403),"000000000000000"),12,1)&amp;" ribu ")&amp;IF(--MID(TEXT(ABS(E403),"000000000000000"),13,3)=0,"",MID(TEXT(ABS(E403),"000000000000000"),13,1)&amp;" ratus "&amp;MID(TEXT(ABS(E403),"000000000000000"),14,1)&amp;" puluh "&amp;MID(TEXT(ABS(E403),"000000000000000"),15,1)),1,"satu"),2,"dua"),3,"tiga"),4,"empat"),5,"lima"),6,"enam"),7,"tujuh"),8,"delapan"),9,"sembilan"),"0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Puluh Dua Ribu Rupiah</v>
      </c>
      <c r="F404" s="10"/>
      <c r="G404" s="10"/>
      <c r="H404" s="10"/>
      <c r="I404" s="10"/>
      <c r="J404" s="46"/>
      <c r="K404" s="46"/>
    </row>
    <row r="405" spans="1:11">
      <c r="A405" s="45"/>
      <c r="B405" s="45"/>
      <c r="C405" s="45"/>
      <c r="D405" s="45"/>
      <c r="E405" s="45"/>
      <c r="F405" s="45"/>
      <c r="G405" s="29"/>
      <c r="H405" s="46"/>
      <c r="I405" s="46"/>
      <c r="J405" s="46"/>
      <c r="K405" s="46"/>
    </row>
    <row r="406" spans="1:11">
      <c r="A406" s="29"/>
      <c r="B406" s="29"/>
      <c r="C406" s="29"/>
      <c r="D406" s="29"/>
      <c r="E406" s="29"/>
      <c r="F406" s="29"/>
      <c r="G406" s="29"/>
      <c r="H406"/>
      <c r="I406"/>
      <c r="J406" s="46"/>
      <c r="K406" s="46"/>
    </row>
    <row r="407" spans="1:11">
      <c r="A407" s="13"/>
      <c r="B407" s="13"/>
      <c r="C407" s="10"/>
      <c r="D407" s="10"/>
      <c r="E407" s="10"/>
      <c r="F407" s="10"/>
      <c r="G407" s="10"/>
      <c r="I407" s="47"/>
      <c r="J407" s="47" t="s">
        <v>57</v>
      </c>
      <c r="K407" s="46"/>
    </row>
    <row r="408" spans="1:11">
      <c r="A408" s="12" t="s">
        <v>31</v>
      </c>
      <c r="B408" s="10"/>
      <c r="C408" s="10"/>
      <c r="D408" s="10"/>
      <c r="E408" s="10"/>
      <c r="F408" s="10"/>
      <c r="G408" s="10"/>
      <c r="I408" s="12"/>
      <c r="J408" s="12" t="s">
        <v>32</v>
      </c>
      <c r="K408" s="46"/>
    </row>
    <row r="409" spans="1:11">
      <c r="A409" s="10"/>
      <c r="B409" s="10"/>
      <c r="C409" s="10"/>
      <c r="D409" s="10"/>
      <c r="E409" s="10"/>
      <c r="F409" s="10"/>
      <c r="G409" s="10"/>
      <c r="I409" s="12"/>
      <c r="J409" s="12"/>
      <c r="K409" s="46"/>
    </row>
    <row r="410" spans="1:11">
      <c r="A410" s="10"/>
      <c r="B410" s="10"/>
      <c r="C410" s="10"/>
      <c r="D410" s="10"/>
      <c r="E410" s="10"/>
      <c r="F410" s="10"/>
      <c r="G410" s="10"/>
      <c r="I410" s="12"/>
      <c r="J410" s="12"/>
      <c r="K410" s="46"/>
    </row>
    <row r="411" spans="1:11">
      <c r="A411" s="10"/>
      <c r="B411" s="10"/>
      <c r="C411" s="10"/>
      <c r="D411" s="10"/>
      <c r="E411" s="10"/>
      <c r="F411" s="10"/>
      <c r="G411" s="10"/>
      <c r="I411" s="12"/>
      <c r="J411" s="12"/>
      <c r="K411" s="46"/>
    </row>
    <row r="412" spans="1:11">
      <c r="A412" s="10"/>
      <c r="B412" s="10"/>
      <c r="C412" s="10"/>
      <c r="D412" s="10"/>
      <c r="E412" s="10"/>
      <c r="F412" s="10"/>
      <c r="G412" s="10"/>
      <c r="I412" s="12"/>
      <c r="J412" s="12"/>
      <c r="K412" s="46"/>
    </row>
    <row r="413" spans="1:11">
      <c r="A413" s="48" t="s">
        <v>37</v>
      </c>
      <c r="B413" s="48"/>
      <c r="C413" s="49"/>
      <c r="D413" s="49"/>
      <c r="E413" s="49"/>
      <c r="F413" s="49"/>
      <c r="G413" s="10" t="s">
        <v>33</v>
      </c>
      <c r="I413" s="48"/>
      <c r="J413" s="48" t="s">
        <v>34</v>
      </c>
      <c r="K413" s="46"/>
    </row>
    <row r="418" spans="1:11" ht="15.75">
      <c r="C418" s="2"/>
      <c r="D418" s="2"/>
      <c r="E418" s="2"/>
      <c r="F418" s="2"/>
    </row>
    <row r="419" spans="1:11" ht="15.75">
      <c r="A419" s="3"/>
      <c r="B419" s="3"/>
      <c r="C419" s="2"/>
      <c r="D419" s="2"/>
      <c r="E419" s="2"/>
      <c r="F419" s="2"/>
      <c r="G419" s="3"/>
      <c r="H419" s="4"/>
      <c r="I419" s="4"/>
      <c r="J419" s="4"/>
      <c r="K419" s="5"/>
    </row>
    <row r="420" spans="1:11">
      <c r="H420" s="5"/>
      <c r="I420" s="5"/>
      <c r="J420" s="5"/>
      <c r="K420" s="5"/>
    </row>
    <row r="421" spans="1:11">
      <c r="H421" s="5"/>
      <c r="I421" s="5"/>
      <c r="J421" s="5"/>
      <c r="K421" s="5"/>
    </row>
    <row r="422" spans="1:11">
      <c r="A422" s="72" t="s">
        <v>0</v>
      </c>
      <c r="B422" s="72"/>
      <c r="C422" s="73"/>
      <c r="D422" s="73"/>
      <c r="E422" s="73"/>
      <c r="F422" s="73"/>
      <c r="G422" s="73"/>
      <c r="H422" s="73"/>
      <c r="I422" s="73"/>
      <c r="J422" s="73"/>
      <c r="K422" s="73"/>
    </row>
    <row r="423" spans="1:11">
      <c r="A423" s="73" t="s">
        <v>58</v>
      </c>
      <c r="B423" s="73"/>
      <c r="C423" s="73"/>
      <c r="D423" s="73"/>
      <c r="E423" s="73"/>
      <c r="F423" s="73"/>
      <c r="G423" s="73"/>
      <c r="H423" s="73"/>
      <c r="I423" s="73"/>
      <c r="J423" s="73"/>
      <c r="K423" s="73"/>
    </row>
    <row r="424" spans="1:11">
      <c r="A424" s="73" t="s">
        <v>1</v>
      </c>
      <c r="B424" s="73"/>
      <c r="C424" s="73"/>
      <c r="D424" s="73"/>
      <c r="E424" s="73"/>
      <c r="F424" s="73"/>
      <c r="G424" s="73"/>
      <c r="H424" s="73"/>
      <c r="I424" s="73"/>
      <c r="J424" s="73"/>
      <c r="K424" s="73"/>
    </row>
    <row r="425" spans="1:11">
      <c r="A425" s="73" t="s">
        <v>38</v>
      </c>
      <c r="B425" s="73"/>
      <c r="C425" s="73"/>
      <c r="D425" s="73"/>
      <c r="E425" s="73"/>
      <c r="F425" s="73"/>
      <c r="G425" s="73"/>
      <c r="H425" s="73"/>
      <c r="I425" s="73"/>
      <c r="J425" s="73"/>
      <c r="K425" s="73"/>
    </row>
    <row r="426" spans="1:11">
      <c r="A426" s="73" t="s">
        <v>2</v>
      </c>
      <c r="B426" s="73"/>
      <c r="C426" s="73"/>
      <c r="D426" s="73"/>
      <c r="E426" s="73"/>
      <c r="F426" s="73"/>
      <c r="G426" s="73"/>
      <c r="H426" s="73"/>
      <c r="I426" s="73"/>
      <c r="J426" s="73"/>
      <c r="K426" s="73"/>
    </row>
    <row r="427" spans="1:11">
      <c r="A427" s="6"/>
      <c r="B427" s="6"/>
      <c r="C427" s="7"/>
      <c r="D427" s="7"/>
      <c r="E427" s="7"/>
      <c r="F427" s="7"/>
      <c r="G427" s="8"/>
      <c r="H427" s="9"/>
      <c r="I427" s="9"/>
      <c r="J427" s="9"/>
      <c r="K427" s="9"/>
    </row>
    <row r="428" spans="1:11">
      <c r="A428" s="52" t="s">
        <v>3</v>
      </c>
      <c r="B428" s="10"/>
      <c r="C428" s="10"/>
      <c r="D428" s="53" t="s">
        <v>4</v>
      </c>
      <c r="E428" s="10" t="s">
        <v>5</v>
      </c>
      <c r="F428" s="11"/>
      <c r="G428" s="10"/>
      <c r="H428" s="12"/>
      <c r="I428" s="12"/>
      <c r="J428" s="12"/>
      <c r="K428" s="9"/>
    </row>
    <row r="429" spans="1:11">
      <c r="A429" s="52" t="s">
        <v>6</v>
      </c>
      <c r="B429" s="10"/>
      <c r="C429" s="10"/>
      <c r="D429" s="53" t="s">
        <v>4</v>
      </c>
      <c r="E429" s="10" t="s">
        <v>7</v>
      </c>
      <c r="F429" s="11"/>
      <c r="G429" s="10"/>
      <c r="H429" s="12"/>
      <c r="I429" s="12"/>
      <c r="J429" s="12"/>
      <c r="K429" s="9"/>
    </row>
    <row r="430" spans="1:11">
      <c r="A430" s="52" t="s">
        <v>8</v>
      </c>
      <c r="B430" s="10"/>
      <c r="C430" s="10"/>
      <c r="D430" s="53" t="s">
        <v>4</v>
      </c>
      <c r="E430" s="13">
        <v>2026</v>
      </c>
      <c r="F430" s="11"/>
      <c r="G430" s="13"/>
      <c r="H430" s="12"/>
      <c r="I430" s="12"/>
      <c r="J430" s="12"/>
      <c r="K430" s="9"/>
    </row>
    <row r="431" spans="1:11">
      <c r="A431" s="52" t="s">
        <v>9</v>
      </c>
      <c r="B431" s="10"/>
      <c r="C431" s="10"/>
      <c r="D431" s="53" t="s">
        <v>4</v>
      </c>
      <c r="E431" s="14">
        <f>J442</f>
        <v>130000</v>
      </c>
      <c r="F431" s="11"/>
      <c r="G431" s="14"/>
      <c r="H431" s="12"/>
      <c r="I431" s="12"/>
      <c r="J431" s="12"/>
      <c r="K431" s="9"/>
    </row>
    <row r="432" spans="1:11" ht="15.75">
      <c r="A432" s="10"/>
      <c r="B432" s="10"/>
      <c r="C432" s="15" t="s">
        <v>10</v>
      </c>
      <c r="D432" s="53" t="s">
        <v>4</v>
      </c>
      <c r="E432" s="16" t="str">
        <f>PROPER(IF(E431=0,"nol",IF(E431&lt;0,"minus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431),"000000000000000"),1,3)=0,"",MID(TEXT(ABS(E431),"000000000000000"),1,1)&amp;" ratus "&amp;MID(TEXT(ABS(E431),"000000000000000"),2,1)&amp;" puluh "&amp;MID(TEXT(ABS(E431),"000000000000000"),3,1)&amp;" trilyun ")&amp;IF(--MID(TEXT(ABS(E431),"000000000000000"),4,3)=0,"",MID(TEXT(ABS(E431),"000000000000000"),4,1)&amp;" ratus "&amp;MID(TEXT(ABS(E431),"000000000000000"),5,1)&amp;" puluh "&amp;MID(TEXT(ABS(E431),"000000000000000"),6,1)&amp;" milyar ")&amp;IF(--MID(TEXT(ABS(E431),"000000000000000"),7,3)=0,"",MID(TEXT(ABS(E431),"000000000000000"),7,1)&amp;" ratus "&amp;MID(TEXT(ABS(E431),"000000000000000"),8,1)&amp;" puluh "&amp;MID(TEXT(ABS(E431),"000000000000000"),9,1)&amp;" juta ")&amp;IF(--MID(TEXT(ABS(E431),"000000000000000"),10,3)=0,"",IF(--MID(TEXT(ABS(E431),"000000000000000"),10,3)=1,"*",MID(TEXT(ABS(E431),"000000000000000"),10,1)&amp;" ratus "&amp;MID(TEXT(ABS(E431),"000000000000000"),11,1)&amp;" puluh ")&amp;MID(TEXT(ABS(E431),"000000000000000"),12,1)&amp;" ribu ")&amp;IF(--MID(TEXT(ABS(E431),"000000000000000"),13,3)=0,"",MID(TEXT(ABS(E431),"000000000000000"),13,1)&amp;" ratus "&amp;MID(TEXT(ABS(E431),"000000000000000"),14,1)&amp;" puluh "&amp;MID(TEXT(ABS(E431),"000000000000000"),15,1)),1,"satu"),2,"dua"),3,"tiga"),4,"empat"),5,"lima"),6,"enam"),7,"tujuh"),8,"delapan"),9,"sembilan"),"0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Tiga Puluh Ribu Rupiah</v>
      </c>
      <c r="F432" s="11"/>
      <c r="G432" s="16"/>
      <c r="H432" s="12"/>
      <c r="I432" s="12"/>
      <c r="J432" s="12"/>
      <c r="K432" s="9"/>
    </row>
    <row r="433" spans="1:11" ht="15.75">
      <c r="A433" s="10"/>
      <c r="B433" s="10"/>
      <c r="C433" s="15"/>
      <c r="D433" s="15"/>
      <c r="E433" s="15"/>
      <c r="F433" s="11"/>
      <c r="G433" s="16"/>
      <c r="H433" s="12"/>
      <c r="I433" s="12"/>
      <c r="J433" s="12"/>
      <c r="K433" s="9"/>
    </row>
    <row r="434" spans="1:11">
      <c r="A434" s="10" t="s">
        <v>11</v>
      </c>
      <c r="B434" s="10"/>
      <c r="C434" s="10"/>
      <c r="D434" s="10"/>
      <c r="E434" s="10"/>
      <c r="F434" s="10"/>
      <c r="G434" s="10"/>
      <c r="H434" s="12"/>
      <c r="I434" s="12"/>
      <c r="J434" s="12"/>
      <c r="K434" s="9"/>
    </row>
    <row r="435" spans="1:11">
      <c r="A435" s="74" t="s">
        <v>12</v>
      </c>
      <c r="B435" s="74"/>
      <c r="C435" s="74"/>
      <c r="D435" s="74"/>
      <c r="E435" s="74"/>
      <c r="F435" s="74"/>
      <c r="G435" s="74"/>
      <c r="H435" s="74"/>
      <c r="I435" s="74"/>
      <c r="J435" s="74"/>
      <c r="K435" s="74"/>
    </row>
    <row r="436" spans="1:11" ht="60">
      <c r="A436" s="17" t="s">
        <v>13</v>
      </c>
      <c r="B436" s="18" t="s">
        <v>14</v>
      </c>
      <c r="C436" s="59" t="s">
        <v>15</v>
      </c>
      <c r="D436" s="60"/>
      <c r="E436" s="61"/>
      <c r="F436" s="19"/>
      <c r="G436" s="20" t="s">
        <v>16</v>
      </c>
      <c r="H436" s="21" t="s">
        <v>35</v>
      </c>
      <c r="I436" s="21"/>
      <c r="J436" s="31" t="s">
        <v>17</v>
      </c>
      <c r="K436" s="32" t="s">
        <v>18</v>
      </c>
    </row>
    <row r="437" spans="1:11">
      <c r="A437" s="27">
        <v>1</v>
      </c>
      <c r="B437" s="24"/>
      <c r="C437" s="28" t="s">
        <v>23</v>
      </c>
      <c r="D437" s="57"/>
      <c r="E437" s="26"/>
      <c r="F437" s="25"/>
      <c r="G437" s="54" t="s">
        <v>19</v>
      </c>
      <c r="H437" s="54" t="s">
        <v>19</v>
      </c>
      <c r="I437" s="54"/>
      <c r="J437" s="54" t="s">
        <v>19</v>
      </c>
      <c r="K437" s="54" t="s">
        <v>19</v>
      </c>
    </row>
    <row r="438" spans="1:11">
      <c r="A438" s="24"/>
      <c r="B438" s="55" t="s">
        <v>20</v>
      </c>
      <c r="C438" s="25" t="s">
        <v>24</v>
      </c>
      <c r="D438" s="10"/>
      <c r="E438" s="26"/>
      <c r="F438" s="25"/>
      <c r="G438" s="23">
        <v>45000000</v>
      </c>
      <c r="H438" s="56">
        <f>H392+J392</f>
        <v>1848800</v>
      </c>
      <c r="I438" s="56"/>
      <c r="J438" s="56">
        <v>130000</v>
      </c>
      <c r="K438" s="58">
        <f t="shared" ref="K438:K441" si="14">G438-H438-J438</f>
        <v>43021200</v>
      </c>
    </row>
    <row r="439" spans="1:11" ht="30.75" customHeight="1">
      <c r="A439" s="24"/>
      <c r="B439" s="55" t="s">
        <v>21</v>
      </c>
      <c r="C439" s="62" t="s">
        <v>39</v>
      </c>
      <c r="D439" s="63"/>
      <c r="E439" s="64"/>
      <c r="F439" s="25"/>
      <c r="G439" s="23">
        <v>35000000</v>
      </c>
      <c r="H439" s="56">
        <f t="shared" ref="H439:H441" si="15">H393+J393</f>
        <v>2460000</v>
      </c>
      <c r="I439" s="56"/>
      <c r="J439" s="56">
        <v>0</v>
      </c>
      <c r="K439" s="58">
        <f t="shared" si="14"/>
        <v>32540000</v>
      </c>
    </row>
    <row r="440" spans="1:11">
      <c r="A440" s="24"/>
      <c r="B440" s="55" t="s">
        <v>22</v>
      </c>
      <c r="C440" s="65" t="s">
        <v>40</v>
      </c>
      <c r="D440" s="66"/>
      <c r="E440" s="67"/>
      <c r="F440" s="25"/>
      <c r="G440" s="23">
        <v>30000000</v>
      </c>
      <c r="H440" s="56">
        <f t="shared" si="15"/>
        <v>0</v>
      </c>
      <c r="I440" s="22"/>
      <c r="J440" s="22">
        <v>0</v>
      </c>
      <c r="K440" s="33">
        <f t="shared" si="14"/>
        <v>30000000</v>
      </c>
    </row>
    <row r="441" spans="1:11">
      <c r="A441" s="24"/>
      <c r="B441" s="55" t="s">
        <v>36</v>
      </c>
      <c r="C441" s="68" t="s">
        <v>41</v>
      </c>
      <c r="D441" s="69"/>
      <c r="E441" s="70"/>
      <c r="F441" s="25"/>
      <c r="G441" s="23">
        <v>28125000</v>
      </c>
      <c r="H441" s="56">
        <f t="shared" si="15"/>
        <v>72000</v>
      </c>
      <c r="I441" s="22"/>
      <c r="J441" s="22">
        <v>0</v>
      </c>
      <c r="K441" s="33">
        <f t="shared" si="14"/>
        <v>28053000</v>
      </c>
    </row>
    <row r="442" spans="1:11">
      <c r="A442" s="34"/>
      <c r="B442" s="34"/>
      <c r="C442" s="34" t="s">
        <v>25</v>
      </c>
      <c r="D442" s="34"/>
      <c r="E442" s="34"/>
      <c r="F442" s="35"/>
      <c r="G442" s="36">
        <f>SUM(G437:G441)</f>
        <v>138125000</v>
      </c>
      <c r="H442" s="37">
        <f>SUM(H437:H441)</f>
        <v>4380800</v>
      </c>
      <c r="I442" s="37"/>
      <c r="J442" s="37">
        <f>SUM(J437:J441)</f>
        <v>130000</v>
      </c>
      <c r="K442" s="37">
        <f>SUM(K437:K441)</f>
        <v>133614200</v>
      </c>
    </row>
    <row r="443" spans="1:11">
      <c r="A443" s="38"/>
      <c r="B443" s="8"/>
      <c r="C443" s="8"/>
      <c r="D443" s="8"/>
      <c r="E443" s="8"/>
      <c r="F443" s="8"/>
      <c r="G443" s="39"/>
      <c r="H443" s="39"/>
      <c r="I443" s="39"/>
      <c r="J443" s="39"/>
      <c r="K443" s="39"/>
    </row>
    <row r="444" spans="1:11">
      <c r="A444" s="71" t="s">
        <v>26</v>
      </c>
      <c r="B444" s="71"/>
      <c r="C444" s="71"/>
      <c r="D444" s="11" t="s">
        <v>4</v>
      </c>
      <c r="E444" s="14">
        <f>J442</f>
        <v>130000</v>
      </c>
      <c r="F444" s="40"/>
      <c r="G444" s="41"/>
      <c r="H444" s="41"/>
      <c r="I444" s="41"/>
      <c r="J444" s="9"/>
      <c r="K444" s="9"/>
    </row>
    <row r="445" spans="1:11">
      <c r="A445" s="10" t="s">
        <v>27</v>
      </c>
      <c r="B445" s="10"/>
      <c r="C445" s="10"/>
      <c r="D445" s="11" t="s">
        <v>4</v>
      </c>
      <c r="E445" s="42"/>
      <c r="F445" s="42"/>
      <c r="G445" s="43"/>
      <c r="H445" s="12"/>
      <c r="I445" s="12"/>
      <c r="J445" s="9"/>
      <c r="K445" s="9"/>
    </row>
    <row r="446" spans="1:11">
      <c r="A446" s="10" t="s">
        <v>28</v>
      </c>
      <c r="B446" s="10"/>
      <c r="C446" s="10"/>
      <c r="D446" s="11" t="s">
        <v>4</v>
      </c>
      <c r="E446" s="44"/>
      <c r="F446" s="44"/>
      <c r="G446" s="43"/>
      <c r="H446" s="12"/>
      <c r="I446" s="12"/>
      <c r="J446" s="9"/>
      <c r="K446" s="9"/>
    </row>
    <row r="447" spans="1:11">
      <c r="A447" s="10" t="s">
        <v>29</v>
      </c>
      <c r="B447" s="10"/>
      <c r="C447" s="10"/>
      <c r="D447" s="11" t="s">
        <v>4</v>
      </c>
      <c r="E447" s="44">
        <f>E445+E446</f>
        <v>0</v>
      </c>
      <c r="F447" s="44"/>
      <c r="G447" s="10"/>
      <c r="H447" s="12"/>
      <c r="I447" s="12"/>
      <c r="J447" s="46"/>
      <c r="K447" s="46"/>
    </row>
    <row r="448" spans="1:11">
      <c r="A448" s="13"/>
      <c r="B448" s="13"/>
      <c r="C448" s="13"/>
      <c r="D448" s="11"/>
      <c r="E448" s="13"/>
      <c r="F448" s="13"/>
      <c r="G448" s="10"/>
      <c r="H448" s="12"/>
      <c r="I448" s="12"/>
      <c r="J448" s="46"/>
      <c r="K448" s="46"/>
    </row>
    <row r="449" spans="1:11">
      <c r="A449" s="71" t="s">
        <v>30</v>
      </c>
      <c r="B449" s="71"/>
      <c r="C449" s="71"/>
      <c r="D449" s="11" t="s">
        <v>4</v>
      </c>
      <c r="E449" s="40">
        <f>E444-E447</f>
        <v>130000</v>
      </c>
      <c r="F449" s="40"/>
      <c r="G449" s="10"/>
      <c r="H449" s="12"/>
      <c r="I449" s="12"/>
      <c r="J449" s="46"/>
      <c r="K449" s="46"/>
    </row>
    <row r="450" spans="1:11" ht="15.75">
      <c r="A450" s="13"/>
      <c r="B450" s="13"/>
      <c r="C450" s="10"/>
      <c r="D450" s="10"/>
      <c r="E450" s="16" t="str">
        <f>PROPER(IF(E449=0,"nol",IF(E449&lt;0,"minus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449),"000000000000000"),1,3)=0,"",MID(TEXT(ABS(E449),"000000000000000"),1,1)&amp;" ratus "&amp;MID(TEXT(ABS(E449),"000000000000000"),2,1)&amp;" puluh "&amp;MID(TEXT(ABS(E449),"000000000000000"),3,1)&amp;" trilyun ")&amp;IF(--MID(TEXT(ABS(E449),"000000000000000"),4,3)=0,"",MID(TEXT(ABS(E449),"000000000000000"),4,1)&amp;" ratus "&amp;MID(TEXT(ABS(E449),"000000000000000"),5,1)&amp;" puluh "&amp;MID(TEXT(ABS(E449),"000000000000000"),6,1)&amp;" milyar ")&amp;IF(--MID(TEXT(ABS(E449),"000000000000000"),7,3)=0,"",MID(TEXT(ABS(E449),"000000000000000"),7,1)&amp;" ratus "&amp;MID(TEXT(ABS(E449),"000000000000000"),8,1)&amp;" puluh "&amp;MID(TEXT(ABS(E449),"000000000000000"),9,1)&amp;" juta ")&amp;IF(--MID(TEXT(ABS(E449),"000000000000000"),10,3)=0,"",IF(--MID(TEXT(ABS(E449),"000000000000000"),10,3)=1,"*",MID(TEXT(ABS(E449),"000000000000000"),10,1)&amp;" ratus "&amp;MID(TEXT(ABS(E449),"000000000000000"),11,1)&amp;" puluh ")&amp;MID(TEXT(ABS(E449),"000000000000000"),12,1)&amp;" ribu ")&amp;IF(--MID(TEXT(ABS(E449),"000000000000000"),13,3)=0,"",MID(TEXT(ABS(E449),"000000000000000"),13,1)&amp;" ratus "&amp;MID(TEXT(ABS(E449),"000000000000000"),14,1)&amp;" puluh "&amp;MID(TEXT(ABS(E449),"000000000000000"),15,1)),1,"satu"),2,"dua"),3,"tiga"),4,"empat"),5,"lima"),6,"enam"),7,"tujuh"),8,"delapan"),9,"sembilan"),"0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Tiga Puluh Ribu Rupiah</v>
      </c>
      <c r="F450" s="10"/>
      <c r="G450" s="10"/>
      <c r="H450" s="10"/>
      <c r="I450" s="10"/>
      <c r="J450" s="46"/>
      <c r="K450" s="46"/>
    </row>
    <row r="451" spans="1:11">
      <c r="A451" s="45"/>
      <c r="B451" s="45"/>
      <c r="C451" s="45"/>
      <c r="D451" s="45"/>
      <c r="E451" s="45"/>
      <c r="F451" s="45"/>
      <c r="G451" s="29"/>
      <c r="H451" s="46"/>
      <c r="I451" s="46"/>
      <c r="J451" s="46"/>
      <c r="K451" s="46"/>
    </row>
    <row r="452" spans="1:11">
      <c r="A452" s="29"/>
      <c r="B452" s="29"/>
      <c r="C452" s="29"/>
      <c r="D452" s="29"/>
      <c r="E452" s="29"/>
      <c r="F452" s="29"/>
      <c r="G452" s="29"/>
      <c r="H452"/>
      <c r="I452"/>
      <c r="J452" s="46"/>
      <c r="K452" s="46"/>
    </row>
    <row r="453" spans="1:11">
      <c r="A453" s="13"/>
      <c r="B453" s="13"/>
      <c r="C453" s="10"/>
      <c r="D453" s="10"/>
      <c r="E453" s="10"/>
      <c r="F453" s="10"/>
      <c r="G453" s="10"/>
      <c r="I453" s="47"/>
      <c r="J453" s="47" t="s">
        <v>59</v>
      </c>
      <c r="K453" s="46"/>
    </row>
    <row r="454" spans="1:11">
      <c r="A454" s="12" t="s">
        <v>31</v>
      </c>
      <c r="B454" s="10"/>
      <c r="C454" s="10"/>
      <c r="D454" s="10"/>
      <c r="E454" s="10"/>
      <c r="F454" s="10"/>
      <c r="G454" s="10"/>
      <c r="I454" s="12"/>
      <c r="J454" s="12" t="s">
        <v>32</v>
      </c>
      <c r="K454" s="46"/>
    </row>
    <row r="455" spans="1:11">
      <c r="A455" s="10"/>
      <c r="B455" s="10"/>
      <c r="C455" s="10"/>
      <c r="D455" s="10"/>
      <c r="E455" s="10"/>
      <c r="F455" s="10"/>
      <c r="G455" s="10"/>
      <c r="I455" s="12"/>
      <c r="J455" s="12"/>
      <c r="K455" s="46"/>
    </row>
    <row r="456" spans="1:11">
      <c r="A456" s="10"/>
      <c r="B456" s="10"/>
      <c r="C456" s="10"/>
      <c r="D456" s="10"/>
      <c r="E456" s="10"/>
      <c r="F456" s="10"/>
      <c r="G456" s="10"/>
      <c r="I456" s="12"/>
      <c r="J456" s="12"/>
      <c r="K456" s="46"/>
    </row>
    <row r="457" spans="1:11">
      <c r="A457" s="10"/>
      <c r="B457" s="10"/>
      <c r="C457" s="10"/>
      <c r="D457" s="10"/>
      <c r="E457" s="10"/>
      <c r="F457" s="10"/>
      <c r="G457" s="10"/>
      <c r="I457" s="12"/>
      <c r="J457" s="12"/>
      <c r="K457" s="46"/>
    </row>
    <row r="458" spans="1:11">
      <c r="A458" s="10"/>
      <c r="B458" s="10"/>
      <c r="C458" s="10"/>
      <c r="D458" s="10"/>
      <c r="E458" s="10"/>
      <c r="F458" s="10"/>
      <c r="G458" s="10"/>
      <c r="I458" s="12"/>
      <c r="J458" s="12"/>
      <c r="K458" s="46"/>
    </row>
    <row r="459" spans="1:11">
      <c r="A459" s="48" t="s">
        <v>37</v>
      </c>
      <c r="B459" s="48"/>
      <c r="C459" s="49"/>
      <c r="D459" s="49"/>
      <c r="E459" s="49"/>
      <c r="F459" s="49"/>
      <c r="G459" s="10" t="s">
        <v>33</v>
      </c>
      <c r="I459" s="48"/>
      <c r="J459" s="48" t="s">
        <v>34</v>
      </c>
      <c r="K459" s="46"/>
    </row>
    <row r="464" spans="1:11" ht="15.75">
      <c r="C464" s="2"/>
      <c r="D464" s="2"/>
      <c r="E464" s="2"/>
      <c r="F464" s="2"/>
    </row>
    <row r="465" spans="1:11" ht="15.75">
      <c r="A465" s="3"/>
      <c r="B465" s="3"/>
      <c r="C465" s="2"/>
      <c r="D465" s="2"/>
      <c r="E465" s="2"/>
      <c r="F465" s="2"/>
      <c r="G465" s="3"/>
      <c r="H465" s="4"/>
      <c r="I465" s="4"/>
      <c r="J465" s="4"/>
      <c r="K465" s="5"/>
    </row>
    <row r="466" spans="1:11">
      <c r="H466" s="5"/>
      <c r="I466" s="5"/>
      <c r="J466" s="5"/>
      <c r="K466" s="5"/>
    </row>
    <row r="467" spans="1:11">
      <c r="H467" s="5"/>
      <c r="I467" s="5"/>
      <c r="J467" s="5"/>
      <c r="K467" s="5"/>
    </row>
    <row r="468" spans="1:11">
      <c r="A468" s="72" t="s">
        <v>0</v>
      </c>
      <c r="B468" s="72"/>
      <c r="C468" s="73"/>
      <c r="D468" s="73"/>
      <c r="E468" s="73"/>
      <c r="F468" s="73"/>
      <c r="G468" s="73"/>
      <c r="H468" s="73"/>
      <c r="I468" s="73"/>
      <c r="J468" s="73"/>
      <c r="K468" s="73"/>
    </row>
    <row r="469" spans="1:11">
      <c r="A469" s="73" t="s">
        <v>60</v>
      </c>
      <c r="B469" s="73"/>
      <c r="C469" s="73"/>
      <c r="D469" s="73"/>
      <c r="E469" s="73"/>
      <c r="F469" s="73"/>
      <c r="G469" s="73"/>
      <c r="H469" s="73"/>
      <c r="I469" s="73"/>
      <c r="J469" s="73"/>
      <c r="K469" s="73"/>
    </row>
    <row r="470" spans="1:11">
      <c r="A470" s="73" t="s">
        <v>1</v>
      </c>
      <c r="B470" s="73"/>
      <c r="C470" s="73"/>
      <c r="D470" s="73"/>
      <c r="E470" s="73"/>
      <c r="F470" s="73"/>
      <c r="G470" s="73"/>
      <c r="H470" s="73"/>
      <c r="I470" s="73"/>
      <c r="J470" s="73"/>
      <c r="K470" s="73"/>
    </row>
    <row r="471" spans="1:11">
      <c r="A471" s="73" t="s">
        <v>38</v>
      </c>
      <c r="B471" s="73"/>
      <c r="C471" s="73"/>
      <c r="D471" s="73"/>
      <c r="E471" s="73"/>
      <c r="F471" s="73"/>
      <c r="G471" s="73"/>
      <c r="H471" s="73"/>
      <c r="I471" s="73"/>
      <c r="J471" s="73"/>
      <c r="K471" s="73"/>
    </row>
    <row r="472" spans="1:11">
      <c r="A472" s="73" t="s">
        <v>2</v>
      </c>
      <c r="B472" s="73"/>
      <c r="C472" s="73"/>
      <c r="D472" s="73"/>
      <c r="E472" s="73"/>
      <c r="F472" s="73"/>
      <c r="G472" s="73"/>
      <c r="H472" s="73"/>
      <c r="I472" s="73"/>
      <c r="J472" s="73"/>
      <c r="K472" s="73"/>
    </row>
    <row r="473" spans="1:11">
      <c r="A473" s="6"/>
      <c r="B473" s="6"/>
      <c r="C473" s="7"/>
      <c r="D473" s="7"/>
      <c r="E473" s="7"/>
      <c r="F473" s="7"/>
      <c r="G473" s="8"/>
      <c r="H473" s="9"/>
      <c r="I473" s="9"/>
      <c r="J473" s="9"/>
      <c r="K473" s="9"/>
    </row>
    <row r="474" spans="1:11">
      <c r="A474" s="52" t="s">
        <v>3</v>
      </c>
      <c r="B474" s="10"/>
      <c r="C474" s="10"/>
      <c r="D474" s="53" t="s">
        <v>4</v>
      </c>
      <c r="E474" s="10" t="s">
        <v>5</v>
      </c>
      <c r="F474" s="11"/>
      <c r="G474" s="10"/>
      <c r="H474" s="12"/>
      <c r="I474" s="12"/>
      <c r="J474" s="12"/>
      <c r="K474" s="9"/>
    </row>
    <row r="475" spans="1:11">
      <c r="A475" s="52" t="s">
        <v>6</v>
      </c>
      <c r="B475" s="10"/>
      <c r="C475" s="10"/>
      <c r="D475" s="53" t="s">
        <v>4</v>
      </c>
      <c r="E475" s="10" t="s">
        <v>7</v>
      </c>
      <c r="F475" s="11"/>
      <c r="G475" s="10"/>
      <c r="H475" s="12"/>
      <c r="I475" s="12"/>
      <c r="J475" s="12"/>
      <c r="K475" s="9"/>
    </row>
    <row r="476" spans="1:11">
      <c r="A476" s="52" t="s">
        <v>8</v>
      </c>
      <c r="B476" s="10"/>
      <c r="C476" s="10"/>
      <c r="D476" s="53" t="s">
        <v>4</v>
      </c>
      <c r="E476" s="13">
        <v>2026</v>
      </c>
      <c r="F476" s="11"/>
      <c r="G476" s="13"/>
      <c r="H476" s="12"/>
      <c r="I476" s="12"/>
      <c r="J476" s="12"/>
      <c r="K476" s="9"/>
    </row>
    <row r="477" spans="1:11">
      <c r="A477" s="52" t="s">
        <v>9</v>
      </c>
      <c r="B477" s="10"/>
      <c r="C477" s="10"/>
      <c r="D477" s="53" t="s">
        <v>4</v>
      </c>
      <c r="E477" s="14">
        <f>J488</f>
        <v>1312000</v>
      </c>
      <c r="F477" s="11"/>
      <c r="G477" s="14"/>
      <c r="H477" s="12"/>
      <c r="I477" s="12"/>
      <c r="J477" s="12"/>
      <c r="K477" s="9"/>
    </row>
    <row r="478" spans="1:11" ht="15.75">
      <c r="A478" s="10"/>
      <c r="B478" s="10"/>
      <c r="C478" s="15" t="s">
        <v>10</v>
      </c>
      <c r="D478" s="53" t="s">
        <v>4</v>
      </c>
      <c r="E478" s="16" t="str">
        <f>PROPER(IF(E477=0,"nol",IF(E477&lt;0,"minus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477),"000000000000000"),1,3)=0,"",MID(TEXT(ABS(E477),"000000000000000"),1,1)&amp;" ratus "&amp;MID(TEXT(ABS(E477),"000000000000000"),2,1)&amp;" puluh "&amp;MID(TEXT(ABS(E477),"000000000000000"),3,1)&amp;" trilyun ")&amp;IF(--MID(TEXT(ABS(E477),"000000000000000"),4,3)=0,"",MID(TEXT(ABS(E477),"000000000000000"),4,1)&amp;" ratus "&amp;MID(TEXT(ABS(E477),"000000000000000"),5,1)&amp;" puluh "&amp;MID(TEXT(ABS(E477),"000000000000000"),6,1)&amp;" milyar ")&amp;IF(--MID(TEXT(ABS(E477),"000000000000000"),7,3)=0,"",MID(TEXT(ABS(E477),"000000000000000"),7,1)&amp;" ratus "&amp;MID(TEXT(ABS(E477),"000000000000000"),8,1)&amp;" puluh "&amp;MID(TEXT(ABS(E477),"000000000000000"),9,1)&amp;" juta ")&amp;IF(--MID(TEXT(ABS(E477),"000000000000000"),10,3)=0,"",IF(--MID(TEXT(ABS(E477),"000000000000000"),10,3)=1,"*",MID(TEXT(ABS(E477),"000000000000000"),10,1)&amp;" ratus "&amp;MID(TEXT(ABS(E477),"000000000000000"),11,1)&amp;" puluh ")&amp;MID(TEXT(ABS(E477),"000000000000000"),12,1)&amp;" ribu ")&amp;IF(--MID(TEXT(ABS(E477),"000000000000000"),13,3)=0,"",MID(TEXT(ABS(E477),"000000000000000"),13,1)&amp;" ratus "&amp;MID(TEXT(ABS(E477),"000000000000000"),14,1)&amp;" puluh "&amp;MID(TEXT(ABS(E477),"000000000000000"),15,1)),1,"satu"),2,"dua"),3,"tiga"),4,"empat"),5,"lima"),6,"enam"),7,"tujuh"),8,"delapan"),9,"sembilan"),"0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Tiga Ratus Duabelas Ribu Rupiah</v>
      </c>
      <c r="F478" s="11"/>
      <c r="G478" s="16"/>
      <c r="H478" s="12"/>
      <c r="I478" s="12"/>
      <c r="J478" s="12"/>
      <c r="K478" s="9"/>
    </row>
    <row r="479" spans="1:11" ht="15.75">
      <c r="A479" s="10"/>
      <c r="B479" s="10"/>
      <c r="C479" s="15"/>
      <c r="D479" s="15"/>
      <c r="E479" s="15"/>
      <c r="F479" s="11"/>
      <c r="G479" s="16"/>
      <c r="H479" s="12"/>
      <c r="I479" s="12"/>
      <c r="J479" s="12"/>
      <c r="K479" s="9"/>
    </row>
    <row r="480" spans="1:11">
      <c r="A480" s="10" t="s">
        <v>11</v>
      </c>
      <c r="B480" s="10"/>
      <c r="C480" s="10"/>
      <c r="D480" s="10"/>
      <c r="E480" s="10"/>
      <c r="F480" s="10"/>
      <c r="G480" s="10"/>
      <c r="H480" s="12"/>
      <c r="I480" s="12"/>
      <c r="J480" s="12"/>
      <c r="K480" s="9"/>
    </row>
    <row r="481" spans="1:11">
      <c r="A481" s="74" t="s">
        <v>12</v>
      </c>
      <c r="B481" s="74"/>
      <c r="C481" s="74"/>
      <c r="D481" s="74"/>
      <c r="E481" s="74"/>
      <c r="F481" s="74"/>
      <c r="G481" s="74"/>
      <c r="H481" s="74"/>
      <c r="I481" s="74"/>
      <c r="J481" s="74"/>
      <c r="K481" s="74"/>
    </row>
    <row r="482" spans="1:11" ht="60">
      <c r="A482" s="17" t="s">
        <v>13</v>
      </c>
      <c r="B482" s="18" t="s">
        <v>14</v>
      </c>
      <c r="C482" s="59" t="s">
        <v>15</v>
      </c>
      <c r="D482" s="60"/>
      <c r="E482" s="61"/>
      <c r="F482" s="19"/>
      <c r="G482" s="20" t="s">
        <v>16</v>
      </c>
      <c r="H482" s="21" t="s">
        <v>35</v>
      </c>
      <c r="I482" s="21"/>
      <c r="J482" s="31" t="s">
        <v>17</v>
      </c>
      <c r="K482" s="32" t="s">
        <v>18</v>
      </c>
    </row>
    <row r="483" spans="1:11">
      <c r="A483" s="27">
        <v>1</v>
      </c>
      <c r="B483" s="24"/>
      <c r="C483" s="28" t="s">
        <v>23</v>
      </c>
      <c r="D483" s="57"/>
      <c r="E483" s="26"/>
      <c r="F483" s="25"/>
      <c r="G483" s="54" t="s">
        <v>19</v>
      </c>
      <c r="H483" s="54" t="s">
        <v>19</v>
      </c>
      <c r="I483" s="54"/>
      <c r="J483" s="54" t="s">
        <v>19</v>
      </c>
      <c r="K483" s="54" t="s">
        <v>19</v>
      </c>
    </row>
    <row r="484" spans="1:11">
      <c r="A484" s="24"/>
      <c r="B484" s="55" t="s">
        <v>20</v>
      </c>
      <c r="C484" s="25" t="s">
        <v>24</v>
      </c>
      <c r="D484" s="10"/>
      <c r="E484" s="26"/>
      <c r="F484" s="25"/>
      <c r="G484" s="23">
        <v>45000000</v>
      </c>
      <c r="H484" s="56">
        <f>H438+J438</f>
        <v>1978800</v>
      </c>
      <c r="I484" s="56"/>
      <c r="J484" s="56">
        <v>0</v>
      </c>
      <c r="K484" s="58">
        <f t="shared" ref="K484:K487" si="16">G484-H484-J484</f>
        <v>43021200</v>
      </c>
    </row>
    <row r="485" spans="1:11" ht="28.5" customHeight="1">
      <c r="A485" s="24"/>
      <c r="B485" s="55" t="s">
        <v>21</v>
      </c>
      <c r="C485" s="62" t="s">
        <v>39</v>
      </c>
      <c r="D485" s="63"/>
      <c r="E485" s="64"/>
      <c r="F485" s="25"/>
      <c r="G485" s="23">
        <v>35000000</v>
      </c>
      <c r="H485" s="56">
        <f t="shared" ref="H485:H487" si="17">H439+J439</f>
        <v>2460000</v>
      </c>
      <c r="I485" s="56"/>
      <c r="J485" s="56">
        <v>0</v>
      </c>
      <c r="K485" s="58">
        <f t="shared" si="16"/>
        <v>32540000</v>
      </c>
    </row>
    <row r="486" spans="1:11">
      <c r="A486" s="24"/>
      <c r="B486" s="55" t="s">
        <v>22</v>
      </c>
      <c r="C486" s="65" t="s">
        <v>40</v>
      </c>
      <c r="D486" s="66"/>
      <c r="E486" s="67"/>
      <c r="F486" s="25"/>
      <c r="G486" s="23">
        <v>30000000</v>
      </c>
      <c r="H486" s="56">
        <f t="shared" si="17"/>
        <v>0</v>
      </c>
      <c r="I486" s="22"/>
      <c r="J486" s="22">
        <v>0</v>
      </c>
      <c r="K486" s="33">
        <f t="shared" si="16"/>
        <v>30000000</v>
      </c>
    </row>
    <row r="487" spans="1:11">
      <c r="A487" s="24"/>
      <c r="B487" s="55" t="s">
        <v>36</v>
      </c>
      <c r="C487" s="68" t="s">
        <v>41</v>
      </c>
      <c r="D487" s="69"/>
      <c r="E487" s="70"/>
      <c r="F487" s="25"/>
      <c r="G487" s="23">
        <v>28125000</v>
      </c>
      <c r="H487" s="56">
        <f t="shared" si="17"/>
        <v>72000</v>
      </c>
      <c r="I487" s="22"/>
      <c r="J487" s="22">
        <v>1312000</v>
      </c>
      <c r="K487" s="33">
        <f t="shared" si="16"/>
        <v>26741000</v>
      </c>
    </row>
    <row r="488" spans="1:11">
      <c r="A488" s="34"/>
      <c r="B488" s="34"/>
      <c r="C488" s="34" t="s">
        <v>25</v>
      </c>
      <c r="D488" s="34"/>
      <c r="E488" s="34"/>
      <c r="F488" s="35"/>
      <c r="G488" s="36">
        <f>SUM(G483:G487)</f>
        <v>138125000</v>
      </c>
      <c r="H488" s="37">
        <f>SUM(H483:H487)</f>
        <v>4510800</v>
      </c>
      <c r="I488" s="37"/>
      <c r="J488" s="37">
        <f>SUM(J483:J487)</f>
        <v>1312000</v>
      </c>
      <c r="K488" s="37">
        <f>SUM(K483:K487)</f>
        <v>132302200</v>
      </c>
    </row>
    <row r="489" spans="1:11">
      <c r="A489" s="38"/>
      <c r="B489" s="8"/>
      <c r="C489" s="8"/>
      <c r="D489" s="8"/>
      <c r="E489" s="8"/>
      <c r="F489" s="8"/>
      <c r="G489" s="39"/>
      <c r="H489" s="39"/>
      <c r="I489" s="39"/>
      <c r="J489" s="39"/>
      <c r="K489" s="39"/>
    </row>
    <row r="490" spans="1:11">
      <c r="A490" s="71" t="s">
        <v>26</v>
      </c>
      <c r="B490" s="71"/>
      <c r="C490" s="71"/>
      <c r="D490" s="11" t="s">
        <v>4</v>
      </c>
      <c r="E490" s="14">
        <f>J488</f>
        <v>1312000</v>
      </c>
      <c r="F490" s="40"/>
      <c r="G490" s="41"/>
      <c r="H490" s="41"/>
      <c r="I490" s="41"/>
      <c r="J490" s="9"/>
      <c r="K490" s="9"/>
    </row>
    <row r="491" spans="1:11">
      <c r="A491" s="10" t="s">
        <v>27</v>
      </c>
      <c r="B491" s="10"/>
      <c r="C491" s="10"/>
      <c r="D491" s="11" t="s">
        <v>4</v>
      </c>
      <c r="E491" s="42"/>
      <c r="F491" s="42"/>
      <c r="G491" s="43"/>
      <c r="H491" s="12"/>
      <c r="I491" s="12"/>
      <c r="J491" s="9"/>
      <c r="K491" s="9"/>
    </row>
    <row r="492" spans="1:11">
      <c r="A492" s="10" t="s">
        <v>28</v>
      </c>
      <c r="B492" s="10"/>
      <c r="C492" s="10"/>
      <c r="D492" s="11" t="s">
        <v>4</v>
      </c>
      <c r="E492" s="44"/>
      <c r="F492" s="44"/>
      <c r="G492" s="43"/>
      <c r="H492" s="12"/>
      <c r="I492" s="12"/>
      <c r="J492" s="9"/>
      <c r="K492" s="9"/>
    </row>
    <row r="493" spans="1:11">
      <c r="A493" s="10" t="s">
        <v>29</v>
      </c>
      <c r="B493" s="10"/>
      <c r="C493" s="10"/>
      <c r="D493" s="11" t="s">
        <v>4</v>
      </c>
      <c r="E493" s="44">
        <f>E491+E492</f>
        <v>0</v>
      </c>
      <c r="F493" s="44"/>
      <c r="G493" s="10"/>
      <c r="H493" s="12"/>
      <c r="I493" s="12"/>
      <c r="J493" s="46"/>
      <c r="K493" s="46"/>
    </row>
    <row r="494" spans="1:11">
      <c r="A494" s="13"/>
      <c r="B494" s="13"/>
      <c r="C494" s="13"/>
      <c r="D494" s="11"/>
      <c r="E494" s="13"/>
      <c r="F494" s="13"/>
      <c r="G494" s="10"/>
      <c r="H494" s="12"/>
      <c r="I494" s="12"/>
      <c r="J494" s="46"/>
      <c r="K494" s="46"/>
    </row>
    <row r="495" spans="1:11">
      <c r="A495" s="71" t="s">
        <v>30</v>
      </c>
      <c r="B495" s="71"/>
      <c r="C495" s="71"/>
      <c r="D495" s="11" t="s">
        <v>4</v>
      </c>
      <c r="E495" s="40">
        <f>E490-E493</f>
        <v>1312000</v>
      </c>
      <c r="F495" s="40"/>
      <c r="G495" s="10"/>
      <c r="H495" s="12"/>
      <c r="I495" s="12"/>
      <c r="J495" s="46"/>
      <c r="K495" s="46"/>
    </row>
    <row r="496" spans="1:11" ht="15.75">
      <c r="A496" s="13"/>
      <c r="B496" s="13"/>
      <c r="C496" s="10"/>
      <c r="D496" s="10"/>
      <c r="E496" s="16" t="str">
        <f>PROPER(IF(E495=0,"nol",IF(E495&lt;0,"minus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495),"000000000000000"),1,3)=0,"",MID(TEXT(ABS(E495),"000000000000000"),1,1)&amp;" ratus "&amp;MID(TEXT(ABS(E495),"000000000000000"),2,1)&amp;" puluh "&amp;MID(TEXT(ABS(E495),"000000000000000"),3,1)&amp;" trilyun ")&amp;IF(--MID(TEXT(ABS(E495),"000000000000000"),4,3)=0,"",MID(TEXT(ABS(E495),"000000000000000"),4,1)&amp;" ratus "&amp;MID(TEXT(ABS(E495),"000000000000000"),5,1)&amp;" puluh "&amp;MID(TEXT(ABS(E495),"000000000000000"),6,1)&amp;" milyar ")&amp;IF(--MID(TEXT(ABS(E495),"000000000000000"),7,3)=0,"",MID(TEXT(ABS(E495),"000000000000000"),7,1)&amp;" ratus "&amp;MID(TEXT(ABS(E495),"000000000000000"),8,1)&amp;" puluh "&amp;MID(TEXT(ABS(E495),"000000000000000"),9,1)&amp;" juta ")&amp;IF(--MID(TEXT(ABS(E495),"000000000000000"),10,3)=0,"",IF(--MID(TEXT(ABS(E495),"000000000000000"),10,3)=1,"*",MID(TEXT(ABS(E495),"000000000000000"),10,1)&amp;" ratus "&amp;MID(TEXT(ABS(E495),"000000000000000"),11,1)&amp;" puluh ")&amp;MID(TEXT(ABS(E495),"000000000000000"),12,1)&amp;" ribu ")&amp;IF(--MID(TEXT(ABS(E495),"000000000000000"),13,3)=0,"",MID(TEXT(ABS(E495),"000000000000000"),13,1)&amp;" ratus "&amp;MID(TEXT(ABS(E495),"000000000000000"),14,1)&amp;" puluh "&amp;MID(TEXT(ABS(E495),"000000000000000"),15,1)),1,"satu"),2,"dua"),3,"tiga"),4,"empat"),5,"lima"),6,"enam"),7,"tujuh"),8,"delapan"),9,"sembilan"),"0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Tiga Ratus Duabelas Ribu Rupiah</v>
      </c>
      <c r="F496" s="10"/>
      <c r="G496" s="10"/>
      <c r="H496" s="10"/>
      <c r="I496" s="10"/>
      <c r="J496" s="46"/>
      <c r="K496" s="46"/>
    </row>
    <row r="497" spans="1:11">
      <c r="A497" s="45"/>
      <c r="B497" s="45"/>
      <c r="C497" s="45"/>
      <c r="D497" s="45"/>
      <c r="E497" s="45"/>
      <c r="F497" s="45"/>
      <c r="G497" s="29"/>
      <c r="H497" s="46"/>
      <c r="I497" s="46"/>
      <c r="J497" s="46"/>
      <c r="K497" s="46"/>
    </row>
    <row r="498" spans="1:11">
      <c r="A498" s="29"/>
      <c r="B498" s="29"/>
      <c r="C498" s="29"/>
      <c r="D498" s="29"/>
      <c r="E498" s="29"/>
      <c r="F498" s="29"/>
      <c r="G498" s="29"/>
      <c r="H498"/>
      <c r="I498"/>
      <c r="J498" s="46"/>
      <c r="K498" s="46"/>
    </row>
    <row r="499" spans="1:11">
      <c r="A499" s="13"/>
      <c r="B499" s="13"/>
      <c r="C499" s="10"/>
      <c r="D499" s="10"/>
      <c r="E499" s="10"/>
      <c r="F499" s="10"/>
      <c r="G499" s="10"/>
      <c r="I499" s="47"/>
      <c r="J499" s="47" t="s">
        <v>61</v>
      </c>
      <c r="K499" s="46"/>
    </row>
    <row r="500" spans="1:11">
      <c r="A500" s="12" t="s">
        <v>31</v>
      </c>
      <c r="B500" s="10"/>
      <c r="C500" s="10"/>
      <c r="D500" s="10"/>
      <c r="E500" s="10"/>
      <c r="F500" s="10"/>
      <c r="G500" s="10"/>
      <c r="I500" s="12"/>
      <c r="J500" s="12" t="s">
        <v>32</v>
      </c>
      <c r="K500" s="46"/>
    </row>
    <row r="501" spans="1:11">
      <c r="A501" s="10"/>
      <c r="B501" s="10"/>
      <c r="C501" s="10"/>
      <c r="D501" s="10"/>
      <c r="E501" s="10"/>
      <c r="F501" s="10"/>
      <c r="G501" s="10"/>
      <c r="I501" s="12"/>
      <c r="J501" s="12"/>
      <c r="K501" s="46"/>
    </row>
    <row r="502" spans="1:11">
      <c r="A502" s="10"/>
      <c r="B502" s="10"/>
      <c r="C502" s="10"/>
      <c r="D502" s="10"/>
      <c r="E502" s="10"/>
      <c r="F502" s="10"/>
      <c r="G502" s="10"/>
      <c r="I502" s="12"/>
      <c r="J502" s="12"/>
      <c r="K502" s="46"/>
    </row>
    <row r="503" spans="1:11">
      <c r="A503" s="10"/>
      <c r="B503" s="10"/>
      <c r="C503" s="10"/>
      <c r="D503" s="10"/>
      <c r="E503" s="10"/>
      <c r="F503" s="10"/>
      <c r="G503" s="10"/>
      <c r="I503" s="12"/>
      <c r="J503" s="12"/>
      <c r="K503" s="46"/>
    </row>
    <row r="504" spans="1:11">
      <c r="A504" s="10"/>
      <c r="B504" s="10"/>
      <c r="C504" s="10"/>
      <c r="D504" s="10"/>
      <c r="E504" s="10"/>
      <c r="F504" s="10"/>
      <c r="G504" s="10"/>
      <c r="I504" s="12"/>
      <c r="J504" s="12"/>
      <c r="K504" s="46"/>
    </row>
    <row r="505" spans="1:11">
      <c r="A505" s="48" t="s">
        <v>37</v>
      </c>
      <c r="B505" s="48"/>
      <c r="C505" s="49"/>
      <c r="D505" s="49"/>
      <c r="E505" s="49"/>
      <c r="F505" s="49"/>
      <c r="G505" s="10" t="s">
        <v>33</v>
      </c>
      <c r="I505" s="48"/>
      <c r="J505" s="48" t="s">
        <v>34</v>
      </c>
      <c r="K505" s="46"/>
    </row>
    <row r="510" spans="1:11" ht="15.75">
      <c r="C510" s="2"/>
      <c r="D510" s="2"/>
      <c r="E510" s="2"/>
      <c r="F510" s="2"/>
    </row>
    <row r="511" spans="1:11" ht="15.75">
      <c r="A511" s="3"/>
      <c r="B511" s="3"/>
      <c r="C511" s="2"/>
      <c r="D511" s="2"/>
      <c r="E511" s="2"/>
      <c r="F511" s="2"/>
      <c r="G511" s="3"/>
      <c r="H511" s="4"/>
      <c r="I511" s="4"/>
      <c r="J511" s="4"/>
      <c r="K511" s="5"/>
    </row>
    <row r="512" spans="1:11">
      <c r="H512" s="5"/>
      <c r="I512" s="5"/>
      <c r="J512" s="5"/>
      <c r="K512" s="5"/>
    </row>
    <row r="513" spans="1:11">
      <c r="H513" s="5"/>
      <c r="I513" s="5"/>
      <c r="J513" s="5"/>
      <c r="K513" s="5"/>
    </row>
    <row r="514" spans="1:11">
      <c r="A514" s="72" t="s">
        <v>0</v>
      </c>
      <c r="B514" s="72"/>
      <c r="C514" s="73"/>
      <c r="D514" s="73"/>
      <c r="E514" s="73"/>
      <c r="F514" s="73"/>
      <c r="G514" s="73"/>
      <c r="H514" s="73"/>
      <c r="I514" s="73"/>
      <c r="J514" s="73"/>
      <c r="K514" s="73"/>
    </row>
    <row r="515" spans="1:11">
      <c r="A515" s="73" t="s">
        <v>62</v>
      </c>
      <c r="B515" s="73"/>
      <c r="C515" s="73"/>
      <c r="D515" s="73"/>
      <c r="E515" s="73"/>
      <c r="F515" s="73"/>
      <c r="G515" s="73"/>
      <c r="H515" s="73"/>
      <c r="I515" s="73"/>
      <c r="J515" s="73"/>
      <c r="K515" s="73"/>
    </row>
    <row r="516" spans="1:11">
      <c r="A516" s="73" t="s">
        <v>1</v>
      </c>
      <c r="B516" s="73"/>
      <c r="C516" s="73"/>
      <c r="D516" s="73"/>
      <c r="E516" s="73"/>
      <c r="F516" s="73"/>
      <c r="G516" s="73"/>
      <c r="H516" s="73"/>
      <c r="I516" s="73"/>
      <c r="J516" s="73"/>
      <c r="K516" s="73"/>
    </row>
    <row r="517" spans="1:11">
      <c r="A517" s="73" t="s">
        <v>38</v>
      </c>
      <c r="B517" s="73"/>
      <c r="C517" s="73"/>
      <c r="D517" s="73"/>
      <c r="E517" s="73"/>
      <c r="F517" s="73"/>
      <c r="G517" s="73"/>
      <c r="H517" s="73"/>
      <c r="I517" s="73"/>
      <c r="J517" s="73"/>
      <c r="K517" s="73"/>
    </row>
    <row r="518" spans="1:11">
      <c r="A518" s="73" t="s">
        <v>2</v>
      </c>
      <c r="B518" s="73"/>
      <c r="C518" s="73"/>
      <c r="D518" s="73"/>
      <c r="E518" s="73"/>
      <c r="F518" s="73"/>
      <c r="G518" s="73"/>
      <c r="H518" s="73"/>
      <c r="I518" s="73"/>
      <c r="J518" s="73"/>
      <c r="K518" s="73"/>
    </row>
    <row r="519" spans="1:11">
      <c r="A519" s="6"/>
      <c r="B519" s="6"/>
      <c r="C519" s="7"/>
      <c r="D519" s="7"/>
      <c r="E519" s="7"/>
      <c r="F519" s="7"/>
      <c r="G519" s="8"/>
      <c r="H519" s="9"/>
      <c r="I519" s="9"/>
      <c r="J519" s="9"/>
      <c r="K519" s="9"/>
    </row>
    <row r="520" spans="1:11">
      <c r="A520" s="52" t="s">
        <v>3</v>
      </c>
      <c r="B520" s="10"/>
      <c r="C520" s="10"/>
      <c r="D520" s="53" t="s">
        <v>4</v>
      </c>
      <c r="E520" s="10" t="s">
        <v>5</v>
      </c>
      <c r="F520" s="11"/>
      <c r="G520" s="10"/>
      <c r="H520" s="12"/>
      <c r="I520" s="12"/>
      <c r="J520" s="12"/>
      <c r="K520" s="9"/>
    </row>
    <row r="521" spans="1:11">
      <c r="A521" s="52" t="s">
        <v>6</v>
      </c>
      <c r="B521" s="10"/>
      <c r="C521" s="10"/>
      <c r="D521" s="53" t="s">
        <v>4</v>
      </c>
      <c r="E521" s="10" t="s">
        <v>7</v>
      </c>
      <c r="F521" s="11"/>
      <c r="G521" s="10"/>
      <c r="H521" s="12"/>
      <c r="I521" s="12"/>
      <c r="J521" s="12"/>
      <c r="K521" s="9"/>
    </row>
    <row r="522" spans="1:11">
      <c r="A522" s="52" t="s">
        <v>8</v>
      </c>
      <c r="B522" s="10"/>
      <c r="C522" s="10"/>
      <c r="D522" s="53" t="s">
        <v>4</v>
      </c>
      <c r="E522" s="13">
        <v>2026</v>
      </c>
      <c r="F522" s="11"/>
      <c r="G522" s="13"/>
      <c r="H522" s="12"/>
      <c r="I522" s="12"/>
      <c r="J522" s="12"/>
      <c r="K522" s="9"/>
    </row>
    <row r="523" spans="1:11">
      <c r="A523" s="52" t="s">
        <v>9</v>
      </c>
      <c r="B523" s="10"/>
      <c r="C523" s="10"/>
      <c r="D523" s="53" t="s">
        <v>4</v>
      </c>
      <c r="E523" s="14">
        <f>J534</f>
        <v>178000</v>
      </c>
      <c r="F523" s="11"/>
      <c r="G523" s="14"/>
      <c r="H523" s="12"/>
      <c r="I523" s="12"/>
      <c r="J523" s="12"/>
      <c r="K523" s="9"/>
    </row>
    <row r="524" spans="1:11" ht="15.75">
      <c r="A524" s="10"/>
      <c r="B524" s="10"/>
      <c r="C524" s="15" t="s">
        <v>10</v>
      </c>
      <c r="D524" s="53" t="s">
        <v>4</v>
      </c>
      <c r="E524" s="16" t="str">
        <f>PROPER(IF(E523=0,"nol",IF(E523&lt;0,"minus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523),"000000000000000"),1,3)=0,"",MID(TEXT(ABS(E523),"000000000000000"),1,1)&amp;" ratus "&amp;MID(TEXT(ABS(E523),"000000000000000"),2,1)&amp;" puluh "&amp;MID(TEXT(ABS(E523),"000000000000000"),3,1)&amp;" trilyun ")&amp;IF(--MID(TEXT(ABS(E523),"000000000000000"),4,3)=0,"",MID(TEXT(ABS(E523),"000000000000000"),4,1)&amp;" ratus "&amp;MID(TEXT(ABS(E523),"000000000000000"),5,1)&amp;" puluh "&amp;MID(TEXT(ABS(E523),"000000000000000"),6,1)&amp;" milyar ")&amp;IF(--MID(TEXT(ABS(E523),"000000000000000"),7,3)=0,"",MID(TEXT(ABS(E523),"000000000000000"),7,1)&amp;" ratus "&amp;MID(TEXT(ABS(E523),"000000000000000"),8,1)&amp;" puluh "&amp;MID(TEXT(ABS(E523),"000000000000000"),9,1)&amp;" juta ")&amp;IF(--MID(TEXT(ABS(E523),"000000000000000"),10,3)=0,"",IF(--MID(TEXT(ABS(E523),"000000000000000"),10,3)=1,"*",MID(TEXT(ABS(E523),"000000000000000"),10,1)&amp;" ratus "&amp;MID(TEXT(ABS(E523),"000000000000000"),11,1)&amp;" puluh ")&amp;MID(TEXT(ABS(E523),"000000000000000"),12,1)&amp;" ribu ")&amp;IF(--MID(TEXT(ABS(E523),"000000000000000"),13,3)=0,"",MID(TEXT(ABS(E523),"000000000000000"),13,1)&amp;" ratus "&amp;MID(TEXT(ABS(E523),"000000000000000"),14,1)&amp;" puluh "&amp;MID(TEXT(ABS(E523),"000000000000000"),15,1)),1,"satu"),2,"dua"),3,"tiga"),4,"empat"),5,"lima"),6,"enam"),7,"tujuh"),8,"delapan"),9,"sembilan"),"0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Tujuh Puluh Delapan Ribu Rupiah</v>
      </c>
      <c r="F524" s="11"/>
      <c r="G524" s="16"/>
      <c r="H524" s="12"/>
      <c r="I524" s="12"/>
      <c r="J524" s="12"/>
      <c r="K524" s="9"/>
    </row>
    <row r="525" spans="1:11" ht="15.75">
      <c r="A525" s="10"/>
      <c r="B525" s="10"/>
      <c r="C525" s="15"/>
      <c r="D525" s="15"/>
      <c r="E525" s="15"/>
      <c r="F525" s="11"/>
      <c r="G525" s="16"/>
      <c r="H525" s="12"/>
      <c r="I525" s="12"/>
      <c r="J525" s="12"/>
      <c r="K525" s="9"/>
    </row>
    <row r="526" spans="1:11">
      <c r="A526" s="10" t="s">
        <v>11</v>
      </c>
      <c r="B526" s="10"/>
      <c r="C526" s="10"/>
      <c r="D526" s="10"/>
      <c r="E526" s="10"/>
      <c r="F526" s="10"/>
      <c r="G526" s="10"/>
      <c r="H526" s="12"/>
      <c r="I526" s="12"/>
      <c r="J526" s="12"/>
      <c r="K526" s="9"/>
    </row>
    <row r="527" spans="1:11">
      <c r="A527" s="74" t="s">
        <v>12</v>
      </c>
      <c r="B527" s="74"/>
      <c r="C527" s="74"/>
      <c r="D527" s="74"/>
      <c r="E527" s="74"/>
      <c r="F527" s="74"/>
      <c r="G527" s="74"/>
      <c r="H527" s="74"/>
      <c r="I527" s="74"/>
      <c r="J527" s="74"/>
      <c r="K527" s="74"/>
    </row>
    <row r="528" spans="1:11" ht="60">
      <c r="A528" s="17" t="s">
        <v>13</v>
      </c>
      <c r="B528" s="18" t="s">
        <v>14</v>
      </c>
      <c r="C528" s="59" t="s">
        <v>15</v>
      </c>
      <c r="D528" s="60"/>
      <c r="E528" s="61"/>
      <c r="F528" s="19"/>
      <c r="G528" s="20" t="s">
        <v>16</v>
      </c>
      <c r="H528" s="21" t="s">
        <v>35</v>
      </c>
      <c r="I528" s="21"/>
      <c r="J528" s="31" t="s">
        <v>17</v>
      </c>
      <c r="K528" s="32" t="s">
        <v>18</v>
      </c>
    </row>
    <row r="529" spans="1:11">
      <c r="A529" s="27">
        <v>1</v>
      </c>
      <c r="B529" s="24"/>
      <c r="C529" s="28" t="s">
        <v>23</v>
      </c>
      <c r="D529" s="57"/>
      <c r="E529" s="26"/>
      <c r="F529" s="25"/>
      <c r="G529" s="54" t="s">
        <v>19</v>
      </c>
      <c r="H529" s="54" t="s">
        <v>19</v>
      </c>
      <c r="I529" s="54"/>
      <c r="J529" s="54" t="s">
        <v>19</v>
      </c>
      <c r="K529" s="54" t="s">
        <v>19</v>
      </c>
    </row>
    <row r="530" spans="1:11">
      <c r="A530" s="24"/>
      <c r="B530" s="55" t="s">
        <v>20</v>
      </c>
      <c r="C530" s="25" t="s">
        <v>24</v>
      </c>
      <c r="D530" s="10"/>
      <c r="E530" s="26"/>
      <c r="F530" s="25"/>
      <c r="G530" s="23">
        <v>45000000</v>
      </c>
      <c r="H530" s="56">
        <f>H484+J484</f>
        <v>1978800</v>
      </c>
      <c r="I530" s="56"/>
      <c r="J530" s="56">
        <v>178000</v>
      </c>
      <c r="K530" s="58">
        <f t="shared" ref="K530:K533" si="18">G530-H530-J530</f>
        <v>42843200</v>
      </c>
    </row>
    <row r="531" spans="1:11">
      <c r="A531" s="24"/>
      <c r="B531" s="55" t="s">
        <v>21</v>
      </c>
      <c r="C531" s="62" t="s">
        <v>39</v>
      </c>
      <c r="D531" s="63"/>
      <c r="E531" s="64"/>
      <c r="F531" s="25"/>
      <c r="G531" s="23">
        <v>35000000</v>
      </c>
      <c r="H531" s="56">
        <f t="shared" ref="H531:H532" si="19">H485+J485</f>
        <v>2460000</v>
      </c>
      <c r="I531" s="56"/>
      <c r="J531" s="56">
        <v>0</v>
      </c>
      <c r="K531" s="58">
        <f t="shared" si="18"/>
        <v>32540000</v>
      </c>
    </row>
    <row r="532" spans="1:11">
      <c r="A532" s="24"/>
      <c r="B532" s="55" t="s">
        <v>22</v>
      </c>
      <c r="C532" s="65" t="s">
        <v>40</v>
      </c>
      <c r="D532" s="66"/>
      <c r="E532" s="67"/>
      <c r="F532" s="25"/>
      <c r="G532" s="23">
        <v>30000000</v>
      </c>
      <c r="H532" s="56">
        <f t="shared" si="19"/>
        <v>0</v>
      </c>
      <c r="I532" s="22"/>
      <c r="J532" s="22">
        <v>0</v>
      </c>
      <c r="K532" s="33">
        <f t="shared" si="18"/>
        <v>30000000</v>
      </c>
    </row>
    <row r="533" spans="1:11">
      <c r="A533" s="24"/>
      <c r="B533" s="55" t="s">
        <v>36</v>
      </c>
      <c r="C533" s="68" t="s">
        <v>41</v>
      </c>
      <c r="D533" s="69"/>
      <c r="E533" s="70"/>
      <c r="F533" s="25"/>
      <c r="G533" s="23">
        <v>28125000</v>
      </c>
      <c r="H533" s="56">
        <f>H487+J487</f>
        <v>1384000</v>
      </c>
      <c r="I533" s="22"/>
      <c r="J533" s="22">
        <v>0</v>
      </c>
      <c r="K533" s="33">
        <f t="shared" si="18"/>
        <v>26741000</v>
      </c>
    </row>
    <row r="534" spans="1:11">
      <c r="A534" s="34"/>
      <c r="B534" s="34"/>
      <c r="C534" s="34" t="s">
        <v>25</v>
      </c>
      <c r="D534" s="34"/>
      <c r="E534" s="34"/>
      <c r="F534" s="35"/>
      <c r="G534" s="36">
        <f>SUM(G529:G533)</f>
        <v>138125000</v>
      </c>
      <c r="H534" s="37">
        <f>SUM(H529:H533)</f>
        <v>5822800</v>
      </c>
      <c r="I534" s="37"/>
      <c r="J534" s="37">
        <f>SUM(J529:J533)</f>
        <v>178000</v>
      </c>
      <c r="K534" s="37">
        <f>SUM(K529:K533)</f>
        <v>132124200</v>
      </c>
    </row>
    <row r="535" spans="1:11">
      <c r="A535" s="38"/>
      <c r="B535" s="8"/>
      <c r="C535" s="8"/>
      <c r="D535" s="8"/>
      <c r="E535" s="8"/>
      <c r="F535" s="8"/>
      <c r="G535" s="39"/>
      <c r="H535" s="39"/>
      <c r="I535" s="39"/>
      <c r="J535" s="39"/>
      <c r="K535" s="39"/>
    </row>
    <row r="536" spans="1:11">
      <c r="A536" s="71" t="s">
        <v>26</v>
      </c>
      <c r="B536" s="71"/>
      <c r="C536" s="71"/>
      <c r="D536" s="11" t="s">
        <v>4</v>
      </c>
      <c r="E536" s="14">
        <f>J534</f>
        <v>178000</v>
      </c>
      <c r="F536" s="40"/>
      <c r="G536" s="41"/>
      <c r="H536" s="41"/>
      <c r="I536" s="41"/>
      <c r="J536" s="9"/>
      <c r="K536" s="9"/>
    </row>
    <row r="537" spans="1:11">
      <c r="A537" s="10" t="s">
        <v>27</v>
      </c>
      <c r="B537" s="10"/>
      <c r="C537" s="10"/>
      <c r="D537" s="11" t="s">
        <v>4</v>
      </c>
      <c r="E537" s="42"/>
      <c r="F537" s="42"/>
      <c r="G537" s="43"/>
      <c r="H537" s="12"/>
      <c r="I537" s="12"/>
      <c r="J537" s="9"/>
      <c r="K537" s="9"/>
    </row>
    <row r="538" spans="1:11">
      <c r="A538" s="10" t="s">
        <v>28</v>
      </c>
      <c r="B538" s="10"/>
      <c r="C538" s="10"/>
      <c r="D538" s="11" t="s">
        <v>4</v>
      </c>
      <c r="E538" s="44"/>
      <c r="F538" s="44"/>
      <c r="G538" s="43"/>
      <c r="H538" s="12"/>
      <c r="I538" s="12"/>
      <c r="J538" s="9"/>
      <c r="K538" s="9"/>
    </row>
    <row r="539" spans="1:11">
      <c r="A539" s="10" t="s">
        <v>29</v>
      </c>
      <c r="B539" s="10"/>
      <c r="C539" s="10"/>
      <c r="D539" s="11" t="s">
        <v>4</v>
      </c>
      <c r="E539" s="44">
        <f>E537+E538</f>
        <v>0</v>
      </c>
      <c r="F539" s="44"/>
      <c r="G539" s="10"/>
      <c r="H539" s="12"/>
      <c r="I539" s="12"/>
      <c r="J539" s="46"/>
      <c r="K539" s="46"/>
    </row>
    <row r="540" spans="1:11">
      <c r="A540" s="13"/>
      <c r="B540" s="13"/>
      <c r="C540" s="13"/>
      <c r="D540" s="11"/>
      <c r="E540" s="13"/>
      <c r="F540" s="13"/>
      <c r="G540" s="10"/>
      <c r="H540" s="12"/>
      <c r="I540" s="12"/>
      <c r="J540" s="46"/>
      <c r="K540" s="46"/>
    </row>
    <row r="541" spans="1:11">
      <c r="A541" s="71" t="s">
        <v>30</v>
      </c>
      <c r="B541" s="71"/>
      <c r="C541" s="71"/>
      <c r="D541" s="11" t="s">
        <v>4</v>
      </c>
      <c r="E541" s="40">
        <f>E536-E539</f>
        <v>178000</v>
      </c>
      <c r="F541" s="40"/>
      <c r="G541" s="10"/>
      <c r="H541" s="12"/>
      <c r="I541" s="12"/>
      <c r="J541" s="46"/>
      <c r="K541" s="46"/>
    </row>
    <row r="542" spans="1:11" ht="15.75">
      <c r="A542" s="13"/>
      <c r="B542" s="13"/>
      <c r="C542" s="10"/>
      <c r="D542" s="10"/>
      <c r="E542" s="16" t="str">
        <f>PROPER(IF(E541=0,"nol",IF(E541&lt;0,"minus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541),"000000000000000"),1,3)=0,"",MID(TEXT(ABS(E541),"000000000000000"),1,1)&amp;" ratus "&amp;MID(TEXT(ABS(E541),"000000000000000"),2,1)&amp;" puluh "&amp;MID(TEXT(ABS(E541),"000000000000000"),3,1)&amp;" trilyun ")&amp;IF(--MID(TEXT(ABS(E541),"000000000000000"),4,3)=0,"",MID(TEXT(ABS(E541),"000000000000000"),4,1)&amp;" ratus "&amp;MID(TEXT(ABS(E541),"000000000000000"),5,1)&amp;" puluh "&amp;MID(TEXT(ABS(E541),"000000000000000"),6,1)&amp;" milyar ")&amp;IF(--MID(TEXT(ABS(E541),"000000000000000"),7,3)=0,"",MID(TEXT(ABS(E541),"000000000000000"),7,1)&amp;" ratus "&amp;MID(TEXT(ABS(E541),"000000000000000"),8,1)&amp;" puluh "&amp;MID(TEXT(ABS(E541),"000000000000000"),9,1)&amp;" juta ")&amp;IF(--MID(TEXT(ABS(E541),"000000000000000"),10,3)=0,"",IF(--MID(TEXT(ABS(E541),"000000000000000"),10,3)=1,"*",MID(TEXT(ABS(E541),"000000000000000"),10,1)&amp;" ratus "&amp;MID(TEXT(ABS(E541),"000000000000000"),11,1)&amp;" puluh ")&amp;MID(TEXT(ABS(E541),"000000000000000"),12,1)&amp;" ribu ")&amp;IF(--MID(TEXT(ABS(E541),"000000000000000"),13,3)=0,"",MID(TEXT(ABS(E541),"000000000000000"),13,1)&amp;" ratus "&amp;MID(TEXT(ABS(E541),"000000000000000"),14,1)&amp;" puluh "&amp;MID(TEXT(ABS(E541),"000000000000000"),15,1)),1,"satu"),2,"dua"),3,"tiga"),4,"empat"),5,"lima"),6,"enam"),7,"tujuh"),8,"delapan"),9,"sembilan"),"0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Tujuh Puluh Delapan Ribu Rupiah</v>
      </c>
      <c r="F542" s="10"/>
      <c r="G542" s="10"/>
      <c r="H542" s="10"/>
      <c r="I542" s="10"/>
      <c r="J542" s="46"/>
      <c r="K542" s="46"/>
    </row>
    <row r="543" spans="1:11">
      <c r="A543" s="45"/>
      <c r="B543" s="45"/>
      <c r="C543" s="45"/>
      <c r="D543" s="45"/>
      <c r="E543" s="45"/>
      <c r="F543" s="45"/>
      <c r="G543" s="29"/>
      <c r="H543" s="46"/>
      <c r="I543" s="46"/>
      <c r="J543" s="46"/>
      <c r="K543" s="46"/>
    </row>
    <row r="544" spans="1:11">
      <c r="A544" s="29"/>
      <c r="B544" s="29"/>
      <c r="C544" s="29"/>
      <c r="D544" s="29"/>
      <c r="E544" s="29"/>
      <c r="F544" s="29"/>
      <c r="G544" s="29"/>
      <c r="H544"/>
      <c r="I544"/>
      <c r="J544" s="46"/>
      <c r="K544" s="46"/>
    </row>
    <row r="545" spans="1:11">
      <c r="A545" s="13"/>
      <c r="B545" s="13"/>
      <c r="C545" s="10"/>
      <c r="D545" s="10"/>
      <c r="E545" s="10"/>
      <c r="F545" s="10"/>
      <c r="G545" s="10"/>
      <c r="I545" s="47"/>
      <c r="J545" s="47" t="s">
        <v>63</v>
      </c>
      <c r="K545" s="46"/>
    </row>
    <row r="546" spans="1:11">
      <c r="A546" s="12" t="s">
        <v>31</v>
      </c>
      <c r="B546" s="10"/>
      <c r="C546" s="10"/>
      <c r="D546" s="10"/>
      <c r="E546" s="10"/>
      <c r="F546" s="10"/>
      <c r="G546" s="10"/>
      <c r="I546" s="12"/>
      <c r="J546" s="12" t="s">
        <v>32</v>
      </c>
      <c r="K546" s="46"/>
    </row>
    <row r="547" spans="1:11">
      <c r="A547" s="10"/>
      <c r="B547" s="10"/>
      <c r="C547" s="10"/>
      <c r="D547" s="10"/>
      <c r="E547" s="10"/>
      <c r="F547" s="10"/>
      <c r="G547" s="10"/>
      <c r="I547" s="12"/>
      <c r="J547" s="12"/>
      <c r="K547" s="46"/>
    </row>
    <row r="548" spans="1:11">
      <c r="A548" s="10"/>
      <c r="B548" s="10"/>
      <c r="C548" s="10"/>
      <c r="D548" s="10"/>
      <c r="E548" s="10"/>
      <c r="F548" s="10"/>
      <c r="G548" s="10"/>
      <c r="I548" s="12"/>
      <c r="J548" s="12"/>
      <c r="K548" s="46"/>
    </row>
    <row r="549" spans="1:11">
      <c r="A549" s="10"/>
      <c r="B549" s="10"/>
      <c r="C549" s="10"/>
      <c r="D549" s="10"/>
      <c r="E549" s="10"/>
      <c r="F549" s="10"/>
      <c r="G549" s="10"/>
      <c r="I549" s="12"/>
      <c r="J549" s="12"/>
      <c r="K549" s="46"/>
    </row>
    <row r="550" spans="1:11">
      <c r="A550" s="10"/>
      <c r="B550" s="10"/>
      <c r="C550" s="10"/>
      <c r="D550" s="10"/>
      <c r="E550" s="10"/>
      <c r="F550" s="10"/>
      <c r="G550" s="10"/>
      <c r="I550" s="12"/>
      <c r="J550" s="12"/>
      <c r="K550" s="46"/>
    </row>
    <row r="551" spans="1:11">
      <c r="A551" s="48" t="s">
        <v>37</v>
      </c>
      <c r="B551" s="48"/>
      <c r="C551" s="49"/>
      <c r="D551" s="49"/>
      <c r="E551" s="49"/>
      <c r="F551" s="49"/>
      <c r="G551" s="10" t="s">
        <v>33</v>
      </c>
      <c r="I551" s="48"/>
      <c r="J551" s="48" t="s">
        <v>34</v>
      </c>
      <c r="K551" s="46"/>
    </row>
    <row r="556" spans="1:11" ht="15.75">
      <c r="C556" s="2"/>
      <c r="D556" s="2"/>
      <c r="E556" s="2"/>
      <c r="F556" s="2"/>
    </row>
    <row r="557" spans="1:11" ht="15.75">
      <c r="A557" s="3"/>
      <c r="B557" s="3"/>
      <c r="C557" s="2"/>
      <c r="D557" s="2"/>
      <c r="E557" s="2"/>
      <c r="F557" s="2"/>
      <c r="G557" s="3"/>
      <c r="H557" s="4"/>
      <c r="I557" s="4"/>
      <c r="J557" s="4"/>
      <c r="K557" s="5"/>
    </row>
    <row r="558" spans="1:11">
      <c r="H558" s="5"/>
      <c r="I558" s="5"/>
      <c r="J558" s="5"/>
      <c r="K558" s="5"/>
    </row>
    <row r="559" spans="1:11">
      <c r="H559" s="5"/>
      <c r="I559" s="5"/>
      <c r="J559" s="5"/>
      <c r="K559" s="5"/>
    </row>
    <row r="560" spans="1:11">
      <c r="A560" s="72" t="s">
        <v>0</v>
      </c>
      <c r="B560" s="72"/>
      <c r="C560" s="73"/>
      <c r="D560" s="73"/>
      <c r="E560" s="73"/>
      <c r="F560" s="73"/>
      <c r="G560" s="73"/>
      <c r="H560" s="73"/>
      <c r="I560" s="73"/>
      <c r="J560" s="73"/>
      <c r="K560" s="73"/>
    </row>
    <row r="561" spans="1:11">
      <c r="A561" s="73" t="s">
        <v>64</v>
      </c>
      <c r="B561" s="73"/>
      <c r="C561" s="73"/>
      <c r="D561" s="73"/>
      <c r="E561" s="73"/>
      <c r="F561" s="73"/>
      <c r="G561" s="73"/>
      <c r="H561" s="73"/>
      <c r="I561" s="73"/>
      <c r="J561" s="73"/>
      <c r="K561" s="73"/>
    </row>
    <row r="562" spans="1:11">
      <c r="A562" s="73" t="s">
        <v>1</v>
      </c>
      <c r="B562" s="73"/>
      <c r="C562" s="73"/>
      <c r="D562" s="73"/>
      <c r="E562" s="73"/>
      <c r="F562" s="73"/>
      <c r="G562" s="73"/>
      <c r="H562" s="73"/>
      <c r="I562" s="73"/>
      <c r="J562" s="73"/>
      <c r="K562" s="73"/>
    </row>
    <row r="563" spans="1:11">
      <c r="A563" s="73" t="s">
        <v>38</v>
      </c>
      <c r="B563" s="73"/>
      <c r="C563" s="73"/>
      <c r="D563" s="73"/>
      <c r="E563" s="73"/>
      <c r="F563" s="73"/>
      <c r="G563" s="73"/>
      <c r="H563" s="73"/>
      <c r="I563" s="73"/>
      <c r="J563" s="73"/>
      <c r="K563" s="73"/>
    </row>
    <row r="564" spans="1:11">
      <c r="A564" s="73" t="s">
        <v>2</v>
      </c>
      <c r="B564" s="73"/>
      <c r="C564" s="73"/>
      <c r="D564" s="73"/>
      <c r="E564" s="73"/>
      <c r="F564" s="73"/>
      <c r="G564" s="73"/>
      <c r="H564" s="73"/>
      <c r="I564" s="73"/>
      <c r="J564" s="73"/>
      <c r="K564" s="73"/>
    </row>
    <row r="565" spans="1:11">
      <c r="A565" s="6"/>
      <c r="B565" s="6"/>
      <c r="C565" s="7"/>
      <c r="D565" s="7"/>
      <c r="E565" s="7"/>
      <c r="F565" s="7"/>
      <c r="G565" s="8"/>
      <c r="H565" s="9"/>
      <c r="I565" s="9"/>
      <c r="J565" s="9"/>
      <c r="K565" s="9"/>
    </row>
    <row r="566" spans="1:11">
      <c r="A566" s="52" t="s">
        <v>3</v>
      </c>
      <c r="B566" s="10"/>
      <c r="C566" s="10"/>
      <c r="D566" s="53" t="s">
        <v>4</v>
      </c>
      <c r="E566" s="10" t="s">
        <v>5</v>
      </c>
      <c r="F566" s="11"/>
      <c r="G566" s="10"/>
      <c r="H566" s="12"/>
      <c r="I566" s="12"/>
      <c r="J566" s="12"/>
      <c r="K566" s="9"/>
    </row>
    <row r="567" spans="1:11">
      <c r="A567" s="52" t="s">
        <v>6</v>
      </c>
      <c r="B567" s="10"/>
      <c r="C567" s="10"/>
      <c r="D567" s="53" t="s">
        <v>4</v>
      </c>
      <c r="E567" s="10" t="s">
        <v>7</v>
      </c>
      <c r="F567" s="11"/>
      <c r="G567" s="10"/>
      <c r="H567" s="12"/>
      <c r="I567" s="12"/>
      <c r="J567" s="12"/>
      <c r="K567" s="9"/>
    </row>
    <row r="568" spans="1:11">
      <c r="A568" s="52" t="s">
        <v>8</v>
      </c>
      <c r="B568" s="10"/>
      <c r="C568" s="10"/>
      <c r="D568" s="53" t="s">
        <v>4</v>
      </c>
      <c r="E568" s="13">
        <v>2026</v>
      </c>
      <c r="F568" s="11"/>
      <c r="G568" s="13"/>
      <c r="H568" s="12"/>
      <c r="I568" s="12"/>
      <c r="J568" s="12"/>
      <c r="K568" s="9"/>
    </row>
    <row r="569" spans="1:11">
      <c r="A569" s="52" t="s">
        <v>9</v>
      </c>
      <c r="B569" s="10"/>
      <c r="C569" s="10"/>
      <c r="D569" s="53" t="s">
        <v>4</v>
      </c>
      <c r="E569" s="14">
        <f>J580</f>
        <v>144000</v>
      </c>
      <c r="F569" s="11"/>
      <c r="G569" s="14"/>
      <c r="H569" s="12"/>
      <c r="I569" s="12"/>
      <c r="J569" s="12"/>
      <c r="K569" s="9"/>
    </row>
    <row r="570" spans="1:11" ht="15.75">
      <c r="A570" s="10"/>
      <c r="B570" s="10"/>
      <c r="C570" s="15" t="s">
        <v>10</v>
      </c>
      <c r="D570" s="53" t="s">
        <v>4</v>
      </c>
      <c r="E570" s="16" t="str">
        <f>PROPER(IF(E569=0,"nol",IF(E569&lt;0,"minus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569),"000000000000000"),1,3)=0,"",MID(TEXT(ABS(E569),"000000000000000"),1,1)&amp;" ratus "&amp;MID(TEXT(ABS(E569),"000000000000000"),2,1)&amp;" puluh "&amp;MID(TEXT(ABS(E569),"000000000000000"),3,1)&amp;" trilyun ")&amp;IF(--MID(TEXT(ABS(E569),"000000000000000"),4,3)=0,"",MID(TEXT(ABS(E569),"000000000000000"),4,1)&amp;" ratus "&amp;MID(TEXT(ABS(E569),"000000000000000"),5,1)&amp;" puluh "&amp;MID(TEXT(ABS(E569),"000000000000000"),6,1)&amp;" milyar ")&amp;IF(--MID(TEXT(ABS(E569),"000000000000000"),7,3)=0,"",MID(TEXT(ABS(E569),"000000000000000"),7,1)&amp;" ratus "&amp;MID(TEXT(ABS(E569),"000000000000000"),8,1)&amp;" puluh "&amp;MID(TEXT(ABS(E569),"000000000000000"),9,1)&amp;" juta ")&amp;IF(--MID(TEXT(ABS(E569),"000000000000000"),10,3)=0,"",IF(--MID(TEXT(ABS(E569),"000000000000000"),10,3)=1,"*",MID(TEXT(ABS(E569),"000000000000000"),10,1)&amp;" ratus "&amp;MID(TEXT(ABS(E569),"000000000000000"),11,1)&amp;" puluh ")&amp;MID(TEXT(ABS(E569),"000000000000000"),12,1)&amp;" ribu ")&amp;IF(--MID(TEXT(ABS(E569),"000000000000000"),13,3)=0,"",MID(TEXT(ABS(E569),"000000000000000"),13,1)&amp;" ratus "&amp;MID(TEXT(ABS(E569),"000000000000000"),14,1)&amp;" puluh "&amp;MID(TEXT(ABS(E569),"000000000000000"),15,1)),1,"satu"),2,"dua"),3,"tiga"),4,"empat"),5,"lima"),6,"enam"),7,"tujuh"),8,"delapan"),9,"sembilan"),"0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Empat Puluh Empat Ribu Rupiah</v>
      </c>
      <c r="F570" s="11"/>
      <c r="G570" s="16"/>
      <c r="H570" s="12"/>
      <c r="I570" s="12"/>
      <c r="J570" s="12"/>
      <c r="K570" s="9"/>
    </row>
    <row r="571" spans="1:11" ht="15.75">
      <c r="A571" s="10"/>
      <c r="B571" s="10"/>
      <c r="C571" s="15"/>
      <c r="D571" s="15"/>
      <c r="E571" s="15"/>
      <c r="F571" s="11"/>
      <c r="G571" s="16"/>
      <c r="H571" s="12"/>
      <c r="I571" s="12"/>
      <c r="J571" s="12"/>
      <c r="K571" s="9"/>
    </row>
    <row r="572" spans="1:11">
      <c r="A572" s="10" t="s">
        <v>11</v>
      </c>
      <c r="B572" s="10"/>
      <c r="C572" s="10"/>
      <c r="D572" s="10"/>
      <c r="E572" s="10"/>
      <c r="F572" s="10"/>
      <c r="G572" s="10"/>
      <c r="H572" s="12"/>
      <c r="I572" s="12"/>
      <c r="J572" s="12"/>
      <c r="K572" s="9"/>
    </row>
    <row r="573" spans="1:11">
      <c r="A573" s="74" t="s">
        <v>12</v>
      </c>
      <c r="B573" s="74"/>
      <c r="C573" s="74"/>
      <c r="D573" s="74"/>
      <c r="E573" s="74"/>
      <c r="F573" s="74"/>
      <c r="G573" s="74"/>
      <c r="H573" s="74"/>
      <c r="I573" s="74"/>
      <c r="J573" s="74"/>
      <c r="K573" s="74"/>
    </row>
    <row r="574" spans="1:11" ht="60">
      <c r="A574" s="17" t="s">
        <v>13</v>
      </c>
      <c r="B574" s="18" t="s">
        <v>14</v>
      </c>
      <c r="C574" s="59" t="s">
        <v>15</v>
      </c>
      <c r="D574" s="60"/>
      <c r="E574" s="61"/>
      <c r="F574" s="19"/>
      <c r="G574" s="20" t="s">
        <v>16</v>
      </c>
      <c r="H574" s="21" t="s">
        <v>35</v>
      </c>
      <c r="I574" s="21"/>
      <c r="J574" s="31" t="s">
        <v>17</v>
      </c>
      <c r="K574" s="32" t="s">
        <v>18</v>
      </c>
    </row>
    <row r="575" spans="1:11">
      <c r="A575" s="27">
        <v>1</v>
      </c>
      <c r="B575" s="24"/>
      <c r="C575" s="28" t="s">
        <v>23</v>
      </c>
      <c r="D575" s="57"/>
      <c r="E575" s="26"/>
      <c r="F575" s="25"/>
      <c r="G575" s="54" t="s">
        <v>19</v>
      </c>
      <c r="H575" s="54" t="s">
        <v>19</v>
      </c>
      <c r="I575" s="54"/>
      <c r="J575" s="54" t="s">
        <v>19</v>
      </c>
      <c r="K575" s="54" t="s">
        <v>19</v>
      </c>
    </row>
    <row r="576" spans="1:11">
      <c r="A576" s="24"/>
      <c r="B576" s="55" t="s">
        <v>20</v>
      </c>
      <c r="C576" s="25" t="s">
        <v>24</v>
      </c>
      <c r="D576" s="10"/>
      <c r="E576" s="26"/>
      <c r="F576" s="25"/>
      <c r="G576" s="23">
        <v>45000000</v>
      </c>
      <c r="H576" s="56">
        <f>H530+J530</f>
        <v>2156800</v>
      </c>
      <c r="I576" s="56"/>
      <c r="J576" s="56">
        <v>144000</v>
      </c>
      <c r="K576" s="58">
        <f t="shared" ref="K576:K579" si="20">G576-H576-J576</f>
        <v>42699200</v>
      </c>
    </row>
    <row r="577" spans="1:11">
      <c r="A577" s="24"/>
      <c r="B577" s="55" t="s">
        <v>21</v>
      </c>
      <c r="C577" s="62" t="s">
        <v>39</v>
      </c>
      <c r="D577" s="63"/>
      <c r="E577" s="64"/>
      <c r="F577" s="25"/>
      <c r="G577" s="23">
        <v>35000000</v>
      </c>
      <c r="H577" s="56">
        <f t="shared" ref="H577:H578" si="21">H531+J531</f>
        <v>2460000</v>
      </c>
      <c r="I577" s="56"/>
      <c r="J577" s="56">
        <v>0</v>
      </c>
      <c r="K577" s="58">
        <f t="shared" si="20"/>
        <v>32540000</v>
      </c>
    </row>
    <row r="578" spans="1:11">
      <c r="A578" s="24"/>
      <c r="B578" s="55" t="s">
        <v>22</v>
      </c>
      <c r="C578" s="65" t="s">
        <v>40</v>
      </c>
      <c r="D578" s="66"/>
      <c r="E578" s="67"/>
      <c r="F578" s="25"/>
      <c r="G578" s="23">
        <v>30000000</v>
      </c>
      <c r="H578" s="56">
        <f t="shared" si="21"/>
        <v>0</v>
      </c>
      <c r="I578" s="22"/>
      <c r="J578" s="22">
        <v>0</v>
      </c>
      <c r="K578" s="33">
        <f t="shared" si="20"/>
        <v>30000000</v>
      </c>
    </row>
    <row r="579" spans="1:11">
      <c r="A579" s="24"/>
      <c r="B579" s="55" t="s">
        <v>36</v>
      </c>
      <c r="C579" s="68" t="s">
        <v>41</v>
      </c>
      <c r="D579" s="69"/>
      <c r="E579" s="70"/>
      <c r="F579" s="25"/>
      <c r="G579" s="23">
        <v>28125000</v>
      </c>
      <c r="H579" s="56">
        <f>H533+J533</f>
        <v>1384000</v>
      </c>
      <c r="I579" s="22"/>
      <c r="J579" s="22">
        <v>0</v>
      </c>
      <c r="K579" s="33">
        <f t="shared" si="20"/>
        <v>26741000</v>
      </c>
    </row>
    <row r="580" spans="1:11">
      <c r="A580" s="34"/>
      <c r="B580" s="34"/>
      <c r="C580" s="34" t="s">
        <v>25</v>
      </c>
      <c r="D580" s="34"/>
      <c r="E580" s="34"/>
      <c r="F580" s="35"/>
      <c r="G580" s="36">
        <f>SUM(G575:G579)</f>
        <v>138125000</v>
      </c>
      <c r="H580" s="37">
        <f>SUM(H575:H579)</f>
        <v>6000800</v>
      </c>
      <c r="I580" s="37"/>
      <c r="J580" s="37">
        <f>SUM(J575:J579)</f>
        <v>144000</v>
      </c>
      <c r="K580" s="37">
        <f>SUM(K575:K579)</f>
        <v>131980200</v>
      </c>
    </row>
    <row r="581" spans="1:11">
      <c r="A581" s="38"/>
      <c r="B581" s="8"/>
      <c r="C581" s="8"/>
      <c r="D581" s="8"/>
      <c r="E581" s="8"/>
      <c r="F581" s="8"/>
      <c r="G581" s="39"/>
      <c r="H581" s="39"/>
      <c r="I581" s="39"/>
      <c r="J581" s="39"/>
      <c r="K581" s="39"/>
    </row>
    <row r="582" spans="1:11">
      <c r="A582" s="71" t="s">
        <v>26</v>
      </c>
      <c r="B582" s="71"/>
      <c r="C582" s="71"/>
      <c r="D582" s="11" t="s">
        <v>4</v>
      </c>
      <c r="E582" s="14">
        <f>J580</f>
        <v>144000</v>
      </c>
      <c r="F582" s="40"/>
      <c r="G582" s="41"/>
      <c r="H582" s="41"/>
      <c r="I582" s="41"/>
      <c r="J582" s="9"/>
      <c r="K582" s="9"/>
    </row>
    <row r="583" spans="1:11">
      <c r="A583" s="10" t="s">
        <v>27</v>
      </c>
      <c r="B583" s="10"/>
      <c r="C583" s="10"/>
      <c r="D583" s="11" t="s">
        <v>4</v>
      </c>
      <c r="E583" s="42"/>
      <c r="F583" s="42"/>
      <c r="G583" s="43"/>
      <c r="H583" s="12"/>
      <c r="I583" s="12"/>
      <c r="J583" s="9"/>
      <c r="K583" s="9"/>
    </row>
    <row r="584" spans="1:11">
      <c r="A584" s="10" t="s">
        <v>28</v>
      </c>
      <c r="B584" s="10"/>
      <c r="C584" s="10"/>
      <c r="D584" s="11" t="s">
        <v>4</v>
      </c>
      <c r="E584" s="44"/>
      <c r="F584" s="44"/>
      <c r="G584" s="43"/>
      <c r="H584" s="12"/>
      <c r="I584" s="12"/>
      <c r="J584" s="9"/>
      <c r="K584" s="9"/>
    </row>
    <row r="585" spans="1:11">
      <c r="A585" s="10" t="s">
        <v>29</v>
      </c>
      <c r="B585" s="10"/>
      <c r="C585" s="10"/>
      <c r="D585" s="11" t="s">
        <v>4</v>
      </c>
      <c r="E585" s="44">
        <f>E583+E584</f>
        <v>0</v>
      </c>
      <c r="F585" s="44"/>
      <c r="G585" s="10"/>
      <c r="H585" s="12"/>
      <c r="I585" s="12"/>
      <c r="J585" s="46"/>
      <c r="K585" s="46"/>
    </row>
    <row r="586" spans="1:11">
      <c r="A586" s="13"/>
      <c r="B586" s="13"/>
      <c r="C586" s="13"/>
      <c r="D586" s="11"/>
      <c r="E586" s="13"/>
      <c r="F586" s="13"/>
      <c r="G586" s="10"/>
      <c r="H586" s="12"/>
      <c r="I586" s="12"/>
      <c r="J586" s="46"/>
      <c r="K586" s="46"/>
    </row>
    <row r="587" spans="1:11">
      <c r="A587" s="71" t="s">
        <v>30</v>
      </c>
      <c r="B587" s="71"/>
      <c r="C587" s="71"/>
      <c r="D587" s="11" t="s">
        <v>4</v>
      </c>
      <c r="E587" s="40">
        <f>E582-E585</f>
        <v>144000</v>
      </c>
      <c r="F587" s="40"/>
      <c r="G587" s="10"/>
      <c r="H587" s="12"/>
      <c r="I587" s="12"/>
      <c r="J587" s="46"/>
      <c r="K587" s="46"/>
    </row>
    <row r="588" spans="1:11" ht="15.75">
      <c r="A588" s="13"/>
      <c r="B588" s="13"/>
      <c r="C588" s="10"/>
      <c r="D588" s="10"/>
      <c r="E588" s="16" t="str">
        <f>PROPER(IF(E587=0,"nol",IF(E587&lt;0,"minus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587),"000000000000000"),1,3)=0,"",MID(TEXT(ABS(E587),"000000000000000"),1,1)&amp;" ratus "&amp;MID(TEXT(ABS(E587),"000000000000000"),2,1)&amp;" puluh "&amp;MID(TEXT(ABS(E587),"000000000000000"),3,1)&amp;" trilyun ")&amp;IF(--MID(TEXT(ABS(E587),"000000000000000"),4,3)=0,"",MID(TEXT(ABS(E587),"000000000000000"),4,1)&amp;" ratus "&amp;MID(TEXT(ABS(E587),"000000000000000"),5,1)&amp;" puluh "&amp;MID(TEXT(ABS(E587),"000000000000000"),6,1)&amp;" milyar ")&amp;IF(--MID(TEXT(ABS(E587),"000000000000000"),7,3)=0,"",MID(TEXT(ABS(E587),"000000000000000"),7,1)&amp;" ratus "&amp;MID(TEXT(ABS(E587),"000000000000000"),8,1)&amp;" puluh "&amp;MID(TEXT(ABS(E587),"000000000000000"),9,1)&amp;" juta ")&amp;IF(--MID(TEXT(ABS(E587),"000000000000000"),10,3)=0,"",IF(--MID(TEXT(ABS(E587),"000000000000000"),10,3)=1,"*",MID(TEXT(ABS(E587),"000000000000000"),10,1)&amp;" ratus "&amp;MID(TEXT(ABS(E587),"000000000000000"),11,1)&amp;" puluh ")&amp;MID(TEXT(ABS(E587),"000000000000000"),12,1)&amp;" ribu ")&amp;IF(--MID(TEXT(ABS(E587),"000000000000000"),13,3)=0,"",MID(TEXT(ABS(E587),"000000000000000"),13,1)&amp;" ratus "&amp;MID(TEXT(ABS(E587),"000000000000000"),14,1)&amp;" puluh "&amp;MID(TEXT(ABS(E587),"000000000000000"),15,1)),1,"satu"),2,"dua"),3,"tiga"),4,"empat"),5,"lima"),6,"enam"),7,"tujuh"),8,"delapan"),9,"sembilan"),"0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Empat Puluh Empat Ribu Rupiah</v>
      </c>
      <c r="F588" s="10"/>
      <c r="G588" s="10"/>
      <c r="H588" s="10"/>
      <c r="I588" s="10"/>
      <c r="J588" s="46"/>
      <c r="K588" s="46"/>
    </row>
    <row r="589" spans="1:11">
      <c r="A589" s="45"/>
      <c r="B589" s="45"/>
      <c r="C589" s="45"/>
      <c r="D589" s="45"/>
      <c r="E589" s="45"/>
      <c r="F589" s="45"/>
      <c r="G589" s="29"/>
      <c r="H589" s="46"/>
      <c r="I589" s="46"/>
      <c r="J589" s="46"/>
      <c r="K589" s="46"/>
    </row>
    <row r="590" spans="1:11">
      <c r="A590" s="29"/>
      <c r="B590" s="29"/>
      <c r="C590" s="29"/>
      <c r="D590" s="29"/>
      <c r="E590" s="29"/>
      <c r="F590" s="29"/>
      <c r="G590" s="29"/>
      <c r="H590"/>
      <c r="I590"/>
      <c r="J590" s="46"/>
      <c r="K590" s="46"/>
    </row>
    <row r="591" spans="1:11">
      <c r="A591" s="13"/>
      <c r="B591" s="13"/>
      <c r="C591" s="10"/>
      <c r="D591" s="10"/>
      <c r="E591" s="10"/>
      <c r="F591" s="10"/>
      <c r="G591" s="10"/>
      <c r="I591" s="47"/>
      <c r="J591" s="47" t="s">
        <v>65</v>
      </c>
      <c r="K591" s="46"/>
    </row>
    <row r="592" spans="1:11">
      <c r="A592" s="12" t="s">
        <v>31</v>
      </c>
      <c r="B592" s="10"/>
      <c r="C592" s="10"/>
      <c r="D592" s="10"/>
      <c r="E592" s="10"/>
      <c r="F592" s="10"/>
      <c r="G592" s="10"/>
      <c r="I592" s="12"/>
      <c r="J592" s="12" t="s">
        <v>32</v>
      </c>
      <c r="K592" s="46"/>
    </row>
    <row r="593" spans="1:11">
      <c r="A593" s="10"/>
      <c r="B593" s="10"/>
      <c r="C593" s="10"/>
      <c r="D593" s="10"/>
      <c r="E593" s="10"/>
      <c r="F593" s="10"/>
      <c r="G593" s="10"/>
      <c r="I593" s="12"/>
      <c r="J593" s="12"/>
      <c r="K593" s="46"/>
    </row>
    <row r="594" spans="1:11">
      <c r="A594" s="10"/>
      <c r="B594" s="10"/>
      <c r="C594" s="10"/>
      <c r="D594" s="10"/>
      <c r="E594" s="10"/>
      <c r="F594" s="10"/>
      <c r="G594" s="10"/>
      <c r="I594" s="12"/>
      <c r="J594" s="12"/>
      <c r="K594" s="46"/>
    </row>
    <row r="595" spans="1:11">
      <c r="A595" s="10"/>
      <c r="B595" s="10"/>
      <c r="C595" s="10"/>
      <c r="D595" s="10"/>
      <c r="E595" s="10"/>
      <c r="F595" s="10"/>
      <c r="G595" s="10"/>
      <c r="I595" s="12"/>
      <c r="J595" s="12"/>
      <c r="K595" s="46"/>
    </row>
    <row r="596" spans="1:11">
      <c r="A596" s="10"/>
      <c r="B596" s="10"/>
      <c r="C596" s="10"/>
      <c r="D596" s="10"/>
      <c r="E596" s="10"/>
      <c r="F596" s="10"/>
      <c r="G596" s="10"/>
      <c r="I596" s="12"/>
      <c r="J596" s="12"/>
      <c r="K596" s="46"/>
    </row>
    <row r="597" spans="1:11">
      <c r="A597" s="48" t="s">
        <v>37</v>
      </c>
      <c r="B597" s="48"/>
      <c r="C597" s="49"/>
      <c r="D597" s="49"/>
      <c r="E597" s="49"/>
      <c r="F597" s="49"/>
      <c r="G597" s="10" t="s">
        <v>33</v>
      </c>
      <c r="I597" s="48"/>
      <c r="J597" s="48" t="s">
        <v>34</v>
      </c>
      <c r="K597" s="46"/>
    </row>
    <row r="602" spans="1:11" ht="15.75">
      <c r="C602" s="2"/>
      <c r="D602" s="2"/>
      <c r="E602" s="2"/>
      <c r="F602" s="2"/>
    </row>
    <row r="603" spans="1:11" ht="15.75">
      <c r="A603" s="3"/>
      <c r="B603" s="3"/>
      <c r="C603" s="2"/>
      <c r="D603" s="2"/>
      <c r="E603" s="2"/>
      <c r="F603" s="2"/>
      <c r="G603" s="3"/>
      <c r="H603" s="4"/>
      <c r="I603" s="4"/>
      <c r="J603" s="4"/>
      <c r="K603" s="5"/>
    </row>
    <row r="604" spans="1:11">
      <c r="H604" s="5"/>
      <c r="I604" s="5"/>
      <c r="J604" s="5"/>
      <c r="K604" s="5"/>
    </row>
    <row r="605" spans="1:11">
      <c r="H605" s="5"/>
      <c r="I605" s="5"/>
      <c r="J605" s="5"/>
      <c r="K605" s="5"/>
    </row>
    <row r="606" spans="1:11">
      <c r="A606" s="72" t="s">
        <v>0</v>
      </c>
      <c r="B606" s="72"/>
      <c r="C606" s="73"/>
      <c r="D606" s="73"/>
      <c r="E606" s="73"/>
      <c r="F606" s="73"/>
      <c r="G606" s="73"/>
      <c r="H606" s="73"/>
      <c r="I606" s="73"/>
      <c r="J606" s="73"/>
      <c r="K606" s="73"/>
    </row>
    <row r="607" spans="1:11">
      <c r="A607" s="73" t="s">
        <v>66</v>
      </c>
      <c r="B607" s="73"/>
      <c r="C607" s="73"/>
      <c r="D607" s="73"/>
      <c r="E607" s="73"/>
      <c r="F607" s="73"/>
      <c r="G607" s="73"/>
      <c r="H607" s="73"/>
      <c r="I607" s="73"/>
      <c r="J607" s="73"/>
      <c r="K607" s="73"/>
    </row>
    <row r="608" spans="1:11">
      <c r="A608" s="73" t="s">
        <v>1</v>
      </c>
      <c r="B608" s="73"/>
      <c r="C608" s="73"/>
      <c r="D608" s="73"/>
      <c r="E608" s="73"/>
      <c r="F608" s="73"/>
      <c r="G608" s="73"/>
      <c r="H608" s="73"/>
      <c r="I608" s="73"/>
      <c r="J608" s="73"/>
      <c r="K608" s="73"/>
    </row>
    <row r="609" spans="1:11">
      <c r="A609" s="73" t="s">
        <v>38</v>
      </c>
      <c r="B609" s="73"/>
      <c r="C609" s="73"/>
      <c r="D609" s="73"/>
      <c r="E609" s="73"/>
      <c r="F609" s="73"/>
      <c r="G609" s="73"/>
      <c r="H609" s="73"/>
      <c r="I609" s="73"/>
      <c r="J609" s="73"/>
      <c r="K609" s="73"/>
    </row>
    <row r="610" spans="1:11">
      <c r="A610" s="73" t="s">
        <v>2</v>
      </c>
      <c r="B610" s="73"/>
      <c r="C610" s="73"/>
      <c r="D610" s="73"/>
      <c r="E610" s="73"/>
      <c r="F610" s="73"/>
      <c r="G610" s="73"/>
      <c r="H610" s="73"/>
      <c r="I610" s="73"/>
      <c r="J610" s="73"/>
      <c r="K610" s="73"/>
    </row>
    <row r="611" spans="1:11">
      <c r="A611" s="6"/>
      <c r="B611" s="6"/>
      <c r="C611" s="7"/>
      <c r="D611" s="7"/>
      <c r="E611" s="7"/>
      <c r="F611" s="7"/>
      <c r="G611" s="8"/>
      <c r="H611" s="9"/>
      <c r="I611" s="9"/>
      <c r="J611" s="9"/>
      <c r="K611" s="9"/>
    </row>
    <row r="612" spans="1:11">
      <c r="A612" s="52" t="s">
        <v>3</v>
      </c>
      <c r="B612" s="10"/>
      <c r="C612" s="10"/>
      <c r="D612" s="53" t="s">
        <v>4</v>
      </c>
      <c r="E612" s="10" t="s">
        <v>5</v>
      </c>
      <c r="F612" s="11"/>
      <c r="G612" s="10"/>
      <c r="H612" s="12"/>
      <c r="I612" s="12"/>
      <c r="J612" s="12"/>
      <c r="K612" s="9"/>
    </row>
    <row r="613" spans="1:11">
      <c r="A613" s="52" t="s">
        <v>6</v>
      </c>
      <c r="B613" s="10"/>
      <c r="C613" s="10"/>
      <c r="D613" s="53" t="s">
        <v>4</v>
      </c>
      <c r="E613" s="10" t="s">
        <v>7</v>
      </c>
      <c r="F613" s="11"/>
      <c r="G613" s="10"/>
      <c r="H613" s="12"/>
      <c r="I613" s="12"/>
      <c r="J613" s="12"/>
      <c r="K613" s="9"/>
    </row>
    <row r="614" spans="1:11">
      <c r="A614" s="52" t="s">
        <v>8</v>
      </c>
      <c r="B614" s="10"/>
      <c r="C614" s="10"/>
      <c r="D614" s="53" t="s">
        <v>4</v>
      </c>
      <c r="E614" s="13">
        <v>2026</v>
      </c>
      <c r="F614" s="11"/>
      <c r="G614" s="13"/>
      <c r="H614" s="12"/>
      <c r="I614" s="12"/>
      <c r="J614" s="12"/>
      <c r="K614" s="9"/>
    </row>
    <row r="615" spans="1:11">
      <c r="A615" s="52" t="s">
        <v>9</v>
      </c>
      <c r="B615" s="10"/>
      <c r="C615" s="10"/>
      <c r="D615" s="53" t="s">
        <v>4</v>
      </c>
      <c r="E615" s="14">
        <f>J626</f>
        <v>132900</v>
      </c>
      <c r="F615" s="11"/>
      <c r="G615" s="14"/>
      <c r="H615" s="12"/>
      <c r="I615" s="12"/>
      <c r="J615" s="12"/>
      <c r="K615" s="9"/>
    </row>
    <row r="616" spans="1:11" ht="15.75">
      <c r="A616" s="10"/>
      <c r="B616" s="10"/>
      <c r="C616" s="15" t="s">
        <v>10</v>
      </c>
      <c r="D616" s="53" t="s">
        <v>4</v>
      </c>
      <c r="E616" s="16" t="str">
        <f>PROPER(IF(E615=0,"nol",IF(E615&lt;0,"minus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615),"000000000000000"),1,3)=0,"",MID(TEXT(ABS(E615),"000000000000000"),1,1)&amp;" ratus "&amp;MID(TEXT(ABS(E615),"000000000000000"),2,1)&amp;" puluh "&amp;MID(TEXT(ABS(E615),"000000000000000"),3,1)&amp;" trilyun ")&amp;IF(--MID(TEXT(ABS(E615),"000000000000000"),4,3)=0,"",MID(TEXT(ABS(E615),"000000000000000"),4,1)&amp;" ratus "&amp;MID(TEXT(ABS(E615),"000000000000000"),5,1)&amp;" puluh "&amp;MID(TEXT(ABS(E615),"000000000000000"),6,1)&amp;" milyar ")&amp;IF(--MID(TEXT(ABS(E615),"000000000000000"),7,3)=0,"",MID(TEXT(ABS(E615),"000000000000000"),7,1)&amp;" ratus "&amp;MID(TEXT(ABS(E615),"000000000000000"),8,1)&amp;" puluh "&amp;MID(TEXT(ABS(E615),"000000000000000"),9,1)&amp;" juta ")&amp;IF(--MID(TEXT(ABS(E615),"000000000000000"),10,3)=0,"",IF(--MID(TEXT(ABS(E615),"000000000000000"),10,3)=1,"*",MID(TEXT(ABS(E615),"000000000000000"),10,1)&amp;" ratus "&amp;MID(TEXT(ABS(E615),"000000000000000"),11,1)&amp;" puluh ")&amp;MID(TEXT(ABS(E615),"000000000000000"),12,1)&amp;" ribu ")&amp;IF(--MID(TEXT(ABS(E615),"000000000000000"),13,3)=0,"",MID(TEXT(ABS(E615),"000000000000000"),13,1)&amp;" ratus "&amp;MID(TEXT(ABS(E615),"000000000000000"),14,1)&amp;" puluh "&amp;MID(TEXT(ABS(E615),"000000000000000"),15,1)),1,"satu"),2,"dua"),3,"tiga"),4,"empat"),5,"lima"),6,"enam"),7,"tujuh"),8,"delapan"),9,"sembilan"),"0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Tiga Puluh Dua Ribu Sembilan Ratus Rupiah</v>
      </c>
      <c r="F616" s="11"/>
      <c r="G616" s="16"/>
      <c r="H616" s="12"/>
      <c r="I616" s="12"/>
      <c r="J616" s="12"/>
      <c r="K616" s="9"/>
    </row>
    <row r="617" spans="1:11" ht="15.75">
      <c r="A617" s="10"/>
      <c r="B617" s="10"/>
      <c r="C617" s="15"/>
      <c r="D617" s="15"/>
      <c r="E617" s="15"/>
      <c r="F617" s="11"/>
      <c r="G617" s="16"/>
      <c r="H617" s="12"/>
      <c r="I617" s="12"/>
      <c r="J617" s="12"/>
      <c r="K617" s="9"/>
    </row>
    <row r="618" spans="1:11">
      <c r="A618" s="10" t="s">
        <v>11</v>
      </c>
      <c r="B618" s="10"/>
      <c r="C618" s="10"/>
      <c r="D618" s="10"/>
      <c r="E618" s="10"/>
      <c r="F618" s="10"/>
      <c r="G618" s="10"/>
      <c r="H618" s="12"/>
      <c r="I618" s="12"/>
      <c r="J618" s="12"/>
      <c r="K618" s="9"/>
    </row>
    <row r="619" spans="1:11">
      <c r="A619" s="74" t="s">
        <v>12</v>
      </c>
      <c r="B619" s="74"/>
      <c r="C619" s="74"/>
      <c r="D619" s="74"/>
      <c r="E619" s="74"/>
      <c r="F619" s="74"/>
      <c r="G619" s="74"/>
      <c r="H619" s="74"/>
      <c r="I619" s="74"/>
      <c r="J619" s="74"/>
      <c r="K619" s="74"/>
    </row>
    <row r="620" spans="1:11" ht="60">
      <c r="A620" s="17" t="s">
        <v>13</v>
      </c>
      <c r="B620" s="18" t="s">
        <v>14</v>
      </c>
      <c r="C620" s="59" t="s">
        <v>15</v>
      </c>
      <c r="D620" s="60"/>
      <c r="E620" s="61"/>
      <c r="F620" s="19"/>
      <c r="G620" s="20" t="s">
        <v>16</v>
      </c>
      <c r="H620" s="21" t="s">
        <v>35</v>
      </c>
      <c r="I620" s="21"/>
      <c r="J620" s="31" t="s">
        <v>17</v>
      </c>
      <c r="K620" s="32" t="s">
        <v>18</v>
      </c>
    </row>
    <row r="621" spans="1:11">
      <c r="A621" s="27">
        <v>1</v>
      </c>
      <c r="B621" s="24"/>
      <c r="C621" s="28" t="s">
        <v>23</v>
      </c>
      <c r="D621" s="57"/>
      <c r="E621" s="26"/>
      <c r="F621" s="25"/>
      <c r="G621" s="54" t="s">
        <v>19</v>
      </c>
      <c r="H621" s="54" t="s">
        <v>19</v>
      </c>
      <c r="I621" s="54"/>
      <c r="J621" s="54" t="s">
        <v>19</v>
      </c>
      <c r="K621" s="54" t="s">
        <v>19</v>
      </c>
    </row>
    <row r="622" spans="1:11">
      <c r="A622" s="24"/>
      <c r="B622" s="55" t="s">
        <v>20</v>
      </c>
      <c r="C622" s="25" t="s">
        <v>24</v>
      </c>
      <c r="D622" s="10"/>
      <c r="E622" s="26"/>
      <c r="F622" s="25"/>
      <c r="G622" s="23">
        <v>45000000</v>
      </c>
      <c r="H622" s="56">
        <f>H576+J576</f>
        <v>2300800</v>
      </c>
      <c r="I622" s="56"/>
      <c r="J622" s="56">
        <v>132900</v>
      </c>
      <c r="K622" s="58">
        <f t="shared" ref="K622:K625" si="22">G622-H622-J622</f>
        <v>42566300</v>
      </c>
    </row>
    <row r="623" spans="1:11">
      <c r="A623" s="24"/>
      <c r="B623" s="55" t="s">
        <v>21</v>
      </c>
      <c r="C623" s="62" t="s">
        <v>39</v>
      </c>
      <c r="D623" s="63"/>
      <c r="E623" s="64"/>
      <c r="F623" s="25"/>
      <c r="G623" s="23">
        <v>35000000</v>
      </c>
      <c r="H623" s="56">
        <f t="shared" ref="H623:H624" si="23">H577+J577</f>
        <v>2460000</v>
      </c>
      <c r="I623" s="56"/>
      <c r="J623" s="56">
        <v>0</v>
      </c>
      <c r="K623" s="58">
        <f t="shared" si="22"/>
        <v>32540000</v>
      </c>
    </row>
    <row r="624" spans="1:11">
      <c r="A624" s="24"/>
      <c r="B624" s="55" t="s">
        <v>22</v>
      </c>
      <c r="C624" s="65" t="s">
        <v>40</v>
      </c>
      <c r="D624" s="66"/>
      <c r="E624" s="67"/>
      <c r="F624" s="25"/>
      <c r="G624" s="23">
        <v>30000000</v>
      </c>
      <c r="H624" s="56">
        <f t="shared" si="23"/>
        <v>0</v>
      </c>
      <c r="I624" s="22"/>
      <c r="J624" s="22">
        <v>0</v>
      </c>
      <c r="K624" s="33">
        <f t="shared" si="22"/>
        <v>30000000</v>
      </c>
    </row>
    <row r="625" spans="1:11">
      <c r="A625" s="24"/>
      <c r="B625" s="55" t="s">
        <v>36</v>
      </c>
      <c r="C625" s="68" t="s">
        <v>41</v>
      </c>
      <c r="D625" s="69"/>
      <c r="E625" s="70"/>
      <c r="F625" s="25"/>
      <c r="G625" s="23">
        <v>28125000</v>
      </c>
      <c r="H625" s="56">
        <f>H579+J579</f>
        <v>1384000</v>
      </c>
      <c r="I625" s="22"/>
      <c r="J625" s="22">
        <v>0</v>
      </c>
      <c r="K625" s="33">
        <f t="shared" si="22"/>
        <v>26741000</v>
      </c>
    </row>
    <row r="626" spans="1:11">
      <c r="A626" s="34"/>
      <c r="B626" s="34"/>
      <c r="C626" s="34" t="s">
        <v>25</v>
      </c>
      <c r="D626" s="34"/>
      <c r="E626" s="34"/>
      <c r="F626" s="35"/>
      <c r="G626" s="36">
        <f>SUM(G621:G625)</f>
        <v>138125000</v>
      </c>
      <c r="H626" s="37">
        <f>SUM(H621:H625)</f>
        <v>6144800</v>
      </c>
      <c r="I626" s="37"/>
      <c r="J626" s="37">
        <f>SUM(J621:J625)</f>
        <v>132900</v>
      </c>
      <c r="K626" s="37">
        <f>SUM(K621:K625)</f>
        <v>131847300</v>
      </c>
    </row>
    <row r="627" spans="1:11">
      <c r="A627" s="38"/>
      <c r="B627" s="8"/>
      <c r="C627" s="8"/>
      <c r="D627" s="8"/>
      <c r="E627" s="8"/>
      <c r="F627" s="8"/>
      <c r="G627" s="39"/>
      <c r="H627" s="39"/>
      <c r="I627" s="39"/>
      <c r="J627" s="39"/>
      <c r="K627" s="39"/>
    </row>
    <row r="628" spans="1:11">
      <c r="A628" s="71" t="s">
        <v>26</v>
      </c>
      <c r="B628" s="71"/>
      <c r="C628" s="71"/>
      <c r="D628" s="11" t="s">
        <v>4</v>
      </c>
      <c r="E628" s="14">
        <f>J626</f>
        <v>132900</v>
      </c>
      <c r="F628" s="40"/>
      <c r="G628" s="41"/>
      <c r="H628" s="41"/>
      <c r="I628" s="41"/>
      <c r="J628" s="9"/>
      <c r="K628" s="9"/>
    </row>
    <row r="629" spans="1:11">
      <c r="A629" s="10" t="s">
        <v>27</v>
      </c>
      <c r="B629" s="10"/>
      <c r="C629" s="10"/>
      <c r="D629" s="11" t="s">
        <v>4</v>
      </c>
      <c r="E629" s="42"/>
      <c r="F629" s="42"/>
      <c r="G629" s="43"/>
      <c r="H629" s="12"/>
      <c r="I629" s="12"/>
      <c r="J629" s="9"/>
      <c r="K629" s="9"/>
    </row>
    <row r="630" spans="1:11">
      <c r="A630" s="10" t="s">
        <v>28</v>
      </c>
      <c r="B630" s="10"/>
      <c r="C630" s="10"/>
      <c r="D630" s="11" t="s">
        <v>4</v>
      </c>
      <c r="E630" s="44"/>
      <c r="F630" s="44"/>
      <c r="G630" s="43"/>
      <c r="H630" s="12"/>
      <c r="I630" s="12"/>
      <c r="J630" s="9"/>
      <c r="K630" s="9"/>
    </row>
    <row r="631" spans="1:11">
      <c r="A631" s="10" t="s">
        <v>29</v>
      </c>
      <c r="B631" s="10"/>
      <c r="C631" s="10"/>
      <c r="D631" s="11" t="s">
        <v>4</v>
      </c>
      <c r="E631" s="44">
        <f>E629+E630</f>
        <v>0</v>
      </c>
      <c r="F631" s="44"/>
      <c r="G631" s="10"/>
      <c r="H631" s="12"/>
      <c r="I631" s="12"/>
      <c r="J631" s="46"/>
      <c r="K631" s="46"/>
    </row>
    <row r="632" spans="1:11">
      <c r="A632" s="13"/>
      <c r="B632" s="13"/>
      <c r="C632" s="13"/>
      <c r="D632" s="11"/>
      <c r="E632" s="13"/>
      <c r="F632" s="13"/>
      <c r="G632" s="10"/>
      <c r="H632" s="12"/>
      <c r="I632" s="12"/>
      <c r="J632" s="46"/>
      <c r="K632" s="46"/>
    </row>
    <row r="633" spans="1:11">
      <c r="A633" s="71" t="s">
        <v>30</v>
      </c>
      <c r="B633" s="71"/>
      <c r="C633" s="71"/>
      <c r="D633" s="11" t="s">
        <v>4</v>
      </c>
      <c r="E633" s="40">
        <f>E628-E631</f>
        <v>132900</v>
      </c>
      <c r="F633" s="40"/>
      <c r="G633" s="10"/>
      <c r="H633" s="12"/>
      <c r="I633" s="12"/>
      <c r="J633" s="46"/>
      <c r="K633" s="46"/>
    </row>
    <row r="634" spans="1:11" ht="15.75">
      <c r="A634" s="13"/>
      <c r="B634" s="13"/>
      <c r="C634" s="10"/>
      <c r="D634" s="10"/>
      <c r="E634" s="16" t="str">
        <f>PROPER(IF(E633=0,"nol",IF(E633&lt;0,"minus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633),"000000000000000"),1,3)=0,"",MID(TEXT(ABS(E633),"000000000000000"),1,1)&amp;" ratus "&amp;MID(TEXT(ABS(E633),"000000000000000"),2,1)&amp;" puluh "&amp;MID(TEXT(ABS(E633),"000000000000000"),3,1)&amp;" trilyun ")&amp;IF(--MID(TEXT(ABS(E633),"000000000000000"),4,3)=0,"",MID(TEXT(ABS(E633),"000000000000000"),4,1)&amp;" ratus "&amp;MID(TEXT(ABS(E633),"000000000000000"),5,1)&amp;" puluh "&amp;MID(TEXT(ABS(E633),"000000000000000"),6,1)&amp;" milyar ")&amp;IF(--MID(TEXT(ABS(E633),"000000000000000"),7,3)=0,"",MID(TEXT(ABS(E633),"000000000000000"),7,1)&amp;" ratus "&amp;MID(TEXT(ABS(E633),"000000000000000"),8,1)&amp;" puluh "&amp;MID(TEXT(ABS(E633),"000000000000000"),9,1)&amp;" juta ")&amp;IF(--MID(TEXT(ABS(E633),"000000000000000"),10,3)=0,"",IF(--MID(TEXT(ABS(E633),"000000000000000"),10,3)=1,"*",MID(TEXT(ABS(E633),"000000000000000"),10,1)&amp;" ratus "&amp;MID(TEXT(ABS(E633),"000000000000000"),11,1)&amp;" puluh ")&amp;MID(TEXT(ABS(E633),"000000000000000"),12,1)&amp;" ribu ")&amp;IF(--MID(TEXT(ABS(E633),"000000000000000"),13,3)=0,"",MID(TEXT(ABS(E633),"000000000000000"),13,1)&amp;" ratus "&amp;MID(TEXT(ABS(E633),"000000000000000"),14,1)&amp;" puluh "&amp;MID(TEXT(ABS(E633),"000000000000000"),15,1)),1,"satu"),2,"dua"),3,"tiga"),4,"empat"),5,"lima"),6,"enam"),7,"tujuh"),8,"delapan"),9,"sembilan"),"0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Tiga Puluh Dua Ribu Sembilan Ratus Rupiah</v>
      </c>
      <c r="F634" s="10"/>
      <c r="G634" s="10"/>
      <c r="H634" s="10"/>
      <c r="I634" s="10"/>
      <c r="J634" s="46"/>
      <c r="K634" s="46"/>
    </row>
    <row r="635" spans="1:11">
      <c r="A635" s="45"/>
      <c r="B635" s="45"/>
      <c r="C635" s="45"/>
      <c r="D635" s="45"/>
      <c r="E635" s="45"/>
      <c r="F635" s="45"/>
      <c r="G635" s="29"/>
      <c r="H635" s="46"/>
      <c r="I635" s="46"/>
      <c r="J635" s="46"/>
      <c r="K635" s="46"/>
    </row>
    <row r="636" spans="1:11">
      <c r="A636" s="29"/>
      <c r="B636" s="29"/>
      <c r="C636" s="29"/>
      <c r="D636" s="29"/>
      <c r="E636" s="29"/>
      <c r="F636" s="29"/>
      <c r="G636" s="29"/>
      <c r="H636"/>
      <c r="I636"/>
      <c r="J636" s="46"/>
      <c r="K636" s="46"/>
    </row>
    <row r="637" spans="1:11">
      <c r="A637" s="13"/>
      <c r="B637" s="13"/>
      <c r="C637" s="10"/>
      <c r="D637" s="10"/>
      <c r="E637" s="10"/>
      <c r="F637" s="10"/>
      <c r="G637" s="10"/>
      <c r="I637" s="47"/>
      <c r="J637" s="47" t="s">
        <v>65</v>
      </c>
      <c r="K637" s="46"/>
    </row>
    <row r="638" spans="1:11">
      <c r="A638" s="12" t="s">
        <v>31</v>
      </c>
      <c r="B638" s="10"/>
      <c r="C638" s="10"/>
      <c r="D638" s="10"/>
      <c r="E638" s="10"/>
      <c r="F638" s="10"/>
      <c r="G638" s="10"/>
      <c r="I638" s="12"/>
      <c r="J638" s="12" t="s">
        <v>32</v>
      </c>
      <c r="K638" s="46"/>
    </row>
    <row r="639" spans="1:11">
      <c r="A639" s="10"/>
      <c r="B639" s="10"/>
      <c r="C639" s="10"/>
      <c r="D639" s="10"/>
      <c r="E639" s="10"/>
      <c r="F639" s="10"/>
      <c r="G639" s="10"/>
      <c r="I639" s="12"/>
      <c r="J639" s="12"/>
      <c r="K639" s="46"/>
    </row>
    <row r="640" spans="1:11">
      <c r="A640" s="10"/>
      <c r="B640" s="10"/>
      <c r="C640" s="10"/>
      <c r="D640" s="10"/>
      <c r="E640" s="10"/>
      <c r="F640" s="10"/>
      <c r="G640" s="10"/>
      <c r="I640" s="12"/>
      <c r="J640" s="12"/>
      <c r="K640" s="46"/>
    </row>
    <row r="641" spans="1:11">
      <c r="A641" s="10"/>
      <c r="B641" s="10"/>
      <c r="C641" s="10"/>
      <c r="D641" s="10"/>
      <c r="E641" s="10"/>
      <c r="F641" s="10"/>
      <c r="G641" s="10"/>
      <c r="I641" s="12"/>
      <c r="J641" s="12"/>
      <c r="K641" s="46"/>
    </row>
    <row r="642" spans="1:11">
      <c r="A642" s="10"/>
      <c r="B642" s="10"/>
      <c r="C642" s="10"/>
      <c r="D642" s="10"/>
      <c r="E642" s="10"/>
      <c r="F642" s="10"/>
      <c r="G642" s="10"/>
      <c r="I642" s="12"/>
      <c r="J642" s="12"/>
      <c r="K642" s="46"/>
    </row>
    <row r="643" spans="1:11">
      <c r="A643" s="48" t="s">
        <v>37</v>
      </c>
      <c r="B643" s="48"/>
      <c r="C643" s="49"/>
      <c r="D643" s="49"/>
      <c r="E643" s="49"/>
      <c r="F643" s="49"/>
      <c r="G643" s="10" t="s">
        <v>33</v>
      </c>
      <c r="I643" s="48"/>
      <c r="J643" s="48" t="s">
        <v>34</v>
      </c>
      <c r="K643" s="46"/>
    </row>
    <row r="648" spans="1:11" ht="15.75">
      <c r="C648" s="2"/>
      <c r="D648" s="2"/>
      <c r="E648" s="2"/>
      <c r="F648" s="2"/>
    </row>
    <row r="649" spans="1:11" ht="15.75">
      <c r="A649" s="3"/>
      <c r="B649" s="3"/>
      <c r="C649" s="2"/>
      <c r="D649" s="2"/>
      <c r="E649" s="2"/>
      <c r="F649" s="2"/>
      <c r="G649" s="3"/>
      <c r="H649" s="4"/>
      <c r="I649" s="4"/>
      <c r="J649" s="4"/>
      <c r="K649" s="5"/>
    </row>
    <row r="650" spans="1:11">
      <c r="H650" s="5"/>
      <c r="I650" s="5"/>
      <c r="J650" s="5"/>
      <c r="K650" s="5"/>
    </row>
    <row r="651" spans="1:11">
      <c r="H651" s="5"/>
      <c r="I651" s="5"/>
      <c r="J651" s="5"/>
      <c r="K651" s="5"/>
    </row>
    <row r="652" spans="1:11">
      <c r="A652" s="72" t="s">
        <v>0</v>
      </c>
      <c r="B652" s="72"/>
      <c r="C652" s="73"/>
      <c r="D652" s="73"/>
      <c r="E652" s="73"/>
      <c r="F652" s="73"/>
      <c r="G652" s="73"/>
      <c r="H652" s="73"/>
      <c r="I652" s="73"/>
      <c r="J652" s="73"/>
      <c r="K652" s="73"/>
    </row>
    <row r="653" spans="1:11">
      <c r="A653" s="73" t="s">
        <v>67</v>
      </c>
      <c r="B653" s="73"/>
      <c r="C653" s="73"/>
      <c r="D653" s="73"/>
      <c r="E653" s="73"/>
      <c r="F653" s="73"/>
      <c r="G653" s="73"/>
      <c r="H653" s="73"/>
      <c r="I653" s="73"/>
      <c r="J653" s="73"/>
      <c r="K653" s="73"/>
    </row>
    <row r="654" spans="1:11">
      <c r="A654" s="73" t="s">
        <v>1</v>
      </c>
      <c r="B654" s="73"/>
      <c r="C654" s="73"/>
      <c r="D654" s="73"/>
      <c r="E654" s="73"/>
      <c r="F654" s="73"/>
      <c r="G654" s="73"/>
      <c r="H654" s="73"/>
      <c r="I654" s="73"/>
      <c r="J654" s="73"/>
      <c r="K654" s="73"/>
    </row>
    <row r="655" spans="1:11">
      <c r="A655" s="73" t="s">
        <v>38</v>
      </c>
      <c r="B655" s="73"/>
      <c r="C655" s="73"/>
      <c r="D655" s="73"/>
      <c r="E655" s="73"/>
      <c r="F655" s="73"/>
      <c r="G655" s="73"/>
      <c r="H655" s="73"/>
      <c r="I655" s="73"/>
      <c r="J655" s="73"/>
      <c r="K655" s="73"/>
    </row>
    <row r="656" spans="1:11">
      <c r="A656" s="73" t="s">
        <v>2</v>
      </c>
      <c r="B656" s="73"/>
      <c r="C656" s="73"/>
      <c r="D656" s="73"/>
      <c r="E656" s="73"/>
      <c r="F656" s="73"/>
      <c r="G656" s="73"/>
      <c r="H656" s="73"/>
      <c r="I656" s="73"/>
      <c r="J656" s="73"/>
      <c r="K656" s="73"/>
    </row>
    <row r="657" spans="1:11">
      <c r="A657" s="6"/>
      <c r="B657" s="6"/>
      <c r="C657" s="7"/>
      <c r="D657" s="7"/>
      <c r="E657" s="7"/>
      <c r="F657" s="7"/>
      <c r="G657" s="8"/>
      <c r="H657" s="9"/>
      <c r="I657" s="9"/>
      <c r="J657" s="9"/>
      <c r="K657" s="9"/>
    </row>
    <row r="658" spans="1:11">
      <c r="A658" s="52" t="s">
        <v>3</v>
      </c>
      <c r="B658" s="10"/>
      <c r="C658" s="10"/>
      <c r="D658" s="53" t="s">
        <v>4</v>
      </c>
      <c r="E658" s="10" t="s">
        <v>5</v>
      </c>
      <c r="F658" s="11"/>
      <c r="G658" s="10"/>
      <c r="H658" s="12"/>
      <c r="I658" s="12"/>
      <c r="J658" s="12"/>
      <c r="K658" s="9"/>
    </row>
    <row r="659" spans="1:11">
      <c r="A659" s="52" t="s">
        <v>6</v>
      </c>
      <c r="B659" s="10"/>
      <c r="C659" s="10"/>
      <c r="D659" s="53" t="s">
        <v>4</v>
      </c>
      <c r="E659" s="10" t="s">
        <v>7</v>
      </c>
      <c r="F659" s="11"/>
      <c r="G659" s="10"/>
      <c r="H659" s="12"/>
      <c r="I659" s="12"/>
      <c r="J659" s="12"/>
      <c r="K659" s="9"/>
    </row>
    <row r="660" spans="1:11">
      <c r="A660" s="52" t="s">
        <v>8</v>
      </c>
      <c r="B660" s="10"/>
      <c r="C660" s="10"/>
      <c r="D660" s="53" t="s">
        <v>4</v>
      </c>
      <c r="E660" s="13">
        <v>2026</v>
      </c>
      <c r="F660" s="11"/>
      <c r="G660" s="13"/>
      <c r="H660" s="12"/>
      <c r="I660" s="12"/>
      <c r="J660" s="12"/>
      <c r="K660" s="9"/>
    </row>
    <row r="661" spans="1:11">
      <c r="A661" s="52" t="s">
        <v>9</v>
      </c>
      <c r="B661" s="10"/>
      <c r="C661" s="10"/>
      <c r="D661" s="53" t="s">
        <v>4</v>
      </c>
      <c r="E661" s="14">
        <f>J672</f>
        <v>400000</v>
      </c>
      <c r="F661" s="11"/>
      <c r="G661" s="14"/>
      <c r="H661" s="12"/>
      <c r="I661" s="12"/>
      <c r="J661" s="12"/>
      <c r="K661" s="9"/>
    </row>
    <row r="662" spans="1:11" ht="15.75">
      <c r="A662" s="10"/>
      <c r="B662" s="10"/>
      <c r="C662" s="15" t="s">
        <v>10</v>
      </c>
      <c r="D662" s="53" t="s">
        <v>4</v>
      </c>
      <c r="E662" s="16" t="str">
        <f>PROPER(IF(E661=0,"nol",IF(E661&lt;0,"minus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661),"000000000000000"),1,3)=0,"",MID(TEXT(ABS(E661),"000000000000000"),1,1)&amp;" ratus "&amp;MID(TEXT(ABS(E661),"000000000000000"),2,1)&amp;" puluh "&amp;MID(TEXT(ABS(E661),"000000000000000"),3,1)&amp;" trilyun ")&amp;IF(--MID(TEXT(ABS(E661),"000000000000000"),4,3)=0,"",MID(TEXT(ABS(E661),"000000000000000"),4,1)&amp;" ratus "&amp;MID(TEXT(ABS(E661),"000000000000000"),5,1)&amp;" puluh "&amp;MID(TEXT(ABS(E661),"000000000000000"),6,1)&amp;" milyar ")&amp;IF(--MID(TEXT(ABS(E661),"000000000000000"),7,3)=0,"",MID(TEXT(ABS(E661),"000000000000000"),7,1)&amp;" ratus "&amp;MID(TEXT(ABS(E661),"000000000000000"),8,1)&amp;" puluh "&amp;MID(TEXT(ABS(E661),"000000000000000"),9,1)&amp;" juta ")&amp;IF(--MID(TEXT(ABS(E661),"000000000000000"),10,3)=0,"",IF(--MID(TEXT(ABS(E661),"000000000000000"),10,3)=1,"*",MID(TEXT(ABS(E661),"000000000000000"),10,1)&amp;" ratus "&amp;MID(TEXT(ABS(E661),"000000000000000"),11,1)&amp;" puluh ")&amp;MID(TEXT(ABS(E661),"000000000000000"),12,1)&amp;" ribu ")&amp;IF(--MID(TEXT(ABS(E661),"000000000000000"),13,3)=0,"",MID(TEXT(ABS(E661),"000000000000000"),13,1)&amp;" ratus "&amp;MID(TEXT(ABS(E661),"000000000000000"),14,1)&amp;" puluh "&amp;MID(TEXT(ABS(E661),"000000000000000"),15,1)),1,"satu"),2,"dua"),3,"tiga"),4,"empat"),5,"lima"),6,"enam"),7,"tujuh"),8,"delapan"),9,"sembilan"),"0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Ribu Rupiah</v>
      </c>
      <c r="F662" s="11"/>
      <c r="G662" s="16"/>
      <c r="H662" s="12"/>
      <c r="I662" s="12"/>
      <c r="J662" s="12"/>
      <c r="K662" s="9"/>
    </row>
    <row r="663" spans="1:11" ht="15.75">
      <c r="A663" s="10"/>
      <c r="B663" s="10"/>
      <c r="C663" s="15"/>
      <c r="D663" s="15"/>
      <c r="E663" s="15"/>
      <c r="F663" s="11"/>
      <c r="G663" s="16"/>
      <c r="H663" s="12"/>
      <c r="I663" s="12"/>
      <c r="J663" s="12"/>
      <c r="K663" s="9"/>
    </row>
    <row r="664" spans="1:11">
      <c r="A664" s="10" t="s">
        <v>11</v>
      </c>
      <c r="B664" s="10"/>
      <c r="C664" s="10"/>
      <c r="D664" s="10"/>
      <c r="E664" s="10"/>
      <c r="F664" s="10"/>
      <c r="G664" s="10"/>
      <c r="H664" s="12"/>
      <c r="I664" s="12"/>
      <c r="J664" s="12"/>
      <c r="K664" s="9"/>
    </row>
    <row r="665" spans="1:11">
      <c r="A665" s="74" t="s">
        <v>12</v>
      </c>
      <c r="B665" s="74"/>
      <c r="C665" s="74"/>
      <c r="D665" s="74"/>
      <c r="E665" s="74"/>
      <c r="F665" s="74"/>
      <c r="G665" s="74"/>
      <c r="H665" s="74"/>
      <c r="I665" s="74"/>
      <c r="J665" s="74"/>
      <c r="K665" s="74"/>
    </row>
    <row r="666" spans="1:11" ht="60">
      <c r="A666" s="17" t="s">
        <v>13</v>
      </c>
      <c r="B666" s="18" t="s">
        <v>14</v>
      </c>
      <c r="C666" s="59" t="s">
        <v>15</v>
      </c>
      <c r="D666" s="60"/>
      <c r="E666" s="61"/>
      <c r="F666" s="19"/>
      <c r="G666" s="20" t="s">
        <v>16</v>
      </c>
      <c r="H666" s="21" t="s">
        <v>35</v>
      </c>
      <c r="I666" s="21"/>
      <c r="J666" s="31" t="s">
        <v>17</v>
      </c>
      <c r="K666" s="32" t="s">
        <v>18</v>
      </c>
    </row>
    <row r="667" spans="1:11">
      <c r="A667" s="27">
        <v>1</v>
      </c>
      <c r="B667" s="24"/>
      <c r="C667" s="28" t="s">
        <v>23</v>
      </c>
      <c r="D667" s="57"/>
      <c r="E667" s="26"/>
      <c r="F667" s="25"/>
      <c r="G667" s="54" t="s">
        <v>19</v>
      </c>
      <c r="H667" s="54" t="s">
        <v>19</v>
      </c>
      <c r="I667" s="54"/>
      <c r="J667" s="54" t="s">
        <v>19</v>
      </c>
      <c r="K667" s="54" t="s">
        <v>19</v>
      </c>
    </row>
    <row r="668" spans="1:11">
      <c r="A668" s="24"/>
      <c r="B668" s="55" t="s">
        <v>20</v>
      </c>
      <c r="C668" s="25" t="s">
        <v>24</v>
      </c>
      <c r="D668" s="10"/>
      <c r="E668" s="26"/>
      <c r="F668" s="25"/>
      <c r="G668" s="23">
        <v>45000000</v>
      </c>
      <c r="H668" s="56">
        <f>H622+J622</f>
        <v>2433700</v>
      </c>
      <c r="I668" s="56"/>
      <c r="J668" s="56">
        <v>0</v>
      </c>
      <c r="K668" s="58">
        <f t="shared" ref="K668:K671" si="24">G668-H668-J668</f>
        <v>42566300</v>
      </c>
    </row>
    <row r="669" spans="1:11">
      <c r="A669" s="24"/>
      <c r="B669" s="55" t="s">
        <v>21</v>
      </c>
      <c r="C669" s="62" t="s">
        <v>39</v>
      </c>
      <c r="D669" s="63"/>
      <c r="E669" s="64"/>
      <c r="F669" s="25"/>
      <c r="G669" s="23">
        <v>35000000</v>
      </c>
      <c r="H669" s="56">
        <f t="shared" ref="H669:H670" si="25">H623+J623</f>
        <v>2460000</v>
      </c>
      <c r="I669" s="56"/>
      <c r="J669" s="56">
        <v>400000</v>
      </c>
      <c r="K669" s="58">
        <f t="shared" si="24"/>
        <v>32140000</v>
      </c>
    </row>
    <row r="670" spans="1:11">
      <c r="A670" s="24"/>
      <c r="B670" s="55" t="s">
        <v>22</v>
      </c>
      <c r="C670" s="65" t="s">
        <v>40</v>
      </c>
      <c r="D670" s="66"/>
      <c r="E670" s="67"/>
      <c r="F670" s="25"/>
      <c r="G670" s="23">
        <v>30000000</v>
      </c>
      <c r="H670" s="56">
        <f t="shared" si="25"/>
        <v>0</v>
      </c>
      <c r="I670" s="22"/>
      <c r="J670" s="22">
        <v>0</v>
      </c>
      <c r="K670" s="33">
        <f t="shared" si="24"/>
        <v>30000000</v>
      </c>
    </row>
    <row r="671" spans="1:11">
      <c r="A671" s="24"/>
      <c r="B671" s="55" t="s">
        <v>36</v>
      </c>
      <c r="C671" s="68" t="s">
        <v>41</v>
      </c>
      <c r="D671" s="69"/>
      <c r="E671" s="70"/>
      <c r="F671" s="25"/>
      <c r="G671" s="23">
        <v>28125000</v>
      </c>
      <c r="H671" s="56">
        <f>H625+J625</f>
        <v>1384000</v>
      </c>
      <c r="I671" s="22"/>
      <c r="J671" s="22">
        <v>0</v>
      </c>
      <c r="K671" s="33">
        <f t="shared" si="24"/>
        <v>26741000</v>
      </c>
    </row>
    <row r="672" spans="1:11">
      <c r="A672" s="34"/>
      <c r="B672" s="34"/>
      <c r="C672" s="34" t="s">
        <v>25</v>
      </c>
      <c r="D672" s="34"/>
      <c r="E672" s="34"/>
      <c r="F672" s="35"/>
      <c r="G672" s="36">
        <f>SUM(G667:G671)</f>
        <v>138125000</v>
      </c>
      <c r="H672" s="37">
        <f>SUM(H667:H671)</f>
        <v>6277700</v>
      </c>
      <c r="I672" s="37"/>
      <c r="J672" s="37">
        <f>SUM(J667:J671)</f>
        <v>400000</v>
      </c>
      <c r="K672" s="37">
        <f>SUM(K667:K671)</f>
        <v>131447300</v>
      </c>
    </row>
    <row r="673" spans="1:11">
      <c r="A673" s="38"/>
      <c r="B673" s="8"/>
      <c r="C673" s="8"/>
      <c r="D673" s="8"/>
      <c r="E673" s="8"/>
      <c r="F673" s="8"/>
      <c r="G673" s="39"/>
      <c r="H673" s="39"/>
      <c r="I673" s="39"/>
      <c r="J673" s="39"/>
      <c r="K673" s="39"/>
    </row>
    <row r="674" spans="1:11">
      <c r="A674" s="71" t="s">
        <v>26</v>
      </c>
      <c r="B674" s="71"/>
      <c r="C674" s="71"/>
      <c r="D674" s="11" t="s">
        <v>4</v>
      </c>
      <c r="E674" s="14">
        <f>J672</f>
        <v>400000</v>
      </c>
      <c r="F674" s="40"/>
      <c r="G674" s="41"/>
      <c r="H674" s="41"/>
      <c r="I674" s="41"/>
      <c r="J674" s="9"/>
      <c r="K674" s="9"/>
    </row>
    <row r="675" spans="1:11">
      <c r="A675" s="10" t="s">
        <v>27</v>
      </c>
      <c r="B675" s="10"/>
      <c r="C675" s="10"/>
      <c r="D675" s="11" t="s">
        <v>4</v>
      </c>
      <c r="E675" s="42"/>
      <c r="F675" s="42"/>
      <c r="G675" s="43"/>
      <c r="H675" s="12"/>
      <c r="I675" s="12"/>
      <c r="J675" s="9"/>
      <c r="K675" s="9"/>
    </row>
    <row r="676" spans="1:11">
      <c r="A676" s="10" t="s">
        <v>28</v>
      </c>
      <c r="B676" s="10"/>
      <c r="C676" s="10"/>
      <c r="D676" s="11" t="s">
        <v>4</v>
      </c>
      <c r="E676" s="44"/>
      <c r="F676" s="44"/>
      <c r="G676" s="43"/>
      <c r="H676" s="12"/>
      <c r="I676" s="12"/>
      <c r="J676" s="9"/>
      <c r="K676" s="9"/>
    </row>
    <row r="677" spans="1:11">
      <c r="A677" s="10" t="s">
        <v>29</v>
      </c>
      <c r="B677" s="10"/>
      <c r="C677" s="10"/>
      <c r="D677" s="11" t="s">
        <v>4</v>
      </c>
      <c r="E677" s="44">
        <f>E675+E676</f>
        <v>0</v>
      </c>
      <c r="F677" s="44"/>
      <c r="G677" s="10"/>
      <c r="H677" s="12"/>
      <c r="I677" s="12"/>
      <c r="J677" s="46"/>
      <c r="K677" s="46"/>
    </row>
    <row r="678" spans="1:11">
      <c r="A678" s="13"/>
      <c r="B678" s="13"/>
      <c r="C678" s="13"/>
      <c r="D678" s="11"/>
      <c r="E678" s="13"/>
      <c r="F678" s="13"/>
      <c r="G678" s="10"/>
      <c r="H678" s="12"/>
      <c r="I678" s="12"/>
      <c r="J678" s="46"/>
      <c r="K678" s="46"/>
    </row>
    <row r="679" spans="1:11">
      <c r="A679" s="71" t="s">
        <v>30</v>
      </c>
      <c r="B679" s="71"/>
      <c r="C679" s="71"/>
      <c r="D679" s="11" t="s">
        <v>4</v>
      </c>
      <c r="E679" s="40">
        <f>E674-E677</f>
        <v>400000</v>
      </c>
      <c r="F679" s="40"/>
      <c r="G679" s="10"/>
      <c r="H679" s="12"/>
      <c r="I679" s="12"/>
      <c r="J679" s="46"/>
      <c r="K679" s="46"/>
    </row>
    <row r="680" spans="1:11" ht="15.75">
      <c r="A680" s="13"/>
      <c r="B680" s="13"/>
      <c r="C680" s="10"/>
      <c r="D680" s="10"/>
      <c r="E680" s="16" t="str">
        <f>PROPER(IF(E679=0,"nol",IF(E679&lt;0,"minus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679),"000000000000000"),1,3)=0,"",MID(TEXT(ABS(E679),"000000000000000"),1,1)&amp;" ratus "&amp;MID(TEXT(ABS(E679),"000000000000000"),2,1)&amp;" puluh "&amp;MID(TEXT(ABS(E679),"000000000000000"),3,1)&amp;" trilyun ")&amp;IF(--MID(TEXT(ABS(E679),"000000000000000"),4,3)=0,"",MID(TEXT(ABS(E679),"000000000000000"),4,1)&amp;" ratus "&amp;MID(TEXT(ABS(E679),"000000000000000"),5,1)&amp;" puluh "&amp;MID(TEXT(ABS(E679),"000000000000000"),6,1)&amp;" milyar ")&amp;IF(--MID(TEXT(ABS(E679),"000000000000000"),7,3)=0,"",MID(TEXT(ABS(E679),"000000000000000"),7,1)&amp;" ratus "&amp;MID(TEXT(ABS(E679),"000000000000000"),8,1)&amp;" puluh "&amp;MID(TEXT(ABS(E679),"000000000000000"),9,1)&amp;" juta ")&amp;IF(--MID(TEXT(ABS(E679),"000000000000000"),10,3)=0,"",IF(--MID(TEXT(ABS(E679),"000000000000000"),10,3)=1,"*",MID(TEXT(ABS(E679),"000000000000000"),10,1)&amp;" ratus "&amp;MID(TEXT(ABS(E679),"000000000000000"),11,1)&amp;" puluh ")&amp;MID(TEXT(ABS(E679),"000000000000000"),12,1)&amp;" ribu ")&amp;IF(--MID(TEXT(ABS(E679),"000000000000000"),13,3)=0,"",MID(TEXT(ABS(E679),"000000000000000"),13,1)&amp;" ratus "&amp;MID(TEXT(ABS(E679),"000000000000000"),14,1)&amp;" puluh "&amp;MID(TEXT(ABS(E679),"000000000000000"),15,1)),1,"satu"),2,"dua"),3,"tiga"),4,"empat"),5,"lima"),6,"enam"),7,"tujuh"),8,"delapan"),9,"sembilan"),"0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Ribu Rupiah</v>
      </c>
      <c r="F680" s="10"/>
      <c r="G680" s="10"/>
      <c r="H680" s="10"/>
      <c r="I680" s="10"/>
      <c r="J680" s="46"/>
      <c r="K680" s="46"/>
    </row>
    <row r="681" spans="1:11">
      <c r="A681" s="45"/>
      <c r="B681" s="45"/>
      <c r="C681" s="45"/>
      <c r="D681" s="45"/>
      <c r="E681" s="45"/>
      <c r="F681" s="45"/>
      <c r="G681" s="29"/>
      <c r="H681" s="46"/>
      <c r="I681" s="46"/>
      <c r="J681" s="46"/>
      <c r="K681" s="46"/>
    </row>
    <row r="682" spans="1:11">
      <c r="A682" s="29"/>
      <c r="B682" s="29"/>
      <c r="C682" s="29"/>
      <c r="D682" s="29"/>
      <c r="E682" s="29"/>
      <c r="F682" s="29"/>
      <c r="G682" s="29"/>
      <c r="H682"/>
      <c r="I682"/>
      <c r="J682" s="46"/>
      <c r="K682" s="46"/>
    </row>
    <row r="683" spans="1:11">
      <c r="A683" s="13"/>
      <c r="B683" s="13"/>
      <c r="C683" s="10"/>
      <c r="D683" s="10"/>
      <c r="E683" s="10"/>
      <c r="F683" s="10"/>
      <c r="G683" s="10"/>
      <c r="I683" s="47"/>
      <c r="J683" s="47" t="s">
        <v>68</v>
      </c>
      <c r="K683" s="46"/>
    </row>
    <row r="684" spans="1:11">
      <c r="A684" s="12" t="s">
        <v>31</v>
      </c>
      <c r="B684" s="10"/>
      <c r="C684" s="10"/>
      <c r="D684" s="10"/>
      <c r="E684" s="10"/>
      <c r="F684" s="10"/>
      <c r="G684" s="10"/>
      <c r="I684" s="12"/>
      <c r="J684" s="12" t="s">
        <v>32</v>
      </c>
      <c r="K684" s="46"/>
    </row>
    <row r="685" spans="1:11">
      <c r="A685" s="10"/>
      <c r="B685" s="10"/>
      <c r="C685" s="10"/>
      <c r="D685" s="10"/>
      <c r="E685" s="10"/>
      <c r="F685" s="10"/>
      <c r="G685" s="10"/>
      <c r="I685" s="12"/>
      <c r="J685" s="12"/>
      <c r="K685" s="46"/>
    </row>
    <row r="686" spans="1:11">
      <c r="A686" s="10"/>
      <c r="B686" s="10"/>
      <c r="C686" s="10"/>
      <c r="D686" s="10"/>
      <c r="E686" s="10"/>
      <c r="F686" s="10"/>
      <c r="G686" s="10"/>
      <c r="I686" s="12"/>
      <c r="J686" s="12"/>
      <c r="K686" s="46"/>
    </row>
    <row r="687" spans="1:11">
      <c r="A687" s="10"/>
      <c r="B687" s="10"/>
      <c r="C687" s="10"/>
      <c r="D687" s="10"/>
      <c r="E687" s="10"/>
      <c r="F687" s="10"/>
      <c r="G687" s="10"/>
      <c r="I687" s="12"/>
      <c r="J687" s="12"/>
      <c r="K687" s="46"/>
    </row>
    <row r="688" spans="1:11">
      <c r="A688" s="10"/>
      <c r="B688" s="10"/>
      <c r="C688" s="10"/>
      <c r="D688" s="10"/>
      <c r="E688" s="10"/>
      <c r="F688" s="10"/>
      <c r="G688" s="10"/>
      <c r="I688" s="12"/>
      <c r="J688" s="12"/>
      <c r="K688" s="46"/>
    </row>
    <row r="689" spans="1:11">
      <c r="A689" s="48" t="s">
        <v>37</v>
      </c>
      <c r="B689" s="48"/>
      <c r="C689" s="49"/>
      <c r="D689" s="49"/>
      <c r="E689" s="49"/>
      <c r="F689" s="49"/>
      <c r="G689" s="10" t="s">
        <v>33</v>
      </c>
      <c r="I689" s="48"/>
      <c r="J689" s="48" t="s">
        <v>34</v>
      </c>
      <c r="K689" s="46"/>
    </row>
    <row r="694" spans="1:11" ht="15.75">
      <c r="C694" s="2"/>
      <c r="D694" s="2"/>
      <c r="E694" s="2"/>
      <c r="F694" s="2"/>
    </row>
    <row r="695" spans="1:11" ht="15.75">
      <c r="A695" s="3"/>
      <c r="B695" s="3"/>
      <c r="C695" s="2"/>
      <c r="D695" s="2"/>
      <c r="E695" s="2"/>
      <c r="F695" s="2"/>
      <c r="G695" s="3"/>
      <c r="H695" s="4"/>
      <c r="I695" s="4"/>
      <c r="J695" s="4"/>
      <c r="K695" s="5"/>
    </row>
    <row r="696" spans="1:11">
      <c r="H696" s="5"/>
      <c r="I696" s="5"/>
      <c r="J696" s="5"/>
      <c r="K696" s="5"/>
    </row>
    <row r="697" spans="1:11">
      <c r="H697" s="5"/>
      <c r="I697" s="5"/>
      <c r="J697" s="5"/>
      <c r="K697" s="5"/>
    </row>
    <row r="698" spans="1:11">
      <c r="A698" s="72" t="s">
        <v>0</v>
      </c>
      <c r="B698" s="72"/>
      <c r="C698" s="73"/>
      <c r="D698" s="73"/>
      <c r="E698" s="73"/>
      <c r="F698" s="73"/>
      <c r="G698" s="73"/>
      <c r="H698" s="73"/>
      <c r="I698" s="73"/>
      <c r="J698" s="73"/>
      <c r="K698" s="73"/>
    </row>
    <row r="699" spans="1:11">
      <c r="A699" s="73" t="s">
        <v>69</v>
      </c>
      <c r="B699" s="73"/>
      <c r="C699" s="73"/>
      <c r="D699" s="73"/>
      <c r="E699" s="73"/>
      <c r="F699" s="73"/>
      <c r="G699" s="73"/>
      <c r="H699" s="73"/>
      <c r="I699" s="73"/>
      <c r="J699" s="73"/>
      <c r="K699" s="73"/>
    </row>
    <row r="700" spans="1:11">
      <c r="A700" s="73" t="s">
        <v>1</v>
      </c>
      <c r="B700" s="73"/>
      <c r="C700" s="73"/>
      <c r="D700" s="73"/>
      <c r="E700" s="73"/>
      <c r="F700" s="73"/>
      <c r="G700" s="73"/>
      <c r="H700" s="73"/>
      <c r="I700" s="73"/>
      <c r="J700" s="73"/>
      <c r="K700" s="73"/>
    </row>
    <row r="701" spans="1:11">
      <c r="A701" s="73" t="s">
        <v>38</v>
      </c>
      <c r="B701" s="73"/>
      <c r="C701" s="73"/>
      <c r="D701" s="73"/>
      <c r="E701" s="73"/>
      <c r="F701" s="73"/>
      <c r="G701" s="73"/>
      <c r="H701" s="73"/>
      <c r="I701" s="73"/>
      <c r="J701" s="73"/>
      <c r="K701" s="73"/>
    </row>
    <row r="702" spans="1:11">
      <c r="A702" s="73" t="s">
        <v>2</v>
      </c>
      <c r="B702" s="73"/>
      <c r="C702" s="73"/>
      <c r="D702" s="73"/>
      <c r="E702" s="73"/>
      <c r="F702" s="73"/>
      <c r="G702" s="73"/>
      <c r="H702" s="73"/>
      <c r="I702" s="73"/>
      <c r="J702" s="73"/>
      <c r="K702" s="73"/>
    </row>
    <row r="703" spans="1:11">
      <c r="A703" s="6"/>
      <c r="B703" s="6"/>
      <c r="C703" s="7"/>
      <c r="D703" s="7"/>
      <c r="E703" s="7"/>
      <c r="F703" s="7"/>
      <c r="G703" s="8"/>
      <c r="H703" s="9"/>
      <c r="I703" s="9"/>
      <c r="J703" s="9"/>
      <c r="K703" s="9"/>
    </row>
    <row r="704" spans="1:11">
      <c r="A704" s="52" t="s">
        <v>3</v>
      </c>
      <c r="B704" s="10"/>
      <c r="C704" s="10"/>
      <c r="D704" s="53" t="s">
        <v>4</v>
      </c>
      <c r="E704" s="10" t="s">
        <v>5</v>
      </c>
      <c r="F704" s="11"/>
      <c r="G704" s="10"/>
      <c r="H704" s="12"/>
      <c r="I704" s="12"/>
      <c r="J704" s="12"/>
      <c r="K704" s="9"/>
    </row>
    <row r="705" spans="1:11">
      <c r="A705" s="52" t="s">
        <v>6</v>
      </c>
      <c r="B705" s="10"/>
      <c r="C705" s="10"/>
      <c r="D705" s="53" t="s">
        <v>4</v>
      </c>
      <c r="E705" s="10" t="s">
        <v>7</v>
      </c>
      <c r="F705" s="11"/>
      <c r="G705" s="10"/>
      <c r="H705" s="12"/>
      <c r="I705" s="12"/>
      <c r="J705" s="12"/>
      <c r="K705" s="9"/>
    </row>
    <row r="706" spans="1:11">
      <c r="A706" s="52" t="s">
        <v>8</v>
      </c>
      <c r="B706" s="10"/>
      <c r="C706" s="10"/>
      <c r="D706" s="53" t="s">
        <v>4</v>
      </c>
      <c r="E706" s="13">
        <v>2026</v>
      </c>
      <c r="F706" s="11"/>
      <c r="G706" s="13"/>
      <c r="H706" s="12"/>
      <c r="I706" s="12"/>
      <c r="J706" s="12"/>
      <c r="K706" s="9"/>
    </row>
    <row r="707" spans="1:11">
      <c r="A707" s="52" t="s">
        <v>9</v>
      </c>
      <c r="B707" s="10"/>
      <c r="C707" s="10"/>
      <c r="D707" s="53" t="s">
        <v>4</v>
      </c>
      <c r="E707" s="14">
        <f>J718</f>
        <v>200000</v>
      </c>
      <c r="F707" s="11"/>
      <c r="G707" s="14"/>
      <c r="H707" s="12"/>
      <c r="I707" s="12"/>
      <c r="J707" s="12"/>
      <c r="K707" s="9"/>
    </row>
    <row r="708" spans="1:11" ht="15.75">
      <c r="A708" s="10"/>
      <c r="B708" s="10"/>
      <c r="C708" s="15" t="s">
        <v>10</v>
      </c>
      <c r="D708" s="53" t="s">
        <v>4</v>
      </c>
      <c r="E708" s="16" t="str">
        <f>PROPER(IF(E707=0,"nol",IF(E707&lt;0,"minus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707),"000000000000000"),1,3)=0,"",MID(TEXT(ABS(E707),"000000000000000"),1,1)&amp;" ratus "&amp;MID(TEXT(ABS(E707),"000000000000000"),2,1)&amp;" puluh "&amp;MID(TEXT(ABS(E707),"000000000000000"),3,1)&amp;" trilyun ")&amp;IF(--MID(TEXT(ABS(E707),"000000000000000"),4,3)=0,"",MID(TEXT(ABS(E707),"000000000000000"),4,1)&amp;" ratus "&amp;MID(TEXT(ABS(E707),"000000000000000"),5,1)&amp;" puluh "&amp;MID(TEXT(ABS(E707),"000000000000000"),6,1)&amp;" milyar ")&amp;IF(--MID(TEXT(ABS(E707),"000000000000000"),7,3)=0,"",MID(TEXT(ABS(E707),"000000000000000"),7,1)&amp;" ratus "&amp;MID(TEXT(ABS(E707),"000000000000000"),8,1)&amp;" puluh "&amp;MID(TEXT(ABS(E707),"000000000000000"),9,1)&amp;" juta ")&amp;IF(--MID(TEXT(ABS(E707),"000000000000000"),10,3)=0,"",IF(--MID(TEXT(ABS(E707),"000000000000000"),10,3)=1,"*",MID(TEXT(ABS(E707),"000000000000000"),10,1)&amp;" ratus "&amp;MID(TEXT(ABS(E707),"000000000000000"),11,1)&amp;" puluh ")&amp;MID(TEXT(ABS(E707),"000000000000000"),12,1)&amp;" ribu ")&amp;IF(--MID(TEXT(ABS(E707),"000000000000000"),13,3)=0,"",MID(TEXT(ABS(E707),"000000000000000"),13,1)&amp;" ratus "&amp;MID(TEXT(ABS(E707),"000000000000000"),14,1)&amp;" puluh "&amp;MID(TEXT(ABS(E707),"000000000000000"),15,1)),1,"satu"),2,"dua"),3,"tiga"),4,"empat"),5,"lima"),6,"enam"),7,"tujuh"),8,"delapan"),9,"sembilan"),"0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Ribu Rupiah</v>
      </c>
      <c r="F708" s="11"/>
      <c r="G708" s="16"/>
      <c r="H708" s="12"/>
      <c r="I708" s="12"/>
      <c r="J708" s="12"/>
      <c r="K708" s="9"/>
    </row>
    <row r="709" spans="1:11" ht="15.75">
      <c r="A709" s="10"/>
      <c r="B709" s="10"/>
      <c r="C709" s="15"/>
      <c r="D709" s="15"/>
      <c r="E709" s="15"/>
      <c r="F709" s="11"/>
      <c r="G709" s="16"/>
      <c r="H709" s="12"/>
      <c r="I709" s="12"/>
      <c r="J709" s="12"/>
      <c r="K709" s="9"/>
    </row>
    <row r="710" spans="1:11">
      <c r="A710" s="10" t="s">
        <v>11</v>
      </c>
      <c r="B710" s="10"/>
      <c r="C710" s="10"/>
      <c r="D710" s="10"/>
      <c r="E710" s="10"/>
      <c r="F710" s="10"/>
      <c r="G710" s="10"/>
      <c r="H710" s="12"/>
      <c r="I710" s="12"/>
      <c r="J710" s="12"/>
      <c r="K710" s="9"/>
    </row>
    <row r="711" spans="1:11">
      <c r="A711" s="74" t="s">
        <v>12</v>
      </c>
      <c r="B711" s="74"/>
      <c r="C711" s="74"/>
      <c r="D711" s="74"/>
      <c r="E711" s="74"/>
      <c r="F711" s="74"/>
      <c r="G711" s="74"/>
      <c r="H711" s="74"/>
      <c r="I711" s="74"/>
      <c r="J711" s="74"/>
      <c r="K711" s="74"/>
    </row>
    <row r="712" spans="1:11" ht="60">
      <c r="A712" s="17" t="s">
        <v>13</v>
      </c>
      <c r="B712" s="18" t="s">
        <v>14</v>
      </c>
      <c r="C712" s="59" t="s">
        <v>15</v>
      </c>
      <c r="D712" s="60"/>
      <c r="E712" s="61"/>
      <c r="F712" s="19"/>
      <c r="G712" s="20" t="s">
        <v>16</v>
      </c>
      <c r="H712" s="21" t="s">
        <v>35</v>
      </c>
      <c r="I712" s="21"/>
      <c r="J712" s="31" t="s">
        <v>17</v>
      </c>
      <c r="K712" s="32" t="s">
        <v>18</v>
      </c>
    </row>
    <row r="713" spans="1:11">
      <c r="A713" s="27">
        <v>1</v>
      </c>
      <c r="B713" s="24"/>
      <c r="C713" s="28" t="s">
        <v>23</v>
      </c>
      <c r="D713" s="57"/>
      <c r="E713" s="26"/>
      <c r="F713" s="25"/>
      <c r="G713" s="54" t="s">
        <v>19</v>
      </c>
      <c r="H713" s="54" t="s">
        <v>19</v>
      </c>
      <c r="I713" s="54"/>
      <c r="J713" s="54" t="s">
        <v>19</v>
      </c>
      <c r="K713" s="54" t="s">
        <v>19</v>
      </c>
    </row>
    <row r="714" spans="1:11">
      <c r="A714" s="24"/>
      <c r="B714" s="55" t="s">
        <v>20</v>
      </c>
      <c r="C714" s="25" t="s">
        <v>24</v>
      </c>
      <c r="D714" s="10"/>
      <c r="E714" s="26"/>
      <c r="F714" s="25"/>
      <c r="G714" s="23">
        <v>45000000</v>
      </c>
      <c r="H714" s="56">
        <f>H668+J668</f>
        <v>2433700</v>
      </c>
      <c r="I714" s="56"/>
      <c r="J714" s="56">
        <v>0</v>
      </c>
      <c r="K714" s="58">
        <f t="shared" ref="K714:K717" si="26">G714-H714-J714</f>
        <v>42566300</v>
      </c>
    </row>
    <row r="715" spans="1:11">
      <c r="A715" s="24"/>
      <c r="B715" s="55" t="s">
        <v>21</v>
      </c>
      <c r="C715" s="62" t="s">
        <v>39</v>
      </c>
      <c r="D715" s="63"/>
      <c r="E715" s="64"/>
      <c r="F715" s="25"/>
      <c r="G715" s="23">
        <v>35000000</v>
      </c>
      <c r="H715" s="56">
        <f t="shared" ref="H715:H716" si="27">H669+J669</f>
        <v>2860000</v>
      </c>
      <c r="I715" s="56"/>
      <c r="J715" s="56">
        <v>0</v>
      </c>
      <c r="K715" s="58">
        <f t="shared" si="26"/>
        <v>32140000</v>
      </c>
    </row>
    <row r="716" spans="1:11">
      <c r="A716" s="24"/>
      <c r="B716" s="55" t="s">
        <v>22</v>
      </c>
      <c r="C716" s="65" t="s">
        <v>40</v>
      </c>
      <c r="D716" s="66"/>
      <c r="E716" s="67"/>
      <c r="F716" s="25"/>
      <c r="G716" s="23">
        <v>30000000</v>
      </c>
      <c r="H716" s="56">
        <f t="shared" si="27"/>
        <v>0</v>
      </c>
      <c r="I716" s="22"/>
      <c r="J716" s="22">
        <v>200000</v>
      </c>
      <c r="K716" s="33">
        <f t="shared" si="26"/>
        <v>29800000</v>
      </c>
    </row>
    <row r="717" spans="1:11">
      <c r="A717" s="24"/>
      <c r="B717" s="55" t="s">
        <v>36</v>
      </c>
      <c r="C717" s="68" t="s">
        <v>41</v>
      </c>
      <c r="D717" s="69"/>
      <c r="E717" s="70"/>
      <c r="F717" s="25"/>
      <c r="G717" s="23">
        <v>28125000</v>
      </c>
      <c r="H717" s="56">
        <f>H671+J671</f>
        <v>1384000</v>
      </c>
      <c r="I717" s="22"/>
      <c r="J717" s="22">
        <v>0</v>
      </c>
      <c r="K717" s="33">
        <f t="shared" si="26"/>
        <v>26741000</v>
      </c>
    </row>
    <row r="718" spans="1:11">
      <c r="A718" s="34"/>
      <c r="B718" s="34"/>
      <c r="C718" s="34" t="s">
        <v>25</v>
      </c>
      <c r="D718" s="34"/>
      <c r="E718" s="34"/>
      <c r="F718" s="35"/>
      <c r="G718" s="36">
        <f>SUM(G713:G717)</f>
        <v>138125000</v>
      </c>
      <c r="H718" s="37">
        <f>SUM(H713:H717)</f>
        <v>6677700</v>
      </c>
      <c r="I718" s="37"/>
      <c r="J718" s="37">
        <f>SUM(J713:J717)</f>
        <v>200000</v>
      </c>
      <c r="K718" s="37">
        <f>SUM(K713:K717)</f>
        <v>131247300</v>
      </c>
    </row>
    <row r="719" spans="1:11">
      <c r="A719" s="38"/>
      <c r="B719" s="8"/>
      <c r="C719" s="8"/>
      <c r="D719" s="8"/>
      <c r="E719" s="8"/>
      <c r="F719" s="8"/>
      <c r="G719" s="39"/>
      <c r="H719" s="39"/>
      <c r="I719" s="39"/>
      <c r="J719" s="39"/>
      <c r="K719" s="39"/>
    </row>
    <row r="720" spans="1:11">
      <c r="A720" s="71" t="s">
        <v>26</v>
      </c>
      <c r="B720" s="71"/>
      <c r="C720" s="71"/>
      <c r="D720" s="11" t="s">
        <v>4</v>
      </c>
      <c r="E720" s="14">
        <f>J718</f>
        <v>200000</v>
      </c>
      <c r="F720" s="40"/>
      <c r="G720" s="41"/>
      <c r="H720" s="41"/>
      <c r="I720" s="41"/>
      <c r="J720" s="9"/>
      <c r="K720" s="9"/>
    </row>
    <row r="721" spans="1:11">
      <c r="A721" s="10" t="s">
        <v>27</v>
      </c>
      <c r="B721" s="10"/>
      <c r="C721" s="10"/>
      <c r="D721" s="11" t="s">
        <v>4</v>
      </c>
      <c r="E721" s="42"/>
      <c r="F721" s="42"/>
      <c r="G721" s="43"/>
      <c r="H721" s="12"/>
      <c r="I721" s="12"/>
      <c r="J721" s="9"/>
      <c r="K721" s="9"/>
    </row>
    <row r="722" spans="1:11">
      <c r="A722" s="10" t="s">
        <v>28</v>
      </c>
      <c r="B722" s="10"/>
      <c r="C722" s="10"/>
      <c r="D722" s="11" t="s">
        <v>4</v>
      </c>
      <c r="E722" s="44"/>
      <c r="F722" s="44"/>
      <c r="G722" s="43"/>
      <c r="H722" s="12"/>
      <c r="I722" s="12"/>
      <c r="J722" s="9"/>
      <c r="K722" s="9"/>
    </row>
    <row r="723" spans="1:11">
      <c r="A723" s="10" t="s">
        <v>29</v>
      </c>
      <c r="B723" s="10"/>
      <c r="C723" s="10"/>
      <c r="D723" s="11" t="s">
        <v>4</v>
      </c>
      <c r="E723" s="44">
        <f>E721+E722</f>
        <v>0</v>
      </c>
      <c r="F723" s="44"/>
      <c r="G723" s="10"/>
      <c r="H723" s="12"/>
      <c r="I723" s="12"/>
      <c r="J723" s="46"/>
      <c r="K723" s="46"/>
    </row>
    <row r="724" spans="1:11">
      <c r="A724" s="13"/>
      <c r="B724" s="13"/>
      <c r="C724" s="13"/>
      <c r="D724" s="11"/>
      <c r="E724" s="13"/>
      <c r="F724" s="13"/>
      <c r="G724" s="10"/>
      <c r="H724" s="12"/>
      <c r="I724" s="12"/>
      <c r="J724" s="46"/>
      <c r="K724" s="46"/>
    </row>
    <row r="725" spans="1:11">
      <c r="A725" s="71" t="s">
        <v>30</v>
      </c>
      <c r="B725" s="71"/>
      <c r="C725" s="71"/>
      <c r="D725" s="11" t="s">
        <v>4</v>
      </c>
      <c r="E725" s="40">
        <f>E720-E723</f>
        <v>200000</v>
      </c>
      <c r="F725" s="40"/>
      <c r="G725" s="10"/>
      <c r="H725" s="12"/>
      <c r="I725" s="12"/>
      <c r="J725" s="46"/>
      <c r="K725" s="46"/>
    </row>
    <row r="726" spans="1:11" ht="15.75">
      <c r="A726" s="13"/>
      <c r="B726" s="13"/>
      <c r="C726" s="10"/>
      <c r="D726" s="10"/>
      <c r="E726" s="16" t="str">
        <f>PROPER(IF(E725=0,"nol",IF(E725&lt;0,"minus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725),"000000000000000"),1,3)=0,"",MID(TEXT(ABS(E725),"000000000000000"),1,1)&amp;" ratus "&amp;MID(TEXT(ABS(E725),"000000000000000"),2,1)&amp;" puluh "&amp;MID(TEXT(ABS(E725),"000000000000000"),3,1)&amp;" trilyun ")&amp;IF(--MID(TEXT(ABS(E725),"000000000000000"),4,3)=0,"",MID(TEXT(ABS(E725),"000000000000000"),4,1)&amp;" ratus "&amp;MID(TEXT(ABS(E725),"000000000000000"),5,1)&amp;" puluh "&amp;MID(TEXT(ABS(E725),"000000000000000"),6,1)&amp;" milyar ")&amp;IF(--MID(TEXT(ABS(E725),"000000000000000"),7,3)=0,"",MID(TEXT(ABS(E725),"000000000000000"),7,1)&amp;" ratus "&amp;MID(TEXT(ABS(E725),"000000000000000"),8,1)&amp;" puluh "&amp;MID(TEXT(ABS(E725),"000000000000000"),9,1)&amp;" juta ")&amp;IF(--MID(TEXT(ABS(E725),"000000000000000"),10,3)=0,"",IF(--MID(TEXT(ABS(E725),"000000000000000"),10,3)=1,"*",MID(TEXT(ABS(E725),"000000000000000"),10,1)&amp;" ratus "&amp;MID(TEXT(ABS(E725),"000000000000000"),11,1)&amp;" puluh ")&amp;MID(TEXT(ABS(E725),"000000000000000"),12,1)&amp;" ribu ")&amp;IF(--MID(TEXT(ABS(E725),"000000000000000"),13,3)=0,"",MID(TEXT(ABS(E725),"000000000000000"),13,1)&amp;" ratus "&amp;MID(TEXT(ABS(E725),"000000000000000"),14,1)&amp;" puluh "&amp;MID(TEXT(ABS(E725),"000000000000000"),15,1)),1,"satu"),2,"dua"),3,"tiga"),4,"empat"),5,"lima"),6,"enam"),7,"tujuh"),8,"delapan"),9,"sembilan"),"0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Ribu Rupiah</v>
      </c>
      <c r="F726" s="10"/>
      <c r="G726" s="10"/>
      <c r="H726" s="10"/>
      <c r="I726" s="10"/>
      <c r="J726" s="46"/>
      <c r="K726" s="46"/>
    </row>
    <row r="727" spans="1:11">
      <c r="A727" s="45"/>
      <c r="B727" s="45"/>
      <c r="C727" s="45"/>
      <c r="D727" s="45"/>
      <c r="E727" s="45"/>
      <c r="F727" s="45"/>
      <c r="G727" s="29"/>
      <c r="H727" s="46"/>
      <c r="I727" s="46"/>
      <c r="J727" s="46"/>
      <c r="K727" s="46"/>
    </row>
    <row r="728" spans="1:11">
      <c r="A728" s="29"/>
      <c r="B728" s="29"/>
      <c r="C728" s="29"/>
      <c r="D728" s="29"/>
      <c r="E728" s="29"/>
      <c r="F728" s="29"/>
      <c r="G728" s="29"/>
      <c r="H728"/>
      <c r="I728"/>
      <c r="J728" s="46"/>
      <c r="K728" s="46"/>
    </row>
    <row r="729" spans="1:11">
      <c r="A729" s="13"/>
      <c r="B729" s="13"/>
      <c r="C729" s="10"/>
      <c r="D729" s="10"/>
      <c r="E729" s="10"/>
      <c r="F729" s="10"/>
      <c r="G729" s="10"/>
      <c r="I729" s="47"/>
      <c r="J729" s="47" t="s">
        <v>68</v>
      </c>
      <c r="K729" s="46"/>
    </row>
    <row r="730" spans="1:11">
      <c r="A730" s="12" t="s">
        <v>31</v>
      </c>
      <c r="B730" s="10"/>
      <c r="C730" s="10"/>
      <c r="D730" s="10"/>
      <c r="E730" s="10"/>
      <c r="F730" s="10"/>
      <c r="G730" s="10"/>
      <c r="I730" s="12"/>
      <c r="J730" s="12" t="s">
        <v>32</v>
      </c>
      <c r="K730" s="46"/>
    </row>
    <row r="731" spans="1:11">
      <c r="A731" s="10"/>
      <c r="B731" s="10"/>
      <c r="C731" s="10"/>
      <c r="D731" s="10"/>
      <c r="E731" s="10"/>
      <c r="F731" s="10"/>
      <c r="G731" s="10"/>
      <c r="I731" s="12"/>
      <c r="J731" s="12"/>
      <c r="K731" s="46"/>
    </row>
    <row r="732" spans="1:11">
      <c r="A732" s="10"/>
      <c r="B732" s="10"/>
      <c r="C732" s="10"/>
      <c r="D732" s="10"/>
      <c r="E732" s="10"/>
      <c r="F732" s="10"/>
      <c r="G732" s="10"/>
      <c r="I732" s="12"/>
      <c r="J732" s="12"/>
      <c r="K732" s="46"/>
    </row>
    <row r="733" spans="1:11">
      <c r="A733" s="10"/>
      <c r="B733" s="10"/>
      <c r="C733" s="10"/>
      <c r="D733" s="10"/>
      <c r="E733" s="10"/>
      <c r="F733" s="10"/>
      <c r="G733" s="10"/>
      <c r="I733" s="12"/>
      <c r="J733" s="12"/>
      <c r="K733" s="46"/>
    </row>
    <row r="734" spans="1:11">
      <c r="A734" s="10"/>
      <c r="B734" s="10"/>
      <c r="C734" s="10"/>
      <c r="D734" s="10"/>
      <c r="E734" s="10"/>
      <c r="F734" s="10"/>
      <c r="G734" s="10"/>
      <c r="I734" s="12"/>
      <c r="J734" s="12"/>
      <c r="K734" s="46"/>
    </row>
    <row r="735" spans="1:11">
      <c r="A735" s="48" t="s">
        <v>37</v>
      </c>
      <c r="B735" s="48"/>
      <c r="C735" s="49"/>
      <c r="D735" s="49"/>
      <c r="E735" s="49"/>
      <c r="F735" s="49"/>
      <c r="G735" s="10" t="s">
        <v>33</v>
      </c>
      <c r="I735" s="48"/>
      <c r="J735" s="48" t="s">
        <v>34</v>
      </c>
      <c r="K735" s="46"/>
    </row>
    <row r="740" spans="1:11" ht="15.75">
      <c r="C740" s="2"/>
      <c r="D740" s="2"/>
      <c r="E740" s="2"/>
      <c r="F740" s="2"/>
    </row>
    <row r="741" spans="1:11" ht="15.75">
      <c r="A741" s="3"/>
      <c r="B741" s="3"/>
      <c r="C741" s="2"/>
      <c r="D741" s="2"/>
      <c r="E741" s="2"/>
      <c r="F741" s="2"/>
      <c r="G741" s="3"/>
      <c r="H741" s="4"/>
      <c r="I741" s="4"/>
      <c r="J741" s="4"/>
      <c r="K741" s="5"/>
    </row>
    <row r="742" spans="1:11">
      <c r="H742" s="5"/>
      <c r="I742" s="5"/>
      <c r="J742" s="5"/>
      <c r="K742" s="5"/>
    </row>
    <row r="743" spans="1:11">
      <c r="H743" s="5"/>
      <c r="I743" s="5"/>
      <c r="J743" s="5"/>
      <c r="K743" s="5"/>
    </row>
    <row r="744" spans="1:11">
      <c r="A744" s="72" t="s">
        <v>0</v>
      </c>
      <c r="B744" s="72"/>
      <c r="C744" s="73"/>
      <c r="D744" s="73"/>
      <c r="E744" s="73"/>
      <c r="F744" s="73"/>
      <c r="G744" s="73"/>
      <c r="H744" s="73"/>
      <c r="I744" s="73"/>
      <c r="J744" s="73"/>
      <c r="K744" s="73"/>
    </row>
    <row r="745" spans="1:11">
      <c r="A745" s="73" t="s">
        <v>106</v>
      </c>
      <c r="B745" s="73"/>
      <c r="C745" s="73"/>
      <c r="D745" s="73"/>
      <c r="E745" s="73"/>
      <c r="F745" s="73"/>
      <c r="G745" s="73"/>
      <c r="H745" s="73"/>
      <c r="I745" s="73"/>
      <c r="J745" s="73"/>
      <c r="K745" s="73"/>
    </row>
    <row r="746" spans="1:11">
      <c r="A746" s="73" t="s">
        <v>1</v>
      </c>
      <c r="B746" s="73"/>
      <c r="C746" s="73"/>
      <c r="D746" s="73"/>
      <c r="E746" s="73"/>
      <c r="F746" s="73"/>
      <c r="G746" s="73"/>
      <c r="H746" s="73"/>
      <c r="I746" s="73"/>
      <c r="J746" s="73"/>
      <c r="K746" s="73"/>
    </row>
    <row r="747" spans="1:11">
      <c r="A747" s="73" t="s">
        <v>38</v>
      </c>
      <c r="B747" s="73"/>
      <c r="C747" s="73"/>
      <c r="D747" s="73"/>
      <c r="E747" s="73"/>
      <c r="F747" s="73"/>
      <c r="G747" s="73"/>
      <c r="H747" s="73"/>
      <c r="I747" s="73"/>
      <c r="J747" s="73"/>
      <c r="K747" s="73"/>
    </row>
    <row r="748" spans="1:11">
      <c r="A748" s="73" t="s">
        <v>2</v>
      </c>
      <c r="B748" s="73"/>
      <c r="C748" s="73"/>
      <c r="D748" s="73"/>
      <c r="E748" s="73"/>
      <c r="F748" s="73"/>
      <c r="G748" s="73"/>
      <c r="H748" s="73"/>
      <c r="I748" s="73"/>
      <c r="J748" s="73"/>
      <c r="K748" s="73"/>
    </row>
    <row r="749" spans="1:11">
      <c r="A749" s="6"/>
      <c r="B749" s="6"/>
      <c r="C749" s="7"/>
      <c r="D749" s="7"/>
      <c r="E749" s="7"/>
      <c r="F749" s="7"/>
      <c r="G749" s="8"/>
      <c r="H749" s="9"/>
      <c r="I749" s="9"/>
      <c r="J749" s="9"/>
      <c r="K749" s="9"/>
    </row>
    <row r="750" spans="1:11">
      <c r="A750" s="52" t="s">
        <v>3</v>
      </c>
      <c r="B750" s="10"/>
      <c r="C750" s="10"/>
      <c r="D750" s="53" t="s">
        <v>4</v>
      </c>
      <c r="E750" s="10" t="s">
        <v>5</v>
      </c>
      <c r="F750" s="11"/>
      <c r="G750" s="10"/>
      <c r="H750" s="12"/>
      <c r="I750" s="12"/>
      <c r="J750" s="12"/>
      <c r="K750" s="9"/>
    </row>
    <row r="751" spans="1:11">
      <c r="A751" s="52" t="s">
        <v>6</v>
      </c>
      <c r="B751" s="10"/>
      <c r="C751" s="10"/>
      <c r="D751" s="53" t="s">
        <v>4</v>
      </c>
      <c r="E751" s="10" t="s">
        <v>7</v>
      </c>
      <c r="F751" s="11"/>
      <c r="G751" s="10"/>
      <c r="H751" s="12"/>
      <c r="I751" s="12"/>
      <c r="J751" s="12"/>
      <c r="K751" s="9"/>
    </row>
    <row r="752" spans="1:11">
      <c r="A752" s="52" t="s">
        <v>8</v>
      </c>
      <c r="B752" s="10"/>
      <c r="C752" s="10"/>
      <c r="D752" s="53" t="s">
        <v>4</v>
      </c>
      <c r="E752" s="13">
        <v>2026</v>
      </c>
      <c r="F752" s="11"/>
      <c r="G752" s="13"/>
      <c r="H752" s="12"/>
      <c r="I752" s="12"/>
      <c r="J752" s="12"/>
      <c r="K752" s="9"/>
    </row>
    <row r="753" spans="1:11">
      <c r="A753" s="52" t="s">
        <v>9</v>
      </c>
      <c r="B753" s="10"/>
      <c r="C753" s="10"/>
      <c r="D753" s="53" t="s">
        <v>4</v>
      </c>
      <c r="E753" s="14">
        <f>J764</f>
        <v>300000</v>
      </c>
      <c r="F753" s="11"/>
      <c r="G753" s="14"/>
      <c r="H753" s="12"/>
      <c r="I753" s="12"/>
      <c r="J753" s="12"/>
      <c r="K753" s="9"/>
    </row>
    <row r="754" spans="1:11" ht="15.75">
      <c r="A754" s="10"/>
      <c r="B754" s="10"/>
      <c r="C754" s="15" t="s">
        <v>10</v>
      </c>
      <c r="D754" s="53" t="s">
        <v>4</v>
      </c>
      <c r="E754" s="16" t="str">
        <f>PROPER(IF(E753=0,"nol",IF(E753&lt;0,"minus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753),"000000000000000"),1,3)=0,"",MID(TEXT(ABS(E753),"000000000000000"),1,1)&amp;" ratus "&amp;MID(TEXT(ABS(E753),"000000000000000"),2,1)&amp;" puluh "&amp;MID(TEXT(ABS(E753),"000000000000000"),3,1)&amp;" trilyun ")&amp;IF(--MID(TEXT(ABS(E753),"000000000000000"),4,3)=0,"",MID(TEXT(ABS(E753),"000000000000000"),4,1)&amp;" ratus "&amp;MID(TEXT(ABS(E753),"000000000000000"),5,1)&amp;" puluh "&amp;MID(TEXT(ABS(E753),"000000000000000"),6,1)&amp;" milyar ")&amp;IF(--MID(TEXT(ABS(E753),"000000000000000"),7,3)=0,"",MID(TEXT(ABS(E753),"000000000000000"),7,1)&amp;" ratus "&amp;MID(TEXT(ABS(E753),"000000000000000"),8,1)&amp;" puluh "&amp;MID(TEXT(ABS(E753),"000000000000000"),9,1)&amp;" juta ")&amp;IF(--MID(TEXT(ABS(E753),"000000000000000"),10,3)=0,"",IF(--MID(TEXT(ABS(E753),"000000000000000"),10,3)=1,"*",MID(TEXT(ABS(E753),"000000000000000"),10,1)&amp;" ratus "&amp;MID(TEXT(ABS(E753),"000000000000000"),11,1)&amp;" puluh ")&amp;MID(TEXT(ABS(E753),"000000000000000"),12,1)&amp;" ribu ")&amp;IF(--MID(TEXT(ABS(E753),"000000000000000"),13,3)=0,"",MID(TEXT(ABS(E753),"000000000000000"),13,1)&amp;" ratus "&amp;MID(TEXT(ABS(E753),"000000000000000"),14,1)&amp;" puluh "&amp;MID(TEXT(ABS(E753),"000000000000000"),15,1)),1,"satu"),2,"dua"),3,"tiga"),4,"empat"),5,"lima"),6,"enam"),7,"tujuh"),8,"delapan"),9,"sembilan"),"0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Ribu Rupiah</v>
      </c>
      <c r="F754" s="11"/>
      <c r="G754" s="16"/>
      <c r="H754" s="12"/>
      <c r="I754" s="12"/>
      <c r="J754" s="12"/>
      <c r="K754" s="9"/>
    </row>
    <row r="755" spans="1:11" ht="15.75">
      <c r="A755" s="10"/>
      <c r="B755" s="10"/>
      <c r="C755" s="15"/>
      <c r="D755" s="15"/>
      <c r="E755" s="15"/>
      <c r="F755" s="11"/>
      <c r="G755" s="16"/>
      <c r="H755" s="12"/>
      <c r="I755" s="12"/>
      <c r="J755" s="12"/>
      <c r="K755" s="9"/>
    </row>
    <row r="756" spans="1:11">
      <c r="A756" s="10" t="s">
        <v>11</v>
      </c>
      <c r="B756" s="10"/>
      <c r="C756" s="10"/>
      <c r="D756" s="10"/>
      <c r="E756" s="10"/>
      <c r="F756" s="10"/>
      <c r="G756" s="10"/>
      <c r="H756" s="12"/>
      <c r="I756" s="12"/>
      <c r="J756" s="12"/>
      <c r="K756" s="9"/>
    </row>
    <row r="757" spans="1:11">
      <c r="A757" s="74" t="s">
        <v>12</v>
      </c>
      <c r="B757" s="74"/>
      <c r="C757" s="74"/>
      <c r="D757" s="74"/>
      <c r="E757" s="74"/>
      <c r="F757" s="74"/>
      <c r="G757" s="74"/>
      <c r="H757" s="74"/>
      <c r="I757" s="74"/>
      <c r="J757" s="74"/>
      <c r="K757" s="74"/>
    </row>
    <row r="758" spans="1:11" ht="60">
      <c r="A758" s="17" t="s">
        <v>13</v>
      </c>
      <c r="B758" s="18" t="s">
        <v>14</v>
      </c>
      <c r="C758" s="59" t="s">
        <v>15</v>
      </c>
      <c r="D758" s="60"/>
      <c r="E758" s="61"/>
      <c r="F758" s="19"/>
      <c r="G758" s="20" t="s">
        <v>16</v>
      </c>
      <c r="H758" s="21" t="s">
        <v>35</v>
      </c>
      <c r="I758" s="21"/>
      <c r="J758" s="31" t="s">
        <v>17</v>
      </c>
      <c r="K758" s="32" t="s">
        <v>18</v>
      </c>
    </row>
    <row r="759" spans="1:11">
      <c r="A759" s="27">
        <v>1</v>
      </c>
      <c r="B759" s="24"/>
      <c r="C759" s="28" t="s">
        <v>23</v>
      </c>
      <c r="D759" s="57"/>
      <c r="E759" s="26"/>
      <c r="F759" s="25"/>
      <c r="G759" s="54" t="s">
        <v>19</v>
      </c>
      <c r="H759" s="54" t="s">
        <v>19</v>
      </c>
      <c r="I759" s="54"/>
      <c r="J759" s="54" t="s">
        <v>19</v>
      </c>
      <c r="K759" s="54" t="s">
        <v>19</v>
      </c>
    </row>
    <row r="760" spans="1:11">
      <c r="A760" s="24"/>
      <c r="B760" s="55" t="s">
        <v>20</v>
      </c>
      <c r="C760" s="25" t="s">
        <v>24</v>
      </c>
      <c r="D760" s="10"/>
      <c r="E760" s="26"/>
      <c r="F760" s="25"/>
      <c r="G760" s="23">
        <v>45000000</v>
      </c>
      <c r="H760" s="56">
        <f>H714+J714</f>
        <v>2433700</v>
      </c>
      <c r="I760" s="56"/>
      <c r="J760" s="56">
        <v>0</v>
      </c>
      <c r="K760" s="58">
        <f t="shared" ref="K760:K763" si="28">G760-H760-J760</f>
        <v>42566300</v>
      </c>
    </row>
    <row r="761" spans="1:11">
      <c r="A761" s="24"/>
      <c r="B761" s="55" t="s">
        <v>21</v>
      </c>
      <c r="C761" s="62" t="s">
        <v>39</v>
      </c>
      <c r="D761" s="63"/>
      <c r="E761" s="64"/>
      <c r="F761" s="25"/>
      <c r="G761" s="23">
        <v>35000000</v>
      </c>
      <c r="H761" s="56">
        <f t="shared" ref="H761:H762" si="29">H715+J715</f>
        <v>2860000</v>
      </c>
      <c r="I761" s="56"/>
      <c r="J761" s="56">
        <v>0</v>
      </c>
      <c r="K761" s="58">
        <f t="shared" si="28"/>
        <v>32140000</v>
      </c>
    </row>
    <row r="762" spans="1:11">
      <c r="A762" s="24"/>
      <c r="B762" s="55" t="s">
        <v>22</v>
      </c>
      <c r="C762" s="65" t="s">
        <v>40</v>
      </c>
      <c r="D762" s="66"/>
      <c r="E762" s="67"/>
      <c r="F762" s="25"/>
      <c r="G762" s="23">
        <v>30000000</v>
      </c>
      <c r="H762" s="56">
        <f t="shared" si="29"/>
        <v>200000</v>
      </c>
      <c r="I762" s="22"/>
      <c r="J762" s="22">
        <v>300000</v>
      </c>
      <c r="K762" s="33">
        <f t="shared" si="28"/>
        <v>29500000</v>
      </c>
    </row>
    <row r="763" spans="1:11">
      <c r="A763" s="24"/>
      <c r="B763" s="55" t="s">
        <v>36</v>
      </c>
      <c r="C763" s="68" t="s">
        <v>41</v>
      </c>
      <c r="D763" s="69"/>
      <c r="E763" s="70"/>
      <c r="F763" s="25"/>
      <c r="G763" s="23">
        <v>28125000</v>
      </c>
      <c r="H763" s="56">
        <f>H717+J717</f>
        <v>1384000</v>
      </c>
      <c r="I763" s="22"/>
      <c r="J763" s="22">
        <v>0</v>
      </c>
      <c r="K763" s="33">
        <f t="shared" si="28"/>
        <v>26741000</v>
      </c>
    </row>
    <row r="764" spans="1:11">
      <c r="A764" s="34"/>
      <c r="B764" s="34"/>
      <c r="C764" s="34" t="s">
        <v>25</v>
      </c>
      <c r="D764" s="34"/>
      <c r="E764" s="34"/>
      <c r="F764" s="35"/>
      <c r="G764" s="36">
        <f>SUM(G759:G763)</f>
        <v>138125000</v>
      </c>
      <c r="H764" s="37">
        <f>SUM(H759:H763)</f>
        <v>6877700</v>
      </c>
      <c r="I764" s="37"/>
      <c r="J764" s="37">
        <f>SUM(J759:J763)</f>
        <v>300000</v>
      </c>
      <c r="K764" s="37">
        <f>SUM(K759:K763)</f>
        <v>130947300</v>
      </c>
    </row>
    <row r="765" spans="1:11">
      <c r="A765" s="38"/>
      <c r="B765" s="8"/>
      <c r="C765" s="8"/>
      <c r="D765" s="8"/>
      <c r="E765" s="8"/>
      <c r="F765" s="8"/>
      <c r="G765" s="39"/>
      <c r="H765" s="39"/>
      <c r="I765" s="39"/>
      <c r="J765" s="39"/>
      <c r="K765" s="39"/>
    </row>
    <row r="766" spans="1:11">
      <c r="A766" s="71" t="s">
        <v>26</v>
      </c>
      <c r="B766" s="71"/>
      <c r="C766" s="71"/>
      <c r="D766" s="11" t="s">
        <v>4</v>
      </c>
      <c r="E766" s="14">
        <f>J764</f>
        <v>300000</v>
      </c>
      <c r="F766" s="40"/>
      <c r="G766" s="41"/>
      <c r="H766" s="41"/>
      <c r="I766" s="41"/>
      <c r="J766" s="9"/>
      <c r="K766" s="9"/>
    </row>
    <row r="767" spans="1:11">
      <c r="A767" s="10" t="s">
        <v>27</v>
      </c>
      <c r="B767" s="10"/>
      <c r="C767" s="10"/>
      <c r="D767" s="11" t="s">
        <v>4</v>
      </c>
      <c r="E767" s="42"/>
      <c r="F767" s="42"/>
      <c r="G767" s="43"/>
      <c r="H767" s="12"/>
      <c r="I767" s="12"/>
      <c r="J767" s="9"/>
      <c r="K767" s="9"/>
    </row>
    <row r="768" spans="1:11">
      <c r="A768" s="10" t="s">
        <v>28</v>
      </c>
      <c r="B768" s="10"/>
      <c r="C768" s="10"/>
      <c r="D768" s="11" t="s">
        <v>4</v>
      </c>
      <c r="E768" s="44"/>
      <c r="F768" s="44"/>
      <c r="G768" s="43"/>
      <c r="H768" s="12"/>
      <c r="I768" s="12"/>
      <c r="J768" s="9"/>
      <c r="K768" s="9"/>
    </row>
    <row r="769" spans="1:11">
      <c r="A769" s="10" t="s">
        <v>29</v>
      </c>
      <c r="B769" s="10"/>
      <c r="C769" s="10"/>
      <c r="D769" s="11" t="s">
        <v>4</v>
      </c>
      <c r="E769" s="44">
        <f>E767+E768</f>
        <v>0</v>
      </c>
      <c r="F769" s="44"/>
      <c r="G769" s="10"/>
      <c r="H769" s="12"/>
      <c r="I769" s="12"/>
      <c r="J769" s="46"/>
      <c r="K769" s="46"/>
    </row>
    <row r="770" spans="1:11">
      <c r="A770" s="13"/>
      <c r="B770" s="13"/>
      <c r="C770" s="13"/>
      <c r="D770" s="11"/>
      <c r="E770" s="13"/>
      <c r="F770" s="13"/>
      <c r="G770" s="10"/>
      <c r="H770" s="12"/>
      <c r="I770" s="12"/>
      <c r="J770" s="46"/>
      <c r="K770" s="46"/>
    </row>
    <row r="771" spans="1:11">
      <c r="A771" s="71" t="s">
        <v>30</v>
      </c>
      <c r="B771" s="71"/>
      <c r="C771" s="71"/>
      <c r="D771" s="11" t="s">
        <v>4</v>
      </c>
      <c r="E771" s="40">
        <f>E766-E769</f>
        <v>300000</v>
      </c>
      <c r="F771" s="40"/>
      <c r="G771" s="10"/>
      <c r="H771" s="12"/>
      <c r="I771" s="12"/>
      <c r="J771" s="46"/>
      <c r="K771" s="46"/>
    </row>
    <row r="772" spans="1:11" ht="15.75">
      <c r="A772" s="13"/>
      <c r="B772" s="13"/>
      <c r="C772" s="10"/>
      <c r="D772" s="10"/>
      <c r="E772" s="16" t="str">
        <f>PROPER(IF(E771=0,"nol",IF(E771&lt;0,"minus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771),"000000000000000"),1,3)=0,"",MID(TEXT(ABS(E771),"000000000000000"),1,1)&amp;" ratus "&amp;MID(TEXT(ABS(E771),"000000000000000"),2,1)&amp;" puluh "&amp;MID(TEXT(ABS(E771),"000000000000000"),3,1)&amp;" trilyun ")&amp;IF(--MID(TEXT(ABS(E771),"000000000000000"),4,3)=0,"",MID(TEXT(ABS(E771),"000000000000000"),4,1)&amp;" ratus "&amp;MID(TEXT(ABS(E771),"000000000000000"),5,1)&amp;" puluh "&amp;MID(TEXT(ABS(E771),"000000000000000"),6,1)&amp;" milyar ")&amp;IF(--MID(TEXT(ABS(E771),"000000000000000"),7,3)=0,"",MID(TEXT(ABS(E771),"000000000000000"),7,1)&amp;" ratus "&amp;MID(TEXT(ABS(E771),"000000000000000"),8,1)&amp;" puluh "&amp;MID(TEXT(ABS(E771),"000000000000000"),9,1)&amp;" juta ")&amp;IF(--MID(TEXT(ABS(E771),"000000000000000"),10,3)=0,"",IF(--MID(TEXT(ABS(E771),"000000000000000"),10,3)=1,"*",MID(TEXT(ABS(E771),"000000000000000"),10,1)&amp;" ratus "&amp;MID(TEXT(ABS(E771),"000000000000000"),11,1)&amp;" puluh ")&amp;MID(TEXT(ABS(E771),"000000000000000"),12,1)&amp;" ribu ")&amp;IF(--MID(TEXT(ABS(E771),"000000000000000"),13,3)=0,"",MID(TEXT(ABS(E771),"000000000000000"),13,1)&amp;" ratus "&amp;MID(TEXT(ABS(E771),"000000000000000"),14,1)&amp;" puluh "&amp;MID(TEXT(ABS(E771),"000000000000000"),15,1)),1,"satu"),2,"dua"),3,"tiga"),4,"empat"),5,"lima"),6,"enam"),7,"tujuh"),8,"delapan"),9,"sembilan"),"0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Ribu Rupiah</v>
      </c>
      <c r="F772" s="10"/>
      <c r="G772" s="10"/>
      <c r="H772" s="10"/>
      <c r="I772" s="10"/>
      <c r="J772" s="46"/>
      <c r="K772" s="46"/>
    </row>
    <row r="773" spans="1:11">
      <c r="A773" s="45"/>
      <c r="B773" s="45"/>
      <c r="C773" s="45"/>
      <c r="D773" s="45"/>
      <c r="E773" s="45"/>
      <c r="F773" s="45"/>
      <c r="G773" s="29"/>
      <c r="H773" s="46"/>
      <c r="I773" s="46"/>
      <c r="J773" s="46"/>
      <c r="K773" s="46"/>
    </row>
    <row r="774" spans="1:11">
      <c r="A774" s="29"/>
      <c r="B774" s="29"/>
      <c r="C774" s="29"/>
      <c r="D774" s="29"/>
      <c r="E774" s="29"/>
      <c r="F774" s="29"/>
      <c r="G774" s="29"/>
      <c r="H774"/>
      <c r="I774"/>
      <c r="J774" s="46"/>
      <c r="K774" s="46"/>
    </row>
    <row r="775" spans="1:11">
      <c r="A775" s="13"/>
      <c r="B775" s="13"/>
      <c r="C775" s="10"/>
      <c r="D775" s="10"/>
      <c r="E775" s="10"/>
      <c r="F775" s="10"/>
      <c r="G775" s="10"/>
      <c r="I775" s="47"/>
      <c r="J775" s="47" t="s">
        <v>68</v>
      </c>
      <c r="K775" s="46"/>
    </row>
    <row r="776" spans="1:11">
      <c r="A776" s="12" t="s">
        <v>31</v>
      </c>
      <c r="B776" s="10"/>
      <c r="C776" s="10"/>
      <c r="D776" s="10"/>
      <c r="E776" s="10"/>
      <c r="F776" s="10"/>
      <c r="G776" s="10"/>
      <c r="I776" s="12"/>
      <c r="J776" s="12" t="s">
        <v>32</v>
      </c>
      <c r="K776" s="46"/>
    </row>
    <row r="777" spans="1:11">
      <c r="A777" s="10"/>
      <c r="B777" s="10"/>
      <c r="C777" s="10"/>
      <c r="D777" s="10"/>
      <c r="E777" s="10"/>
      <c r="F777" s="10"/>
      <c r="G777" s="10"/>
      <c r="I777" s="12"/>
      <c r="J777" s="12"/>
      <c r="K777" s="46"/>
    </row>
    <row r="778" spans="1:11">
      <c r="A778" s="10"/>
      <c r="B778" s="10"/>
      <c r="C778" s="10"/>
      <c r="D778" s="10"/>
      <c r="E778" s="10"/>
      <c r="F778" s="10"/>
      <c r="G778" s="10"/>
      <c r="I778" s="12"/>
      <c r="J778" s="12"/>
      <c r="K778" s="46"/>
    </row>
    <row r="779" spans="1:11">
      <c r="A779" s="10"/>
      <c r="B779" s="10"/>
      <c r="C779" s="10"/>
      <c r="D779" s="10"/>
      <c r="E779" s="10"/>
      <c r="F779" s="10"/>
      <c r="G779" s="10"/>
      <c r="I779" s="12"/>
      <c r="J779" s="12"/>
      <c r="K779" s="46"/>
    </row>
    <row r="780" spans="1:11">
      <c r="A780" s="10"/>
      <c r="B780" s="10"/>
      <c r="C780" s="10"/>
      <c r="D780" s="10"/>
      <c r="E780" s="10"/>
      <c r="F780" s="10"/>
      <c r="G780" s="10"/>
      <c r="I780" s="12"/>
      <c r="J780" s="12"/>
      <c r="K780" s="46"/>
    </row>
    <row r="781" spans="1:11">
      <c r="A781" s="48" t="s">
        <v>37</v>
      </c>
      <c r="B781" s="48"/>
      <c r="C781" s="49"/>
      <c r="D781" s="49"/>
      <c r="E781" s="49"/>
      <c r="F781" s="49"/>
      <c r="G781" s="10" t="s">
        <v>33</v>
      </c>
      <c r="I781" s="48"/>
      <c r="J781" s="48" t="s">
        <v>34</v>
      </c>
      <c r="K781" s="46"/>
    </row>
    <row r="786" spans="1:11" ht="15.75">
      <c r="C786" s="2"/>
      <c r="D786" s="2"/>
      <c r="E786" s="2"/>
      <c r="F786" s="2"/>
    </row>
    <row r="787" spans="1:11" ht="15.75">
      <c r="A787" s="3"/>
      <c r="B787" s="3"/>
      <c r="C787" s="2"/>
      <c r="D787" s="2"/>
      <c r="E787" s="2"/>
      <c r="F787" s="2"/>
      <c r="G787" s="3"/>
      <c r="H787" s="4"/>
      <c r="I787" s="4"/>
      <c r="J787" s="4"/>
      <c r="K787" s="5"/>
    </row>
    <row r="788" spans="1:11">
      <c r="H788" s="5"/>
      <c r="I788" s="5"/>
      <c r="J788" s="5"/>
      <c r="K788" s="5"/>
    </row>
    <row r="789" spans="1:11">
      <c r="H789" s="5"/>
      <c r="I789" s="5"/>
      <c r="J789" s="5"/>
      <c r="K789" s="5"/>
    </row>
    <row r="790" spans="1:11">
      <c r="A790" s="72" t="s">
        <v>0</v>
      </c>
      <c r="B790" s="72"/>
      <c r="C790" s="73"/>
      <c r="D790" s="73"/>
      <c r="E790" s="73"/>
      <c r="F790" s="73"/>
      <c r="G790" s="73"/>
      <c r="H790" s="73"/>
      <c r="I790" s="73"/>
      <c r="J790" s="73"/>
      <c r="K790" s="73"/>
    </row>
    <row r="791" spans="1:11">
      <c r="A791" s="73" t="s">
        <v>70</v>
      </c>
      <c r="B791" s="73"/>
      <c r="C791" s="73"/>
      <c r="D791" s="73"/>
      <c r="E791" s="73"/>
      <c r="F791" s="73"/>
      <c r="G791" s="73"/>
      <c r="H791" s="73"/>
      <c r="I791" s="73"/>
      <c r="J791" s="73"/>
      <c r="K791" s="73"/>
    </row>
    <row r="792" spans="1:11">
      <c r="A792" s="73" t="s">
        <v>1</v>
      </c>
      <c r="B792" s="73"/>
      <c r="C792" s="73"/>
      <c r="D792" s="73"/>
      <c r="E792" s="73"/>
      <c r="F792" s="73"/>
      <c r="G792" s="73"/>
      <c r="H792" s="73"/>
      <c r="I792" s="73"/>
      <c r="J792" s="73"/>
      <c r="K792" s="73"/>
    </row>
    <row r="793" spans="1:11">
      <c r="A793" s="73" t="s">
        <v>38</v>
      </c>
      <c r="B793" s="73"/>
      <c r="C793" s="73"/>
      <c r="D793" s="73"/>
      <c r="E793" s="73"/>
      <c r="F793" s="73"/>
      <c r="G793" s="73"/>
      <c r="H793" s="73"/>
      <c r="I793" s="73"/>
      <c r="J793" s="73"/>
      <c r="K793" s="73"/>
    </row>
    <row r="794" spans="1:11">
      <c r="A794" s="73" t="s">
        <v>2</v>
      </c>
      <c r="B794" s="73"/>
      <c r="C794" s="73"/>
      <c r="D794" s="73"/>
      <c r="E794" s="73"/>
      <c r="F794" s="73"/>
      <c r="G794" s="73"/>
      <c r="H794" s="73"/>
      <c r="I794" s="73"/>
      <c r="J794" s="73"/>
      <c r="K794" s="73"/>
    </row>
    <row r="795" spans="1:11">
      <c r="A795" s="6"/>
      <c r="B795" s="6"/>
      <c r="C795" s="7"/>
      <c r="D795" s="7"/>
      <c r="E795" s="7"/>
      <c r="F795" s="7"/>
      <c r="G795" s="8"/>
      <c r="H795" s="9"/>
      <c r="I795" s="9"/>
      <c r="J795" s="9"/>
      <c r="K795" s="9"/>
    </row>
    <row r="796" spans="1:11">
      <c r="A796" s="52" t="s">
        <v>3</v>
      </c>
      <c r="B796" s="10"/>
      <c r="C796" s="10"/>
      <c r="D796" s="53" t="s">
        <v>4</v>
      </c>
      <c r="E796" s="10" t="s">
        <v>5</v>
      </c>
      <c r="F796" s="11"/>
      <c r="G796" s="10"/>
      <c r="H796" s="12"/>
      <c r="I796" s="12"/>
      <c r="J796" s="12"/>
      <c r="K796" s="9"/>
    </row>
    <row r="797" spans="1:11">
      <c r="A797" s="52" t="s">
        <v>6</v>
      </c>
      <c r="B797" s="10"/>
      <c r="C797" s="10"/>
      <c r="D797" s="53" t="s">
        <v>4</v>
      </c>
      <c r="E797" s="10" t="s">
        <v>7</v>
      </c>
      <c r="F797" s="11"/>
      <c r="G797" s="10"/>
      <c r="H797" s="12"/>
      <c r="I797" s="12"/>
      <c r="J797" s="12"/>
      <c r="K797" s="9"/>
    </row>
    <row r="798" spans="1:11">
      <c r="A798" s="52" t="s">
        <v>8</v>
      </c>
      <c r="B798" s="10"/>
      <c r="C798" s="10"/>
      <c r="D798" s="53" t="s">
        <v>4</v>
      </c>
      <c r="E798" s="13">
        <v>2026</v>
      </c>
      <c r="F798" s="11"/>
      <c r="G798" s="13"/>
      <c r="H798" s="12"/>
      <c r="I798" s="12"/>
      <c r="J798" s="12"/>
      <c r="K798" s="9"/>
    </row>
    <row r="799" spans="1:11">
      <c r="A799" s="52" t="s">
        <v>9</v>
      </c>
      <c r="B799" s="10"/>
      <c r="C799" s="10"/>
      <c r="D799" s="53" t="s">
        <v>4</v>
      </c>
      <c r="E799" s="14">
        <f>J810</f>
        <v>46000</v>
      </c>
      <c r="F799" s="11"/>
      <c r="G799" s="14"/>
      <c r="H799" s="12"/>
      <c r="I799" s="12"/>
      <c r="J799" s="12"/>
      <c r="K799" s="9"/>
    </row>
    <row r="800" spans="1:11" ht="15.75">
      <c r="A800" s="10"/>
      <c r="B800" s="10"/>
      <c r="C800" s="15" t="s">
        <v>10</v>
      </c>
      <c r="D800" s="53" t="s">
        <v>4</v>
      </c>
      <c r="E800" s="16" t="str">
        <f>PROPER(IF(E799=0,"nol",IF(E799&lt;0,"minus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799),"000000000000000"),1,3)=0,"",MID(TEXT(ABS(E799),"000000000000000"),1,1)&amp;" ratus "&amp;MID(TEXT(ABS(E799),"000000000000000"),2,1)&amp;" puluh "&amp;MID(TEXT(ABS(E799),"000000000000000"),3,1)&amp;" trilyun ")&amp;IF(--MID(TEXT(ABS(E799),"000000000000000"),4,3)=0,"",MID(TEXT(ABS(E799),"000000000000000"),4,1)&amp;" ratus "&amp;MID(TEXT(ABS(E799),"000000000000000"),5,1)&amp;" puluh "&amp;MID(TEXT(ABS(E799),"000000000000000"),6,1)&amp;" milyar ")&amp;IF(--MID(TEXT(ABS(E799),"000000000000000"),7,3)=0,"",MID(TEXT(ABS(E799),"000000000000000"),7,1)&amp;" ratus "&amp;MID(TEXT(ABS(E799),"000000000000000"),8,1)&amp;" puluh "&amp;MID(TEXT(ABS(E799),"000000000000000"),9,1)&amp;" juta ")&amp;IF(--MID(TEXT(ABS(E799),"000000000000000"),10,3)=0,"",IF(--MID(TEXT(ABS(E799),"000000000000000"),10,3)=1,"*",MID(TEXT(ABS(E799),"000000000000000"),10,1)&amp;" ratus "&amp;MID(TEXT(ABS(E799),"000000000000000"),11,1)&amp;" puluh ")&amp;MID(TEXT(ABS(E799),"000000000000000"),12,1)&amp;" ribu ")&amp;IF(--MID(TEXT(ABS(E799),"000000000000000"),13,3)=0,"",MID(TEXT(ABS(E799),"000000000000000"),13,1)&amp;" ratus "&amp;MID(TEXT(ABS(E799),"000000000000000"),14,1)&amp;" puluh "&amp;MID(TEXT(ABS(E799),"000000000000000"),15,1)),1,"satu"),2,"dua"),3,"tiga"),4,"empat"),5,"lima"),6,"enam"),7,"tujuh"),8,"delapan"),9,"sembilan"),"0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Enam Ribu Rupiah</v>
      </c>
      <c r="F800" s="11"/>
      <c r="G800" s="16"/>
      <c r="H800" s="12"/>
      <c r="I800" s="12"/>
      <c r="J800" s="12"/>
      <c r="K800" s="9"/>
    </row>
    <row r="801" spans="1:11" ht="15.75">
      <c r="A801" s="10"/>
      <c r="B801" s="10"/>
      <c r="C801" s="15"/>
      <c r="D801" s="15"/>
      <c r="E801" s="15"/>
      <c r="F801" s="11"/>
      <c r="G801" s="16"/>
      <c r="H801" s="12"/>
      <c r="I801" s="12"/>
      <c r="J801" s="12"/>
      <c r="K801" s="9"/>
    </row>
    <row r="802" spans="1:11">
      <c r="A802" s="10" t="s">
        <v>11</v>
      </c>
      <c r="B802" s="10"/>
      <c r="C802" s="10"/>
      <c r="D802" s="10"/>
      <c r="E802" s="10"/>
      <c r="F802" s="10"/>
      <c r="G802" s="10"/>
      <c r="H802" s="12"/>
      <c r="I802" s="12"/>
      <c r="J802" s="12"/>
      <c r="K802" s="9"/>
    </row>
    <row r="803" spans="1:11">
      <c r="A803" s="74" t="s">
        <v>12</v>
      </c>
      <c r="B803" s="74"/>
      <c r="C803" s="74"/>
      <c r="D803" s="74"/>
      <c r="E803" s="74"/>
      <c r="F803" s="74"/>
      <c r="G803" s="74"/>
      <c r="H803" s="74"/>
      <c r="I803" s="74"/>
      <c r="J803" s="74"/>
      <c r="K803" s="74"/>
    </row>
    <row r="804" spans="1:11" ht="60">
      <c r="A804" s="17" t="s">
        <v>13</v>
      </c>
      <c r="B804" s="18" t="s">
        <v>14</v>
      </c>
      <c r="C804" s="59" t="s">
        <v>15</v>
      </c>
      <c r="D804" s="60"/>
      <c r="E804" s="61"/>
      <c r="F804" s="19"/>
      <c r="G804" s="20" t="s">
        <v>16</v>
      </c>
      <c r="H804" s="21" t="s">
        <v>35</v>
      </c>
      <c r="I804" s="21"/>
      <c r="J804" s="31" t="s">
        <v>17</v>
      </c>
      <c r="K804" s="32" t="s">
        <v>18</v>
      </c>
    </row>
    <row r="805" spans="1:11">
      <c r="A805" s="27">
        <v>1</v>
      </c>
      <c r="B805" s="24"/>
      <c r="C805" s="28" t="s">
        <v>23</v>
      </c>
      <c r="D805" s="57"/>
      <c r="E805" s="26"/>
      <c r="F805" s="25"/>
      <c r="G805" s="54" t="s">
        <v>19</v>
      </c>
      <c r="H805" s="54" t="s">
        <v>19</v>
      </c>
      <c r="I805" s="54"/>
      <c r="J805" s="54" t="s">
        <v>19</v>
      </c>
      <c r="K805" s="54" t="s">
        <v>19</v>
      </c>
    </row>
    <row r="806" spans="1:11">
      <c r="A806" s="24"/>
      <c r="B806" s="55" t="s">
        <v>20</v>
      </c>
      <c r="C806" s="25" t="s">
        <v>24</v>
      </c>
      <c r="D806" s="10"/>
      <c r="E806" s="26"/>
      <c r="F806" s="25"/>
      <c r="G806" s="23">
        <v>45000000</v>
      </c>
      <c r="H806" s="56">
        <f>H760+J760</f>
        <v>2433700</v>
      </c>
      <c r="I806" s="56"/>
      <c r="J806" s="56">
        <v>0</v>
      </c>
      <c r="K806" s="58">
        <f t="shared" ref="K806:K809" si="30">G806-H806-J806</f>
        <v>42566300</v>
      </c>
    </row>
    <row r="807" spans="1:11">
      <c r="A807" s="24"/>
      <c r="B807" s="55" t="s">
        <v>21</v>
      </c>
      <c r="C807" s="62" t="s">
        <v>39</v>
      </c>
      <c r="D807" s="63"/>
      <c r="E807" s="64"/>
      <c r="F807" s="25"/>
      <c r="G807" s="23">
        <v>35000000</v>
      </c>
      <c r="H807" s="56">
        <f>H761+J761</f>
        <v>2860000</v>
      </c>
      <c r="I807" s="56"/>
      <c r="J807" s="56">
        <v>46000</v>
      </c>
      <c r="K807" s="58">
        <f t="shared" si="30"/>
        <v>32094000</v>
      </c>
    </row>
    <row r="808" spans="1:11">
      <c r="A808" s="24"/>
      <c r="B808" s="55" t="s">
        <v>22</v>
      </c>
      <c r="C808" s="65" t="s">
        <v>40</v>
      </c>
      <c r="D808" s="66"/>
      <c r="E808" s="67"/>
      <c r="F808" s="25"/>
      <c r="G808" s="23">
        <v>30000000</v>
      </c>
      <c r="H808" s="56">
        <f t="shared" ref="H808" si="31">H762+J762</f>
        <v>500000</v>
      </c>
      <c r="I808" s="22"/>
      <c r="J808" s="22">
        <v>0</v>
      </c>
      <c r="K808" s="33">
        <f t="shared" si="30"/>
        <v>29500000</v>
      </c>
    </row>
    <row r="809" spans="1:11">
      <c r="A809" s="24"/>
      <c r="B809" s="55" t="s">
        <v>36</v>
      </c>
      <c r="C809" s="68" t="s">
        <v>41</v>
      </c>
      <c r="D809" s="69"/>
      <c r="E809" s="70"/>
      <c r="F809" s="25"/>
      <c r="G809" s="23">
        <v>28125000</v>
      </c>
      <c r="H809" s="56">
        <f>H763+J763</f>
        <v>1384000</v>
      </c>
      <c r="I809" s="22"/>
      <c r="J809" s="22">
        <v>0</v>
      </c>
      <c r="K809" s="33">
        <f t="shared" si="30"/>
        <v>26741000</v>
      </c>
    </row>
    <row r="810" spans="1:11">
      <c r="A810" s="34"/>
      <c r="B810" s="34"/>
      <c r="C810" s="34" t="s">
        <v>25</v>
      </c>
      <c r="D810" s="34"/>
      <c r="E810" s="34"/>
      <c r="F810" s="35"/>
      <c r="G810" s="36">
        <f>SUM(G805:G809)</f>
        <v>138125000</v>
      </c>
      <c r="H810" s="37">
        <f>SUM(H805:H809)</f>
        <v>7177700</v>
      </c>
      <c r="I810" s="37"/>
      <c r="J810" s="37">
        <f>SUM(J805:J809)</f>
        <v>46000</v>
      </c>
      <c r="K810" s="37">
        <f>SUM(K805:K809)</f>
        <v>130901300</v>
      </c>
    </row>
    <row r="811" spans="1:11">
      <c r="A811" s="38"/>
      <c r="B811" s="8"/>
      <c r="C811" s="8"/>
      <c r="D811" s="8"/>
      <c r="E811" s="8"/>
      <c r="F811" s="8"/>
      <c r="G811" s="39"/>
      <c r="H811" s="39"/>
      <c r="I811" s="39"/>
      <c r="J811" s="39"/>
      <c r="K811" s="39"/>
    </row>
    <row r="812" spans="1:11">
      <c r="A812" s="71" t="s">
        <v>26</v>
      </c>
      <c r="B812" s="71"/>
      <c r="C812" s="71"/>
      <c r="D812" s="11" t="s">
        <v>4</v>
      </c>
      <c r="E812" s="14">
        <f>J810</f>
        <v>46000</v>
      </c>
      <c r="F812" s="40"/>
      <c r="G812" s="41"/>
      <c r="H812" s="41"/>
      <c r="I812" s="41"/>
      <c r="J812" s="9"/>
      <c r="K812" s="9"/>
    </row>
    <row r="813" spans="1:11">
      <c r="A813" s="10" t="s">
        <v>27</v>
      </c>
      <c r="B813" s="10"/>
      <c r="C813" s="10"/>
      <c r="D813" s="11" t="s">
        <v>4</v>
      </c>
      <c r="E813" s="42"/>
      <c r="F813" s="42"/>
      <c r="G813" s="43"/>
      <c r="H813" s="12"/>
      <c r="I813" s="12"/>
      <c r="J813" s="9"/>
      <c r="K813" s="9"/>
    </row>
    <row r="814" spans="1:11">
      <c r="A814" s="10" t="s">
        <v>28</v>
      </c>
      <c r="B814" s="10"/>
      <c r="C814" s="10"/>
      <c r="D814" s="11" t="s">
        <v>4</v>
      </c>
      <c r="E814" s="44"/>
      <c r="F814" s="44"/>
      <c r="G814" s="43"/>
      <c r="H814" s="12"/>
      <c r="I814" s="12"/>
      <c r="J814" s="9"/>
      <c r="K814" s="9"/>
    </row>
    <row r="815" spans="1:11">
      <c r="A815" s="10" t="s">
        <v>29</v>
      </c>
      <c r="B815" s="10"/>
      <c r="C815" s="10"/>
      <c r="D815" s="11" t="s">
        <v>4</v>
      </c>
      <c r="E815" s="44">
        <f>E813+E814</f>
        <v>0</v>
      </c>
      <c r="F815" s="44"/>
      <c r="G815" s="10"/>
      <c r="H815" s="12"/>
      <c r="I815" s="12"/>
      <c r="J815" s="46"/>
      <c r="K815" s="46"/>
    </row>
    <row r="816" spans="1:11">
      <c r="A816" s="13"/>
      <c r="B816" s="13"/>
      <c r="C816" s="13"/>
      <c r="D816" s="11"/>
      <c r="E816" s="13"/>
      <c r="F816" s="13"/>
      <c r="G816" s="10"/>
      <c r="H816" s="12"/>
      <c r="I816" s="12"/>
      <c r="J816" s="46"/>
      <c r="K816" s="46"/>
    </row>
    <row r="817" spans="1:11">
      <c r="A817" s="71" t="s">
        <v>30</v>
      </c>
      <c r="B817" s="71"/>
      <c r="C817" s="71"/>
      <c r="D817" s="11" t="s">
        <v>4</v>
      </c>
      <c r="E817" s="40">
        <f>E812-E815</f>
        <v>46000</v>
      </c>
      <c r="F817" s="40"/>
      <c r="G817" s="10"/>
      <c r="H817" s="12"/>
      <c r="I817" s="12"/>
      <c r="J817" s="46"/>
      <c r="K817" s="46"/>
    </row>
    <row r="818" spans="1:11" ht="15.75">
      <c r="A818" s="13"/>
      <c r="B818" s="13"/>
      <c r="C818" s="10"/>
      <c r="D818" s="10"/>
      <c r="E818" s="16" t="str">
        <f>PROPER(IF(E817=0,"nol",IF(E817&lt;0,"minus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817),"000000000000000"),1,3)=0,"",MID(TEXT(ABS(E817),"000000000000000"),1,1)&amp;" ratus "&amp;MID(TEXT(ABS(E817),"000000000000000"),2,1)&amp;" puluh "&amp;MID(TEXT(ABS(E817),"000000000000000"),3,1)&amp;" trilyun ")&amp;IF(--MID(TEXT(ABS(E817),"000000000000000"),4,3)=0,"",MID(TEXT(ABS(E817),"000000000000000"),4,1)&amp;" ratus "&amp;MID(TEXT(ABS(E817),"000000000000000"),5,1)&amp;" puluh "&amp;MID(TEXT(ABS(E817),"000000000000000"),6,1)&amp;" milyar ")&amp;IF(--MID(TEXT(ABS(E817),"000000000000000"),7,3)=0,"",MID(TEXT(ABS(E817),"000000000000000"),7,1)&amp;" ratus "&amp;MID(TEXT(ABS(E817),"000000000000000"),8,1)&amp;" puluh "&amp;MID(TEXT(ABS(E817),"000000000000000"),9,1)&amp;" juta ")&amp;IF(--MID(TEXT(ABS(E817),"000000000000000"),10,3)=0,"",IF(--MID(TEXT(ABS(E817),"000000000000000"),10,3)=1,"*",MID(TEXT(ABS(E817),"000000000000000"),10,1)&amp;" ratus "&amp;MID(TEXT(ABS(E817),"000000000000000"),11,1)&amp;" puluh ")&amp;MID(TEXT(ABS(E817),"000000000000000"),12,1)&amp;" ribu ")&amp;IF(--MID(TEXT(ABS(E817),"000000000000000"),13,3)=0,"",MID(TEXT(ABS(E817),"000000000000000"),13,1)&amp;" ratus "&amp;MID(TEXT(ABS(E817),"000000000000000"),14,1)&amp;" puluh "&amp;MID(TEXT(ABS(E817),"000000000000000"),15,1)),1,"satu"),2,"dua"),3,"tiga"),4,"empat"),5,"lima"),6,"enam"),7,"tujuh"),8,"delapan"),9,"sembilan"),"0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Enam Ribu Rupiah</v>
      </c>
      <c r="F818" s="10"/>
      <c r="G818" s="10"/>
      <c r="H818" s="10"/>
      <c r="I818" s="10"/>
      <c r="J818" s="46"/>
      <c r="K818" s="46"/>
    </row>
    <row r="819" spans="1:11">
      <c r="A819" s="45"/>
      <c r="B819" s="45"/>
      <c r="C819" s="45"/>
      <c r="D819" s="45"/>
      <c r="E819" s="45"/>
      <c r="F819" s="45"/>
      <c r="G819" s="29"/>
      <c r="H819" s="46"/>
      <c r="I819" s="46"/>
      <c r="J819" s="46"/>
      <c r="K819" s="46"/>
    </row>
    <row r="820" spans="1:11">
      <c r="A820" s="29"/>
      <c r="B820" s="29"/>
      <c r="C820" s="29"/>
      <c r="D820" s="29"/>
      <c r="E820" s="29"/>
      <c r="F820" s="29"/>
      <c r="G820" s="29"/>
      <c r="H820"/>
      <c r="I820"/>
      <c r="J820" s="46"/>
      <c r="K820" s="46"/>
    </row>
    <row r="821" spans="1:11">
      <c r="A821" s="13"/>
      <c r="B821" s="13"/>
      <c r="C821" s="10"/>
      <c r="D821" s="10"/>
      <c r="E821" s="10"/>
      <c r="F821" s="10"/>
      <c r="G821" s="10"/>
      <c r="I821" s="47"/>
      <c r="J821" s="47" t="s">
        <v>68</v>
      </c>
      <c r="K821" s="46"/>
    </row>
    <row r="822" spans="1:11">
      <c r="A822" s="12" t="s">
        <v>31</v>
      </c>
      <c r="B822" s="10"/>
      <c r="C822" s="10"/>
      <c r="D822" s="10"/>
      <c r="E822" s="10"/>
      <c r="F822" s="10"/>
      <c r="G822" s="10"/>
      <c r="I822" s="12"/>
      <c r="J822" s="12" t="s">
        <v>32</v>
      </c>
      <c r="K822" s="46"/>
    </row>
    <row r="823" spans="1:11">
      <c r="A823" s="10"/>
      <c r="B823" s="10"/>
      <c r="C823" s="10"/>
      <c r="D823" s="10"/>
      <c r="E823" s="10"/>
      <c r="F823" s="10"/>
      <c r="G823" s="10"/>
      <c r="I823" s="12"/>
      <c r="J823" s="12"/>
      <c r="K823" s="46"/>
    </row>
    <row r="824" spans="1:11">
      <c r="A824" s="10"/>
      <c r="B824" s="10"/>
      <c r="C824" s="10"/>
      <c r="D824" s="10"/>
      <c r="E824" s="10"/>
      <c r="F824" s="10"/>
      <c r="G824" s="10"/>
      <c r="I824" s="12"/>
      <c r="J824" s="12"/>
      <c r="K824" s="46"/>
    </row>
    <row r="825" spans="1:11">
      <c r="A825" s="10"/>
      <c r="B825" s="10"/>
      <c r="C825" s="10"/>
      <c r="D825" s="10"/>
      <c r="E825" s="10"/>
      <c r="F825" s="10"/>
      <c r="G825" s="10"/>
      <c r="I825" s="12"/>
      <c r="J825" s="12"/>
      <c r="K825" s="46"/>
    </row>
    <row r="826" spans="1:11">
      <c r="A826" s="10"/>
      <c r="B826" s="10"/>
      <c r="C826" s="10"/>
      <c r="D826" s="10"/>
      <c r="E826" s="10"/>
      <c r="F826" s="10"/>
      <c r="G826" s="10"/>
      <c r="I826" s="12"/>
      <c r="J826" s="12"/>
      <c r="K826" s="46"/>
    </row>
    <row r="827" spans="1:11">
      <c r="A827" s="48" t="s">
        <v>37</v>
      </c>
      <c r="B827" s="48"/>
      <c r="C827" s="49"/>
      <c r="D827" s="49"/>
      <c r="E827" s="49"/>
      <c r="F827" s="49"/>
      <c r="G827" s="10" t="s">
        <v>33</v>
      </c>
      <c r="I827" s="48"/>
      <c r="J827" s="48" t="s">
        <v>34</v>
      </c>
      <c r="K827" s="46"/>
    </row>
    <row r="832" spans="1:11" ht="15.75">
      <c r="C832" s="2"/>
      <c r="D832" s="2"/>
      <c r="E832" s="2"/>
      <c r="F832" s="2"/>
    </row>
    <row r="833" spans="1:11" ht="15.75">
      <c r="A833" s="3"/>
      <c r="B833" s="3"/>
      <c r="C833" s="2"/>
      <c r="D833" s="2"/>
      <c r="E833" s="2"/>
      <c r="F833" s="2"/>
      <c r="G833" s="3"/>
      <c r="H833" s="4"/>
      <c r="I833" s="4"/>
      <c r="J833" s="4"/>
      <c r="K833" s="5"/>
    </row>
    <row r="834" spans="1:11">
      <c r="H834" s="5"/>
      <c r="I834" s="5"/>
      <c r="J834" s="5"/>
      <c r="K834" s="5"/>
    </row>
    <row r="835" spans="1:11">
      <c r="H835" s="5"/>
      <c r="I835" s="5"/>
      <c r="J835" s="5"/>
      <c r="K835" s="5"/>
    </row>
    <row r="836" spans="1:11">
      <c r="A836" s="72" t="s">
        <v>0</v>
      </c>
      <c r="B836" s="72"/>
      <c r="C836" s="73"/>
      <c r="D836" s="73"/>
      <c r="E836" s="73"/>
      <c r="F836" s="73"/>
      <c r="G836" s="73"/>
      <c r="H836" s="73"/>
      <c r="I836" s="73"/>
      <c r="J836" s="73"/>
      <c r="K836" s="73"/>
    </row>
    <row r="837" spans="1:11">
      <c r="A837" s="73" t="s">
        <v>71</v>
      </c>
      <c r="B837" s="73"/>
      <c r="C837" s="73"/>
      <c r="D837" s="73"/>
      <c r="E837" s="73"/>
      <c r="F837" s="73"/>
      <c r="G837" s="73"/>
      <c r="H837" s="73"/>
      <c r="I837" s="73"/>
      <c r="J837" s="73"/>
      <c r="K837" s="73"/>
    </row>
    <row r="838" spans="1:11">
      <c r="A838" s="73" t="s">
        <v>1</v>
      </c>
      <c r="B838" s="73"/>
      <c r="C838" s="73"/>
      <c r="D838" s="73"/>
      <c r="E838" s="73"/>
      <c r="F838" s="73"/>
      <c r="G838" s="73"/>
      <c r="H838" s="73"/>
      <c r="I838" s="73"/>
      <c r="J838" s="73"/>
      <c r="K838" s="73"/>
    </row>
    <row r="839" spans="1:11">
      <c r="A839" s="73" t="s">
        <v>38</v>
      </c>
      <c r="B839" s="73"/>
      <c r="C839" s="73"/>
      <c r="D839" s="73"/>
      <c r="E839" s="73"/>
      <c r="F839" s="73"/>
      <c r="G839" s="73"/>
      <c r="H839" s="73"/>
      <c r="I839" s="73"/>
      <c r="J839" s="73"/>
      <c r="K839" s="73"/>
    </row>
    <row r="840" spans="1:11">
      <c r="A840" s="73" t="s">
        <v>2</v>
      </c>
      <c r="B840" s="73"/>
      <c r="C840" s="73"/>
      <c r="D840" s="73"/>
      <c r="E840" s="73"/>
      <c r="F840" s="73"/>
      <c r="G840" s="73"/>
      <c r="H840" s="73"/>
      <c r="I840" s="73"/>
      <c r="J840" s="73"/>
      <c r="K840" s="73"/>
    </row>
    <row r="841" spans="1:11">
      <c r="A841" s="6"/>
      <c r="B841" s="6"/>
      <c r="C841" s="7"/>
      <c r="D841" s="7"/>
      <c r="E841" s="7"/>
      <c r="F841" s="7"/>
      <c r="G841" s="8"/>
      <c r="H841" s="9"/>
      <c r="I841" s="9"/>
      <c r="J841" s="9"/>
      <c r="K841" s="9"/>
    </row>
    <row r="842" spans="1:11">
      <c r="A842" s="52" t="s">
        <v>3</v>
      </c>
      <c r="B842" s="10"/>
      <c r="C842" s="10"/>
      <c r="D842" s="53" t="s">
        <v>4</v>
      </c>
      <c r="E842" s="10" t="s">
        <v>5</v>
      </c>
      <c r="F842" s="11"/>
      <c r="G842" s="10"/>
      <c r="H842" s="12"/>
      <c r="I842" s="12"/>
      <c r="J842" s="12"/>
      <c r="K842" s="9"/>
    </row>
    <row r="843" spans="1:11">
      <c r="A843" s="52" t="s">
        <v>6</v>
      </c>
      <c r="B843" s="10"/>
      <c r="C843" s="10"/>
      <c r="D843" s="53" t="s">
        <v>4</v>
      </c>
      <c r="E843" s="10" t="s">
        <v>7</v>
      </c>
      <c r="F843" s="11"/>
      <c r="G843" s="10"/>
      <c r="H843" s="12"/>
      <c r="I843" s="12"/>
      <c r="J843" s="12"/>
      <c r="K843" s="9"/>
    </row>
    <row r="844" spans="1:11">
      <c r="A844" s="52" t="s">
        <v>8</v>
      </c>
      <c r="B844" s="10"/>
      <c r="C844" s="10"/>
      <c r="D844" s="53" t="s">
        <v>4</v>
      </c>
      <c r="E844" s="13">
        <v>2026</v>
      </c>
      <c r="F844" s="11"/>
      <c r="G844" s="13"/>
      <c r="H844" s="12"/>
      <c r="I844" s="12"/>
      <c r="J844" s="12"/>
      <c r="K844" s="9"/>
    </row>
    <row r="845" spans="1:11">
      <c r="A845" s="52" t="s">
        <v>9</v>
      </c>
      <c r="B845" s="10"/>
      <c r="C845" s="10"/>
      <c r="D845" s="53" t="s">
        <v>4</v>
      </c>
      <c r="E845" s="14">
        <f>J856</f>
        <v>33650</v>
      </c>
      <c r="F845" s="11"/>
      <c r="G845" s="14"/>
      <c r="H845" s="12"/>
      <c r="I845" s="12"/>
      <c r="J845" s="12"/>
      <c r="K845" s="9"/>
    </row>
    <row r="846" spans="1:11" ht="15.75">
      <c r="A846" s="10"/>
      <c r="B846" s="10"/>
      <c r="C846" s="15" t="s">
        <v>10</v>
      </c>
      <c r="D846" s="53" t="s">
        <v>4</v>
      </c>
      <c r="E846" s="16" t="str">
        <f>PROPER(IF(E845=0,"nol",IF(E845&lt;0,"minus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845),"000000000000000"),1,3)=0,"",MID(TEXT(ABS(E845),"000000000000000"),1,1)&amp;" ratus "&amp;MID(TEXT(ABS(E845),"000000000000000"),2,1)&amp;" puluh "&amp;MID(TEXT(ABS(E845),"000000000000000"),3,1)&amp;" trilyun ")&amp;IF(--MID(TEXT(ABS(E845),"000000000000000"),4,3)=0,"",MID(TEXT(ABS(E845),"000000000000000"),4,1)&amp;" ratus "&amp;MID(TEXT(ABS(E845),"000000000000000"),5,1)&amp;" puluh "&amp;MID(TEXT(ABS(E845),"000000000000000"),6,1)&amp;" milyar ")&amp;IF(--MID(TEXT(ABS(E845),"000000000000000"),7,3)=0,"",MID(TEXT(ABS(E845),"000000000000000"),7,1)&amp;" ratus "&amp;MID(TEXT(ABS(E845),"000000000000000"),8,1)&amp;" puluh "&amp;MID(TEXT(ABS(E845),"000000000000000"),9,1)&amp;" juta ")&amp;IF(--MID(TEXT(ABS(E845),"000000000000000"),10,3)=0,"",IF(--MID(TEXT(ABS(E845),"000000000000000"),10,3)=1,"*",MID(TEXT(ABS(E845),"000000000000000"),10,1)&amp;" ratus "&amp;MID(TEXT(ABS(E845),"000000000000000"),11,1)&amp;" puluh ")&amp;MID(TEXT(ABS(E845),"000000000000000"),12,1)&amp;" ribu ")&amp;IF(--MID(TEXT(ABS(E845),"000000000000000"),13,3)=0,"",MID(TEXT(ABS(E845),"000000000000000"),13,1)&amp;" ratus "&amp;MID(TEXT(ABS(E845),"000000000000000"),14,1)&amp;" puluh "&amp;MID(TEXT(ABS(E845),"000000000000000"),15,1)),1,"satu"),2,"dua"),3,"tiga"),4,"empat"),5,"lima"),6,"enam"),7,"tujuh"),8,"delapan"),9,"sembilan"),"0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Puluh Tiga Ribu Enam Ratus Lima Puluh Rupiah</v>
      </c>
      <c r="F846" s="11"/>
      <c r="G846" s="16"/>
      <c r="H846" s="12"/>
      <c r="I846" s="12"/>
      <c r="J846" s="12"/>
      <c r="K846" s="9"/>
    </row>
    <row r="847" spans="1:11" ht="15.75">
      <c r="A847" s="10"/>
      <c r="B847" s="10"/>
      <c r="C847" s="15"/>
      <c r="D847" s="15"/>
      <c r="E847" s="15"/>
      <c r="F847" s="11"/>
      <c r="G847" s="16"/>
      <c r="H847" s="12"/>
      <c r="I847" s="12"/>
      <c r="J847" s="12"/>
      <c r="K847" s="9"/>
    </row>
    <row r="848" spans="1:11">
      <c r="A848" s="10" t="s">
        <v>11</v>
      </c>
      <c r="B848" s="10"/>
      <c r="C848" s="10"/>
      <c r="D848" s="10"/>
      <c r="E848" s="10"/>
      <c r="F848" s="10"/>
      <c r="G848" s="10"/>
      <c r="H848" s="12"/>
      <c r="I848" s="12"/>
      <c r="J848" s="12"/>
      <c r="K848" s="9"/>
    </row>
    <row r="849" spans="1:11">
      <c r="A849" s="74" t="s">
        <v>12</v>
      </c>
      <c r="B849" s="74"/>
      <c r="C849" s="74"/>
      <c r="D849" s="74"/>
      <c r="E849" s="74"/>
      <c r="F849" s="74"/>
      <c r="G849" s="74"/>
      <c r="H849" s="74"/>
      <c r="I849" s="74"/>
      <c r="J849" s="74"/>
      <c r="K849" s="74"/>
    </row>
    <row r="850" spans="1:11" ht="60">
      <c r="A850" s="17" t="s">
        <v>13</v>
      </c>
      <c r="B850" s="18" t="s">
        <v>14</v>
      </c>
      <c r="C850" s="59" t="s">
        <v>15</v>
      </c>
      <c r="D850" s="60"/>
      <c r="E850" s="61"/>
      <c r="F850" s="19"/>
      <c r="G850" s="20" t="s">
        <v>16</v>
      </c>
      <c r="H850" s="21" t="s">
        <v>35</v>
      </c>
      <c r="I850" s="21"/>
      <c r="J850" s="31" t="s">
        <v>17</v>
      </c>
      <c r="K850" s="32" t="s">
        <v>18</v>
      </c>
    </row>
    <row r="851" spans="1:11">
      <c r="A851" s="27">
        <v>1</v>
      </c>
      <c r="B851" s="24"/>
      <c r="C851" s="28" t="s">
        <v>23</v>
      </c>
      <c r="D851" s="57"/>
      <c r="E851" s="26"/>
      <c r="F851" s="25"/>
      <c r="G851" s="54" t="s">
        <v>19</v>
      </c>
      <c r="H851" s="54" t="s">
        <v>19</v>
      </c>
      <c r="I851" s="54"/>
      <c r="J851" s="54" t="s">
        <v>19</v>
      </c>
      <c r="K851" s="54" t="s">
        <v>19</v>
      </c>
    </row>
    <row r="852" spans="1:11">
      <c r="A852" s="24"/>
      <c r="B852" s="55" t="s">
        <v>20</v>
      </c>
      <c r="C852" s="25" t="s">
        <v>24</v>
      </c>
      <c r="D852" s="10"/>
      <c r="E852" s="26"/>
      <c r="F852" s="25"/>
      <c r="G852" s="23">
        <v>45000000</v>
      </c>
      <c r="H852" s="56">
        <f>H806+J806</f>
        <v>2433700</v>
      </c>
      <c r="I852" s="56"/>
      <c r="J852" s="56">
        <v>0</v>
      </c>
      <c r="K852" s="58">
        <f t="shared" ref="K852:K855" si="32">G852-H852-J852</f>
        <v>42566300</v>
      </c>
    </row>
    <row r="853" spans="1:11">
      <c r="A853" s="24"/>
      <c r="B853" s="55" t="s">
        <v>21</v>
      </c>
      <c r="C853" s="62" t="s">
        <v>39</v>
      </c>
      <c r="D853" s="63"/>
      <c r="E853" s="64"/>
      <c r="F853" s="25"/>
      <c r="G853" s="23">
        <v>35000000</v>
      </c>
      <c r="H853" s="56">
        <f>H807+J807</f>
        <v>2906000</v>
      </c>
      <c r="I853" s="56"/>
      <c r="J853" s="56">
        <v>0</v>
      </c>
      <c r="K853" s="58">
        <f t="shared" si="32"/>
        <v>32094000</v>
      </c>
    </row>
    <row r="854" spans="1:11">
      <c r="A854" s="24"/>
      <c r="B854" s="55" t="s">
        <v>22</v>
      </c>
      <c r="C854" s="65" t="s">
        <v>40</v>
      </c>
      <c r="D854" s="66"/>
      <c r="E854" s="67"/>
      <c r="F854" s="25"/>
      <c r="G854" s="23">
        <v>30000000</v>
      </c>
      <c r="H854" s="56">
        <f t="shared" ref="H854" si="33">H808+J808</f>
        <v>500000</v>
      </c>
      <c r="I854" s="22"/>
      <c r="J854" s="22">
        <v>0</v>
      </c>
      <c r="K854" s="33">
        <f t="shared" si="32"/>
        <v>29500000</v>
      </c>
    </row>
    <row r="855" spans="1:11">
      <c r="A855" s="24"/>
      <c r="B855" s="55" t="s">
        <v>36</v>
      </c>
      <c r="C855" s="68" t="s">
        <v>41</v>
      </c>
      <c r="D855" s="69"/>
      <c r="E855" s="70"/>
      <c r="F855" s="25"/>
      <c r="G855" s="23">
        <v>28125000</v>
      </c>
      <c r="H855" s="56">
        <f>H809+J809</f>
        <v>1384000</v>
      </c>
      <c r="I855" s="22"/>
      <c r="J855" s="22">
        <v>33650</v>
      </c>
      <c r="K855" s="33">
        <f t="shared" si="32"/>
        <v>26707350</v>
      </c>
    </row>
    <row r="856" spans="1:11">
      <c r="A856" s="34"/>
      <c r="B856" s="34"/>
      <c r="C856" s="34" t="s">
        <v>25</v>
      </c>
      <c r="D856" s="34"/>
      <c r="E856" s="34"/>
      <c r="F856" s="35"/>
      <c r="G856" s="36">
        <f>SUM(G851:G855)</f>
        <v>138125000</v>
      </c>
      <c r="H856" s="37">
        <f>SUM(H851:H855)</f>
        <v>7223700</v>
      </c>
      <c r="I856" s="37"/>
      <c r="J856" s="37">
        <f>SUM(J851:J855)</f>
        <v>33650</v>
      </c>
      <c r="K856" s="37">
        <f>SUM(K851:K855)</f>
        <v>130867650</v>
      </c>
    </row>
    <row r="857" spans="1:11">
      <c r="A857" s="38"/>
      <c r="B857" s="8"/>
      <c r="C857" s="8"/>
      <c r="D857" s="8"/>
      <c r="E857" s="8"/>
      <c r="F857" s="8"/>
      <c r="G857" s="39"/>
      <c r="H857" s="39"/>
      <c r="I857" s="39"/>
      <c r="J857" s="39"/>
      <c r="K857" s="39"/>
    </row>
    <row r="858" spans="1:11">
      <c r="A858" s="71" t="s">
        <v>26</v>
      </c>
      <c r="B858" s="71"/>
      <c r="C858" s="71"/>
      <c r="D858" s="11" t="s">
        <v>4</v>
      </c>
      <c r="E858" s="14">
        <f>J856</f>
        <v>33650</v>
      </c>
      <c r="F858" s="40"/>
      <c r="G858" s="41"/>
      <c r="H858" s="41"/>
      <c r="I858" s="41"/>
      <c r="J858" s="9"/>
      <c r="K858" s="9"/>
    </row>
    <row r="859" spans="1:11">
      <c r="A859" s="10" t="s">
        <v>27</v>
      </c>
      <c r="B859" s="10"/>
      <c r="C859" s="10"/>
      <c r="D859" s="11" t="s">
        <v>4</v>
      </c>
      <c r="E859" s="42"/>
      <c r="F859" s="42"/>
      <c r="G859" s="43"/>
      <c r="H859" s="12"/>
      <c r="I859" s="12"/>
      <c r="J859" s="9"/>
      <c r="K859" s="9"/>
    </row>
    <row r="860" spans="1:11">
      <c r="A860" s="10" t="s">
        <v>28</v>
      </c>
      <c r="B860" s="10"/>
      <c r="C860" s="10"/>
      <c r="D860" s="11" t="s">
        <v>4</v>
      </c>
      <c r="E860" s="44"/>
      <c r="F860" s="44"/>
      <c r="G860" s="43"/>
      <c r="H860" s="12"/>
      <c r="I860" s="12"/>
      <c r="J860" s="9"/>
      <c r="K860" s="9"/>
    </row>
    <row r="861" spans="1:11">
      <c r="A861" s="10" t="s">
        <v>29</v>
      </c>
      <c r="B861" s="10"/>
      <c r="C861" s="10"/>
      <c r="D861" s="11" t="s">
        <v>4</v>
      </c>
      <c r="E861" s="44">
        <f>E859+E860</f>
        <v>0</v>
      </c>
      <c r="F861" s="44"/>
      <c r="G861" s="10"/>
      <c r="H861" s="12"/>
      <c r="I861" s="12"/>
      <c r="J861" s="46"/>
      <c r="K861" s="46"/>
    </row>
    <row r="862" spans="1:11">
      <c r="A862" s="13"/>
      <c r="B862" s="13"/>
      <c r="C862" s="13"/>
      <c r="D862" s="11"/>
      <c r="E862" s="13"/>
      <c r="F862" s="13"/>
      <c r="G862" s="10"/>
      <c r="H862" s="12"/>
      <c r="I862" s="12"/>
      <c r="J862" s="46"/>
      <c r="K862" s="46"/>
    </row>
    <row r="863" spans="1:11">
      <c r="A863" s="71" t="s">
        <v>30</v>
      </c>
      <c r="B863" s="71"/>
      <c r="C863" s="71"/>
      <c r="D863" s="11" t="s">
        <v>4</v>
      </c>
      <c r="E863" s="40">
        <f>E858-E861</f>
        <v>33650</v>
      </c>
      <c r="F863" s="40"/>
      <c r="G863" s="10"/>
      <c r="H863" s="12"/>
      <c r="I863" s="12"/>
      <c r="J863" s="46"/>
      <c r="K863" s="46"/>
    </row>
    <row r="864" spans="1:11" ht="15.75">
      <c r="A864" s="13"/>
      <c r="B864" s="13"/>
      <c r="C864" s="10"/>
      <c r="D864" s="10"/>
      <c r="E864" s="16" t="str">
        <f>PROPER(IF(E863=0,"nol",IF(E863&lt;0,"minus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863),"000000000000000"),1,3)=0,"",MID(TEXT(ABS(E863),"000000000000000"),1,1)&amp;" ratus "&amp;MID(TEXT(ABS(E863),"000000000000000"),2,1)&amp;" puluh "&amp;MID(TEXT(ABS(E863),"000000000000000"),3,1)&amp;" trilyun ")&amp;IF(--MID(TEXT(ABS(E863),"000000000000000"),4,3)=0,"",MID(TEXT(ABS(E863),"000000000000000"),4,1)&amp;" ratus "&amp;MID(TEXT(ABS(E863),"000000000000000"),5,1)&amp;" puluh "&amp;MID(TEXT(ABS(E863),"000000000000000"),6,1)&amp;" milyar ")&amp;IF(--MID(TEXT(ABS(E863),"000000000000000"),7,3)=0,"",MID(TEXT(ABS(E863),"000000000000000"),7,1)&amp;" ratus "&amp;MID(TEXT(ABS(E863),"000000000000000"),8,1)&amp;" puluh "&amp;MID(TEXT(ABS(E863),"000000000000000"),9,1)&amp;" juta ")&amp;IF(--MID(TEXT(ABS(E863),"000000000000000"),10,3)=0,"",IF(--MID(TEXT(ABS(E863),"000000000000000"),10,3)=1,"*",MID(TEXT(ABS(E863),"000000000000000"),10,1)&amp;" ratus "&amp;MID(TEXT(ABS(E863),"000000000000000"),11,1)&amp;" puluh ")&amp;MID(TEXT(ABS(E863),"000000000000000"),12,1)&amp;" ribu ")&amp;IF(--MID(TEXT(ABS(E863),"000000000000000"),13,3)=0,"",MID(TEXT(ABS(E863),"000000000000000"),13,1)&amp;" ratus "&amp;MID(TEXT(ABS(E863),"000000000000000"),14,1)&amp;" puluh "&amp;MID(TEXT(ABS(E863),"000000000000000"),15,1)),1,"satu"),2,"dua"),3,"tiga"),4,"empat"),5,"lima"),6,"enam"),7,"tujuh"),8,"delapan"),9,"sembilan"),"0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Puluh Tiga Ribu Enam Ratus Lima Puluh Rupiah</v>
      </c>
      <c r="F864" s="10"/>
      <c r="G864" s="10"/>
      <c r="H864" s="10"/>
      <c r="I864" s="10"/>
      <c r="J864" s="46"/>
      <c r="K864" s="46"/>
    </row>
    <row r="865" spans="1:11">
      <c r="A865" s="45"/>
      <c r="B865" s="45"/>
      <c r="C865" s="45"/>
      <c r="D865" s="45"/>
      <c r="E865" s="45"/>
      <c r="F865" s="45"/>
      <c r="G865" s="29"/>
      <c r="H865" s="46"/>
      <c r="I865" s="46"/>
      <c r="J865" s="46"/>
      <c r="K865" s="46"/>
    </row>
    <row r="866" spans="1:11">
      <c r="A866" s="29"/>
      <c r="B866" s="29"/>
      <c r="C866" s="29"/>
      <c r="D866" s="29"/>
      <c r="E866" s="29"/>
      <c r="F866" s="29"/>
      <c r="G866" s="29"/>
      <c r="H866"/>
      <c r="I866"/>
      <c r="J866" s="46"/>
      <c r="K866" s="46"/>
    </row>
    <row r="867" spans="1:11">
      <c r="A867" s="13"/>
      <c r="B867" s="13"/>
      <c r="C867" s="10"/>
      <c r="D867" s="10"/>
      <c r="E867" s="10"/>
      <c r="F867" s="10"/>
      <c r="G867" s="10"/>
      <c r="I867" s="47"/>
      <c r="J867" s="47" t="s">
        <v>68</v>
      </c>
      <c r="K867" s="46"/>
    </row>
    <row r="868" spans="1:11">
      <c r="A868" s="12" t="s">
        <v>31</v>
      </c>
      <c r="B868" s="10"/>
      <c r="C868" s="10"/>
      <c r="D868" s="10"/>
      <c r="E868" s="10"/>
      <c r="F868" s="10"/>
      <c r="G868" s="10"/>
      <c r="I868" s="12"/>
      <c r="J868" s="12" t="s">
        <v>32</v>
      </c>
      <c r="K868" s="46"/>
    </row>
    <row r="869" spans="1:11">
      <c r="A869" s="10"/>
      <c r="B869" s="10"/>
      <c r="C869" s="10"/>
      <c r="D869" s="10"/>
      <c r="E869" s="10"/>
      <c r="F869" s="10"/>
      <c r="G869" s="10"/>
      <c r="I869" s="12"/>
      <c r="J869" s="12"/>
      <c r="K869" s="46"/>
    </row>
    <row r="870" spans="1:11">
      <c r="A870" s="10"/>
      <c r="B870" s="10"/>
      <c r="C870" s="10"/>
      <c r="D870" s="10"/>
      <c r="E870" s="10"/>
      <c r="F870" s="10"/>
      <c r="G870" s="10"/>
      <c r="I870" s="12"/>
      <c r="J870" s="12"/>
      <c r="K870" s="46"/>
    </row>
    <row r="871" spans="1:11">
      <c r="A871" s="10"/>
      <c r="B871" s="10"/>
      <c r="C871" s="10"/>
      <c r="D871" s="10"/>
      <c r="E871" s="10"/>
      <c r="F871" s="10"/>
      <c r="G871" s="10"/>
      <c r="I871" s="12"/>
      <c r="J871" s="12"/>
      <c r="K871" s="46"/>
    </row>
    <row r="872" spans="1:11">
      <c r="A872" s="10"/>
      <c r="B872" s="10"/>
      <c r="C872" s="10"/>
      <c r="D872" s="10"/>
      <c r="E872" s="10"/>
      <c r="F872" s="10"/>
      <c r="G872" s="10"/>
      <c r="I872" s="12"/>
      <c r="J872" s="12"/>
      <c r="K872" s="46"/>
    </row>
    <row r="873" spans="1:11">
      <c r="A873" s="48" t="s">
        <v>37</v>
      </c>
      <c r="B873" s="48"/>
      <c r="C873" s="49"/>
      <c r="D873" s="49"/>
      <c r="E873" s="49"/>
      <c r="F873" s="49"/>
      <c r="G873" s="10" t="s">
        <v>33</v>
      </c>
      <c r="I873" s="48"/>
      <c r="J873" s="48" t="s">
        <v>34</v>
      </c>
      <c r="K873" s="46"/>
    </row>
    <row r="878" spans="1:11" ht="15.75">
      <c r="C878" s="2"/>
      <c r="D878" s="2"/>
      <c r="E878" s="2"/>
      <c r="F878" s="2"/>
    </row>
    <row r="879" spans="1:11" ht="15.75">
      <c r="A879" s="3"/>
      <c r="B879" s="3"/>
      <c r="C879" s="2"/>
      <c r="D879" s="2"/>
      <c r="E879" s="2"/>
      <c r="F879" s="2"/>
      <c r="G879" s="3"/>
      <c r="H879" s="4"/>
      <c r="I879" s="4"/>
      <c r="J879" s="4"/>
      <c r="K879" s="5"/>
    </row>
    <row r="880" spans="1:11">
      <c r="H880" s="5"/>
      <c r="I880" s="5"/>
      <c r="J880" s="5"/>
      <c r="K880" s="5"/>
    </row>
    <row r="881" spans="1:11">
      <c r="H881" s="5"/>
      <c r="I881" s="5"/>
      <c r="J881" s="5"/>
      <c r="K881" s="5"/>
    </row>
    <row r="882" spans="1:11">
      <c r="A882" s="72" t="s">
        <v>0</v>
      </c>
      <c r="B882" s="72"/>
      <c r="C882" s="73"/>
      <c r="D882" s="73"/>
      <c r="E882" s="73"/>
      <c r="F882" s="73"/>
      <c r="G882" s="73"/>
      <c r="H882" s="73"/>
      <c r="I882" s="73"/>
      <c r="J882" s="73"/>
      <c r="K882" s="73"/>
    </row>
    <row r="883" spans="1:11">
      <c r="A883" s="73" t="s">
        <v>72</v>
      </c>
      <c r="B883" s="73"/>
      <c r="C883" s="73"/>
      <c r="D883" s="73"/>
      <c r="E883" s="73"/>
      <c r="F883" s="73"/>
      <c r="G883" s="73"/>
      <c r="H883" s="73"/>
      <c r="I883" s="73"/>
      <c r="J883" s="73"/>
      <c r="K883" s="73"/>
    </row>
    <row r="884" spans="1:11">
      <c r="A884" s="73" t="s">
        <v>1</v>
      </c>
      <c r="B884" s="73"/>
      <c r="C884" s="73"/>
      <c r="D884" s="73"/>
      <c r="E884" s="73"/>
      <c r="F884" s="73"/>
      <c r="G884" s="73"/>
      <c r="H884" s="73"/>
      <c r="I884" s="73"/>
      <c r="J884" s="73"/>
      <c r="K884" s="73"/>
    </row>
    <row r="885" spans="1:11">
      <c r="A885" s="73" t="s">
        <v>38</v>
      </c>
      <c r="B885" s="73"/>
      <c r="C885" s="73"/>
      <c r="D885" s="73"/>
      <c r="E885" s="73"/>
      <c r="F885" s="73"/>
      <c r="G885" s="73"/>
      <c r="H885" s="73"/>
      <c r="I885" s="73"/>
      <c r="J885" s="73"/>
      <c r="K885" s="73"/>
    </row>
    <row r="886" spans="1:11">
      <c r="A886" s="73" t="s">
        <v>2</v>
      </c>
      <c r="B886" s="73"/>
      <c r="C886" s="73"/>
      <c r="D886" s="73"/>
      <c r="E886" s="73"/>
      <c r="F886" s="73"/>
      <c r="G886" s="73"/>
      <c r="H886" s="73"/>
      <c r="I886" s="73"/>
      <c r="J886" s="73"/>
      <c r="K886" s="73"/>
    </row>
    <row r="887" spans="1:11">
      <c r="A887" s="6"/>
      <c r="B887" s="6"/>
      <c r="C887" s="7"/>
      <c r="D887" s="7"/>
      <c r="E887" s="7"/>
      <c r="F887" s="7"/>
      <c r="G887" s="8"/>
      <c r="H887" s="9"/>
      <c r="I887" s="9"/>
      <c r="J887" s="9"/>
      <c r="K887" s="9"/>
    </row>
    <row r="888" spans="1:11">
      <c r="A888" s="52" t="s">
        <v>3</v>
      </c>
      <c r="B888" s="10"/>
      <c r="C888" s="10"/>
      <c r="D888" s="53" t="s">
        <v>4</v>
      </c>
      <c r="E888" s="10" t="s">
        <v>5</v>
      </c>
      <c r="F888" s="11"/>
      <c r="G888" s="10"/>
      <c r="H888" s="12"/>
      <c r="I888" s="12"/>
      <c r="J888" s="12"/>
      <c r="K888" s="9"/>
    </row>
    <row r="889" spans="1:11">
      <c r="A889" s="52" t="s">
        <v>6</v>
      </c>
      <c r="B889" s="10"/>
      <c r="C889" s="10"/>
      <c r="D889" s="53" t="s">
        <v>4</v>
      </c>
      <c r="E889" s="10" t="s">
        <v>7</v>
      </c>
      <c r="F889" s="11"/>
      <c r="G889" s="10"/>
      <c r="H889" s="12"/>
      <c r="I889" s="12"/>
      <c r="J889" s="12"/>
      <c r="K889" s="9"/>
    </row>
    <row r="890" spans="1:11">
      <c r="A890" s="52" t="s">
        <v>8</v>
      </c>
      <c r="B890" s="10"/>
      <c r="C890" s="10"/>
      <c r="D890" s="53" t="s">
        <v>4</v>
      </c>
      <c r="E890" s="13">
        <v>2026</v>
      </c>
      <c r="F890" s="11"/>
      <c r="G890" s="13"/>
      <c r="H890" s="12"/>
      <c r="I890" s="12"/>
      <c r="J890" s="12"/>
      <c r="K890" s="9"/>
    </row>
    <row r="891" spans="1:11">
      <c r="A891" s="52" t="s">
        <v>9</v>
      </c>
      <c r="B891" s="10"/>
      <c r="C891" s="10"/>
      <c r="D891" s="53" t="s">
        <v>4</v>
      </c>
      <c r="E891" s="14">
        <f>J902</f>
        <v>289000</v>
      </c>
      <c r="F891" s="11"/>
      <c r="G891" s="14"/>
      <c r="H891" s="12"/>
      <c r="I891" s="12"/>
      <c r="J891" s="12"/>
      <c r="K891" s="9"/>
    </row>
    <row r="892" spans="1:11" ht="15.75">
      <c r="A892" s="10"/>
      <c r="B892" s="10"/>
      <c r="C892" s="15" t="s">
        <v>10</v>
      </c>
      <c r="D892" s="53" t="s">
        <v>4</v>
      </c>
      <c r="E892" s="16" t="str">
        <f>PROPER(IF(E891=0,"nol",IF(E891&lt;0,"minus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891),"000000000000000"),1,3)=0,"",MID(TEXT(ABS(E891),"000000000000000"),1,1)&amp;" ratus "&amp;MID(TEXT(ABS(E891),"000000000000000"),2,1)&amp;" puluh "&amp;MID(TEXT(ABS(E891),"000000000000000"),3,1)&amp;" trilyun ")&amp;IF(--MID(TEXT(ABS(E891),"000000000000000"),4,3)=0,"",MID(TEXT(ABS(E891),"000000000000000"),4,1)&amp;" ratus "&amp;MID(TEXT(ABS(E891),"000000000000000"),5,1)&amp;" puluh "&amp;MID(TEXT(ABS(E891),"000000000000000"),6,1)&amp;" milyar ")&amp;IF(--MID(TEXT(ABS(E891),"000000000000000"),7,3)=0,"",MID(TEXT(ABS(E891),"000000000000000"),7,1)&amp;" ratus "&amp;MID(TEXT(ABS(E891),"000000000000000"),8,1)&amp;" puluh "&amp;MID(TEXT(ABS(E891),"000000000000000"),9,1)&amp;" juta ")&amp;IF(--MID(TEXT(ABS(E891),"000000000000000"),10,3)=0,"",IF(--MID(TEXT(ABS(E891),"000000000000000"),10,3)=1,"*",MID(TEXT(ABS(E891),"000000000000000"),10,1)&amp;" ratus "&amp;MID(TEXT(ABS(E891),"000000000000000"),11,1)&amp;" puluh ")&amp;MID(TEXT(ABS(E891),"000000000000000"),12,1)&amp;" ribu ")&amp;IF(--MID(TEXT(ABS(E891),"000000000000000"),13,3)=0,"",MID(TEXT(ABS(E891),"000000000000000"),13,1)&amp;" ratus "&amp;MID(TEXT(ABS(E891),"000000000000000"),14,1)&amp;" puluh "&amp;MID(TEXT(ABS(E891),"000000000000000"),15,1)),1,"satu"),2,"dua"),3,"tiga"),4,"empat"),5,"lima"),6,"enam"),7,"tujuh"),8,"delapan"),9,"sembilan"),"0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Delapan Puluh Sembilan Ribu Rupiah</v>
      </c>
      <c r="F892" s="11"/>
      <c r="G892" s="16"/>
      <c r="H892" s="12"/>
      <c r="I892" s="12"/>
      <c r="J892" s="12"/>
      <c r="K892" s="9"/>
    </row>
    <row r="893" spans="1:11" ht="15.75">
      <c r="A893" s="10"/>
      <c r="B893" s="10"/>
      <c r="C893" s="15"/>
      <c r="D893" s="15"/>
      <c r="E893" s="15"/>
      <c r="F893" s="11"/>
      <c r="G893" s="16"/>
      <c r="H893" s="12"/>
      <c r="I893" s="12"/>
      <c r="J893" s="12"/>
      <c r="K893" s="9"/>
    </row>
    <row r="894" spans="1:11">
      <c r="A894" s="10" t="s">
        <v>11</v>
      </c>
      <c r="B894" s="10"/>
      <c r="C894" s="10"/>
      <c r="D894" s="10"/>
      <c r="E894" s="10"/>
      <c r="F894" s="10"/>
      <c r="G894" s="10"/>
      <c r="H894" s="12"/>
      <c r="I894" s="12"/>
      <c r="J894" s="12"/>
      <c r="K894" s="9"/>
    </row>
    <row r="895" spans="1:11">
      <c r="A895" s="74" t="s">
        <v>12</v>
      </c>
      <c r="B895" s="74"/>
      <c r="C895" s="74"/>
      <c r="D895" s="74"/>
      <c r="E895" s="74"/>
      <c r="F895" s="74"/>
      <c r="G895" s="74"/>
      <c r="H895" s="74"/>
      <c r="I895" s="74"/>
      <c r="J895" s="74"/>
      <c r="K895" s="74"/>
    </row>
    <row r="896" spans="1:11" ht="60">
      <c r="A896" s="17" t="s">
        <v>13</v>
      </c>
      <c r="B896" s="18" t="s">
        <v>14</v>
      </c>
      <c r="C896" s="59" t="s">
        <v>15</v>
      </c>
      <c r="D896" s="60"/>
      <c r="E896" s="61"/>
      <c r="F896" s="19"/>
      <c r="G896" s="20" t="s">
        <v>16</v>
      </c>
      <c r="H896" s="21" t="s">
        <v>35</v>
      </c>
      <c r="I896" s="21"/>
      <c r="J896" s="31" t="s">
        <v>17</v>
      </c>
      <c r="K896" s="32" t="s">
        <v>18</v>
      </c>
    </row>
    <row r="897" spans="1:11">
      <c r="A897" s="27">
        <v>1</v>
      </c>
      <c r="B897" s="24"/>
      <c r="C897" s="28" t="s">
        <v>23</v>
      </c>
      <c r="D897" s="57"/>
      <c r="E897" s="26"/>
      <c r="F897" s="25"/>
      <c r="G897" s="54" t="s">
        <v>19</v>
      </c>
      <c r="H897" s="54" t="s">
        <v>19</v>
      </c>
      <c r="I897" s="54"/>
      <c r="J897" s="54" t="s">
        <v>19</v>
      </c>
      <c r="K897" s="54" t="s">
        <v>19</v>
      </c>
    </row>
    <row r="898" spans="1:11">
      <c r="A898" s="24"/>
      <c r="B898" s="55" t="s">
        <v>20</v>
      </c>
      <c r="C898" s="25" t="s">
        <v>24</v>
      </c>
      <c r="D898" s="10"/>
      <c r="E898" s="26"/>
      <c r="F898" s="25"/>
      <c r="G898" s="23">
        <v>45000000</v>
      </c>
      <c r="H898" s="56">
        <f>H852+J852</f>
        <v>2433700</v>
      </c>
      <c r="I898" s="56"/>
      <c r="J898" s="56">
        <v>289000</v>
      </c>
      <c r="K898" s="58">
        <f t="shared" ref="K898:K901" si="34">G898-H898-J898</f>
        <v>42277300</v>
      </c>
    </row>
    <row r="899" spans="1:11">
      <c r="A899" s="24"/>
      <c r="B899" s="55" t="s">
        <v>21</v>
      </c>
      <c r="C899" s="62" t="s">
        <v>39</v>
      </c>
      <c r="D899" s="63"/>
      <c r="E899" s="64"/>
      <c r="F899" s="25"/>
      <c r="G899" s="23">
        <v>35000000</v>
      </c>
      <c r="H899" s="56">
        <f>H853+J853</f>
        <v>2906000</v>
      </c>
      <c r="I899" s="56"/>
      <c r="J899" s="56">
        <v>0</v>
      </c>
      <c r="K899" s="58">
        <f t="shared" si="34"/>
        <v>32094000</v>
      </c>
    </row>
    <row r="900" spans="1:11">
      <c r="A900" s="24"/>
      <c r="B900" s="55" t="s">
        <v>22</v>
      </c>
      <c r="C900" s="65" t="s">
        <v>40</v>
      </c>
      <c r="D900" s="66"/>
      <c r="E900" s="67"/>
      <c r="F900" s="25"/>
      <c r="G900" s="23">
        <v>30000000</v>
      </c>
      <c r="H900" s="56">
        <f t="shared" ref="H900" si="35">H854+J854</f>
        <v>500000</v>
      </c>
      <c r="I900" s="22"/>
      <c r="J900" s="22">
        <v>0</v>
      </c>
      <c r="K900" s="33">
        <f t="shared" si="34"/>
        <v>29500000</v>
      </c>
    </row>
    <row r="901" spans="1:11">
      <c r="A901" s="24"/>
      <c r="B901" s="55" t="s">
        <v>36</v>
      </c>
      <c r="C901" s="68" t="s">
        <v>41</v>
      </c>
      <c r="D901" s="69"/>
      <c r="E901" s="70"/>
      <c r="F901" s="25"/>
      <c r="G901" s="23">
        <v>28125000</v>
      </c>
      <c r="H901" s="56">
        <f>H855+J855</f>
        <v>1417650</v>
      </c>
      <c r="I901" s="22"/>
      <c r="J901" s="22">
        <v>0</v>
      </c>
      <c r="K901" s="33">
        <f t="shared" si="34"/>
        <v>26707350</v>
      </c>
    </row>
    <row r="902" spans="1:11">
      <c r="A902" s="34"/>
      <c r="B902" s="34"/>
      <c r="C902" s="34" t="s">
        <v>25</v>
      </c>
      <c r="D902" s="34"/>
      <c r="E902" s="34"/>
      <c r="F902" s="35"/>
      <c r="G902" s="36">
        <f>SUM(G897:G901)</f>
        <v>138125000</v>
      </c>
      <c r="H902" s="37">
        <f>SUM(H897:H901)</f>
        <v>7257350</v>
      </c>
      <c r="I902" s="37"/>
      <c r="J902" s="37">
        <f>SUM(J897:J901)</f>
        <v>289000</v>
      </c>
      <c r="K902" s="37">
        <f>SUM(K897:K901)</f>
        <v>130578650</v>
      </c>
    </row>
    <row r="903" spans="1:11">
      <c r="A903" s="38"/>
      <c r="B903" s="8"/>
      <c r="C903" s="8"/>
      <c r="D903" s="8"/>
      <c r="E903" s="8"/>
      <c r="F903" s="8"/>
      <c r="G903" s="39"/>
      <c r="H903" s="39"/>
      <c r="I903" s="39"/>
      <c r="J903" s="39"/>
      <c r="K903" s="39"/>
    </row>
    <row r="904" spans="1:11">
      <c r="A904" s="71" t="s">
        <v>26</v>
      </c>
      <c r="B904" s="71"/>
      <c r="C904" s="71"/>
      <c r="D904" s="11" t="s">
        <v>4</v>
      </c>
      <c r="E904" s="14">
        <f>J902</f>
        <v>289000</v>
      </c>
      <c r="F904" s="40"/>
      <c r="G904" s="41"/>
      <c r="H904" s="41"/>
      <c r="I904" s="41"/>
      <c r="J904" s="9"/>
      <c r="K904" s="9"/>
    </row>
    <row r="905" spans="1:11">
      <c r="A905" s="10" t="s">
        <v>27</v>
      </c>
      <c r="B905" s="10"/>
      <c r="C905" s="10"/>
      <c r="D905" s="11" t="s">
        <v>4</v>
      </c>
      <c r="E905" s="42"/>
      <c r="F905" s="42"/>
      <c r="G905" s="43"/>
      <c r="H905" s="12"/>
      <c r="I905" s="12"/>
      <c r="J905" s="9"/>
      <c r="K905" s="9"/>
    </row>
    <row r="906" spans="1:11">
      <c r="A906" s="10" t="s">
        <v>28</v>
      </c>
      <c r="B906" s="10"/>
      <c r="C906" s="10"/>
      <c r="D906" s="11" t="s">
        <v>4</v>
      </c>
      <c r="E906" s="44"/>
      <c r="F906" s="44"/>
      <c r="G906" s="43"/>
      <c r="H906" s="12"/>
      <c r="I906" s="12"/>
      <c r="J906" s="9"/>
      <c r="K906" s="9"/>
    </row>
    <row r="907" spans="1:11">
      <c r="A907" s="10" t="s">
        <v>29</v>
      </c>
      <c r="B907" s="10"/>
      <c r="C907" s="10"/>
      <c r="D907" s="11" t="s">
        <v>4</v>
      </c>
      <c r="E907" s="44">
        <f>E905+E906</f>
        <v>0</v>
      </c>
      <c r="F907" s="44"/>
      <c r="G907" s="10"/>
      <c r="H907" s="12"/>
      <c r="I907" s="12"/>
      <c r="J907" s="46"/>
      <c r="K907" s="46"/>
    </row>
    <row r="908" spans="1:11">
      <c r="A908" s="13"/>
      <c r="B908" s="13"/>
      <c r="C908" s="13"/>
      <c r="D908" s="11"/>
      <c r="E908" s="13"/>
      <c r="F908" s="13"/>
      <c r="G908" s="10"/>
      <c r="H908" s="12"/>
      <c r="I908" s="12"/>
      <c r="J908" s="46"/>
      <c r="K908" s="46"/>
    </row>
    <row r="909" spans="1:11">
      <c r="A909" s="71" t="s">
        <v>30</v>
      </c>
      <c r="B909" s="71"/>
      <c r="C909" s="71"/>
      <c r="D909" s="11" t="s">
        <v>4</v>
      </c>
      <c r="E909" s="40">
        <f>E904-E907</f>
        <v>289000</v>
      </c>
      <c r="F909" s="40"/>
      <c r="G909" s="10"/>
      <c r="H909" s="12"/>
      <c r="I909" s="12"/>
      <c r="J909" s="46"/>
      <c r="K909" s="46"/>
    </row>
    <row r="910" spans="1:11" ht="15.75">
      <c r="A910" s="13"/>
      <c r="B910" s="13"/>
      <c r="C910" s="10"/>
      <c r="D910" s="10"/>
      <c r="E910" s="16" t="str">
        <f>PROPER(IF(E909=0,"nol",IF(E909&lt;0,"minus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909),"000000000000000"),1,3)=0,"",MID(TEXT(ABS(E909),"000000000000000"),1,1)&amp;" ratus "&amp;MID(TEXT(ABS(E909),"000000000000000"),2,1)&amp;" puluh "&amp;MID(TEXT(ABS(E909),"000000000000000"),3,1)&amp;" trilyun ")&amp;IF(--MID(TEXT(ABS(E909),"000000000000000"),4,3)=0,"",MID(TEXT(ABS(E909),"000000000000000"),4,1)&amp;" ratus "&amp;MID(TEXT(ABS(E909),"000000000000000"),5,1)&amp;" puluh "&amp;MID(TEXT(ABS(E909),"000000000000000"),6,1)&amp;" milyar ")&amp;IF(--MID(TEXT(ABS(E909),"000000000000000"),7,3)=0,"",MID(TEXT(ABS(E909),"000000000000000"),7,1)&amp;" ratus "&amp;MID(TEXT(ABS(E909),"000000000000000"),8,1)&amp;" puluh "&amp;MID(TEXT(ABS(E909),"000000000000000"),9,1)&amp;" juta ")&amp;IF(--MID(TEXT(ABS(E909),"000000000000000"),10,3)=0,"",IF(--MID(TEXT(ABS(E909),"000000000000000"),10,3)=1,"*",MID(TEXT(ABS(E909),"000000000000000"),10,1)&amp;" ratus "&amp;MID(TEXT(ABS(E909),"000000000000000"),11,1)&amp;" puluh ")&amp;MID(TEXT(ABS(E909),"000000000000000"),12,1)&amp;" ribu ")&amp;IF(--MID(TEXT(ABS(E909),"000000000000000"),13,3)=0,"",MID(TEXT(ABS(E909),"000000000000000"),13,1)&amp;" ratus "&amp;MID(TEXT(ABS(E909),"000000000000000"),14,1)&amp;" puluh "&amp;MID(TEXT(ABS(E909),"000000000000000"),15,1)),1,"satu"),2,"dua"),3,"tiga"),4,"empat"),5,"lima"),6,"enam"),7,"tujuh"),8,"delapan"),9,"sembilan"),"0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Delapan Puluh Sembilan Ribu Rupiah</v>
      </c>
      <c r="F910" s="10"/>
      <c r="G910" s="10"/>
      <c r="H910" s="10"/>
      <c r="I910" s="10"/>
      <c r="J910" s="46"/>
      <c r="K910" s="46"/>
    </row>
    <row r="911" spans="1:11">
      <c r="A911" s="45"/>
      <c r="B911" s="45"/>
      <c r="C911" s="45"/>
      <c r="D911" s="45"/>
      <c r="E911" s="45"/>
      <c r="F911" s="45"/>
      <c r="G911" s="29"/>
      <c r="H911" s="46"/>
      <c r="I911" s="46"/>
      <c r="J911" s="46"/>
      <c r="K911" s="46"/>
    </row>
    <row r="912" spans="1:11">
      <c r="A912" s="29"/>
      <c r="B912" s="29"/>
      <c r="C912" s="29"/>
      <c r="D912" s="29"/>
      <c r="E912" s="29"/>
      <c r="F912" s="29"/>
      <c r="G912" s="29"/>
      <c r="H912"/>
      <c r="I912"/>
      <c r="J912" s="46"/>
      <c r="K912" s="46"/>
    </row>
    <row r="913" spans="1:11">
      <c r="A913" s="13"/>
      <c r="B913" s="13"/>
      <c r="C913" s="10"/>
      <c r="D913" s="10"/>
      <c r="E913" s="10"/>
      <c r="F913" s="10"/>
      <c r="G913" s="10"/>
      <c r="I913" s="47"/>
      <c r="J913" s="47" t="s">
        <v>68</v>
      </c>
      <c r="K913" s="46"/>
    </row>
    <row r="914" spans="1:11">
      <c r="A914" s="12" t="s">
        <v>31</v>
      </c>
      <c r="B914" s="10"/>
      <c r="C914" s="10"/>
      <c r="D914" s="10"/>
      <c r="E914" s="10"/>
      <c r="F914" s="10"/>
      <c r="G914" s="10"/>
      <c r="I914" s="12"/>
      <c r="J914" s="12" t="s">
        <v>32</v>
      </c>
      <c r="K914" s="46"/>
    </row>
    <row r="915" spans="1:11">
      <c r="A915" s="10"/>
      <c r="B915" s="10"/>
      <c r="C915" s="10"/>
      <c r="D915" s="10"/>
      <c r="E915" s="10"/>
      <c r="F915" s="10"/>
      <c r="G915" s="10"/>
      <c r="I915" s="12"/>
      <c r="J915" s="12"/>
      <c r="K915" s="46"/>
    </row>
    <row r="916" spans="1:11">
      <c r="A916" s="10"/>
      <c r="B916" s="10"/>
      <c r="C916" s="10"/>
      <c r="D916" s="10"/>
      <c r="E916" s="10"/>
      <c r="F916" s="10"/>
      <c r="G916" s="10"/>
      <c r="I916" s="12"/>
      <c r="J916" s="12"/>
      <c r="K916" s="46"/>
    </row>
    <row r="917" spans="1:11">
      <c r="A917" s="10"/>
      <c r="B917" s="10"/>
      <c r="C917" s="10"/>
      <c r="D917" s="10"/>
      <c r="E917" s="10"/>
      <c r="F917" s="10"/>
      <c r="G917" s="10"/>
      <c r="I917" s="12"/>
      <c r="J917" s="12"/>
      <c r="K917" s="46"/>
    </row>
    <row r="918" spans="1:11">
      <c r="A918" s="10"/>
      <c r="B918" s="10"/>
      <c r="C918" s="10"/>
      <c r="D918" s="10"/>
      <c r="E918" s="10"/>
      <c r="F918" s="10"/>
      <c r="G918" s="10"/>
      <c r="I918" s="12"/>
      <c r="J918" s="12"/>
      <c r="K918" s="46"/>
    </row>
    <row r="919" spans="1:11">
      <c r="A919" s="48" t="s">
        <v>37</v>
      </c>
      <c r="B919" s="48"/>
      <c r="C919" s="49"/>
      <c r="D919" s="49"/>
      <c r="E919" s="49"/>
      <c r="F919" s="49"/>
      <c r="G919" s="10" t="s">
        <v>33</v>
      </c>
      <c r="I919" s="48"/>
      <c r="J919" s="48" t="s">
        <v>34</v>
      </c>
      <c r="K919" s="46"/>
    </row>
  </sheetData>
  <mergeCells count="240">
    <mergeCell ref="C620:E620"/>
    <mergeCell ref="C623:E623"/>
    <mergeCell ref="C624:E624"/>
    <mergeCell ref="C625:E625"/>
    <mergeCell ref="A628:C628"/>
    <mergeCell ref="A633:C633"/>
    <mergeCell ref="C579:E579"/>
    <mergeCell ref="A582:C582"/>
    <mergeCell ref="A587:C587"/>
    <mergeCell ref="A606:K606"/>
    <mergeCell ref="A607:K607"/>
    <mergeCell ref="A608:K608"/>
    <mergeCell ref="A609:K609"/>
    <mergeCell ref="A610:K610"/>
    <mergeCell ref="A619:K619"/>
    <mergeCell ref="A560:K560"/>
    <mergeCell ref="A561:K561"/>
    <mergeCell ref="A562:K562"/>
    <mergeCell ref="A563:K563"/>
    <mergeCell ref="A564:K564"/>
    <mergeCell ref="A573:K573"/>
    <mergeCell ref="C574:E574"/>
    <mergeCell ref="C577:E577"/>
    <mergeCell ref="C578:E578"/>
    <mergeCell ref="C487:E487"/>
    <mergeCell ref="A490:C490"/>
    <mergeCell ref="A495:C495"/>
    <mergeCell ref="A468:K468"/>
    <mergeCell ref="A469:K469"/>
    <mergeCell ref="A470:K470"/>
    <mergeCell ref="A471:K471"/>
    <mergeCell ref="A472:K472"/>
    <mergeCell ref="A481:K481"/>
    <mergeCell ref="C482:E482"/>
    <mergeCell ref="C485:E485"/>
    <mergeCell ref="C486:E486"/>
    <mergeCell ref="C394:E394"/>
    <mergeCell ref="C395:E395"/>
    <mergeCell ref="A398:C398"/>
    <mergeCell ref="A403:C403"/>
    <mergeCell ref="A379:K379"/>
    <mergeCell ref="A380:K380"/>
    <mergeCell ref="A389:K389"/>
    <mergeCell ref="C390:E390"/>
    <mergeCell ref="C393:E393"/>
    <mergeCell ref="A352:C352"/>
    <mergeCell ref="A357:C357"/>
    <mergeCell ref="A376:K376"/>
    <mergeCell ref="A377:K377"/>
    <mergeCell ref="A378:K378"/>
    <mergeCell ref="A343:K343"/>
    <mergeCell ref="C344:E344"/>
    <mergeCell ref="C347:E347"/>
    <mergeCell ref="C348:E348"/>
    <mergeCell ref="C349:E349"/>
    <mergeCell ref="A330:K330"/>
    <mergeCell ref="A331:K331"/>
    <mergeCell ref="A332:K332"/>
    <mergeCell ref="A333:K333"/>
    <mergeCell ref="A334:K334"/>
    <mergeCell ref="A214:C214"/>
    <mergeCell ref="A219:C219"/>
    <mergeCell ref="A205:K205"/>
    <mergeCell ref="C206:E206"/>
    <mergeCell ref="C209:E209"/>
    <mergeCell ref="C210:E210"/>
    <mergeCell ref="C211:E211"/>
    <mergeCell ref="A238:K238"/>
    <mergeCell ref="A239:K239"/>
    <mergeCell ref="A240:K240"/>
    <mergeCell ref="A241:K241"/>
    <mergeCell ref="A242:K242"/>
    <mergeCell ref="A251:K251"/>
    <mergeCell ref="C252:E252"/>
    <mergeCell ref="C255:E255"/>
    <mergeCell ref="C256:E256"/>
    <mergeCell ref="C257:E257"/>
    <mergeCell ref="A260:C260"/>
    <mergeCell ref="A265:C265"/>
    <mergeCell ref="A159:K159"/>
    <mergeCell ref="C160:E160"/>
    <mergeCell ref="C163:E163"/>
    <mergeCell ref="C164:E164"/>
    <mergeCell ref="C165:E165"/>
    <mergeCell ref="A146:K146"/>
    <mergeCell ref="A147:K147"/>
    <mergeCell ref="A148:K148"/>
    <mergeCell ref="A149:K149"/>
    <mergeCell ref="A30:C30"/>
    <mergeCell ref="A35:C35"/>
    <mergeCell ref="C25:E25"/>
    <mergeCell ref="A54:K54"/>
    <mergeCell ref="A55:K55"/>
    <mergeCell ref="A56:K56"/>
    <mergeCell ref="A57:K57"/>
    <mergeCell ref="A58:K58"/>
    <mergeCell ref="A76:C76"/>
    <mergeCell ref="A67:K67"/>
    <mergeCell ref="C68:E68"/>
    <mergeCell ref="C71:E71"/>
    <mergeCell ref="C72:E72"/>
    <mergeCell ref="C73:E73"/>
    <mergeCell ref="A21:K21"/>
    <mergeCell ref="A8:K8"/>
    <mergeCell ref="A9:K9"/>
    <mergeCell ref="A10:K10"/>
    <mergeCell ref="A11:K11"/>
    <mergeCell ref="A12:K12"/>
    <mergeCell ref="C22:E22"/>
    <mergeCell ref="C26:E26"/>
    <mergeCell ref="C27:E27"/>
    <mergeCell ref="A100:K100"/>
    <mergeCell ref="A101:K101"/>
    <mergeCell ref="A102:K102"/>
    <mergeCell ref="A103:K103"/>
    <mergeCell ref="A104:K104"/>
    <mergeCell ref="A81:C81"/>
    <mergeCell ref="A284:K284"/>
    <mergeCell ref="A285:K285"/>
    <mergeCell ref="A286:K286"/>
    <mergeCell ref="A192:K192"/>
    <mergeCell ref="A193:K193"/>
    <mergeCell ref="A194:K194"/>
    <mergeCell ref="A195:K195"/>
    <mergeCell ref="A196:K196"/>
    <mergeCell ref="A122:C122"/>
    <mergeCell ref="A127:C127"/>
    <mergeCell ref="A113:K113"/>
    <mergeCell ref="C114:E114"/>
    <mergeCell ref="C117:E117"/>
    <mergeCell ref="C118:E118"/>
    <mergeCell ref="C119:E119"/>
    <mergeCell ref="A150:K150"/>
    <mergeCell ref="A168:C168"/>
    <mergeCell ref="A173:C173"/>
    <mergeCell ref="C302:E302"/>
    <mergeCell ref="C303:E303"/>
    <mergeCell ref="A306:C306"/>
    <mergeCell ref="A311:C311"/>
    <mergeCell ref="A287:K287"/>
    <mergeCell ref="A288:K288"/>
    <mergeCell ref="A297:K297"/>
    <mergeCell ref="C298:E298"/>
    <mergeCell ref="C301:E301"/>
    <mergeCell ref="C441:E441"/>
    <mergeCell ref="A444:C444"/>
    <mergeCell ref="A449:C449"/>
    <mergeCell ref="A422:K422"/>
    <mergeCell ref="A423:K423"/>
    <mergeCell ref="A424:K424"/>
    <mergeCell ref="A425:K425"/>
    <mergeCell ref="A426:K426"/>
    <mergeCell ref="A435:K435"/>
    <mergeCell ref="C436:E436"/>
    <mergeCell ref="C439:E439"/>
    <mergeCell ref="C440:E440"/>
    <mergeCell ref="C533:E533"/>
    <mergeCell ref="A536:C536"/>
    <mergeCell ref="A541:C541"/>
    <mergeCell ref="A514:K514"/>
    <mergeCell ref="A515:K515"/>
    <mergeCell ref="A516:K516"/>
    <mergeCell ref="A517:K517"/>
    <mergeCell ref="A518:K518"/>
    <mergeCell ref="A527:K527"/>
    <mergeCell ref="C528:E528"/>
    <mergeCell ref="C531:E531"/>
    <mergeCell ref="C532:E532"/>
    <mergeCell ref="A652:K652"/>
    <mergeCell ref="A653:K653"/>
    <mergeCell ref="A654:K654"/>
    <mergeCell ref="A655:K655"/>
    <mergeCell ref="A656:K656"/>
    <mergeCell ref="A665:K665"/>
    <mergeCell ref="C666:E666"/>
    <mergeCell ref="C669:E669"/>
    <mergeCell ref="C670:E670"/>
    <mergeCell ref="C671:E671"/>
    <mergeCell ref="A674:C674"/>
    <mergeCell ref="A679:C679"/>
    <mergeCell ref="A698:K698"/>
    <mergeCell ref="A699:K699"/>
    <mergeCell ref="A700:K700"/>
    <mergeCell ref="A701:K701"/>
    <mergeCell ref="A702:K702"/>
    <mergeCell ref="A711:K711"/>
    <mergeCell ref="C712:E712"/>
    <mergeCell ref="C715:E715"/>
    <mergeCell ref="C716:E716"/>
    <mergeCell ref="C717:E717"/>
    <mergeCell ref="A720:C720"/>
    <mergeCell ref="A725:C725"/>
    <mergeCell ref="A744:K744"/>
    <mergeCell ref="A745:K745"/>
    <mergeCell ref="A746:K746"/>
    <mergeCell ref="A747:K747"/>
    <mergeCell ref="A748:K748"/>
    <mergeCell ref="A757:K757"/>
    <mergeCell ref="C758:E758"/>
    <mergeCell ref="C761:E761"/>
    <mergeCell ref="C762:E762"/>
    <mergeCell ref="C763:E763"/>
    <mergeCell ref="A766:C766"/>
    <mergeCell ref="A771:C771"/>
    <mergeCell ref="A790:K790"/>
    <mergeCell ref="A791:K791"/>
    <mergeCell ref="A792:K792"/>
    <mergeCell ref="A793:K793"/>
    <mergeCell ref="A794:K794"/>
    <mergeCell ref="A803:K803"/>
    <mergeCell ref="C804:E804"/>
    <mergeCell ref="C807:E807"/>
    <mergeCell ref="C808:E808"/>
    <mergeCell ref="C809:E809"/>
    <mergeCell ref="A812:C812"/>
    <mergeCell ref="A817:C817"/>
    <mergeCell ref="A836:K836"/>
    <mergeCell ref="A837:K837"/>
    <mergeCell ref="A838:K838"/>
    <mergeCell ref="A839:K839"/>
    <mergeCell ref="A840:K840"/>
    <mergeCell ref="A849:K849"/>
    <mergeCell ref="C850:E850"/>
    <mergeCell ref="C853:E853"/>
    <mergeCell ref="C854:E854"/>
    <mergeCell ref="C855:E855"/>
    <mergeCell ref="A858:C858"/>
    <mergeCell ref="A863:C863"/>
    <mergeCell ref="A882:K882"/>
    <mergeCell ref="A883:K883"/>
    <mergeCell ref="A884:K884"/>
    <mergeCell ref="A885:K885"/>
    <mergeCell ref="A886:K886"/>
    <mergeCell ref="A895:K895"/>
    <mergeCell ref="C896:E896"/>
    <mergeCell ref="C899:E899"/>
    <mergeCell ref="C900:E900"/>
    <mergeCell ref="C901:E901"/>
    <mergeCell ref="A904:C904"/>
    <mergeCell ref="A909:C909"/>
  </mergeCells>
  <pageMargins left="0.23622047244094491" right="0.23622047244094491" top="0.15748031496062992" bottom="0.74803149606299213" header="0.31496062992125984" footer="0.31496062992125984"/>
  <pageSetup paperSize="9" scale="79" orientation="portrait" horizontalDpi="4294967293" r:id="rId1"/>
  <rowBreaks count="19" manualBreakCount="19">
    <brk id="46" max="10" man="1"/>
    <brk id="92" max="10" man="1"/>
    <brk id="138" max="10" man="1"/>
    <brk id="184" max="10" man="1"/>
    <brk id="230" max="10" man="1"/>
    <brk id="276" max="10" man="1"/>
    <brk id="322" max="10" man="1"/>
    <brk id="368" max="10" man="1"/>
    <brk id="414" max="10" man="1"/>
    <brk id="460" max="10" man="1"/>
    <brk id="506" max="10" man="1"/>
    <brk id="552" max="10" man="1"/>
    <brk id="598" max="10" man="1"/>
    <brk id="644" max="10" man="1"/>
    <brk id="690" max="10" man="1"/>
    <brk id="736" max="10" man="1"/>
    <brk id="782" max="10" man="1"/>
    <brk id="828" max="10" man="1"/>
    <brk id="874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C8F3B-173C-43F7-9B61-0D8C8E14F626}">
  <dimension ref="A1:W1103"/>
  <sheetViews>
    <sheetView view="pageBreakPreview" topLeftCell="A1070" zoomScaleNormal="100" workbookViewId="0">
      <selection activeCell="J1084" sqref="J1084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31.7109375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1" spans="1:23">
      <c r="L1" s="29"/>
      <c r="M1" s="30"/>
      <c r="N1" s="30"/>
      <c r="O1" s="30"/>
      <c r="P1" s="30"/>
      <c r="Q1" s="30"/>
      <c r="R1" s="30"/>
      <c r="S1" s="30"/>
      <c r="T1" s="30"/>
      <c r="U1" s="30"/>
      <c r="V1" s="30"/>
      <c r="W1" s="29"/>
    </row>
    <row r="2" spans="1:23">
      <c r="L2" s="29"/>
      <c r="M2" s="30"/>
      <c r="N2" s="30"/>
      <c r="O2" s="30"/>
      <c r="P2" s="30"/>
      <c r="Q2" s="30"/>
      <c r="R2" s="30"/>
      <c r="S2" s="30"/>
      <c r="T2" s="30"/>
      <c r="U2" s="30"/>
      <c r="V2" s="30"/>
      <c r="W2" s="29"/>
    </row>
    <row r="3" spans="1:23">
      <c r="L3" s="29"/>
      <c r="M3" s="30"/>
      <c r="N3" s="30"/>
      <c r="O3" s="30"/>
      <c r="P3" s="30"/>
      <c r="Q3" s="30"/>
      <c r="R3" s="30"/>
      <c r="S3" s="30"/>
      <c r="T3" s="30"/>
      <c r="U3" s="30"/>
      <c r="V3" s="30"/>
      <c r="W3" s="29"/>
    </row>
    <row r="4" spans="1:23" ht="15.75">
      <c r="C4" s="2"/>
      <c r="D4" s="2"/>
      <c r="E4" s="2"/>
      <c r="F4" s="2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29"/>
    </row>
    <row r="5" spans="1:23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  <c r="L5" s="29"/>
      <c r="M5" s="30"/>
      <c r="N5" s="30"/>
      <c r="O5" s="30"/>
      <c r="P5" s="30"/>
      <c r="Q5" s="30"/>
      <c r="R5" s="30"/>
      <c r="S5" s="30"/>
      <c r="T5" s="30"/>
      <c r="U5" s="30"/>
      <c r="V5" s="30"/>
      <c r="W5" s="29"/>
    </row>
    <row r="6" spans="1:23">
      <c r="H6" s="5"/>
      <c r="I6" s="5"/>
      <c r="J6" s="5"/>
      <c r="K6" s="5"/>
      <c r="L6" s="29"/>
      <c r="M6" s="30"/>
      <c r="N6" s="30"/>
      <c r="O6" s="30"/>
      <c r="P6" s="30"/>
      <c r="Q6" s="30"/>
      <c r="R6" s="30"/>
      <c r="S6" s="30"/>
      <c r="T6" s="30"/>
      <c r="U6" s="30"/>
      <c r="V6" s="30"/>
      <c r="W6" s="29"/>
    </row>
    <row r="7" spans="1:23">
      <c r="H7" s="5"/>
      <c r="I7" s="5"/>
      <c r="J7" s="5"/>
      <c r="K7" s="5"/>
      <c r="L7" s="29"/>
      <c r="M7" s="30"/>
      <c r="N7" s="30"/>
      <c r="O7" s="30"/>
      <c r="P7" s="30"/>
      <c r="Q7" s="30"/>
      <c r="R7" s="30"/>
      <c r="S7" s="30"/>
      <c r="T7" s="30"/>
      <c r="U7" s="30"/>
      <c r="V7" s="30"/>
      <c r="W7" s="29"/>
    </row>
    <row r="8" spans="1:23" ht="15" customHeight="1">
      <c r="A8" s="72" t="s">
        <v>0</v>
      </c>
      <c r="B8" s="72"/>
      <c r="C8" s="73"/>
      <c r="D8" s="73"/>
      <c r="E8" s="73"/>
      <c r="F8" s="73"/>
      <c r="G8" s="73"/>
      <c r="H8" s="73"/>
      <c r="I8" s="73"/>
      <c r="J8" s="73"/>
      <c r="K8" s="73"/>
      <c r="L8" s="29"/>
      <c r="M8" s="30"/>
      <c r="N8" s="30"/>
      <c r="O8" s="30"/>
      <c r="P8" s="30"/>
      <c r="Q8" s="30"/>
      <c r="R8" s="30"/>
      <c r="S8" s="30"/>
      <c r="T8" s="30"/>
      <c r="U8" s="30"/>
      <c r="V8" s="30"/>
      <c r="W8" s="29"/>
    </row>
    <row r="9" spans="1:23" ht="15" customHeight="1">
      <c r="A9" s="73" t="s">
        <v>73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29"/>
      <c r="M9" s="30"/>
      <c r="N9" s="30"/>
      <c r="O9" s="30"/>
      <c r="P9" s="30"/>
      <c r="Q9" s="30"/>
      <c r="R9" s="30"/>
      <c r="S9" s="30"/>
      <c r="T9" s="30"/>
      <c r="U9" s="30"/>
      <c r="V9" s="30"/>
      <c r="W9" s="29"/>
    </row>
    <row r="10" spans="1:23" ht="15" customHeight="1">
      <c r="A10" s="73" t="s">
        <v>1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29"/>
    </row>
    <row r="11" spans="1:23" ht="15" customHeight="1">
      <c r="A11" s="73" t="s">
        <v>38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29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29"/>
    </row>
    <row r="12" spans="1:23" ht="15" customHeight="1">
      <c r="A12" s="73" t="s">
        <v>2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29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29"/>
    </row>
    <row r="13" spans="1:23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  <c r="L13" s="29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29"/>
    </row>
    <row r="14" spans="1:23">
      <c r="A14" s="52" t="s">
        <v>3</v>
      </c>
      <c r="B14" s="10"/>
      <c r="C14" s="10"/>
      <c r="D14" s="53" t="s">
        <v>4</v>
      </c>
      <c r="E14" s="10" t="s">
        <v>5</v>
      </c>
      <c r="F14" s="11"/>
      <c r="G14" s="10"/>
      <c r="H14" s="12"/>
      <c r="I14" s="12"/>
      <c r="J14" s="12"/>
      <c r="K14" s="9"/>
      <c r="L14" s="29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29"/>
    </row>
    <row r="15" spans="1:23">
      <c r="A15" s="52" t="s">
        <v>6</v>
      </c>
      <c r="B15" s="10"/>
      <c r="C15" s="10"/>
      <c r="D15" s="53" t="s">
        <v>4</v>
      </c>
      <c r="E15" s="10" t="s">
        <v>7</v>
      </c>
      <c r="F15" s="11"/>
      <c r="G15" s="10"/>
      <c r="H15" s="12"/>
      <c r="I15" s="12"/>
      <c r="J15" s="12"/>
      <c r="K15" s="9"/>
      <c r="L15" s="29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29"/>
    </row>
    <row r="16" spans="1:23">
      <c r="A16" s="52" t="s">
        <v>8</v>
      </c>
      <c r="B16" s="10"/>
      <c r="C16" s="10"/>
      <c r="D16" s="53" t="s">
        <v>4</v>
      </c>
      <c r="E16" s="13">
        <v>2026</v>
      </c>
      <c r="F16" s="11"/>
      <c r="G16" s="13"/>
      <c r="H16" s="12"/>
      <c r="I16" s="12"/>
      <c r="J16" s="12"/>
      <c r="K16" s="9"/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29"/>
    </row>
    <row r="17" spans="1:23">
      <c r="A17" s="52" t="s">
        <v>9</v>
      </c>
      <c r="B17" s="10"/>
      <c r="C17" s="10"/>
      <c r="D17" s="53" t="s">
        <v>4</v>
      </c>
      <c r="E17" s="14">
        <f>J28</f>
        <v>204000</v>
      </c>
      <c r="F17" s="11"/>
      <c r="G17" s="14"/>
      <c r="H17" s="12"/>
      <c r="I17" s="12"/>
      <c r="J17" s="12"/>
      <c r="K17" s="9"/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29"/>
    </row>
    <row r="18" spans="1:23" ht="15.75">
      <c r="A18" s="10"/>
      <c r="B18" s="10"/>
      <c r="C18" s="15" t="s">
        <v>10</v>
      </c>
      <c r="D18" s="53" t="s">
        <v>4</v>
      </c>
      <c r="E18" s="1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Empat Ribu Rupiah</v>
      </c>
      <c r="F18" s="11"/>
      <c r="G18" s="16"/>
      <c r="H18" s="12"/>
      <c r="I18" s="12"/>
      <c r="J18" s="12"/>
      <c r="K18" s="9"/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9"/>
    </row>
    <row r="19" spans="1:23" ht="15.75">
      <c r="A19" s="10"/>
      <c r="B19" s="10"/>
      <c r="C19" s="15"/>
      <c r="D19" s="15"/>
      <c r="E19" s="15"/>
      <c r="F19" s="11"/>
      <c r="G19" s="16"/>
      <c r="H19" s="12"/>
      <c r="I19" s="12"/>
      <c r="J19" s="12"/>
      <c r="K19" s="9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9"/>
    </row>
    <row r="20" spans="1:23">
      <c r="A20" s="10" t="s">
        <v>11</v>
      </c>
      <c r="B20" s="10"/>
      <c r="C20" s="10"/>
      <c r="D20" s="10"/>
      <c r="E20" s="10"/>
      <c r="F20" s="10"/>
      <c r="G20" s="10"/>
      <c r="H20" s="12"/>
      <c r="I20" s="12"/>
      <c r="J20" s="12"/>
      <c r="K20" s="9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9"/>
    </row>
    <row r="21" spans="1:23">
      <c r="A21" s="74" t="s">
        <v>12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9"/>
    </row>
    <row r="22" spans="1:23" ht="61.5" customHeight="1">
      <c r="A22" s="17" t="s">
        <v>13</v>
      </c>
      <c r="B22" s="18" t="s">
        <v>14</v>
      </c>
      <c r="C22" s="59" t="s">
        <v>15</v>
      </c>
      <c r="D22" s="60"/>
      <c r="E22" s="61"/>
      <c r="F22" s="19"/>
      <c r="G22" s="20" t="s">
        <v>16</v>
      </c>
      <c r="H22" s="21" t="s">
        <v>35</v>
      </c>
      <c r="I22" s="21"/>
      <c r="J22" s="31" t="s">
        <v>17</v>
      </c>
      <c r="K22" s="32" t="s">
        <v>18</v>
      </c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9"/>
    </row>
    <row r="23" spans="1:23">
      <c r="A23" s="27">
        <v>1</v>
      </c>
      <c r="B23" s="24"/>
      <c r="C23" s="28" t="s">
        <v>23</v>
      </c>
      <c r="D23" s="57"/>
      <c r="E23" s="26"/>
      <c r="F23" s="25"/>
      <c r="G23" s="54" t="s">
        <v>19</v>
      </c>
      <c r="H23" s="54" t="s">
        <v>19</v>
      </c>
      <c r="I23" s="54"/>
      <c r="J23" s="54" t="s">
        <v>19</v>
      </c>
      <c r="K23" s="54" t="s">
        <v>19</v>
      </c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9"/>
    </row>
    <row r="24" spans="1:23">
      <c r="A24" s="24"/>
      <c r="B24" s="55" t="s">
        <v>20</v>
      </c>
      <c r="C24" s="25" t="s">
        <v>24</v>
      </c>
      <c r="D24" s="10"/>
      <c r="E24" s="26"/>
      <c r="F24" s="25"/>
      <c r="G24" s="23">
        <v>45000000</v>
      </c>
      <c r="H24" s="56">
        <f>JANUARI!H898+JANUARI!J898</f>
        <v>2722700</v>
      </c>
      <c r="I24" s="56"/>
      <c r="J24" s="56">
        <v>0</v>
      </c>
      <c r="K24" s="58">
        <f t="shared" ref="K24:K27" si="0">G24-H24-J24</f>
        <v>42277300</v>
      </c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29"/>
    </row>
    <row r="25" spans="1:23" ht="28.5" customHeight="1">
      <c r="A25" s="24"/>
      <c r="B25" s="55" t="s">
        <v>21</v>
      </c>
      <c r="C25" s="62" t="s">
        <v>39</v>
      </c>
      <c r="D25" s="63"/>
      <c r="E25" s="64"/>
      <c r="F25" s="25"/>
      <c r="G25" s="23">
        <v>35000000</v>
      </c>
      <c r="H25" s="56">
        <f>JANUARI!H899+JANUARI!J899</f>
        <v>2906000</v>
      </c>
      <c r="I25" s="56"/>
      <c r="J25" s="56">
        <v>204000</v>
      </c>
      <c r="K25" s="58">
        <f t="shared" si="0"/>
        <v>31890000</v>
      </c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9"/>
    </row>
    <row r="26" spans="1:23">
      <c r="A26" s="24"/>
      <c r="B26" s="55" t="s">
        <v>22</v>
      </c>
      <c r="C26" s="65" t="s">
        <v>40</v>
      </c>
      <c r="D26" s="66"/>
      <c r="E26" s="67"/>
      <c r="F26" s="25"/>
      <c r="G26" s="23">
        <v>30000000</v>
      </c>
      <c r="H26" s="56">
        <f>JANUARI!H900+JANUARI!J900</f>
        <v>500000</v>
      </c>
      <c r="I26" s="22"/>
      <c r="J26" s="22">
        <v>0</v>
      </c>
      <c r="K26" s="33">
        <f t="shared" si="0"/>
        <v>29500000</v>
      </c>
      <c r="L26" s="29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9"/>
    </row>
    <row r="27" spans="1:23">
      <c r="A27" s="24"/>
      <c r="B27" s="55" t="s">
        <v>36</v>
      </c>
      <c r="C27" s="68" t="s">
        <v>41</v>
      </c>
      <c r="D27" s="69"/>
      <c r="E27" s="70"/>
      <c r="F27" s="25"/>
      <c r="G27" s="23">
        <v>28125000</v>
      </c>
      <c r="H27" s="56">
        <f>JANUARI!H901+JANUARI!J901</f>
        <v>1417650</v>
      </c>
      <c r="I27" s="22"/>
      <c r="J27" s="22">
        <v>0</v>
      </c>
      <c r="K27" s="33">
        <f t="shared" si="0"/>
        <v>26707350</v>
      </c>
      <c r="L27" s="29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9"/>
    </row>
    <row r="28" spans="1:23" ht="14.25" customHeight="1">
      <c r="A28" s="34"/>
      <c r="B28" s="34"/>
      <c r="C28" s="34" t="s">
        <v>25</v>
      </c>
      <c r="D28" s="34"/>
      <c r="E28" s="34"/>
      <c r="F28" s="35"/>
      <c r="G28" s="36">
        <f>SUM(G23:G27)</f>
        <v>138125000</v>
      </c>
      <c r="H28" s="37">
        <f>SUM(H23:H27)</f>
        <v>7546350</v>
      </c>
      <c r="I28" s="37"/>
      <c r="J28" s="37">
        <f>SUM(J23:J27)</f>
        <v>204000</v>
      </c>
      <c r="K28" s="37">
        <f>SUM(K23:K27)</f>
        <v>130374650</v>
      </c>
      <c r="L28" s="2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9"/>
    </row>
    <row r="29" spans="1:23">
      <c r="A29" s="38"/>
      <c r="B29" s="8"/>
      <c r="C29" s="8"/>
      <c r="D29" s="8"/>
      <c r="E29" s="8"/>
      <c r="F29" s="8"/>
      <c r="G29" s="39"/>
      <c r="H29" s="39"/>
      <c r="I29" s="39"/>
      <c r="J29" s="39"/>
      <c r="K29" s="39"/>
      <c r="L29" s="29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9"/>
    </row>
    <row r="30" spans="1:23">
      <c r="A30" s="71" t="s">
        <v>26</v>
      </c>
      <c r="B30" s="71"/>
      <c r="C30" s="71"/>
      <c r="D30" s="11" t="s">
        <v>4</v>
      </c>
      <c r="E30" s="14">
        <f>J28</f>
        <v>204000</v>
      </c>
      <c r="F30" s="40"/>
      <c r="G30" s="41"/>
      <c r="H30" s="41"/>
      <c r="I30" s="41"/>
      <c r="J30" s="9"/>
      <c r="K30" s="9"/>
      <c r="L30" s="29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29"/>
    </row>
    <row r="31" spans="1:23">
      <c r="A31" s="10" t="s">
        <v>27</v>
      </c>
      <c r="B31" s="10"/>
      <c r="C31" s="10"/>
      <c r="D31" s="11" t="s">
        <v>4</v>
      </c>
      <c r="E31" s="42"/>
      <c r="F31" s="42"/>
      <c r="G31" s="43"/>
      <c r="H31" s="12"/>
      <c r="I31" s="12"/>
      <c r="J31" s="9"/>
      <c r="K31" s="9"/>
      <c r="L31" s="29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29"/>
    </row>
    <row r="32" spans="1:23">
      <c r="A32" s="10" t="s">
        <v>28</v>
      </c>
      <c r="B32" s="10"/>
      <c r="C32" s="10"/>
      <c r="D32" s="11" t="s">
        <v>4</v>
      </c>
      <c r="E32" s="44"/>
      <c r="F32" s="44"/>
      <c r="G32" s="43"/>
      <c r="H32" s="12"/>
      <c r="I32" s="12"/>
      <c r="J32" s="9"/>
      <c r="K32" s="9"/>
      <c r="L32" s="29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9"/>
    </row>
    <row r="33" spans="1:23">
      <c r="A33" s="10" t="s">
        <v>29</v>
      </c>
      <c r="B33" s="10"/>
      <c r="C33" s="10"/>
      <c r="D33" s="11" t="s">
        <v>4</v>
      </c>
      <c r="E33" s="44">
        <f>E31+E32</f>
        <v>0</v>
      </c>
      <c r="F33" s="44"/>
      <c r="G33" s="10"/>
      <c r="H33" s="12"/>
      <c r="I33" s="12"/>
      <c r="J33" s="46"/>
      <c r="K33" s="46"/>
      <c r="L33" s="29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9"/>
    </row>
    <row r="34" spans="1:23">
      <c r="A34" s="13"/>
      <c r="B34" s="13"/>
      <c r="C34" s="13"/>
      <c r="D34" s="11"/>
      <c r="E34" s="13"/>
      <c r="F34" s="13"/>
      <c r="G34" s="10"/>
      <c r="H34" s="12"/>
      <c r="I34" s="12"/>
      <c r="J34" s="46"/>
      <c r="K34" s="46"/>
      <c r="L34" s="2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9"/>
    </row>
    <row r="35" spans="1:23">
      <c r="A35" s="71" t="s">
        <v>30</v>
      </c>
      <c r="B35" s="71"/>
      <c r="C35" s="71"/>
      <c r="D35" s="11" t="s">
        <v>4</v>
      </c>
      <c r="E35" s="40">
        <f>E30-E33</f>
        <v>204000</v>
      </c>
      <c r="F35" s="40"/>
      <c r="G35" s="10"/>
      <c r="H35" s="12"/>
      <c r="I35" s="12"/>
      <c r="J35" s="46"/>
      <c r="K35" s="46"/>
      <c r="L35" s="29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29"/>
    </row>
    <row r="36" spans="1:23" ht="15.75">
      <c r="A36" s="13"/>
      <c r="B36" s="13"/>
      <c r="C36" s="10"/>
      <c r="D36" s="10"/>
      <c r="E36" s="16" t="str">
        <f>PROPER(IF(E35=0,"nol",IF(E35&lt;0,"minus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35),"000000000000000"),1,3)=0,"",MID(TEXT(ABS(E35),"000000000000000"),1,1)&amp;" ratus "&amp;MID(TEXT(ABS(E35),"000000000000000"),2,1)&amp;" puluh "&amp;MID(TEXT(ABS(E35),"000000000000000"),3,1)&amp;" trilyun ")&amp;IF(--MID(TEXT(ABS(E35),"000000000000000"),4,3)=0,"",MID(TEXT(ABS(E35),"000000000000000"),4,1)&amp;" ratus "&amp;MID(TEXT(ABS(E35),"000000000000000"),5,1)&amp;" puluh "&amp;MID(TEXT(ABS(E35),"000000000000000"),6,1)&amp;" milyar ")&amp;IF(--MID(TEXT(ABS(E35),"000000000000000"),7,3)=0,"",MID(TEXT(ABS(E35),"000000000000000"),7,1)&amp;" ratus "&amp;MID(TEXT(ABS(E35),"000000000000000"),8,1)&amp;" puluh "&amp;MID(TEXT(ABS(E35),"000000000000000"),9,1)&amp;" juta ")&amp;IF(--MID(TEXT(ABS(E35),"000000000000000"),10,3)=0,"",IF(--MID(TEXT(ABS(E35),"000000000000000"),10,3)=1,"*",MID(TEXT(ABS(E35),"000000000000000"),10,1)&amp;" ratus "&amp;MID(TEXT(ABS(E35),"000000000000000"),11,1)&amp;" puluh ")&amp;MID(TEXT(ABS(E35),"000000000000000"),12,1)&amp;" ribu ")&amp;IF(--MID(TEXT(ABS(E35),"000000000000000"),13,3)=0,"",MID(TEXT(ABS(E35),"000000000000000"),13,1)&amp;" ratus "&amp;MID(TEXT(ABS(E35),"000000000000000"),14,1)&amp;" puluh "&amp;MID(TEXT(ABS(E35),"000000000000000"),15,1)),1,"satu"),2,"dua"),3,"tiga"),4,"empat"),5,"lima"),6,"enam"),7,"tujuh"),8,"delapan"),9,"sembilan"),"0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Empat Ribu Rupiah</v>
      </c>
      <c r="F36" s="10"/>
      <c r="G36" s="10"/>
      <c r="H36" s="10"/>
      <c r="I36" s="10"/>
      <c r="J36" s="46"/>
      <c r="K36" s="46"/>
      <c r="L36" s="29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29"/>
    </row>
    <row r="37" spans="1:23">
      <c r="A37" s="45"/>
      <c r="B37" s="45"/>
      <c r="C37" s="45"/>
      <c r="D37" s="45"/>
      <c r="E37" s="45"/>
      <c r="F37" s="45"/>
      <c r="G37" s="29"/>
      <c r="H37" s="46"/>
      <c r="I37" s="46"/>
      <c r="J37" s="46"/>
      <c r="K37" s="46"/>
      <c r="L37" s="29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29"/>
    </row>
    <row r="38" spans="1:23">
      <c r="A38" s="29"/>
      <c r="B38" s="29"/>
      <c r="C38" s="29"/>
      <c r="D38" s="29"/>
      <c r="E38" s="29"/>
      <c r="F38" s="29"/>
      <c r="G38" s="29"/>
      <c r="H38"/>
      <c r="I38"/>
      <c r="J38" s="46"/>
      <c r="K38" s="46"/>
      <c r="L38" s="29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29"/>
    </row>
    <row r="39" spans="1:23">
      <c r="A39" s="13"/>
      <c r="B39" s="13"/>
      <c r="C39" s="10"/>
      <c r="D39" s="10"/>
      <c r="E39" s="10"/>
      <c r="F39" s="10"/>
      <c r="G39" s="10"/>
      <c r="I39" s="47"/>
      <c r="J39" s="47" t="s">
        <v>74</v>
      </c>
      <c r="K39" s="46"/>
      <c r="L39" s="29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29"/>
    </row>
    <row r="40" spans="1:23">
      <c r="A40" s="12" t="s">
        <v>31</v>
      </c>
      <c r="B40" s="10"/>
      <c r="C40" s="10"/>
      <c r="D40" s="10"/>
      <c r="E40" s="10"/>
      <c r="F40" s="10"/>
      <c r="G40" s="10"/>
      <c r="I40" s="12"/>
      <c r="J40" s="12" t="s">
        <v>32</v>
      </c>
      <c r="K40" s="46"/>
      <c r="L40" s="29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29"/>
    </row>
    <row r="41" spans="1:23">
      <c r="A41" s="10"/>
      <c r="B41" s="10"/>
      <c r="C41" s="10"/>
      <c r="D41" s="10"/>
      <c r="E41" s="10"/>
      <c r="F41" s="10"/>
      <c r="G41" s="10"/>
      <c r="I41" s="12"/>
      <c r="J41" s="12"/>
      <c r="K41" s="46"/>
      <c r="L41" s="29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29"/>
    </row>
    <row r="42" spans="1:23">
      <c r="A42" s="10"/>
      <c r="B42" s="10"/>
      <c r="C42" s="10"/>
      <c r="D42" s="10"/>
      <c r="E42" s="10"/>
      <c r="F42" s="10"/>
      <c r="G42" s="10"/>
      <c r="I42" s="12"/>
      <c r="J42" s="12"/>
      <c r="K42" s="46"/>
      <c r="L42" s="29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29"/>
    </row>
    <row r="43" spans="1:23">
      <c r="A43" s="10"/>
      <c r="B43" s="10"/>
      <c r="C43" s="10"/>
      <c r="D43" s="10"/>
      <c r="E43" s="10"/>
      <c r="F43" s="10"/>
      <c r="G43" s="10"/>
      <c r="I43" s="12"/>
      <c r="J43" s="12"/>
      <c r="K43" s="46"/>
      <c r="L43" s="29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29"/>
    </row>
    <row r="44" spans="1:23">
      <c r="A44" s="10"/>
      <c r="B44" s="10"/>
      <c r="C44" s="10"/>
      <c r="D44" s="10"/>
      <c r="E44" s="10"/>
      <c r="F44" s="10"/>
      <c r="G44" s="10"/>
      <c r="I44" s="12"/>
      <c r="J44" s="12"/>
      <c r="K44" s="46"/>
      <c r="L44" s="29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29"/>
    </row>
    <row r="45" spans="1:23">
      <c r="A45" s="48" t="s">
        <v>37</v>
      </c>
      <c r="B45" s="48"/>
      <c r="C45" s="49"/>
      <c r="D45" s="49"/>
      <c r="E45" s="49"/>
      <c r="F45" s="49"/>
      <c r="G45" s="10" t="s">
        <v>33</v>
      </c>
      <c r="I45" s="48"/>
      <c r="J45" s="48" t="s">
        <v>34</v>
      </c>
      <c r="K45" s="46"/>
      <c r="L45" s="29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29"/>
    </row>
    <row r="46" spans="1:23">
      <c r="A46" s="50"/>
      <c r="B46" s="50"/>
      <c r="C46" s="51"/>
      <c r="D46" s="51"/>
      <c r="E46" s="51"/>
      <c r="F46" s="51"/>
      <c r="G46" s="51"/>
      <c r="H46" s="50"/>
      <c r="I46" s="50"/>
      <c r="J46" s="50"/>
      <c r="K46" s="46"/>
      <c r="L46" s="29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29"/>
    </row>
    <row r="50" spans="1:11" ht="15.75">
      <c r="C50" s="2"/>
      <c r="D50" s="2"/>
      <c r="E50" s="2"/>
      <c r="F50" s="2"/>
    </row>
    <row r="51" spans="1:11" ht="15.75">
      <c r="A51" s="3"/>
      <c r="B51" s="3"/>
      <c r="C51" s="2"/>
      <c r="D51" s="2"/>
      <c r="E51" s="2"/>
      <c r="F51" s="2"/>
      <c r="G51" s="3"/>
      <c r="H51" s="4"/>
      <c r="I51" s="4"/>
      <c r="J51" s="4"/>
      <c r="K51" s="5"/>
    </row>
    <row r="52" spans="1:11">
      <c r="H52" s="5"/>
      <c r="I52" s="5"/>
      <c r="J52" s="5"/>
      <c r="K52" s="5"/>
    </row>
    <row r="53" spans="1:11">
      <c r="H53" s="5"/>
      <c r="I53" s="5"/>
      <c r="J53" s="5"/>
      <c r="K53" s="5"/>
    </row>
    <row r="54" spans="1:11">
      <c r="A54" s="72" t="s">
        <v>0</v>
      </c>
      <c r="B54" s="72"/>
      <c r="C54" s="73"/>
      <c r="D54" s="73"/>
      <c r="E54" s="73"/>
      <c r="F54" s="73"/>
      <c r="G54" s="73"/>
      <c r="H54" s="73"/>
      <c r="I54" s="73"/>
      <c r="J54" s="73"/>
      <c r="K54" s="73"/>
    </row>
    <row r="55" spans="1:11">
      <c r="A55" s="73" t="s">
        <v>75</v>
      </c>
      <c r="B55" s="73"/>
      <c r="C55" s="73"/>
      <c r="D55" s="73"/>
      <c r="E55" s="73"/>
      <c r="F55" s="73"/>
      <c r="G55" s="73"/>
      <c r="H55" s="73"/>
      <c r="I55" s="73"/>
      <c r="J55" s="73"/>
      <c r="K55" s="73"/>
    </row>
    <row r="56" spans="1:11">
      <c r="A56" s="73" t="s">
        <v>1</v>
      </c>
      <c r="B56" s="73"/>
      <c r="C56" s="73"/>
      <c r="D56" s="73"/>
      <c r="E56" s="73"/>
      <c r="F56" s="73"/>
      <c r="G56" s="73"/>
      <c r="H56" s="73"/>
      <c r="I56" s="73"/>
      <c r="J56" s="73"/>
      <c r="K56" s="73"/>
    </row>
    <row r="57" spans="1:11">
      <c r="A57" s="73" t="s">
        <v>38</v>
      </c>
      <c r="B57" s="73"/>
      <c r="C57" s="73"/>
      <c r="D57" s="73"/>
      <c r="E57" s="73"/>
      <c r="F57" s="73"/>
      <c r="G57" s="73"/>
      <c r="H57" s="73"/>
      <c r="I57" s="73"/>
      <c r="J57" s="73"/>
      <c r="K57" s="73"/>
    </row>
    <row r="58" spans="1:11">
      <c r="A58" s="73" t="s">
        <v>2</v>
      </c>
      <c r="B58" s="73"/>
      <c r="C58" s="73"/>
      <c r="D58" s="73"/>
      <c r="E58" s="73"/>
      <c r="F58" s="73"/>
      <c r="G58" s="73"/>
      <c r="H58" s="73"/>
      <c r="I58" s="73"/>
      <c r="J58" s="73"/>
      <c r="K58" s="73"/>
    </row>
    <row r="59" spans="1:11">
      <c r="A59" s="6"/>
      <c r="B59" s="6"/>
      <c r="C59" s="7"/>
      <c r="D59" s="7"/>
      <c r="E59" s="7"/>
      <c r="F59" s="7"/>
      <c r="G59" s="8"/>
      <c r="H59" s="9"/>
      <c r="I59" s="9"/>
      <c r="J59" s="9"/>
      <c r="K59" s="9"/>
    </row>
    <row r="60" spans="1:11">
      <c r="A60" s="52" t="s">
        <v>3</v>
      </c>
      <c r="B60" s="10"/>
      <c r="C60" s="10"/>
      <c r="D60" s="53" t="s">
        <v>4</v>
      </c>
      <c r="E60" s="10" t="s">
        <v>5</v>
      </c>
      <c r="F60" s="11"/>
      <c r="G60" s="10"/>
      <c r="H60" s="12"/>
      <c r="I60" s="12"/>
      <c r="J60" s="12"/>
      <c r="K60" s="9"/>
    </row>
    <row r="61" spans="1:11">
      <c r="A61" s="52" t="s">
        <v>6</v>
      </c>
      <c r="B61" s="10"/>
      <c r="C61" s="10"/>
      <c r="D61" s="53" t="s">
        <v>4</v>
      </c>
      <c r="E61" s="10" t="s">
        <v>7</v>
      </c>
      <c r="F61" s="11"/>
      <c r="G61" s="10"/>
      <c r="H61" s="12"/>
      <c r="I61" s="12"/>
      <c r="J61" s="12"/>
      <c r="K61" s="9"/>
    </row>
    <row r="62" spans="1:11">
      <c r="A62" s="52" t="s">
        <v>8</v>
      </c>
      <c r="B62" s="10"/>
      <c r="C62" s="10"/>
      <c r="D62" s="53" t="s">
        <v>4</v>
      </c>
      <c r="E62" s="13">
        <v>2026</v>
      </c>
      <c r="F62" s="11"/>
      <c r="G62" s="13"/>
      <c r="H62" s="12"/>
      <c r="I62" s="12"/>
      <c r="J62" s="12"/>
      <c r="K62" s="9"/>
    </row>
    <row r="63" spans="1:11">
      <c r="A63" s="52" t="s">
        <v>9</v>
      </c>
      <c r="B63" s="10"/>
      <c r="C63" s="10"/>
      <c r="D63" s="53" t="s">
        <v>4</v>
      </c>
      <c r="E63" s="14">
        <f>J74</f>
        <v>194000</v>
      </c>
      <c r="F63" s="11"/>
      <c r="G63" s="14"/>
      <c r="H63" s="12"/>
      <c r="I63" s="12"/>
      <c r="J63" s="12"/>
      <c r="K63" s="9"/>
    </row>
    <row r="64" spans="1:11" ht="15.75">
      <c r="A64" s="10"/>
      <c r="B64" s="10"/>
      <c r="C64" s="15" t="s">
        <v>10</v>
      </c>
      <c r="D64" s="53" t="s">
        <v>4</v>
      </c>
      <c r="E64" s="16" t="str">
        <f>PROPER(IF(E63=0,"nol",IF(E63&lt;0,"minus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63),"000000000000000"),1,3)=0,"",MID(TEXT(ABS(E63),"000000000000000"),1,1)&amp;" ratus "&amp;MID(TEXT(ABS(E63),"000000000000000"),2,1)&amp;" puluh "&amp;MID(TEXT(ABS(E63),"000000000000000"),3,1)&amp;" trilyun ")&amp;IF(--MID(TEXT(ABS(E63),"000000000000000"),4,3)=0,"",MID(TEXT(ABS(E63),"000000000000000"),4,1)&amp;" ratus "&amp;MID(TEXT(ABS(E63),"000000000000000"),5,1)&amp;" puluh "&amp;MID(TEXT(ABS(E63),"000000000000000"),6,1)&amp;" milyar ")&amp;IF(--MID(TEXT(ABS(E63),"000000000000000"),7,3)=0,"",MID(TEXT(ABS(E63),"000000000000000"),7,1)&amp;" ratus "&amp;MID(TEXT(ABS(E63),"000000000000000"),8,1)&amp;" puluh "&amp;MID(TEXT(ABS(E63),"000000000000000"),9,1)&amp;" juta ")&amp;IF(--MID(TEXT(ABS(E63),"000000000000000"),10,3)=0,"",IF(--MID(TEXT(ABS(E63),"000000000000000"),10,3)=1,"*",MID(TEXT(ABS(E63),"000000000000000"),10,1)&amp;" ratus "&amp;MID(TEXT(ABS(E63),"000000000000000"),11,1)&amp;" puluh ")&amp;MID(TEXT(ABS(E63),"000000000000000"),12,1)&amp;" ribu ")&amp;IF(--MID(TEXT(ABS(E63),"000000000000000"),13,3)=0,"",MID(TEXT(ABS(E63),"000000000000000"),13,1)&amp;" ratus "&amp;MID(TEXT(ABS(E63),"000000000000000"),14,1)&amp;" puluh "&amp;MID(TEXT(ABS(E63),"000000000000000"),15,1)),1,"satu"),2,"dua"),3,"tiga"),4,"empat"),5,"lima"),6,"enam"),7,"tujuh"),8,"delapan"),9,"sembilan"),"0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Sembilan Puluh Empat Ribu Rupiah</v>
      </c>
      <c r="F64" s="11"/>
      <c r="G64" s="16"/>
      <c r="H64" s="12"/>
      <c r="I64" s="12"/>
      <c r="J64" s="12"/>
      <c r="K64" s="9"/>
    </row>
    <row r="65" spans="1:11" ht="15.75">
      <c r="A65" s="10"/>
      <c r="B65" s="10"/>
      <c r="C65" s="15"/>
      <c r="D65" s="15"/>
      <c r="E65" s="15"/>
      <c r="F65" s="11"/>
      <c r="G65" s="16"/>
      <c r="H65" s="12"/>
      <c r="I65" s="12"/>
      <c r="J65" s="12"/>
      <c r="K65" s="9"/>
    </row>
    <row r="66" spans="1:11">
      <c r="A66" s="10" t="s">
        <v>11</v>
      </c>
      <c r="B66" s="10"/>
      <c r="C66" s="10"/>
      <c r="D66" s="10"/>
      <c r="E66" s="10"/>
      <c r="F66" s="10"/>
      <c r="G66" s="10"/>
      <c r="H66" s="12"/>
      <c r="I66" s="12"/>
      <c r="J66" s="12"/>
      <c r="K66" s="9"/>
    </row>
    <row r="67" spans="1:11">
      <c r="A67" s="74" t="s">
        <v>12</v>
      </c>
      <c r="B67" s="74"/>
      <c r="C67" s="74"/>
      <c r="D67" s="74"/>
      <c r="E67" s="74"/>
      <c r="F67" s="74"/>
      <c r="G67" s="74"/>
      <c r="H67" s="74"/>
      <c r="I67" s="74"/>
      <c r="J67" s="74"/>
      <c r="K67" s="74"/>
    </row>
    <row r="68" spans="1:11" ht="60">
      <c r="A68" s="17" t="s">
        <v>13</v>
      </c>
      <c r="B68" s="18" t="s">
        <v>14</v>
      </c>
      <c r="C68" s="59" t="s">
        <v>15</v>
      </c>
      <c r="D68" s="60"/>
      <c r="E68" s="61"/>
      <c r="F68" s="19"/>
      <c r="G68" s="20" t="s">
        <v>16</v>
      </c>
      <c r="H68" s="21" t="s">
        <v>35</v>
      </c>
      <c r="I68" s="21"/>
      <c r="J68" s="31" t="s">
        <v>17</v>
      </c>
      <c r="K68" s="32" t="s">
        <v>18</v>
      </c>
    </row>
    <row r="69" spans="1:11">
      <c r="A69" s="27">
        <v>1</v>
      </c>
      <c r="B69" s="24"/>
      <c r="C69" s="28" t="s">
        <v>23</v>
      </c>
      <c r="D69" s="57"/>
      <c r="E69" s="26"/>
      <c r="F69" s="25"/>
      <c r="G69" s="54" t="s">
        <v>19</v>
      </c>
      <c r="H69" s="54" t="s">
        <v>19</v>
      </c>
      <c r="I69" s="54"/>
      <c r="J69" s="54" t="s">
        <v>19</v>
      </c>
      <c r="K69" s="54" t="s">
        <v>19</v>
      </c>
    </row>
    <row r="70" spans="1:11">
      <c r="A70" s="24"/>
      <c r="B70" s="55" t="s">
        <v>20</v>
      </c>
      <c r="C70" s="25" t="s">
        <v>24</v>
      </c>
      <c r="D70" s="10"/>
      <c r="E70" s="26"/>
      <c r="F70" s="25"/>
      <c r="G70" s="23">
        <v>45000000</v>
      </c>
      <c r="H70" s="56">
        <f>H24+J24</f>
        <v>2722700</v>
      </c>
      <c r="I70" s="56"/>
      <c r="J70" s="56">
        <v>0</v>
      </c>
      <c r="K70" s="58">
        <f t="shared" ref="K70:K73" si="1">G70-H70-J70</f>
        <v>42277300</v>
      </c>
    </row>
    <row r="71" spans="1:11" ht="27.75" customHeight="1">
      <c r="A71" s="24"/>
      <c r="B71" s="55" t="s">
        <v>21</v>
      </c>
      <c r="C71" s="62" t="s">
        <v>39</v>
      </c>
      <c r="D71" s="63"/>
      <c r="E71" s="64"/>
      <c r="F71" s="25"/>
      <c r="G71" s="23">
        <v>35000000</v>
      </c>
      <c r="H71" s="56">
        <f>H25+J25</f>
        <v>3110000</v>
      </c>
      <c r="I71" s="56"/>
      <c r="J71" s="56">
        <v>194000</v>
      </c>
      <c r="K71" s="58">
        <f t="shared" si="1"/>
        <v>31696000</v>
      </c>
    </row>
    <row r="72" spans="1:11">
      <c r="A72" s="24"/>
      <c r="B72" s="55" t="s">
        <v>22</v>
      </c>
      <c r="C72" s="65" t="s">
        <v>40</v>
      </c>
      <c r="D72" s="66"/>
      <c r="E72" s="67"/>
      <c r="F72" s="25"/>
      <c r="G72" s="23">
        <v>30000000</v>
      </c>
      <c r="H72" s="56">
        <f t="shared" ref="H72:H73" si="2">H26+J26</f>
        <v>500000</v>
      </c>
      <c r="I72" s="22"/>
      <c r="J72" s="22">
        <v>0</v>
      </c>
      <c r="K72" s="33">
        <f t="shared" si="1"/>
        <v>29500000</v>
      </c>
    </row>
    <row r="73" spans="1:11">
      <c r="A73" s="24"/>
      <c r="B73" s="55" t="s">
        <v>36</v>
      </c>
      <c r="C73" s="68" t="s">
        <v>41</v>
      </c>
      <c r="D73" s="69"/>
      <c r="E73" s="70"/>
      <c r="F73" s="25"/>
      <c r="G73" s="23">
        <v>28125000</v>
      </c>
      <c r="H73" s="56">
        <f t="shared" si="2"/>
        <v>1417650</v>
      </c>
      <c r="I73" s="22"/>
      <c r="J73" s="22">
        <v>0</v>
      </c>
      <c r="K73" s="33">
        <f t="shared" si="1"/>
        <v>26707350</v>
      </c>
    </row>
    <row r="74" spans="1:11">
      <c r="A74" s="34"/>
      <c r="B74" s="34"/>
      <c r="C74" s="34" t="s">
        <v>25</v>
      </c>
      <c r="D74" s="34"/>
      <c r="E74" s="34"/>
      <c r="F74" s="35"/>
      <c r="G74" s="36">
        <f>SUM(G69:G73)</f>
        <v>138125000</v>
      </c>
      <c r="H74" s="37">
        <f>SUM(H69:H73)</f>
        <v>7750350</v>
      </c>
      <c r="I74" s="37"/>
      <c r="J74" s="37">
        <f>SUM(J69:J73)</f>
        <v>194000</v>
      </c>
      <c r="K74" s="37">
        <f>SUM(K69:K73)</f>
        <v>130180650</v>
      </c>
    </row>
    <row r="75" spans="1:11">
      <c r="A75" s="38"/>
      <c r="B75" s="8"/>
      <c r="C75" s="8"/>
      <c r="D75" s="8"/>
      <c r="E75" s="8"/>
      <c r="F75" s="8"/>
      <c r="G75" s="39"/>
      <c r="H75" s="39"/>
      <c r="I75" s="39"/>
      <c r="J75" s="39"/>
      <c r="K75" s="39"/>
    </row>
    <row r="76" spans="1:11">
      <c r="A76" s="71" t="s">
        <v>26</v>
      </c>
      <c r="B76" s="71"/>
      <c r="C76" s="71"/>
      <c r="D76" s="11" t="s">
        <v>4</v>
      </c>
      <c r="E76" s="14">
        <f>J74</f>
        <v>194000</v>
      </c>
      <c r="F76" s="40"/>
      <c r="G76" s="41"/>
      <c r="H76" s="41"/>
      <c r="I76" s="41"/>
      <c r="J76" s="9"/>
      <c r="K76" s="9"/>
    </row>
    <row r="77" spans="1:11">
      <c r="A77" s="10" t="s">
        <v>27</v>
      </c>
      <c r="B77" s="10"/>
      <c r="C77" s="10"/>
      <c r="D77" s="11" t="s">
        <v>4</v>
      </c>
      <c r="E77" s="42"/>
      <c r="F77" s="42"/>
      <c r="G77" s="43"/>
      <c r="H77" s="12"/>
      <c r="I77" s="12"/>
      <c r="J77" s="9"/>
      <c r="K77" s="9"/>
    </row>
    <row r="78" spans="1:11">
      <c r="A78" s="10" t="s">
        <v>28</v>
      </c>
      <c r="B78" s="10"/>
      <c r="C78" s="10"/>
      <c r="D78" s="11" t="s">
        <v>4</v>
      </c>
      <c r="E78" s="44"/>
      <c r="F78" s="44"/>
      <c r="G78" s="43"/>
      <c r="H78" s="12"/>
      <c r="I78" s="12"/>
      <c r="J78" s="9"/>
      <c r="K78" s="9"/>
    </row>
    <row r="79" spans="1:11">
      <c r="A79" s="10" t="s">
        <v>29</v>
      </c>
      <c r="B79" s="10"/>
      <c r="C79" s="10"/>
      <c r="D79" s="11" t="s">
        <v>4</v>
      </c>
      <c r="E79" s="44">
        <f>E77+E78</f>
        <v>0</v>
      </c>
      <c r="F79" s="44"/>
      <c r="G79" s="10"/>
      <c r="H79" s="12"/>
      <c r="I79" s="12"/>
      <c r="J79" s="46"/>
      <c r="K79" s="46"/>
    </row>
    <row r="80" spans="1:11">
      <c r="A80" s="13"/>
      <c r="B80" s="13"/>
      <c r="C80" s="13"/>
      <c r="D80" s="11"/>
      <c r="E80" s="13"/>
      <c r="F80" s="13"/>
      <c r="G80" s="10"/>
      <c r="H80" s="12"/>
      <c r="I80" s="12"/>
      <c r="J80" s="46"/>
      <c r="K80" s="46"/>
    </row>
    <row r="81" spans="1:11">
      <c r="A81" s="71" t="s">
        <v>30</v>
      </c>
      <c r="B81" s="71"/>
      <c r="C81" s="71"/>
      <c r="D81" s="11" t="s">
        <v>4</v>
      </c>
      <c r="E81" s="40">
        <f>E76-E79</f>
        <v>194000</v>
      </c>
      <c r="F81" s="40"/>
      <c r="G81" s="10"/>
      <c r="H81" s="12"/>
      <c r="I81" s="12"/>
      <c r="J81" s="46"/>
      <c r="K81" s="46"/>
    </row>
    <row r="82" spans="1:11" ht="15.75">
      <c r="A82" s="13"/>
      <c r="B82" s="13"/>
      <c r="C82" s="10"/>
      <c r="D82" s="10"/>
      <c r="E82" s="16" t="str">
        <f>PROPER(IF(E81=0,"nol",IF(E81&lt;0,"minus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81),"000000000000000"),1,3)=0,"",MID(TEXT(ABS(E81),"000000000000000"),1,1)&amp;" ratus "&amp;MID(TEXT(ABS(E81),"000000000000000"),2,1)&amp;" puluh "&amp;MID(TEXT(ABS(E81),"000000000000000"),3,1)&amp;" trilyun ")&amp;IF(--MID(TEXT(ABS(E81),"000000000000000"),4,3)=0,"",MID(TEXT(ABS(E81),"000000000000000"),4,1)&amp;" ratus "&amp;MID(TEXT(ABS(E81),"000000000000000"),5,1)&amp;" puluh "&amp;MID(TEXT(ABS(E81),"000000000000000"),6,1)&amp;" milyar ")&amp;IF(--MID(TEXT(ABS(E81),"000000000000000"),7,3)=0,"",MID(TEXT(ABS(E81),"000000000000000"),7,1)&amp;" ratus "&amp;MID(TEXT(ABS(E81),"000000000000000"),8,1)&amp;" puluh "&amp;MID(TEXT(ABS(E81),"000000000000000"),9,1)&amp;" juta ")&amp;IF(--MID(TEXT(ABS(E81),"000000000000000"),10,3)=0,"",IF(--MID(TEXT(ABS(E81),"000000000000000"),10,3)=1,"*",MID(TEXT(ABS(E81),"000000000000000"),10,1)&amp;" ratus "&amp;MID(TEXT(ABS(E81),"000000000000000"),11,1)&amp;" puluh ")&amp;MID(TEXT(ABS(E81),"000000000000000"),12,1)&amp;" ribu ")&amp;IF(--MID(TEXT(ABS(E81),"000000000000000"),13,3)=0,"",MID(TEXT(ABS(E81),"000000000000000"),13,1)&amp;" ratus "&amp;MID(TEXT(ABS(E81),"000000000000000"),14,1)&amp;" puluh "&amp;MID(TEXT(ABS(E81),"000000000000000"),15,1)),1,"satu"),2,"dua"),3,"tiga"),4,"empat"),5,"lima"),6,"enam"),7,"tujuh"),8,"delapan"),9,"sembilan"),"0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Sembilan Puluh Empat Ribu Rupiah</v>
      </c>
      <c r="F82" s="10"/>
      <c r="G82" s="10"/>
      <c r="H82" s="10"/>
      <c r="I82" s="10"/>
      <c r="J82" s="46"/>
      <c r="K82" s="46"/>
    </row>
    <row r="83" spans="1:11">
      <c r="A83" s="45"/>
      <c r="B83" s="45"/>
      <c r="C83" s="45"/>
      <c r="D83" s="45"/>
      <c r="E83" s="45"/>
      <c r="F83" s="45"/>
      <c r="G83" s="29"/>
      <c r="H83" s="46"/>
      <c r="I83" s="46"/>
      <c r="J83" s="46"/>
      <c r="K83" s="46"/>
    </row>
    <row r="84" spans="1:11">
      <c r="A84" s="29"/>
      <c r="B84" s="29"/>
      <c r="C84" s="29"/>
      <c r="D84" s="29"/>
      <c r="E84" s="29"/>
      <c r="F84" s="29"/>
      <c r="G84" s="29"/>
      <c r="H84"/>
      <c r="I84"/>
      <c r="J84" s="46"/>
      <c r="K84" s="46"/>
    </row>
    <row r="85" spans="1:11">
      <c r="A85" s="13"/>
      <c r="B85" s="13"/>
      <c r="C85" s="10"/>
      <c r="D85" s="10"/>
      <c r="E85" s="10"/>
      <c r="F85" s="10"/>
      <c r="G85" s="10"/>
      <c r="I85" s="47"/>
      <c r="J85" s="47" t="s">
        <v>74</v>
      </c>
      <c r="K85" s="46"/>
    </row>
    <row r="86" spans="1:11">
      <c r="A86" s="12" t="s">
        <v>31</v>
      </c>
      <c r="B86" s="10"/>
      <c r="C86" s="10"/>
      <c r="D86" s="10"/>
      <c r="E86" s="10"/>
      <c r="F86" s="10"/>
      <c r="G86" s="10"/>
      <c r="I86" s="12"/>
      <c r="J86" s="12" t="s">
        <v>32</v>
      </c>
      <c r="K86" s="46"/>
    </row>
    <row r="87" spans="1:11">
      <c r="A87" s="10"/>
      <c r="B87" s="10"/>
      <c r="C87" s="10"/>
      <c r="D87" s="10"/>
      <c r="E87" s="10"/>
      <c r="F87" s="10"/>
      <c r="G87" s="10"/>
      <c r="I87" s="12"/>
      <c r="J87" s="12"/>
      <c r="K87" s="46"/>
    </row>
    <row r="88" spans="1:11">
      <c r="A88" s="10"/>
      <c r="B88" s="10"/>
      <c r="C88" s="10"/>
      <c r="D88" s="10"/>
      <c r="E88" s="10"/>
      <c r="F88" s="10"/>
      <c r="G88" s="10"/>
      <c r="I88" s="12"/>
      <c r="J88" s="12"/>
      <c r="K88" s="46"/>
    </row>
    <row r="89" spans="1:11">
      <c r="A89" s="10"/>
      <c r="B89" s="10"/>
      <c r="C89" s="10"/>
      <c r="D89" s="10"/>
      <c r="E89" s="10"/>
      <c r="F89" s="10"/>
      <c r="G89" s="10"/>
      <c r="I89" s="12"/>
      <c r="J89" s="12"/>
      <c r="K89" s="46"/>
    </row>
    <row r="90" spans="1:11">
      <c r="A90" s="10"/>
      <c r="B90" s="10"/>
      <c r="C90" s="10"/>
      <c r="D90" s="10"/>
      <c r="E90" s="10"/>
      <c r="F90" s="10"/>
      <c r="G90" s="10"/>
      <c r="I90" s="12"/>
      <c r="J90" s="12"/>
      <c r="K90" s="46"/>
    </row>
    <row r="91" spans="1:11">
      <c r="A91" s="48" t="s">
        <v>37</v>
      </c>
      <c r="B91" s="48"/>
      <c r="C91" s="49"/>
      <c r="D91" s="49"/>
      <c r="E91" s="49"/>
      <c r="F91" s="49"/>
      <c r="G91" s="10" t="s">
        <v>33</v>
      </c>
      <c r="I91" s="48"/>
      <c r="J91" s="48" t="s">
        <v>34</v>
      </c>
      <c r="K91" s="46"/>
    </row>
    <row r="96" spans="1:11" ht="15.75">
      <c r="C96" s="2"/>
      <c r="D96" s="2"/>
      <c r="E96" s="2"/>
      <c r="F96" s="2"/>
    </row>
    <row r="97" spans="1:11" ht="15.75">
      <c r="A97" s="3"/>
      <c r="B97" s="3"/>
      <c r="C97" s="2"/>
      <c r="D97" s="2"/>
      <c r="E97" s="2"/>
      <c r="F97" s="2"/>
      <c r="G97" s="3"/>
      <c r="H97" s="4"/>
      <c r="I97" s="4"/>
      <c r="J97" s="4"/>
      <c r="K97" s="5"/>
    </row>
    <row r="98" spans="1:11">
      <c r="H98" s="5"/>
      <c r="I98" s="5"/>
      <c r="J98" s="5"/>
      <c r="K98" s="5"/>
    </row>
    <row r="99" spans="1:11">
      <c r="H99" s="5"/>
      <c r="I99" s="5"/>
      <c r="J99" s="5"/>
      <c r="K99" s="5"/>
    </row>
    <row r="100" spans="1:11">
      <c r="A100" s="72" t="s">
        <v>0</v>
      </c>
      <c r="B100" s="72"/>
      <c r="C100" s="73"/>
      <c r="D100" s="73"/>
      <c r="E100" s="73"/>
      <c r="F100" s="73"/>
      <c r="G100" s="73"/>
      <c r="H100" s="73"/>
      <c r="I100" s="73"/>
      <c r="J100" s="73"/>
      <c r="K100" s="73"/>
    </row>
    <row r="101" spans="1:11">
      <c r="A101" s="73" t="s">
        <v>76</v>
      </c>
      <c r="B101" s="73"/>
      <c r="C101" s="73"/>
      <c r="D101" s="73"/>
      <c r="E101" s="73"/>
      <c r="F101" s="73"/>
      <c r="G101" s="73"/>
      <c r="H101" s="73"/>
      <c r="I101" s="73"/>
      <c r="J101" s="73"/>
      <c r="K101" s="73"/>
    </row>
    <row r="102" spans="1:11">
      <c r="A102" s="73" t="s">
        <v>1</v>
      </c>
      <c r="B102" s="73"/>
      <c r="C102" s="73"/>
      <c r="D102" s="73"/>
      <c r="E102" s="73"/>
      <c r="F102" s="73"/>
      <c r="G102" s="73"/>
      <c r="H102" s="73"/>
      <c r="I102" s="73"/>
      <c r="J102" s="73"/>
      <c r="K102" s="73"/>
    </row>
    <row r="103" spans="1:11">
      <c r="A103" s="73" t="s">
        <v>38</v>
      </c>
      <c r="B103" s="73"/>
      <c r="C103" s="73"/>
      <c r="D103" s="73"/>
      <c r="E103" s="73"/>
      <c r="F103" s="73"/>
      <c r="G103" s="73"/>
      <c r="H103" s="73"/>
      <c r="I103" s="73"/>
      <c r="J103" s="73"/>
      <c r="K103" s="73"/>
    </row>
    <row r="104" spans="1:11">
      <c r="A104" s="73" t="s">
        <v>2</v>
      </c>
      <c r="B104" s="73"/>
      <c r="C104" s="73"/>
      <c r="D104" s="73"/>
      <c r="E104" s="73"/>
      <c r="F104" s="73"/>
      <c r="G104" s="73"/>
      <c r="H104" s="73"/>
      <c r="I104" s="73"/>
      <c r="J104" s="73"/>
      <c r="K104" s="73"/>
    </row>
    <row r="105" spans="1:11">
      <c r="A105" s="6"/>
      <c r="B105" s="6"/>
      <c r="C105" s="7"/>
      <c r="D105" s="7"/>
      <c r="E105" s="7"/>
      <c r="F105" s="7"/>
      <c r="G105" s="8"/>
      <c r="H105" s="9"/>
      <c r="I105" s="9"/>
      <c r="J105" s="9"/>
      <c r="K105" s="9"/>
    </row>
    <row r="106" spans="1:11">
      <c r="A106" s="52" t="s">
        <v>3</v>
      </c>
      <c r="B106" s="10"/>
      <c r="C106" s="10"/>
      <c r="D106" s="53" t="s">
        <v>4</v>
      </c>
      <c r="E106" s="10" t="s">
        <v>5</v>
      </c>
      <c r="F106" s="11"/>
      <c r="G106" s="10"/>
      <c r="H106" s="12"/>
      <c r="I106" s="12"/>
      <c r="J106" s="12"/>
      <c r="K106" s="9"/>
    </row>
    <row r="107" spans="1:11">
      <c r="A107" s="52" t="s">
        <v>6</v>
      </c>
      <c r="B107" s="10"/>
      <c r="C107" s="10"/>
      <c r="D107" s="53" t="s">
        <v>4</v>
      </c>
      <c r="E107" s="10" t="s">
        <v>7</v>
      </c>
      <c r="F107" s="11"/>
      <c r="G107" s="10"/>
      <c r="H107" s="12"/>
      <c r="I107" s="12"/>
      <c r="J107" s="12"/>
      <c r="K107" s="9"/>
    </row>
    <row r="108" spans="1:11">
      <c r="A108" s="52" t="s">
        <v>8</v>
      </c>
      <c r="B108" s="10"/>
      <c r="C108" s="10"/>
      <c r="D108" s="53" t="s">
        <v>4</v>
      </c>
      <c r="E108" s="13">
        <v>2026</v>
      </c>
      <c r="F108" s="11"/>
      <c r="G108" s="13"/>
      <c r="H108" s="12"/>
      <c r="I108" s="12"/>
      <c r="J108" s="12"/>
      <c r="K108" s="9"/>
    </row>
    <row r="109" spans="1:11">
      <c r="A109" s="52" t="s">
        <v>9</v>
      </c>
      <c r="B109" s="10"/>
      <c r="C109" s="10"/>
      <c r="D109" s="53" t="s">
        <v>4</v>
      </c>
      <c r="E109" s="14">
        <f>J120</f>
        <v>142000</v>
      </c>
      <c r="F109" s="11"/>
      <c r="G109" s="14"/>
      <c r="H109" s="12"/>
      <c r="I109" s="12"/>
      <c r="J109" s="12"/>
      <c r="K109" s="9"/>
    </row>
    <row r="110" spans="1:11" ht="15.75">
      <c r="A110" s="10"/>
      <c r="B110" s="10"/>
      <c r="C110" s="15" t="s">
        <v>10</v>
      </c>
      <c r="D110" s="53" t="s">
        <v>4</v>
      </c>
      <c r="E110" s="16" t="str">
        <f>PROPER(IF(E109=0,"nol",IF(E109&lt;0,"minus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109),"000000000000000"),1,3)=0,"",MID(TEXT(ABS(E109),"000000000000000"),1,1)&amp;" ratus "&amp;MID(TEXT(ABS(E109),"000000000000000"),2,1)&amp;" puluh "&amp;MID(TEXT(ABS(E109),"000000000000000"),3,1)&amp;" trilyun ")&amp;IF(--MID(TEXT(ABS(E109),"000000000000000"),4,3)=0,"",MID(TEXT(ABS(E109),"000000000000000"),4,1)&amp;" ratus "&amp;MID(TEXT(ABS(E109),"000000000000000"),5,1)&amp;" puluh "&amp;MID(TEXT(ABS(E109),"000000000000000"),6,1)&amp;" milyar ")&amp;IF(--MID(TEXT(ABS(E109),"000000000000000"),7,3)=0,"",MID(TEXT(ABS(E109),"000000000000000"),7,1)&amp;" ratus "&amp;MID(TEXT(ABS(E109),"000000000000000"),8,1)&amp;" puluh "&amp;MID(TEXT(ABS(E109),"000000000000000"),9,1)&amp;" juta ")&amp;IF(--MID(TEXT(ABS(E109),"000000000000000"),10,3)=0,"",IF(--MID(TEXT(ABS(E109),"000000000000000"),10,3)=1,"*",MID(TEXT(ABS(E109),"000000000000000"),10,1)&amp;" ratus "&amp;MID(TEXT(ABS(E109),"000000000000000"),11,1)&amp;" puluh ")&amp;MID(TEXT(ABS(E109),"000000000000000"),12,1)&amp;" ribu ")&amp;IF(--MID(TEXT(ABS(E109),"000000000000000"),13,3)=0,"",MID(TEXT(ABS(E109),"000000000000000"),13,1)&amp;" ratus "&amp;MID(TEXT(ABS(E109),"000000000000000"),14,1)&amp;" puluh "&amp;MID(TEXT(ABS(E109),"000000000000000"),15,1)),1,"satu"),2,"dua"),3,"tiga"),4,"empat"),5,"lima"),6,"enam"),7,"tujuh"),8,"delapan"),9,"sembilan"),"0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Empat Puluh Dua Ribu Rupiah</v>
      </c>
      <c r="F110" s="11"/>
      <c r="G110" s="16"/>
      <c r="H110" s="12"/>
      <c r="I110" s="12"/>
      <c r="J110" s="12"/>
      <c r="K110" s="9"/>
    </row>
    <row r="111" spans="1:11" ht="15.75">
      <c r="A111" s="10"/>
      <c r="B111" s="10"/>
      <c r="C111" s="15"/>
      <c r="D111" s="15"/>
      <c r="E111" s="15"/>
      <c r="F111" s="11"/>
      <c r="G111" s="16"/>
      <c r="H111" s="12"/>
      <c r="I111" s="12"/>
      <c r="J111" s="12"/>
      <c r="K111" s="9"/>
    </row>
    <row r="112" spans="1:11">
      <c r="A112" s="10" t="s">
        <v>11</v>
      </c>
      <c r="B112" s="10"/>
      <c r="C112" s="10"/>
      <c r="D112" s="10"/>
      <c r="E112" s="10"/>
      <c r="F112" s="10"/>
      <c r="G112" s="10"/>
      <c r="H112" s="12"/>
      <c r="I112" s="12"/>
      <c r="J112" s="12"/>
      <c r="K112" s="9"/>
    </row>
    <row r="113" spans="1:11">
      <c r="A113" s="74" t="s">
        <v>12</v>
      </c>
      <c r="B113" s="74"/>
      <c r="C113" s="74"/>
      <c r="D113" s="74"/>
      <c r="E113" s="74"/>
      <c r="F113" s="74"/>
      <c r="G113" s="74"/>
      <c r="H113" s="74"/>
      <c r="I113" s="74"/>
      <c r="J113" s="74"/>
      <c r="K113" s="74"/>
    </row>
    <row r="114" spans="1:11" ht="60">
      <c r="A114" s="17" t="s">
        <v>13</v>
      </c>
      <c r="B114" s="18" t="s">
        <v>14</v>
      </c>
      <c r="C114" s="59" t="s">
        <v>15</v>
      </c>
      <c r="D114" s="60"/>
      <c r="E114" s="61"/>
      <c r="F114" s="19"/>
      <c r="G114" s="20" t="s">
        <v>16</v>
      </c>
      <c r="H114" s="21" t="s">
        <v>35</v>
      </c>
      <c r="I114" s="21"/>
      <c r="J114" s="31" t="s">
        <v>17</v>
      </c>
      <c r="K114" s="32" t="s">
        <v>18</v>
      </c>
    </row>
    <row r="115" spans="1:11">
      <c r="A115" s="27">
        <v>1</v>
      </c>
      <c r="B115" s="24"/>
      <c r="C115" s="28" t="s">
        <v>23</v>
      </c>
      <c r="D115" s="57"/>
      <c r="E115" s="26"/>
      <c r="F115" s="25"/>
      <c r="G115" s="54" t="s">
        <v>19</v>
      </c>
      <c r="H115" s="54" t="s">
        <v>19</v>
      </c>
      <c r="I115" s="54"/>
      <c r="J115" s="54" t="s">
        <v>19</v>
      </c>
      <c r="K115" s="54" t="s">
        <v>19</v>
      </c>
    </row>
    <row r="116" spans="1:11">
      <c r="A116" s="24"/>
      <c r="B116" s="55" t="s">
        <v>20</v>
      </c>
      <c r="C116" s="25" t="s">
        <v>24</v>
      </c>
      <c r="D116" s="10"/>
      <c r="E116" s="26"/>
      <c r="F116" s="25"/>
      <c r="G116" s="23">
        <v>45000000</v>
      </c>
      <c r="H116" s="56">
        <f>H70+J70</f>
        <v>2722700</v>
      </c>
      <c r="I116" s="56"/>
      <c r="J116" s="56">
        <v>0</v>
      </c>
      <c r="K116" s="58">
        <f t="shared" ref="K116:K119" si="3">G116-H116-J116</f>
        <v>42277300</v>
      </c>
    </row>
    <row r="117" spans="1:11" ht="28.5" customHeight="1">
      <c r="A117" s="24"/>
      <c r="B117" s="55" t="s">
        <v>21</v>
      </c>
      <c r="C117" s="62" t="s">
        <v>39</v>
      </c>
      <c r="D117" s="63"/>
      <c r="E117" s="64"/>
      <c r="F117" s="25"/>
      <c r="G117" s="23">
        <v>35000000</v>
      </c>
      <c r="H117" s="56">
        <f t="shared" ref="H117:H119" si="4">H71+J71</f>
        <v>3304000</v>
      </c>
      <c r="I117" s="56"/>
      <c r="J117" s="56">
        <v>142000</v>
      </c>
      <c r="K117" s="58">
        <f t="shared" si="3"/>
        <v>31554000</v>
      </c>
    </row>
    <row r="118" spans="1:11">
      <c r="A118" s="24"/>
      <c r="B118" s="55" t="s">
        <v>22</v>
      </c>
      <c r="C118" s="65" t="s">
        <v>40</v>
      </c>
      <c r="D118" s="66"/>
      <c r="E118" s="67"/>
      <c r="F118" s="25"/>
      <c r="G118" s="23">
        <v>30000000</v>
      </c>
      <c r="H118" s="56">
        <f t="shared" si="4"/>
        <v>500000</v>
      </c>
      <c r="I118" s="22"/>
      <c r="J118" s="22">
        <v>0</v>
      </c>
      <c r="K118" s="33">
        <f t="shared" si="3"/>
        <v>29500000</v>
      </c>
    </row>
    <row r="119" spans="1:11">
      <c r="A119" s="24"/>
      <c r="B119" s="55" t="s">
        <v>36</v>
      </c>
      <c r="C119" s="68" t="s">
        <v>41</v>
      </c>
      <c r="D119" s="69"/>
      <c r="E119" s="70"/>
      <c r="F119" s="25"/>
      <c r="G119" s="23">
        <v>28125000</v>
      </c>
      <c r="H119" s="56">
        <f t="shared" si="4"/>
        <v>1417650</v>
      </c>
      <c r="I119" s="22"/>
      <c r="J119" s="22">
        <v>0</v>
      </c>
      <c r="K119" s="33">
        <f t="shared" si="3"/>
        <v>26707350</v>
      </c>
    </row>
    <row r="120" spans="1:11">
      <c r="A120" s="34"/>
      <c r="B120" s="34"/>
      <c r="C120" s="34" t="s">
        <v>25</v>
      </c>
      <c r="D120" s="34"/>
      <c r="E120" s="34"/>
      <c r="F120" s="35"/>
      <c r="G120" s="36">
        <f>SUM(G115:G119)</f>
        <v>138125000</v>
      </c>
      <c r="H120" s="37">
        <f>SUM(H115:H119)</f>
        <v>7944350</v>
      </c>
      <c r="I120" s="37"/>
      <c r="J120" s="37">
        <f>SUM(J115:J119)</f>
        <v>142000</v>
      </c>
      <c r="K120" s="37">
        <f>SUM(K115:K119)</f>
        <v>130038650</v>
      </c>
    </row>
    <row r="121" spans="1:11">
      <c r="A121" s="38"/>
      <c r="B121" s="8"/>
      <c r="C121" s="8"/>
      <c r="D121" s="8"/>
      <c r="E121" s="8"/>
      <c r="F121" s="8"/>
      <c r="G121" s="39"/>
      <c r="H121" s="39"/>
      <c r="I121" s="39"/>
      <c r="J121" s="39"/>
      <c r="K121" s="39"/>
    </row>
    <row r="122" spans="1:11">
      <c r="A122" s="71" t="s">
        <v>26</v>
      </c>
      <c r="B122" s="71"/>
      <c r="C122" s="71"/>
      <c r="D122" s="11" t="s">
        <v>4</v>
      </c>
      <c r="E122" s="14">
        <f>J120</f>
        <v>142000</v>
      </c>
      <c r="F122" s="40"/>
      <c r="G122" s="41"/>
      <c r="H122" s="41"/>
      <c r="I122" s="41"/>
      <c r="J122" s="9"/>
      <c r="K122" s="9"/>
    </row>
    <row r="123" spans="1:11">
      <c r="A123" s="10" t="s">
        <v>27</v>
      </c>
      <c r="B123" s="10"/>
      <c r="C123" s="10"/>
      <c r="D123" s="11" t="s">
        <v>4</v>
      </c>
      <c r="E123" s="42"/>
      <c r="F123" s="42"/>
      <c r="G123" s="43"/>
      <c r="H123" s="12"/>
      <c r="I123" s="12"/>
      <c r="J123" s="9"/>
      <c r="K123" s="9"/>
    </row>
    <row r="124" spans="1:11">
      <c r="A124" s="10" t="s">
        <v>28</v>
      </c>
      <c r="B124" s="10"/>
      <c r="C124" s="10"/>
      <c r="D124" s="11" t="s">
        <v>4</v>
      </c>
      <c r="E124" s="44"/>
      <c r="F124" s="44"/>
      <c r="G124" s="43"/>
      <c r="H124" s="12"/>
      <c r="I124" s="12"/>
      <c r="J124" s="9"/>
      <c r="K124" s="9"/>
    </row>
    <row r="125" spans="1:11">
      <c r="A125" s="10" t="s">
        <v>29</v>
      </c>
      <c r="B125" s="10"/>
      <c r="C125" s="10"/>
      <c r="D125" s="11" t="s">
        <v>4</v>
      </c>
      <c r="E125" s="44">
        <f>E123+E124</f>
        <v>0</v>
      </c>
      <c r="F125" s="44"/>
      <c r="G125" s="10"/>
      <c r="H125" s="12"/>
      <c r="I125" s="12"/>
      <c r="J125" s="46"/>
      <c r="K125" s="46"/>
    </row>
    <row r="126" spans="1:11">
      <c r="A126" s="13"/>
      <c r="B126" s="13"/>
      <c r="C126" s="13"/>
      <c r="D126" s="11"/>
      <c r="E126" s="13"/>
      <c r="F126" s="13"/>
      <c r="G126" s="10"/>
      <c r="H126" s="12"/>
      <c r="I126" s="12"/>
      <c r="J126" s="46"/>
      <c r="K126" s="46"/>
    </row>
    <row r="127" spans="1:11">
      <c r="A127" s="71" t="s">
        <v>30</v>
      </c>
      <c r="B127" s="71"/>
      <c r="C127" s="71"/>
      <c r="D127" s="11" t="s">
        <v>4</v>
      </c>
      <c r="E127" s="40">
        <f>E122-E125</f>
        <v>142000</v>
      </c>
      <c r="F127" s="40"/>
      <c r="G127" s="10"/>
      <c r="H127" s="12"/>
      <c r="I127" s="12"/>
      <c r="J127" s="46"/>
      <c r="K127" s="46"/>
    </row>
    <row r="128" spans="1:11" ht="15.75">
      <c r="A128" s="13"/>
      <c r="B128" s="13"/>
      <c r="C128" s="10"/>
      <c r="D128" s="10"/>
      <c r="E128" s="16" t="str">
        <f>PROPER(IF(E127=0,"nol",IF(E127&lt;0,"minus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127),"000000000000000"),1,3)=0,"",MID(TEXT(ABS(E127),"000000000000000"),1,1)&amp;" ratus "&amp;MID(TEXT(ABS(E127),"000000000000000"),2,1)&amp;" puluh "&amp;MID(TEXT(ABS(E127),"000000000000000"),3,1)&amp;" trilyun ")&amp;IF(--MID(TEXT(ABS(E127),"000000000000000"),4,3)=0,"",MID(TEXT(ABS(E127),"000000000000000"),4,1)&amp;" ratus "&amp;MID(TEXT(ABS(E127),"000000000000000"),5,1)&amp;" puluh "&amp;MID(TEXT(ABS(E127),"000000000000000"),6,1)&amp;" milyar ")&amp;IF(--MID(TEXT(ABS(E127),"000000000000000"),7,3)=0,"",MID(TEXT(ABS(E127),"000000000000000"),7,1)&amp;" ratus "&amp;MID(TEXT(ABS(E127),"000000000000000"),8,1)&amp;" puluh "&amp;MID(TEXT(ABS(E127),"000000000000000"),9,1)&amp;" juta ")&amp;IF(--MID(TEXT(ABS(E127),"000000000000000"),10,3)=0,"",IF(--MID(TEXT(ABS(E127),"000000000000000"),10,3)=1,"*",MID(TEXT(ABS(E127),"000000000000000"),10,1)&amp;" ratus "&amp;MID(TEXT(ABS(E127),"000000000000000"),11,1)&amp;" puluh ")&amp;MID(TEXT(ABS(E127),"000000000000000"),12,1)&amp;" ribu ")&amp;IF(--MID(TEXT(ABS(E127),"000000000000000"),13,3)=0,"",MID(TEXT(ABS(E127),"000000000000000"),13,1)&amp;" ratus "&amp;MID(TEXT(ABS(E127),"000000000000000"),14,1)&amp;" puluh "&amp;MID(TEXT(ABS(E127),"000000000000000"),15,1)),1,"satu"),2,"dua"),3,"tiga"),4,"empat"),5,"lima"),6,"enam"),7,"tujuh"),8,"delapan"),9,"sembilan"),"0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Empat Puluh Dua Ribu Rupiah</v>
      </c>
      <c r="F128" s="10"/>
      <c r="G128" s="10"/>
      <c r="H128" s="10"/>
      <c r="I128" s="10"/>
      <c r="J128" s="46"/>
      <c r="K128" s="46"/>
    </row>
    <row r="129" spans="1:11">
      <c r="A129" s="45"/>
      <c r="B129" s="45"/>
      <c r="C129" s="45"/>
      <c r="D129" s="45"/>
      <c r="E129" s="45"/>
      <c r="F129" s="45"/>
      <c r="G129" s="29"/>
      <c r="H129" s="46"/>
      <c r="I129" s="46"/>
      <c r="J129" s="46"/>
      <c r="K129" s="46"/>
    </row>
    <row r="130" spans="1:11">
      <c r="A130" s="29"/>
      <c r="B130" s="29"/>
      <c r="C130" s="29"/>
      <c r="D130" s="29"/>
      <c r="E130" s="29"/>
      <c r="F130" s="29"/>
      <c r="G130" s="29"/>
      <c r="H130"/>
      <c r="I130"/>
      <c r="J130" s="46"/>
      <c r="K130" s="46"/>
    </row>
    <row r="131" spans="1:11">
      <c r="A131" s="13"/>
      <c r="B131" s="13"/>
      <c r="C131" s="10"/>
      <c r="D131" s="10"/>
      <c r="E131" s="10"/>
      <c r="F131" s="10"/>
      <c r="G131" s="10"/>
      <c r="I131" s="47"/>
      <c r="J131" s="47" t="s">
        <v>74</v>
      </c>
      <c r="K131" s="46"/>
    </row>
    <row r="132" spans="1:11">
      <c r="A132" s="12" t="s">
        <v>31</v>
      </c>
      <c r="B132" s="10"/>
      <c r="C132" s="10"/>
      <c r="D132" s="10"/>
      <c r="E132" s="10"/>
      <c r="F132" s="10"/>
      <c r="G132" s="10"/>
      <c r="I132" s="12"/>
      <c r="J132" s="12" t="s">
        <v>32</v>
      </c>
      <c r="K132" s="46"/>
    </row>
    <row r="133" spans="1:11">
      <c r="A133" s="10"/>
      <c r="B133" s="10"/>
      <c r="C133" s="10"/>
      <c r="D133" s="10"/>
      <c r="E133" s="10"/>
      <c r="F133" s="10"/>
      <c r="G133" s="10"/>
      <c r="I133" s="12"/>
      <c r="J133" s="12"/>
      <c r="K133" s="46"/>
    </row>
    <row r="134" spans="1:11">
      <c r="A134" s="10"/>
      <c r="B134" s="10"/>
      <c r="C134" s="10"/>
      <c r="D134" s="10"/>
      <c r="E134" s="10"/>
      <c r="F134" s="10"/>
      <c r="G134" s="10"/>
      <c r="I134" s="12"/>
      <c r="J134" s="12"/>
      <c r="K134" s="46"/>
    </row>
    <row r="135" spans="1:11">
      <c r="A135" s="10"/>
      <c r="B135" s="10"/>
      <c r="C135" s="10"/>
      <c r="D135" s="10"/>
      <c r="E135" s="10"/>
      <c r="F135" s="10"/>
      <c r="G135" s="10"/>
      <c r="I135" s="12"/>
      <c r="J135" s="12"/>
      <c r="K135" s="46"/>
    </row>
    <row r="136" spans="1:11">
      <c r="A136" s="10"/>
      <c r="B136" s="10"/>
      <c r="C136" s="10"/>
      <c r="D136" s="10"/>
      <c r="E136" s="10"/>
      <c r="F136" s="10"/>
      <c r="G136" s="10"/>
      <c r="I136" s="12"/>
      <c r="J136" s="12"/>
      <c r="K136" s="46"/>
    </row>
    <row r="137" spans="1:11">
      <c r="A137" s="48" t="s">
        <v>37</v>
      </c>
      <c r="B137" s="48"/>
      <c r="C137" s="49"/>
      <c r="D137" s="49"/>
      <c r="E137" s="49"/>
      <c r="F137" s="49"/>
      <c r="G137" s="10" t="s">
        <v>33</v>
      </c>
      <c r="I137" s="48"/>
      <c r="J137" s="48" t="s">
        <v>34</v>
      </c>
      <c r="K137" s="46"/>
    </row>
    <row r="142" spans="1:11" ht="15.75">
      <c r="C142" s="2"/>
      <c r="D142" s="2"/>
      <c r="E142" s="2"/>
      <c r="F142" s="2"/>
    </row>
    <row r="143" spans="1:11" ht="15.75">
      <c r="A143" s="3"/>
      <c r="B143" s="3"/>
      <c r="C143" s="2"/>
      <c r="D143" s="2"/>
      <c r="E143" s="2"/>
      <c r="F143" s="2"/>
      <c r="G143" s="3"/>
      <c r="H143" s="4"/>
      <c r="I143" s="4"/>
      <c r="J143" s="4"/>
      <c r="K143" s="5"/>
    </row>
    <row r="144" spans="1:11">
      <c r="H144" s="5"/>
      <c r="I144" s="5"/>
      <c r="J144" s="5"/>
      <c r="K144" s="5"/>
    </row>
    <row r="145" spans="1:11">
      <c r="H145" s="5"/>
      <c r="I145" s="5"/>
      <c r="J145" s="5"/>
      <c r="K145" s="5"/>
    </row>
    <row r="146" spans="1:11">
      <c r="A146" s="72" t="s">
        <v>0</v>
      </c>
      <c r="B146" s="72"/>
      <c r="C146" s="73"/>
      <c r="D146" s="73"/>
      <c r="E146" s="73"/>
      <c r="F146" s="73"/>
      <c r="G146" s="73"/>
      <c r="H146" s="73"/>
      <c r="I146" s="73"/>
      <c r="J146" s="73"/>
      <c r="K146" s="73"/>
    </row>
    <row r="147" spans="1:11">
      <c r="A147" s="73" t="s">
        <v>77</v>
      </c>
      <c r="B147" s="73"/>
      <c r="C147" s="73"/>
      <c r="D147" s="73"/>
      <c r="E147" s="73"/>
      <c r="F147" s="73"/>
      <c r="G147" s="73"/>
      <c r="H147" s="73"/>
      <c r="I147" s="73"/>
      <c r="J147" s="73"/>
      <c r="K147" s="73"/>
    </row>
    <row r="148" spans="1:11">
      <c r="A148" s="73" t="s">
        <v>1</v>
      </c>
      <c r="B148" s="73"/>
      <c r="C148" s="73"/>
      <c r="D148" s="73"/>
      <c r="E148" s="73"/>
      <c r="F148" s="73"/>
      <c r="G148" s="73"/>
      <c r="H148" s="73"/>
      <c r="I148" s="73"/>
      <c r="J148" s="73"/>
      <c r="K148" s="73"/>
    </row>
    <row r="149" spans="1:11">
      <c r="A149" s="73" t="s">
        <v>38</v>
      </c>
      <c r="B149" s="73"/>
      <c r="C149" s="73"/>
      <c r="D149" s="73"/>
      <c r="E149" s="73"/>
      <c r="F149" s="73"/>
      <c r="G149" s="73"/>
      <c r="H149" s="73"/>
      <c r="I149" s="73"/>
      <c r="J149" s="73"/>
      <c r="K149" s="73"/>
    </row>
    <row r="150" spans="1:11">
      <c r="A150" s="73" t="s">
        <v>2</v>
      </c>
      <c r="B150" s="73"/>
      <c r="C150" s="73"/>
      <c r="D150" s="73"/>
      <c r="E150" s="73"/>
      <c r="F150" s="73"/>
      <c r="G150" s="73"/>
      <c r="H150" s="73"/>
      <c r="I150" s="73"/>
      <c r="J150" s="73"/>
      <c r="K150" s="73"/>
    </row>
    <row r="151" spans="1:11">
      <c r="A151" s="6"/>
      <c r="B151" s="6"/>
      <c r="C151" s="7"/>
      <c r="D151" s="7"/>
      <c r="E151" s="7"/>
      <c r="F151" s="7"/>
      <c r="G151" s="8"/>
      <c r="H151" s="9"/>
      <c r="I151" s="9"/>
      <c r="J151" s="9"/>
      <c r="K151" s="9"/>
    </row>
    <row r="152" spans="1:11">
      <c r="A152" s="52" t="s">
        <v>3</v>
      </c>
      <c r="B152" s="10"/>
      <c r="C152" s="10"/>
      <c r="D152" s="53" t="s">
        <v>4</v>
      </c>
      <c r="E152" s="10" t="s">
        <v>5</v>
      </c>
      <c r="F152" s="11"/>
      <c r="G152" s="10"/>
      <c r="H152" s="12"/>
      <c r="I152" s="12"/>
      <c r="J152" s="12"/>
      <c r="K152" s="9"/>
    </row>
    <row r="153" spans="1:11">
      <c r="A153" s="52" t="s">
        <v>6</v>
      </c>
      <c r="B153" s="10"/>
      <c r="C153" s="10"/>
      <c r="D153" s="53" t="s">
        <v>4</v>
      </c>
      <c r="E153" s="10" t="s">
        <v>7</v>
      </c>
      <c r="F153" s="11"/>
      <c r="G153" s="10"/>
      <c r="H153" s="12"/>
      <c r="I153" s="12"/>
      <c r="J153" s="12"/>
      <c r="K153" s="9"/>
    </row>
    <row r="154" spans="1:11">
      <c r="A154" s="52" t="s">
        <v>8</v>
      </c>
      <c r="B154" s="10"/>
      <c r="C154" s="10"/>
      <c r="D154" s="53" t="s">
        <v>4</v>
      </c>
      <c r="E154" s="13">
        <v>2026</v>
      </c>
      <c r="F154" s="11"/>
      <c r="G154" s="13"/>
      <c r="H154" s="12"/>
      <c r="I154" s="12"/>
      <c r="J154" s="12"/>
      <c r="K154" s="9"/>
    </row>
    <row r="155" spans="1:11">
      <c r="A155" s="52" t="s">
        <v>9</v>
      </c>
      <c r="B155" s="10"/>
      <c r="C155" s="10"/>
      <c r="D155" s="53" t="s">
        <v>4</v>
      </c>
      <c r="E155" s="14">
        <f>J166</f>
        <v>140000</v>
      </c>
      <c r="F155" s="11"/>
      <c r="G155" s="14"/>
      <c r="H155" s="12"/>
      <c r="I155" s="12"/>
      <c r="J155" s="12"/>
      <c r="K155" s="9"/>
    </row>
    <row r="156" spans="1:11" ht="15.75">
      <c r="A156" s="10"/>
      <c r="B156" s="10"/>
      <c r="C156" s="15" t="s">
        <v>10</v>
      </c>
      <c r="D156" s="53" t="s">
        <v>4</v>
      </c>
      <c r="E156" s="16" t="str">
        <f>PROPER(IF(E155=0,"nol",IF(E155&lt;0,"minus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155),"000000000000000"),1,3)=0,"",MID(TEXT(ABS(E155),"000000000000000"),1,1)&amp;" ratus "&amp;MID(TEXT(ABS(E155),"000000000000000"),2,1)&amp;" puluh "&amp;MID(TEXT(ABS(E155),"000000000000000"),3,1)&amp;" trilyun ")&amp;IF(--MID(TEXT(ABS(E155),"000000000000000"),4,3)=0,"",MID(TEXT(ABS(E155),"000000000000000"),4,1)&amp;" ratus "&amp;MID(TEXT(ABS(E155),"000000000000000"),5,1)&amp;" puluh "&amp;MID(TEXT(ABS(E155),"000000000000000"),6,1)&amp;" milyar ")&amp;IF(--MID(TEXT(ABS(E155),"000000000000000"),7,3)=0,"",MID(TEXT(ABS(E155),"000000000000000"),7,1)&amp;" ratus "&amp;MID(TEXT(ABS(E155),"000000000000000"),8,1)&amp;" puluh "&amp;MID(TEXT(ABS(E155),"000000000000000"),9,1)&amp;" juta ")&amp;IF(--MID(TEXT(ABS(E155),"000000000000000"),10,3)=0,"",IF(--MID(TEXT(ABS(E155),"000000000000000"),10,3)=1,"*",MID(TEXT(ABS(E155),"000000000000000"),10,1)&amp;" ratus "&amp;MID(TEXT(ABS(E155),"000000000000000"),11,1)&amp;" puluh ")&amp;MID(TEXT(ABS(E155),"000000000000000"),12,1)&amp;" ribu ")&amp;IF(--MID(TEXT(ABS(E155),"000000000000000"),13,3)=0,"",MID(TEXT(ABS(E155),"000000000000000"),13,1)&amp;" ratus "&amp;MID(TEXT(ABS(E155),"000000000000000"),14,1)&amp;" puluh "&amp;MID(TEXT(ABS(E155),"000000000000000"),15,1)),1,"satu"),2,"dua"),3,"tiga"),4,"empat"),5,"lima"),6,"enam"),7,"tujuh"),8,"delapan"),9,"sembilan"),"0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Empat Puluh Ribu Rupiah</v>
      </c>
      <c r="F156" s="11"/>
      <c r="G156" s="16"/>
      <c r="H156" s="12"/>
      <c r="I156" s="12"/>
      <c r="J156" s="12"/>
      <c r="K156" s="9"/>
    </row>
    <row r="157" spans="1:11" ht="15.75">
      <c r="A157" s="10"/>
      <c r="B157" s="10"/>
      <c r="C157" s="15"/>
      <c r="D157" s="15"/>
      <c r="E157" s="15"/>
      <c r="F157" s="11"/>
      <c r="G157" s="16"/>
      <c r="H157" s="12"/>
      <c r="I157" s="12"/>
      <c r="J157" s="12"/>
      <c r="K157" s="9"/>
    </row>
    <row r="158" spans="1:11">
      <c r="A158" s="10" t="s">
        <v>11</v>
      </c>
      <c r="B158" s="10"/>
      <c r="C158" s="10"/>
      <c r="D158" s="10"/>
      <c r="E158" s="10"/>
      <c r="F158" s="10"/>
      <c r="G158" s="10"/>
      <c r="H158" s="12"/>
      <c r="I158" s="12"/>
      <c r="J158" s="12"/>
      <c r="K158" s="9"/>
    </row>
    <row r="159" spans="1:11">
      <c r="A159" s="74" t="s">
        <v>12</v>
      </c>
      <c r="B159" s="74"/>
      <c r="C159" s="74"/>
      <c r="D159" s="74"/>
      <c r="E159" s="74"/>
      <c r="F159" s="74"/>
      <c r="G159" s="74"/>
      <c r="H159" s="74"/>
      <c r="I159" s="74"/>
      <c r="J159" s="74"/>
      <c r="K159" s="74"/>
    </row>
    <row r="160" spans="1:11" ht="60">
      <c r="A160" s="17" t="s">
        <v>13</v>
      </c>
      <c r="B160" s="18" t="s">
        <v>14</v>
      </c>
      <c r="C160" s="59" t="s">
        <v>15</v>
      </c>
      <c r="D160" s="60"/>
      <c r="E160" s="61"/>
      <c r="F160" s="19"/>
      <c r="G160" s="20" t="s">
        <v>16</v>
      </c>
      <c r="H160" s="21" t="s">
        <v>35</v>
      </c>
      <c r="I160" s="21"/>
      <c r="J160" s="31" t="s">
        <v>17</v>
      </c>
      <c r="K160" s="32" t="s">
        <v>18</v>
      </c>
    </row>
    <row r="161" spans="1:11">
      <c r="A161" s="27">
        <v>1</v>
      </c>
      <c r="B161" s="24"/>
      <c r="C161" s="28" t="s">
        <v>23</v>
      </c>
      <c r="D161" s="57"/>
      <c r="E161" s="26"/>
      <c r="F161" s="25"/>
      <c r="G161" s="54" t="s">
        <v>19</v>
      </c>
      <c r="H161" s="54" t="s">
        <v>19</v>
      </c>
      <c r="I161" s="54"/>
      <c r="J161" s="54" t="s">
        <v>19</v>
      </c>
      <c r="K161" s="54" t="s">
        <v>19</v>
      </c>
    </row>
    <row r="162" spans="1:11">
      <c r="A162" s="24"/>
      <c r="B162" s="55" t="s">
        <v>20</v>
      </c>
      <c r="C162" s="25" t="s">
        <v>24</v>
      </c>
      <c r="D162" s="10"/>
      <c r="E162" s="26"/>
      <c r="F162" s="25"/>
      <c r="G162" s="23">
        <v>45000000</v>
      </c>
      <c r="H162" s="56">
        <f>H116+J116</f>
        <v>2722700</v>
      </c>
      <c r="I162" s="56"/>
      <c r="J162" s="56">
        <v>140000</v>
      </c>
      <c r="K162" s="58">
        <f t="shared" ref="K162:K165" si="5">G162-H162-J162</f>
        <v>42137300</v>
      </c>
    </row>
    <row r="163" spans="1:11">
      <c r="A163" s="24"/>
      <c r="B163" s="55" t="s">
        <v>21</v>
      </c>
      <c r="C163" s="62" t="s">
        <v>39</v>
      </c>
      <c r="D163" s="63"/>
      <c r="E163" s="64"/>
      <c r="F163" s="25"/>
      <c r="G163" s="23">
        <v>35000000</v>
      </c>
      <c r="H163" s="56">
        <f t="shared" ref="H163:H165" si="6">H117+J117</f>
        <v>3446000</v>
      </c>
      <c r="I163" s="56"/>
      <c r="J163" s="56">
        <v>0</v>
      </c>
      <c r="K163" s="58">
        <f t="shared" si="5"/>
        <v>31554000</v>
      </c>
    </row>
    <row r="164" spans="1:11">
      <c r="A164" s="24"/>
      <c r="B164" s="55" t="s">
        <v>22</v>
      </c>
      <c r="C164" s="65" t="s">
        <v>40</v>
      </c>
      <c r="D164" s="66"/>
      <c r="E164" s="67"/>
      <c r="F164" s="25"/>
      <c r="G164" s="23">
        <v>30000000</v>
      </c>
      <c r="H164" s="56">
        <f t="shared" si="6"/>
        <v>500000</v>
      </c>
      <c r="I164" s="22"/>
      <c r="J164" s="22">
        <v>0</v>
      </c>
      <c r="K164" s="33">
        <f t="shared" si="5"/>
        <v>29500000</v>
      </c>
    </row>
    <row r="165" spans="1:11">
      <c r="A165" s="24"/>
      <c r="B165" s="55" t="s">
        <v>36</v>
      </c>
      <c r="C165" s="68" t="s">
        <v>41</v>
      </c>
      <c r="D165" s="69"/>
      <c r="E165" s="70"/>
      <c r="F165" s="25"/>
      <c r="G165" s="23">
        <v>28125000</v>
      </c>
      <c r="H165" s="56">
        <f t="shared" si="6"/>
        <v>1417650</v>
      </c>
      <c r="I165" s="22"/>
      <c r="J165" s="22">
        <v>0</v>
      </c>
      <c r="K165" s="33">
        <f t="shared" si="5"/>
        <v>26707350</v>
      </c>
    </row>
    <row r="166" spans="1:11">
      <c r="A166" s="34"/>
      <c r="B166" s="34"/>
      <c r="C166" s="34" t="s">
        <v>25</v>
      </c>
      <c r="D166" s="34"/>
      <c r="E166" s="34"/>
      <c r="F166" s="35"/>
      <c r="G166" s="36">
        <f>SUM(G161:G165)</f>
        <v>138125000</v>
      </c>
      <c r="H166" s="37">
        <f>SUM(H161:H165)</f>
        <v>8086350</v>
      </c>
      <c r="I166" s="37"/>
      <c r="J166" s="37">
        <f>SUM(J161:J165)</f>
        <v>140000</v>
      </c>
      <c r="K166" s="37">
        <f>SUM(K161:K165)</f>
        <v>129898650</v>
      </c>
    </row>
    <row r="167" spans="1:11">
      <c r="A167" s="38"/>
      <c r="B167" s="8"/>
      <c r="C167" s="8"/>
      <c r="D167" s="8"/>
      <c r="E167" s="8"/>
      <c r="F167" s="8"/>
      <c r="G167" s="39"/>
      <c r="H167" s="39"/>
      <c r="I167" s="39"/>
      <c r="J167" s="39"/>
      <c r="K167" s="39"/>
    </row>
    <row r="168" spans="1:11">
      <c r="A168" s="71" t="s">
        <v>26</v>
      </c>
      <c r="B168" s="71"/>
      <c r="C168" s="71"/>
      <c r="D168" s="11" t="s">
        <v>4</v>
      </c>
      <c r="E168" s="14">
        <f>J166</f>
        <v>140000</v>
      </c>
      <c r="F168" s="40"/>
      <c r="G168" s="41"/>
      <c r="H168" s="41"/>
      <c r="I168" s="41"/>
      <c r="J168" s="9"/>
      <c r="K168" s="9"/>
    </row>
    <row r="169" spans="1:11">
      <c r="A169" s="10" t="s">
        <v>27</v>
      </c>
      <c r="B169" s="10"/>
      <c r="C169" s="10"/>
      <c r="D169" s="11" t="s">
        <v>4</v>
      </c>
      <c r="E169" s="42"/>
      <c r="F169" s="42"/>
      <c r="G169" s="43"/>
      <c r="H169" s="12"/>
      <c r="I169" s="12"/>
      <c r="J169" s="9"/>
      <c r="K169" s="9"/>
    </row>
    <row r="170" spans="1:11">
      <c r="A170" s="10" t="s">
        <v>28</v>
      </c>
      <c r="B170" s="10"/>
      <c r="C170" s="10"/>
      <c r="D170" s="11" t="s">
        <v>4</v>
      </c>
      <c r="E170" s="44"/>
      <c r="F170" s="44"/>
      <c r="G170" s="43"/>
      <c r="H170" s="12"/>
      <c r="I170" s="12"/>
      <c r="J170" s="9"/>
      <c r="K170" s="9"/>
    </row>
    <row r="171" spans="1:11">
      <c r="A171" s="10" t="s">
        <v>29</v>
      </c>
      <c r="B171" s="10"/>
      <c r="C171" s="10"/>
      <c r="D171" s="11" t="s">
        <v>4</v>
      </c>
      <c r="E171" s="44">
        <f>E169+E170</f>
        <v>0</v>
      </c>
      <c r="F171" s="44"/>
      <c r="G171" s="10"/>
      <c r="H171" s="12"/>
      <c r="I171" s="12"/>
      <c r="J171" s="46"/>
      <c r="K171" s="46"/>
    </row>
    <row r="172" spans="1:11">
      <c r="A172" s="13"/>
      <c r="B172" s="13"/>
      <c r="C172" s="13"/>
      <c r="D172" s="11"/>
      <c r="E172" s="13"/>
      <c r="F172" s="13"/>
      <c r="G172" s="10"/>
      <c r="H172" s="12"/>
      <c r="I172" s="12"/>
      <c r="J172" s="46"/>
      <c r="K172" s="46"/>
    </row>
    <row r="173" spans="1:11">
      <c r="A173" s="71" t="s">
        <v>30</v>
      </c>
      <c r="B173" s="71"/>
      <c r="C173" s="71"/>
      <c r="D173" s="11" t="s">
        <v>4</v>
      </c>
      <c r="E173" s="40">
        <f>E168-E171</f>
        <v>140000</v>
      </c>
      <c r="F173" s="40"/>
      <c r="G173" s="10"/>
      <c r="H173" s="12"/>
      <c r="I173" s="12"/>
      <c r="J173" s="46"/>
      <c r="K173" s="46"/>
    </row>
    <row r="174" spans="1:11" ht="15.75">
      <c r="A174" s="13"/>
      <c r="B174" s="13"/>
      <c r="C174" s="10"/>
      <c r="D174" s="10"/>
      <c r="E174" s="16" t="str">
        <f>PROPER(IF(E173=0,"nol",IF(E173&lt;0,"minus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173),"000000000000000"),1,3)=0,"",MID(TEXT(ABS(E173),"000000000000000"),1,1)&amp;" ratus "&amp;MID(TEXT(ABS(E173),"000000000000000"),2,1)&amp;" puluh "&amp;MID(TEXT(ABS(E173),"000000000000000"),3,1)&amp;" trilyun ")&amp;IF(--MID(TEXT(ABS(E173),"000000000000000"),4,3)=0,"",MID(TEXT(ABS(E173),"000000000000000"),4,1)&amp;" ratus "&amp;MID(TEXT(ABS(E173),"000000000000000"),5,1)&amp;" puluh "&amp;MID(TEXT(ABS(E173),"000000000000000"),6,1)&amp;" milyar ")&amp;IF(--MID(TEXT(ABS(E173),"000000000000000"),7,3)=0,"",MID(TEXT(ABS(E173),"000000000000000"),7,1)&amp;" ratus "&amp;MID(TEXT(ABS(E173),"000000000000000"),8,1)&amp;" puluh "&amp;MID(TEXT(ABS(E173),"000000000000000"),9,1)&amp;" juta ")&amp;IF(--MID(TEXT(ABS(E173),"000000000000000"),10,3)=0,"",IF(--MID(TEXT(ABS(E173),"000000000000000"),10,3)=1,"*",MID(TEXT(ABS(E173),"000000000000000"),10,1)&amp;" ratus "&amp;MID(TEXT(ABS(E173),"000000000000000"),11,1)&amp;" puluh ")&amp;MID(TEXT(ABS(E173),"000000000000000"),12,1)&amp;" ribu ")&amp;IF(--MID(TEXT(ABS(E173),"000000000000000"),13,3)=0,"",MID(TEXT(ABS(E173),"000000000000000"),13,1)&amp;" ratus "&amp;MID(TEXT(ABS(E173),"000000000000000"),14,1)&amp;" puluh "&amp;MID(TEXT(ABS(E173),"000000000000000"),15,1)),1,"satu"),2,"dua"),3,"tiga"),4,"empat"),5,"lima"),6,"enam"),7,"tujuh"),8,"delapan"),9,"sembilan"),"0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Empat Puluh Ribu Rupiah</v>
      </c>
      <c r="F174" s="10"/>
      <c r="G174" s="10"/>
      <c r="H174" s="10"/>
      <c r="I174" s="10"/>
      <c r="J174" s="46"/>
      <c r="K174" s="46"/>
    </row>
    <row r="175" spans="1:11">
      <c r="A175" s="45"/>
      <c r="B175" s="45"/>
      <c r="C175" s="45"/>
      <c r="D175" s="45"/>
      <c r="E175" s="45"/>
      <c r="F175" s="45"/>
      <c r="G175" s="29"/>
      <c r="H175" s="46"/>
      <c r="I175" s="46"/>
      <c r="J175" s="46"/>
      <c r="K175" s="46"/>
    </row>
    <row r="176" spans="1:11">
      <c r="A176" s="29"/>
      <c r="B176" s="29"/>
      <c r="C176" s="29"/>
      <c r="D176" s="29"/>
      <c r="E176" s="29"/>
      <c r="F176" s="29"/>
      <c r="G176" s="29"/>
      <c r="H176"/>
      <c r="I176"/>
      <c r="J176" s="46"/>
      <c r="K176" s="46"/>
    </row>
    <row r="177" spans="1:11">
      <c r="A177" s="13"/>
      <c r="B177" s="13"/>
      <c r="C177" s="10"/>
      <c r="D177" s="10"/>
      <c r="E177" s="10"/>
      <c r="F177" s="10"/>
      <c r="G177" s="10"/>
      <c r="I177" s="47"/>
      <c r="J177" s="47" t="s">
        <v>78</v>
      </c>
      <c r="K177" s="46"/>
    </row>
    <row r="178" spans="1:11">
      <c r="A178" s="12" t="s">
        <v>31</v>
      </c>
      <c r="B178" s="10"/>
      <c r="C178" s="10"/>
      <c r="D178" s="10"/>
      <c r="E178" s="10"/>
      <c r="F178" s="10"/>
      <c r="G178" s="10"/>
      <c r="I178" s="12"/>
      <c r="J178" s="12" t="s">
        <v>32</v>
      </c>
      <c r="K178" s="46"/>
    </row>
    <row r="179" spans="1:11">
      <c r="A179" s="10"/>
      <c r="B179" s="10"/>
      <c r="C179" s="10"/>
      <c r="D179" s="10"/>
      <c r="E179" s="10"/>
      <c r="F179" s="10"/>
      <c r="G179" s="10"/>
      <c r="I179" s="12"/>
      <c r="J179" s="12"/>
      <c r="K179" s="46"/>
    </row>
    <row r="180" spans="1:11">
      <c r="A180" s="10"/>
      <c r="B180" s="10"/>
      <c r="C180" s="10"/>
      <c r="D180" s="10"/>
      <c r="E180" s="10"/>
      <c r="F180" s="10"/>
      <c r="G180" s="10"/>
      <c r="I180" s="12"/>
      <c r="J180" s="12"/>
      <c r="K180" s="46"/>
    </row>
    <row r="181" spans="1:11">
      <c r="A181" s="10"/>
      <c r="B181" s="10"/>
      <c r="C181" s="10"/>
      <c r="D181" s="10"/>
      <c r="E181" s="10"/>
      <c r="F181" s="10"/>
      <c r="G181" s="10"/>
      <c r="I181" s="12"/>
      <c r="J181" s="12"/>
      <c r="K181" s="46"/>
    </row>
    <row r="182" spans="1:11">
      <c r="A182" s="10"/>
      <c r="B182" s="10"/>
      <c r="C182" s="10"/>
      <c r="D182" s="10"/>
      <c r="E182" s="10"/>
      <c r="F182" s="10"/>
      <c r="G182" s="10"/>
      <c r="I182" s="12"/>
      <c r="J182" s="12"/>
      <c r="K182" s="46"/>
    </row>
    <row r="183" spans="1:11">
      <c r="A183" s="48" t="s">
        <v>37</v>
      </c>
      <c r="B183" s="48"/>
      <c r="C183" s="49"/>
      <c r="D183" s="49"/>
      <c r="E183" s="49"/>
      <c r="F183" s="49"/>
      <c r="G183" s="10" t="s">
        <v>33</v>
      </c>
      <c r="I183" s="48"/>
      <c r="J183" s="48" t="s">
        <v>34</v>
      </c>
      <c r="K183" s="46"/>
    </row>
    <row r="188" spans="1:11" ht="15.75">
      <c r="C188" s="2"/>
      <c r="D188" s="2"/>
      <c r="E188" s="2"/>
      <c r="F188" s="2"/>
    </row>
    <row r="189" spans="1:11" ht="15.75">
      <c r="A189" s="3"/>
      <c r="B189" s="3"/>
      <c r="C189" s="2"/>
      <c r="D189" s="2"/>
      <c r="E189" s="2"/>
      <c r="F189" s="2"/>
      <c r="G189" s="3"/>
      <c r="H189" s="4"/>
      <c r="I189" s="4"/>
      <c r="J189" s="4"/>
      <c r="K189" s="5"/>
    </row>
    <row r="190" spans="1:11">
      <c r="H190" s="5"/>
      <c r="I190" s="5"/>
      <c r="J190" s="5"/>
      <c r="K190" s="5"/>
    </row>
    <row r="191" spans="1:11">
      <c r="H191" s="5"/>
      <c r="I191" s="5"/>
      <c r="J191" s="5"/>
      <c r="K191" s="5"/>
    </row>
    <row r="192" spans="1:11">
      <c r="A192" s="72" t="s">
        <v>0</v>
      </c>
      <c r="B192" s="72"/>
      <c r="C192" s="73"/>
      <c r="D192" s="73"/>
      <c r="E192" s="73"/>
      <c r="F192" s="73"/>
      <c r="G192" s="73"/>
      <c r="H192" s="73"/>
      <c r="I192" s="73"/>
      <c r="J192" s="73"/>
      <c r="K192" s="73"/>
    </row>
    <row r="193" spans="1:11">
      <c r="A193" s="73" t="s">
        <v>80</v>
      </c>
      <c r="B193" s="73"/>
      <c r="C193" s="73"/>
      <c r="D193" s="73"/>
      <c r="E193" s="73"/>
      <c r="F193" s="73"/>
      <c r="G193" s="73"/>
      <c r="H193" s="73"/>
      <c r="I193" s="73"/>
      <c r="J193" s="73"/>
      <c r="K193" s="73"/>
    </row>
    <row r="194" spans="1:11">
      <c r="A194" s="73" t="s">
        <v>1</v>
      </c>
      <c r="B194" s="73"/>
      <c r="C194" s="73"/>
      <c r="D194" s="73"/>
      <c r="E194" s="73"/>
      <c r="F194" s="73"/>
      <c r="G194" s="73"/>
      <c r="H194" s="73"/>
      <c r="I194" s="73"/>
      <c r="J194" s="73"/>
      <c r="K194" s="73"/>
    </row>
    <row r="195" spans="1:11">
      <c r="A195" s="73" t="s">
        <v>38</v>
      </c>
      <c r="B195" s="73"/>
      <c r="C195" s="73"/>
      <c r="D195" s="73"/>
      <c r="E195" s="73"/>
      <c r="F195" s="73"/>
      <c r="G195" s="73"/>
      <c r="H195" s="73"/>
      <c r="I195" s="73"/>
      <c r="J195" s="73"/>
      <c r="K195" s="73"/>
    </row>
    <row r="196" spans="1:11">
      <c r="A196" s="73" t="s">
        <v>2</v>
      </c>
      <c r="B196" s="73"/>
      <c r="C196" s="73"/>
      <c r="D196" s="73"/>
      <c r="E196" s="73"/>
      <c r="F196" s="73"/>
      <c r="G196" s="73"/>
      <c r="H196" s="73"/>
      <c r="I196" s="73"/>
      <c r="J196" s="73"/>
      <c r="K196" s="73"/>
    </row>
    <row r="197" spans="1:11">
      <c r="A197" s="6"/>
      <c r="B197" s="6"/>
      <c r="C197" s="7"/>
      <c r="D197" s="7"/>
      <c r="E197" s="7"/>
      <c r="F197" s="7"/>
      <c r="G197" s="8"/>
      <c r="H197" s="9"/>
      <c r="I197" s="9"/>
      <c r="J197" s="9"/>
      <c r="K197" s="9"/>
    </row>
    <row r="198" spans="1:11">
      <c r="A198" s="52" t="s">
        <v>3</v>
      </c>
      <c r="B198" s="10"/>
      <c r="C198" s="10"/>
      <c r="D198" s="53" t="s">
        <v>4</v>
      </c>
      <c r="E198" s="10" t="s">
        <v>5</v>
      </c>
      <c r="F198" s="11"/>
      <c r="G198" s="10"/>
      <c r="H198" s="12"/>
      <c r="I198" s="12"/>
      <c r="J198" s="12"/>
      <c r="K198" s="9"/>
    </row>
    <row r="199" spans="1:11">
      <c r="A199" s="52" t="s">
        <v>6</v>
      </c>
      <c r="B199" s="10"/>
      <c r="C199" s="10"/>
      <c r="D199" s="53" t="s">
        <v>4</v>
      </c>
      <c r="E199" s="10" t="s">
        <v>7</v>
      </c>
      <c r="F199" s="11"/>
      <c r="G199" s="10"/>
      <c r="H199" s="12"/>
      <c r="I199" s="12"/>
      <c r="J199" s="12"/>
      <c r="K199" s="9"/>
    </row>
    <row r="200" spans="1:11">
      <c r="A200" s="52" t="s">
        <v>8</v>
      </c>
      <c r="B200" s="10"/>
      <c r="C200" s="10"/>
      <c r="D200" s="53" t="s">
        <v>4</v>
      </c>
      <c r="E200" s="13">
        <v>2026</v>
      </c>
      <c r="F200" s="11"/>
      <c r="G200" s="13"/>
      <c r="H200" s="12"/>
      <c r="I200" s="12"/>
      <c r="J200" s="12"/>
      <c r="K200" s="9"/>
    </row>
    <row r="201" spans="1:11">
      <c r="A201" s="52" t="s">
        <v>9</v>
      </c>
      <c r="B201" s="10"/>
      <c r="C201" s="10"/>
      <c r="D201" s="53" t="s">
        <v>4</v>
      </c>
      <c r="E201" s="14">
        <f>J212</f>
        <v>95000</v>
      </c>
      <c r="F201" s="11"/>
      <c r="G201" s="14"/>
      <c r="H201" s="12"/>
      <c r="I201" s="12"/>
      <c r="J201" s="12"/>
      <c r="K201" s="9"/>
    </row>
    <row r="202" spans="1:11" ht="15.75">
      <c r="A202" s="10"/>
      <c r="B202" s="10"/>
      <c r="C202" s="15" t="s">
        <v>10</v>
      </c>
      <c r="D202" s="53" t="s">
        <v>4</v>
      </c>
      <c r="E202" s="16" t="str">
        <f>PROPER(IF(E201=0,"nol",IF(E201&lt;0,"minus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201),"000000000000000"),1,3)=0,"",MID(TEXT(ABS(E201),"000000000000000"),1,1)&amp;" ratus "&amp;MID(TEXT(ABS(E201),"000000000000000"),2,1)&amp;" puluh "&amp;MID(TEXT(ABS(E201),"000000000000000"),3,1)&amp;" trilyun ")&amp;IF(--MID(TEXT(ABS(E201),"000000000000000"),4,3)=0,"",MID(TEXT(ABS(E201),"000000000000000"),4,1)&amp;" ratus "&amp;MID(TEXT(ABS(E201),"000000000000000"),5,1)&amp;" puluh "&amp;MID(TEXT(ABS(E201),"000000000000000"),6,1)&amp;" milyar ")&amp;IF(--MID(TEXT(ABS(E201),"000000000000000"),7,3)=0,"",MID(TEXT(ABS(E201),"000000000000000"),7,1)&amp;" ratus "&amp;MID(TEXT(ABS(E201),"000000000000000"),8,1)&amp;" puluh "&amp;MID(TEXT(ABS(E201),"000000000000000"),9,1)&amp;" juta ")&amp;IF(--MID(TEXT(ABS(E201),"000000000000000"),10,3)=0,"",IF(--MID(TEXT(ABS(E201),"000000000000000"),10,3)=1,"*",MID(TEXT(ABS(E201),"000000000000000"),10,1)&amp;" ratus "&amp;MID(TEXT(ABS(E201),"000000000000000"),11,1)&amp;" puluh ")&amp;MID(TEXT(ABS(E201),"000000000000000"),12,1)&amp;" ribu ")&amp;IF(--MID(TEXT(ABS(E201),"000000000000000"),13,3)=0,"",MID(TEXT(ABS(E201),"000000000000000"),13,1)&amp;" ratus "&amp;MID(TEXT(ABS(E201),"000000000000000"),14,1)&amp;" puluh "&amp;MID(TEXT(ABS(E201),"000000000000000"),15,1)),1,"satu"),2,"dua"),3,"tiga"),4,"empat"),5,"lima"),6,"enam"),7,"tujuh"),8,"delapan"),9,"sembilan"),"0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Puluh Lima Ribu Rupiah</v>
      </c>
      <c r="F202" s="11"/>
      <c r="G202" s="16"/>
      <c r="H202" s="12"/>
      <c r="I202" s="12"/>
      <c r="J202" s="12"/>
      <c r="K202" s="9"/>
    </row>
    <row r="203" spans="1:11" ht="15.75">
      <c r="A203" s="10"/>
      <c r="B203" s="10"/>
      <c r="C203" s="15"/>
      <c r="D203" s="15"/>
      <c r="E203" s="15"/>
      <c r="F203" s="11"/>
      <c r="G203" s="16"/>
      <c r="H203" s="12"/>
      <c r="I203" s="12"/>
      <c r="J203" s="12"/>
      <c r="K203" s="9"/>
    </row>
    <row r="204" spans="1:11">
      <c r="A204" s="10" t="s">
        <v>11</v>
      </c>
      <c r="B204" s="10"/>
      <c r="C204" s="10"/>
      <c r="D204" s="10"/>
      <c r="E204" s="10"/>
      <c r="F204" s="10"/>
      <c r="G204" s="10"/>
      <c r="H204" s="12"/>
      <c r="I204" s="12"/>
      <c r="J204" s="12"/>
      <c r="K204" s="9"/>
    </row>
    <row r="205" spans="1:11">
      <c r="A205" s="74" t="s">
        <v>12</v>
      </c>
      <c r="B205" s="74"/>
      <c r="C205" s="74"/>
      <c r="D205" s="74"/>
      <c r="E205" s="74"/>
      <c r="F205" s="74"/>
      <c r="G205" s="74"/>
      <c r="H205" s="74"/>
      <c r="I205" s="74"/>
      <c r="J205" s="74"/>
      <c r="K205" s="74"/>
    </row>
    <row r="206" spans="1:11" ht="60">
      <c r="A206" s="17" t="s">
        <v>13</v>
      </c>
      <c r="B206" s="18" t="s">
        <v>14</v>
      </c>
      <c r="C206" s="59" t="s">
        <v>15</v>
      </c>
      <c r="D206" s="60"/>
      <c r="E206" s="61"/>
      <c r="F206" s="19"/>
      <c r="G206" s="20" t="s">
        <v>16</v>
      </c>
      <c r="H206" s="21" t="s">
        <v>35</v>
      </c>
      <c r="I206" s="21"/>
      <c r="J206" s="31" t="s">
        <v>17</v>
      </c>
      <c r="K206" s="32" t="s">
        <v>18</v>
      </c>
    </row>
    <row r="207" spans="1:11">
      <c r="A207" s="27">
        <v>1</v>
      </c>
      <c r="B207" s="24"/>
      <c r="C207" s="28" t="s">
        <v>23</v>
      </c>
      <c r="D207" s="57"/>
      <c r="E207" s="26"/>
      <c r="F207" s="25"/>
      <c r="G207" s="54" t="s">
        <v>19</v>
      </c>
      <c r="H207" s="54" t="s">
        <v>19</v>
      </c>
      <c r="I207" s="54"/>
      <c r="J207" s="54" t="s">
        <v>19</v>
      </c>
      <c r="K207" s="54" t="s">
        <v>19</v>
      </c>
    </row>
    <row r="208" spans="1:11">
      <c r="A208" s="24"/>
      <c r="B208" s="55" t="s">
        <v>20</v>
      </c>
      <c r="C208" s="25" t="s">
        <v>24</v>
      </c>
      <c r="D208" s="10"/>
      <c r="E208" s="26"/>
      <c r="F208" s="25"/>
      <c r="G208" s="23">
        <v>45000000</v>
      </c>
      <c r="H208" s="56">
        <f>H162+J162</f>
        <v>2862700</v>
      </c>
      <c r="I208" s="56"/>
      <c r="J208" s="56">
        <v>0</v>
      </c>
      <c r="K208" s="58">
        <f t="shared" ref="K208:K211" si="7">G208-H208-J208</f>
        <v>42137300</v>
      </c>
    </row>
    <row r="209" spans="1:11" ht="27.75" customHeight="1">
      <c r="A209" s="24"/>
      <c r="B209" s="55" t="s">
        <v>21</v>
      </c>
      <c r="C209" s="62" t="s">
        <v>39</v>
      </c>
      <c r="D209" s="63"/>
      <c r="E209" s="64"/>
      <c r="F209" s="25"/>
      <c r="G209" s="23">
        <v>35000000</v>
      </c>
      <c r="H209" s="56">
        <f>H163+J163</f>
        <v>3446000</v>
      </c>
      <c r="I209" s="56"/>
      <c r="J209" s="56">
        <v>95000</v>
      </c>
      <c r="K209" s="58">
        <f t="shared" si="7"/>
        <v>31459000</v>
      </c>
    </row>
    <row r="210" spans="1:11">
      <c r="A210" s="24"/>
      <c r="B210" s="55" t="s">
        <v>22</v>
      </c>
      <c r="C210" s="65" t="s">
        <v>40</v>
      </c>
      <c r="D210" s="66"/>
      <c r="E210" s="67"/>
      <c r="F210" s="25"/>
      <c r="G210" s="23">
        <v>30000000</v>
      </c>
      <c r="H210" s="56">
        <f t="shared" ref="H210:H211" si="8">H164+J164</f>
        <v>500000</v>
      </c>
      <c r="I210" s="22"/>
      <c r="J210" s="22">
        <v>0</v>
      </c>
      <c r="K210" s="33">
        <f t="shared" si="7"/>
        <v>29500000</v>
      </c>
    </row>
    <row r="211" spans="1:11">
      <c r="A211" s="24"/>
      <c r="B211" s="55" t="s">
        <v>36</v>
      </c>
      <c r="C211" s="68" t="s">
        <v>41</v>
      </c>
      <c r="D211" s="69"/>
      <c r="E211" s="70"/>
      <c r="F211" s="25"/>
      <c r="G211" s="23">
        <v>28125000</v>
      </c>
      <c r="H211" s="56">
        <f t="shared" si="8"/>
        <v>1417650</v>
      </c>
      <c r="I211" s="22"/>
      <c r="J211" s="22">
        <v>0</v>
      </c>
      <c r="K211" s="33">
        <f t="shared" si="7"/>
        <v>26707350</v>
      </c>
    </row>
    <row r="212" spans="1:11">
      <c r="A212" s="34"/>
      <c r="B212" s="34"/>
      <c r="C212" s="34" t="s">
        <v>25</v>
      </c>
      <c r="D212" s="34"/>
      <c r="E212" s="34"/>
      <c r="F212" s="35"/>
      <c r="G212" s="36">
        <f>SUM(G207:G211)</f>
        <v>138125000</v>
      </c>
      <c r="H212" s="37">
        <f>SUM(H207:H211)</f>
        <v>8226350</v>
      </c>
      <c r="I212" s="37"/>
      <c r="J212" s="37">
        <f>SUM(J207:J211)</f>
        <v>95000</v>
      </c>
      <c r="K212" s="37">
        <f>SUM(K207:K211)</f>
        <v>129803650</v>
      </c>
    </row>
    <row r="213" spans="1:11">
      <c r="A213" s="38"/>
      <c r="B213" s="8"/>
      <c r="C213" s="8"/>
      <c r="D213" s="8"/>
      <c r="E213" s="8"/>
      <c r="F213" s="8"/>
      <c r="G213" s="39"/>
      <c r="H213" s="39"/>
      <c r="I213" s="39"/>
      <c r="J213" s="39"/>
      <c r="K213" s="39"/>
    </row>
    <row r="214" spans="1:11">
      <c r="A214" s="71" t="s">
        <v>26</v>
      </c>
      <c r="B214" s="71"/>
      <c r="C214" s="71"/>
      <c r="D214" s="11" t="s">
        <v>4</v>
      </c>
      <c r="E214" s="14">
        <f>J212</f>
        <v>95000</v>
      </c>
      <c r="F214" s="40"/>
      <c r="G214" s="41"/>
      <c r="H214" s="41"/>
      <c r="I214" s="41"/>
      <c r="J214" s="9"/>
      <c r="K214" s="9"/>
    </row>
    <row r="215" spans="1:11">
      <c r="A215" s="10" t="s">
        <v>27</v>
      </c>
      <c r="B215" s="10"/>
      <c r="C215" s="10"/>
      <c r="D215" s="11" t="s">
        <v>4</v>
      </c>
      <c r="E215" s="42"/>
      <c r="F215" s="42"/>
      <c r="G215" s="43"/>
      <c r="H215" s="12"/>
      <c r="I215" s="12"/>
      <c r="J215" s="9"/>
      <c r="K215" s="9"/>
    </row>
    <row r="216" spans="1:11">
      <c r="A216" s="10" t="s">
        <v>28</v>
      </c>
      <c r="B216" s="10"/>
      <c r="C216" s="10"/>
      <c r="D216" s="11" t="s">
        <v>4</v>
      </c>
      <c r="E216" s="44"/>
      <c r="F216" s="44"/>
      <c r="G216" s="43"/>
      <c r="H216" s="12"/>
      <c r="I216" s="12"/>
      <c r="J216" s="9"/>
      <c r="K216" s="9"/>
    </row>
    <row r="217" spans="1:11">
      <c r="A217" s="10" t="s">
        <v>29</v>
      </c>
      <c r="B217" s="10"/>
      <c r="C217" s="10"/>
      <c r="D217" s="11" t="s">
        <v>4</v>
      </c>
      <c r="E217" s="44">
        <f>E215+E216</f>
        <v>0</v>
      </c>
      <c r="F217" s="44"/>
      <c r="G217" s="10"/>
      <c r="H217" s="12"/>
      <c r="I217" s="12"/>
      <c r="J217" s="46"/>
      <c r="K217" s="46"/>
    </row>
    <row r="218" spans="1:11">
      <c r="A218" s="13"/>
      <c r="B218" s="13"/>
      <c r="C218" s="13"/>
      <c r="D218" s="11"/>
      <c r="E218" s="13"/>
      <c r="F218" s="13"/>
      <c r="G218" s="10"/>
      <c r="H218" s="12"/>
      <c r="I218" s="12"/>
      <c r="J218" s="46"/>
      <c r="K218" s="46"/>
    </row>
    <row r="219" spans="1:11">
      <c r="A219" s="71" t="s">
        <v>30</v>
      </c>
      <c r="B219" s="71"/>
      <c r="C219" s="71"/>
      <c r="D219" s="11" t="s">
        <v>4</v>
      </c>
      <c r="E219" s="40">
        <f>E214-E217</f>
        <v>95000</v>
      </c>
      <c r="F219" s="40"/>
      <c r="G219" s="10"/>
      <c r="H219" s="12"/>
      <c r="I219" s="12"/>
      <c r="J219" s="46"/>
      <c r="K219" s="46"/>
    </row>
    <row r="220" spans="1:11" ht="15.75">
      <c r="A220" s="13"/>
      <c r="B220" s="13"/>
      <c r="C220" s="10"/>
      <c r="D220" s="10"/>
      <c r="E220" s="16" t="str">
        <f>PROPER(IF(E219=0,"nol",IF(E219&lt;0,"minus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219),"000000000000000"),1,3)=0,"",MID(TEXT(ABS(E219),"000000000000000"),1,1)&amp;" ratus "&amp;MID(TEXT(ABS(E219),"000000000000000"),2,1)&amp;" puluh "&amp;MID(TEXT(ABS(E219),"000000000000000"),3,1)&amp;" trilyun ")&amp;IF(--MID(TEXT(ABS(E219),"000000000000000"),4,3)=0,"",MID(TEXT(ABS(E219),"000000000000000"),4,1)&amp;" ratus "&amp;MID(TEXT(ABS(E219),"000000000000000"),5,1)&amp;" puluh "&amp;MID(TEXT(ABS(E219),"000000000000000"),6,1)&amp;" milyar ")&amp;IF(--MID(TEXT(ABS(E219),"000000000000000"),7,3)=0,"",MID(TEXT(ABS(E219),"000000000000000"),7,1)&amp;" ratus "&amp;MID(TEXT(ABS(E219),"000000000000000"),8,1)&amp;" puluh "&amp;MID(TEXT(ABS(E219),"000000000000000"),9,1)&amp;" juta ")&amp;IF(--MID(TEXT(ABS(E219),"000000000000000"),10,3)=0,"",IF(--MID(TEXT(ABS(E219),"000000000000000"),10,3)=1,"*",MID(TEXT(ABS(E219),"000000000000000"),10,1)&amp;" ratus "&amp;MID(TEXT(ABS(E219),"000000000000000"),11,1)&amp;" puluh ")&amp;MID(TEXT(ABS(E219),"000000000000000"),12,1)&amp;" ribu ")&amp;IF(--MID(TEXT(ABS(E219),"000000000000000"),13,3)=0,"",MID(TEXT(ABS(E219),"000000000000000"),13,1)&amp;" ratus "&amp;MID(TEXT(ABS(E219),"000000000000000"),14,1)&amp;" puluh "&amp;MID(TEXT(ABS(E219),"000000000000000"),15,1)),1,"satu"),2,"dua"),3,"tiga"),4,"empat"),5,"lima"),6,"enam"),7,"tujuh"),8,"delapan"),9,"sembilan"),"0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Puluh Lima Ribu Rupiah</v>
      </c>
      <c r="F220" s="10"/>
      <c r="G220" s="10"/>
      <c r="H220" s="10"/>
      <c r="I220" s="10"/>
      <c r="J220" s="46"/>
      <c r="K220" s="46"/>
    </row>
    <row r="221" spans="1:11">
      <c r="A221" s="45"/>
      <c r="B221" s="45"/>
      <c r="C221" s="45"/>
      <c r="D221" s="45"/>
      <c r="E221" s="45"/>
      <c r="F221" s="45"/>
      <c r="G221" s="29"/>
      <c r="H221" s="46"/>
      <c r="I221" s="46"/>
      <c r="J221" s="46"/>
      <c r="K221" s="46"/>
    </row>
    <row r="222" spans="1:11">
      <c r="A222" s="29"/>
      <c r="B222" s="29"/>
      <c r="C222" s="29"/>
      <c r="D222" s="29"/>
      <c r="E222" s="29"/>
      <c r="F222" s="29"/>
      <c r="G222" s="29"/>
      <c r="H222"/>
      <c r="I222"/>
      <c r="J222" s="46"/>
      <c r="K222" s="46"/>
    </row>
    <row r="223" spans="1:11">
      <c r="A223" s="13"/>
      <c r="B223" s="13"/>
      <c r="C223" s="10"/>
      <c r="D223" s="10"/>
      <c r="E223" s="10"/>
      <c r="F223" s="10"/>
      <c r="G223" s="10"/>
      <c r="I223" s="47"/>
      <c r="J223" s="47" t="s">
        <v>79</v>
      </c>
      <c r="K223" s="46"/>
    </row>
    <row r="224" spans="1:11">
      <c r="A224" s="12" t="s">
        <v>31</v>
      </c>
      <c r="B224" s="10"/>
      <c r="C224" s="10"/>
      <c r="D224" s="10"/>
      <c r="E224" s="10"/>
      <c r="F224" s="10"/>
      <c r="G224" s="10"/>
      <c r="I224" s="12"/>
      <c r="J224" s="12" t="s">
        <v>32</v>
      </c>
      <c r="K224" s="46"/>
    </row>
    <row r="225" spans="1:11">
      <c r="A225" s="10"/>
      <c r="B225" s="10"/>
      <c r="C225" s="10"/>
      <c r="D225" s="10"/>
      <c r="E225" s="10"/>
      <c r="F225" s="10"/>
      <c r="G225" s="10"/>
      <c r="I225" s="12"/>
      <c r="J225" s="12"/>
      <c r="K225" s="46"/>
    </row>
    <row r="226" spans="1:11">
      <c r="A226" s="10"/>
      <c r="B226" s="10"/>
      <c r="C226" s="10"/>
      <c r="D226" s="10"/>
      <c r="E226" s="10"/>
      <c r="F226" s="10"/>
      <c r="G226" s="10"/>
      <c r="I226" s="12"/>
      <c r="J226" s="12"/>
      <c r="K226" s="46"/>
    </row>
    <row r="227" spans="1:11">
      <c r="A227" s="10"/>
      <c r="B227" s="10"/>
      <c r="C227" s="10"/>
      <c r="D227" s="10"/>
      <c r="E227" s="10"/>
      <c r="F227" s="10"/>
      <c r="G227" s="10"/>
      <c r="I227" s="12"/>
      <c r="J227" s="12"/>
      <c r="K227" s="46"/>
    </row>
    <row r="228" spans="1:11">
      <c r="A228" s="10"/>
      <c r="B228" s="10"/>
      <c r="C228" s="10"/>
      <c r="D228" s="10"/>
      <c r="E228" s="10"/>
      <c r="F228" s="10"/>
      <c r="G228" s="10"/>
      <c r="I228" s="12"/>
      <c r="J228" s="12"/>
      <c r="K228" s="46"/>
    </row>
    <row r="229" spans="1:11">
      <c r="A229" s="48" t="s">
        <v>37</v>
      </c>
      <c r="B229" s="48"/>
      <c r="C229" s="49"/>
      <c r="D229" s="49"/>
      <c r="E229" s="49"/>
      <c r="F229" s="49"/>
      <c r="G229" s="10" t="s">
        <v>33</v>
      </c>
      <c r="I229" s="48"/>
      <c r="J229" s="48" t="s">
        <v>34</v>
      </c>
      <c r="K229" s="46"/>
    </row>
    <row r="234" spans="1:11" ht="15.75">
      <c r="C234" s="2"/>
      <c r="D234" s="2"/>
      <c r="E234" s="2"/>
      <c r="F234" s="2"/>
    </row>
    <row r="235" spans="1:11" ht="15.75">
      <c r="A235" s="3"/>
      <c r="B235" s="3"/>
      <c r="C235" s="2"/>
      <c r="D235" s="2"/>
      <c r="E235" s="2"/>
      <c r="F235" s="2"/>
      <c r="G235" s="3"/>
      <c r="H235" s="4"/>
      <c r="I235" s="4"/>
      <c r="J235" s="4"/>
      <c r="K235" s="5"/>
    </row>
    <row r="236" spans="1:11">
      <c r="H236" s="5"/>
      <c r="I236" s="5"/>
      <c r="J236" s="5"/>
      <c r="K236" s="5"/>
    </row>
    <row r="237" spans="1:11">
      <c r="H237" s="5"/>
      <c r="I237" s="5"/>
      <c r="J237" s="5"/>
      <c r="K237" s="5"/>
    </row>
    <row r="238" spans="1:11">
      <c r="A238" s="72" t="s">
        <v>0</v>
      </c>
      <c r="B238" s="72"/>
      <c r="C238" s="73"/>
      <c r="D238" s="73"/>
      <c r="E238" s="73"/>
      <c r="F238" s="73"/>
      <c r="G238" s="73"/>
      <c r="H238" s="73"/>
      <c r="I238" s="73"/>
      <c r="J238" s="73"/>
      <c r="K238" s="73"/>
    </row>
    <row r="239" spans="1:11">
      <c r="A239" s="73" t="s">
        <v>81</v>
      </c>
      <c r="B239" s="73"/>
      <c r="C239" s="73"/>
      <c r="D239" s="73"/>
      <c r="E239" s="73"/>
      <c r="F239" s="73"/>
      <c r="G239" s="73"/>
      <c r="H239" s="73"/>
      <c r="I239" s="73"/>
      <c r="J239" s="73"/>
      <c r="K239" s="73"/>
    </row>
    <row r="240" spans="1:11">
      <c r="A240" s="73" t="s">
        <v>1</v>
      </c>
      <c r="B240" s="73"/>
      <c r="C240" s="73"/>
      <c r="D240" s="73"/>
      <c r="E240" s="73"/>
      <c r="F240" s="73"/>
      <c r="G240" s="73"/>
      <c r="H240" s="73"/>
      <c r="I240" s="73"/>
      <c r="J240" s="73"/>
      <c r="K240" s="73"/>
    </row>
    <row r="241" spans="1:11">
      <c r="A241" s="73" t="s">
        <v>38</v>
      </c>
      <c r="B241" s="73"/>
      <c r="C241" s="73"/>
      <c r="D241" s="73"/>
      <c r="E241" s="73"/>
      <c r="F241" s="73"/>
      <c r="G241" s="73"/>
      <c r="H241" s="73"/>
      <c r="I241" s="73"/>
      <c r="J241" s="73"/>
      <c r="K241" s="73"/>
    </row>
    <row r="242" spans="1:11">
      <c r="A242" s="73" t="s">
        <v>2</v>
      </c>
      <c r="B242" s="73"/>
      <c r="C242" s="73"/>
      <c r="D242" s="73"/>
      <c r="E242" s="73"/>
      <c r="F242" s="73"/>
      <c r="G242" s="73"/>
      <c r="H242" s="73"/>
      <c r="I242" s="73"/>
      <c r="J242" s="73"/>
      <c r="K242" s="73"/>
    </row>
    <row r="243" spans="1:11">
      <c r="A243" s="6"/>
      <c r="B243" s="6"/>
      <c r="C243" s="7"/>
      <c r="D243" s="7"/>
      <c r="E243" s="7"/>
      <c r="F243" s="7"/>
      <c r="G243" s="8"/>
      <c r="H243" s="9"/>
      <c r="I243" s="9"/>
      <c r="J243" s="9"/>
      <c r="K243" s="9"/>
    </row>
    <row r="244" spans="1:11">
      <c r="A244" s="52" t="s">
        <v>3</v>
      </c>
      <c r="B244" s="10"/>
      <c r="C244" s="10"/>
      <c r="D244" s="53" t="s">
        <v>4</v>
      </c>
      <c r="E244" s="10" t="s">
        <v>5</v>
      </c>
      <c r="F244" s="11"/>
      <c r="G244" s="10"/>
      <c r="H244" s="12"/>
      <c r="I244" s="12"/>
      <c r="J244" s="12"/>
      <c r="K244" s="9"/>
    </row>
    <row r="245" spans="1:11">
      <c r="A245" s="52" t="s">
        <v>6</v>
      </c>
      <c r="B245" s="10"/>
      <c r="C245" s="10"/>
      <c r="D245" s="53" t="s">
        <v>4</v>
      </c>
      <c r="E245" s="10" t="s">
        <v>7</v>
      </c>
      <c r="F245" s="11"/>
      <c r="G245" s="10"/>
      <c r="H245" s="12"/>
      <c r="I245" s="12"/>
      <c r="J245" s="12"/>
      <c r="K245" s="9"/>
    </row>
    <row r="246" spans="1:11">
      <c r="A246" s="52" t="s">
        <v>8</v>
      </c>
      <c r="B246" s="10"/>
      <c r="C246" s="10"/>
      <c r="D246" s="53" t="s">
        <v>4</v>
      </c>
      <c r="E246" s="13">
        <v>2026</v>
      </c>
      <c r="F246" s="11"/>
      <c r="G246" s="13"/>
      <c r="H246" s="12"/>
      <c r="I246" s="12"/>
      <c r="J246" s="12"/>
      <c r="K246" s="9"/>
    </row>
    <row r="247" spans="1:11">
      <c r="A247" s="52" t="s">
        <v>9</v>
      </c>
      <c r="B247" s="10"/>
      <c r="C247" s="10"/>
      <c r="D247" s="53" t="s">
        <v>4</v>
      </c>
      <c r="E247" s="14">
        <f>J258</f>
        <v>23000</v>
      </c>
      <c r="F247" s="11"/>
      <c r="G247" s="14"/>
      <c r="H247" s="12"/>
      <c r="I247" s="12"/>
      <c r="J247" s="12"/>
      <c r="K247" s="9"/>
    </row>
    <row r="248" spans="1:11" ht="15.75">
      <c r="A248" s="10"/>
      <c r="B248" s="10"/>
      <c r="C248" s="15" t="s">
        <v>10</v>
      </c>
      <c r="D248" s="53" t="s">
        <v>4</v>
      </c>
      <c r="E248" s="16" t="str">
        <f>PROPER(IF(E247=0,"nol",IF(E247&lt;0,"minus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247),"000000000000000"),1,3)=0,"",MID(TEXT(ABS(E247),"000000000000000"),1,1)&amp;" ratus "&amp;MID(TEXT(ABS(E247),"000000000000000"),2,1)&amp;" puluh "&amp;MID(TEXT(ABS(E247),"000000000000000"),3,1)&amp;" trilyun ")&amp;IF(--MID(TEXT(ABS(E247),"000000000000000"),4,3)=0,"",MID(TEXT(ABS(E247),"000000000000000"),4,1)&amp;" ratus "&amp;MID(TEXT(ABS(E247),"000000000000000"),5,1)&amp;" puluh "&amp;MID(TEXT(ABS(E247),"000000000000000"),6,1)&amp;" milyar ")&amp;IF(--MID(TEXT(ABS(E247),"000000000000000"),7,3)=0,"",MID(TEXT(ABS(E247),"000000000000000"),7,1)&amp;" ratus "&amp;MID(TEXT(ABS(E247),"000000000000000"),8,1)&amp;" puluh "&amp;MID(TEXT(ABS(E247),"000000000000000"),9,1)&amp;" juta ")&amp;IF(--MID(TEXT(ABS(E247),"000000000000000"),10,3)=0,"",IF(--MID(TEXT(ABS(E247),"000000000000000"),10,3)=1,"*",MID(TEXT(ABS(E247),"000000000000000"),10,1)&amp;" ratus "&amp;MID(TEXT(ABS(E247),"000000000000000"),11,1)&amp;" puluh ")&amp;MID(TEXT(ABS(E247),"000000000000000"),12,1)&amp;" ribu ")&amp;IF(--MID(TEXT(ABS(E247),"000000000000000"),13,3)=0,"",MID(TEXT(ABS(E247),"000000000000000"),13,1)&amp;" ratus "&amp;MID(TEXT(ABS(E247),"000000000000000"),14,1)&amp;" puluh "&amp;MID(TEXT(ABS(E247),"000000000000000"),15,1)),1,"satu"),2,"dua"),3,"tiga"),4,"empat"),5,"lima"),6,"enam"),7,"tujuh"),8,"delapan"),9,"sembilan"),"0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Tiga Ribu Rupiah</v>
      </c>
      <c r="F248" s="11"/>
      <c r="G248" s="16"/>
      <c r="H248" s="12"/>
      <c r="I248" s="12"/>
      <c r="J248" s="12"/>
      <c r="K248" s="9"/>
    </row>
    <row r="249" spans="1:11" ht="15.75">
      <c r="A249" s="10"/>
      <c r="B249" s="10"/>
      <c r="C249" s="15"/>
      <c r="D249" s="15"/>
      <c r="E249" s="15"/>
      <c r="F249" s="11"/>
      <c r="G249" s="16"/>
      <c r="H249" s="12"/>
      <c r="I249" s="12"/>
      <c r="J249" s="12"/>
      <c r="K249" s="9"/>
    </row>
    <row r="250" spans="1:11">
      <c r="A250" s="10" t="s">
        <v>11</v>
      </c>
      <c r="B250" s="10"/>
      <c r="C250" s="10"/>
      <c r="D250" s="10"/>
      <c r="E250" s="10"/>
      <c r="F250" s="10"/>
      <c r="G250" s="10"/>
      <c r="H250" s="12"/>
      <c r="I250" s="12"/>
      <c r="J250" s="12"/>
      <c r="K250" s="9"/>
    </row>
    <row r="251" spans="1:11">
      <c r="A251" s="74" t="s">
        <v>12</v>
      </c>
      <c r="B251" s="74"/>
      <c r="C251" s="74"/>
      <c r="D251" s="74"/>
      <c r="E251" s="74"/>
      <c r="F251" s="74"/>
      <c r="G251" s="74"/>
      <c r="H251" s="74"/>
      <c r="I251" s="74"/>
      <c r="J251" s="74"/>
      <c r="K251" s="74"/>
    </row>
    <row r="252" spans="1:11" ht="60">
      <c r="A252" s="17" t="s">
        <v>13</v>
      </c>
      <c r="B252" s="18" t="s">
        <v>14</v>
      </c>
      <c r="C252" s="59" t="s">
        <v>15</v>
      </c>
      <c r="D252" s="60"/>
      <c r="E252" s="61"/>
      <c r="F252" s="19"/>
      <c r="G252" s="20" t="s">
        <v>16</v>
      </c>
      <c r="H252" s="21" t="s">
        <v>35</v>
      </c>
      <c r="I252" s="21"/>
      <c r="J252" s="31" t="s">
        <v>17</v>
      </c>
      <c r="K252" s="32" t="s">
        <v>18</v>
      </c>
    </row>
    <row r="253" spans="1:11">
      <c r="A253" s="27">
        <v>1</v>
      </c>
      <c r="B253" s="24"/>
      <c r="C253" s="28" t="s">
        <v>23</v>
      </c>
      <c r="D253" s="57"/>
      <c r="E253" s="26"/>
      <c r="F253" s="25"/>
      <c r="G253" s="54" t="s">
        <v>19</v>
      </c>
      <c r="H253" s="54" t="s">
        <v>19</v>
      </c>
      <c r="I253" s="54"/>
      <c r="J253" s="54" t="s">
        <v>19</v>
      </c>
      <c r="K253" s="54" t="s">
        <v>19</v>
      </c>
    </row>
    <row r="254" spans="1:11">
      <c r="A254" s="24"/>
      <c r="B254" s="55" t="s">
        <v>20</v>
      </c>
      <c r="C254" s="25" t="s">
        <v>24</v>
      </c>
      <c r="D254" s="10"/>
      <c r="E254" s="26"/>
      <c r="F254" s="25"/>
      <c r="G254" s="23">
        <v>45000000</v>
      </c>
      <c r="H254" s="56">
        <f>H208+J208</f>
        <v>2862700</v>
      </c>
      <c r="I254" s="56"/>
      <c r="J254" s="56">
        <v>0</v>
      </c>
      <c r="K254" s="58">
        <f t="shared" ref="K254:K257" si="9">G254-H254-J254</f>
        <v>42137300</v>
      </c>
    </row>
    <row r="255" spans="1:11" ht="27" customHeight="1">
      <c r="A255" s="24"/>
      <c r="B255" s="55" t="s">
        <v>21</v>
      </c>
      <c r="C255" s="62" t="s">
        <v>39</v>
      </c>
      <c r="D255" s="63"/>
      <c r="E255" s="64"/>
      <c r="F255" s="25"/>
      <c r="G255" s="23">
        <v>35000000</v>
      </c>
      <c r="H255" s="56">
        <f t="shared" ref="H255:H257" si="10">H209+J209</f>
        <v>3541000</v>
      </c>
      <c r="I255" s="56"/>
      <c r="J255" s="56">
        <v>0</v>
      </c>
      <c r="K255" s="58">
        <f t="shared" si="9"/>
        <v>31459000</v>
      </c>
    </row>
    <row r="256" spans="1:11">
      <c r="A256" s="24"/>
      <c r="B256" s="55" t="s">
        <v>22</v>
      </c>
      <c r="C256" s="65" t="s">
        <v>40</v>
      </c>
      <c r="D256" s="66"/>
      <c r="E256" s="67"/>
      <c r="F256" s="25"/>
      <c r="G256" s="23">
        <v>30000000</v>
      </c>
      <c r="H256" s="56">
        <f t="shared" si="10"/>
        <v>500000</v>
      </c>
      <c r="I256" s="22"/>
      <c r="J256" s="22">
        <v>0</v>
      </c>
      <c r="K256" s="33">
        <f t="shared" si="9"/>
        <v>29500000</v>
      </c>
    </row>
    <row r="257" spans="1:11">
      <c r="A257" s="24"/>
      <c r="B257" s="55" t="s">
        <v>36</v>
      </c>
      <c r="C257" s="68" t="s">
        <v>41</v>
      </c>
      <c r="D257" s="69"/>
      <c r="E257" s="70"/>
      <c r="F257" s="25"/>
      <c r="G257" s="23">
        <v>28125000</v>
      </c>
      <c r="H257" s="56">
        <f t="shared" si="10"/>
        <v>1417650</v>
      </c>
      <c r="I257" s="22"/>
      <c r="J257" s="22">
        <v>23000</v>
      </c>
      <c r="K257" s="33">
        <f t="shared" si="9"/>
        <v>26684350</v>
      </c>
    </row>
    <row r="258" spans="1:11">
      <c r="A258" s="34"/>
      <c r="B258" s="34"/>
      <c r="C258" s="34" t="s">
        <v>25</v>
      </c>
      <c r="D258" s="34"/>
      <c r="E258" s="34"/>
      <c r="F258" s="35"/>
      <c r="G258" s="36">
        <f>SUM(G253:G257)</f>
        <v>138125000</v>
      </c>
      <c r="H258" s="37">
        <f>SUM(H253:H257)</f>
        <v>8321350</v>
      </c>
      <c r="I258" s="37"/>
      <c r="J258" s="37">
        <f>SUM(J253:J257)</f>
        <v>23000</v>
      </c>
      <c r="K258" s="37">
        <f>SUM(K253:K257)</f>
        <v>129780650</v>
      </c>
    </row>
    <row r="259" spans="1:11">
      <c r="A259" s="38"/>
      <c r="B259" s="8"/>
      <c r="C259" s="8"/>
      <c r="D259" s="8"/>
      <c r="E259" s="8"/>
      <c r="F259" s="8"/>
      <c r="G259" s="39"/>
      <c r="H259" s="39"/>
      <c r="I259" s="39"/>
      <c r="J259" s="39"/>
      <c r="K259" s="39"/>
    </row>
    <row r="260" spans="1:11">
      <c r="A260" s="71" t="s">
        <v>26</v>
      </c>
      <c r="B260" s="71"/>
      <c r="C260" s="71"/>
      <c r="D260" s="11" t="s">
        <v>4</v>
      </c>
      <c r="E260" s="14">
        <f>J258</f>
        <v>23000</v>
      </c>
      <c r="F260" s="40"/>
      <c r="G260" s="41"/>
      <c r="H260" s="41"/>
      <c r="I260" s="41"/>
      <c r="J260" s="9"/>
      <c r="K260" s="9"/>
    </row>
    <row r="261" spans="1:11">
      <c r="A261" s="10" t="s">
        <v>27</v>
      </c>
      <c r="B261" s="10"/>
      <c r="C261" s="10"/>
      <c r="D261" s="11" t="s">
        <v>4</v>
      </c>
      <c r="E261" s="42"/>
      <c r="F261" s="42"/>
      <c r="G261" s="43"/>
      <c r="H261" s="12"/>
      <c r="I261" s="12"/>
      <c r="J261" s="9"/>
      <c r="K261" s="9"/>
    </row>
    <row r="262" spans="1:11">
      <c r="A262" s="10" t="s">
        <v>28</v>
      </c>
      <c r="B262" s="10"/>
      <c r="C262" s="10"/>
      <c r="D262" s="11" t="s">
        <v>4</v>
      </c>
      <c r="E262" s="44"/>
      <c r="F262" s="44"/>
      <c r="G262" s="43"/>
      <c r="H262" s="12"/>
      <c r="I262" s="12"/>
      <c r="J262" s="9"/>
      <c r="K262" s="9"/>
    </row>
    <row r="263" spans="1:11">
      <c r="A263" s="10" t="s">
        <v>29</v>
      </c>
      <c r="B263" s="10"/>
      <c r="C263" s="10"/>
      <c r="D263" s="11" t="s">
        <v>4</v>
      </c>
      <c r="E263" s="44">
        <f>E261+E262</f>
        <v>0</v>
      </c>
      <c r="F263" s="44"/>
      <c r="G263" s="10"/>
      <c r="H263" s="12"/>
      <c r="I263" s="12"/>
      <c r="J263" s="46"/>
      <c r="K263" s="46"/>
    </row>
    <row r="264" spans="1:11">
      <c r="A264" s="13"/>
      <c r="B264" s="13"/>
      <c r="C264" s="13"/>
      <c r="D264" s="11"/>
      <c r="E264" s="13"/>
      <c r="F264" s="13"/>
      <c r="G264" s="10"/>
      <c r="H264" s="12"/>
      <c r="I264" s="12"/>
      <c r="J264" s="46"/>
      <c r="K264" s="46"/>
    </row>
    <row r="265" spans="1:11">
      <c r="A265" s="71" t="s">
        <v>30</v>
      </c>
      <c r="B265" s="71"/>
      <c r="C265" s="71"/>
      <c r="D265" s="11" t="s">
        <v>4</v>
      </c>
      <c r="E265" s="40">
        <f>E260-E263</f>
        <v>23000</v>
      </c>
      <c r="F265" s="40"/>
      <c r="G265" s="10"/>
      <c r="H265" s="12"/>
      <c r="I265" s="12"/>
      <c r="J265" s="46"/>
      <c r="K265" s="46"/>
    </row>
    <row r="266" spans="1:11" ht="15.75">
      <c r="A266" s="13"/>
      <c r="B266" s="13"/>
      <c r="C266" s="10"/>
      <c r="D266" s="10"/>
      <c r="E266" s="16" t="str">
        <f>PROPER(IF(E265=0,"nol",IF(E265&lt;0,"minus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265),"000000000000000"),1,3)=0,"",MID(TEXT(ABS(E265),"000000000000000"),1,1)&amp;" ratus "&amp;MID(TEXT(ABS(E265),"000000000000000"),2,1)&amp;" puluh "&amp;MID(TEXT(ABS(E265),"000000000000000"),3,1)&amp;" trilyun ")&amp;IF(--MID(TEXT(ABS(E265),"000000000000000"),4,3)=0,"",MID(TEXT(ABS(E265),"000000000000000"),4,1)&amp;" ratus "&amp;MID(TEXT(ABS(E265),"000000000000000"),5,1)&amp;" puluh "&amp;MID(TEXT(ABS(E265),"000000000000000"),6,1)&amp;" milyar ")&amp;IF(--MID(TEXT(ABS(E265),"000000000000000"),7,3)=0,"",MID(TEXT(ABS(E265),"000000000000000"),7,1)&amp;" ratus "&amp;MID(TEXT(ABS(E265),"000000000000000"),8,1)&amp;" puluh "&amp;MID(TEXT(ABS(E265),"000000000000000"),9,1)&amp;" juta ")&amp;IF(--MID(TEXT(ABS(E265),"000000000000000"),10,3)=0,"",IF(--MID(TEXT(ABS(E265),"000000000000000"),10,3)=1,"*",MID(TEXT(ABS(E265),"000000000000000"),10,1)&amp;" ratus "&amp;MID(TEXT(ABS(E265),"000000000000000"),11,1)&amp;" puluh ")&amp;MID(TEXT(ABS(E265),"000000000000000"),12,1)&amp;" ribu ")&amp;IF(--MID(TEXT(ABS(E265),"000000000000000"),13,3)=0,"",MID(TEXT(ABS(E265),"000000000000000"),13,1)&amp;" ratus "&amp;MID(TEXT(ABS(E265),"000000000000000"),14,1)&amp;" puluh "&amp;MID(TEXT(ABS(E265),"000000000000000"),15,1)),1,"satu"),2,"dua"),3,"tiga"),4,"empat"),5,"lima"),6,"enam"),7,"tujuh"),8,"delapan"),9,"sembilan"),"0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Tiga Ribu Rupiah</v>
      </c>
      <c r="F266" s="10"/>
      <c r="G266" s="10"/>
      <c r="H266" s="10"/>
      <c r="I266" s="10"/>
      <c r="J266" s="46"/>
      <c r="K266" s="46"/>
    </row>
    <row r="267" spans="1:11">
      <c r="A267" s="45"/>
      <c r="B267" s="45"/>
      <c r="C267" s="45"/>
      <c r="D267" s="45"/>
      <c r="E267" s="45"/>
      <c r="F267" s="45"/>
      <c r="G267" s="29"/>
      <c r="H267" s="46"/>
      <c r="I267" s="46"/>
      <c r="J267" s="46"/>
      <c r="K267" s="46"/>
    </row>
    <row r="268" spans="1:11">
      <c r="A268" s="29"/>
      <c r="B268" s="29"/>
      <c r="C268" s="29"/>
      <c r="D268" s="29"/>
      <c r="E268" s="29"/>
      <c r="F268" s="29"/>
      <c r="G268" s="29"/>
      <c r="H268"/>
      <c r="I268"/>
      <c r="J268" s="46"/>
      <c r="K268" s="46"/>
    </row>
    <row r="269" spans="1:11">
      <c r="A269" s="13"/>
      <c r="B269" s="13"/>
      <c r="C269" s="10"/>
      <c r="D269" s="10"/>
      <c r="E269" s="10"/>
      <c r="F269" s="10"/>
      <c r="G269" s="10"/>
      <c r="I269" s="47"/>
      <c r="J269" s="47" t="s">
        <v>79</v>
      </c>
      <c r="K269" s="46"/>
    </row>
    <row r="270" spans="1:11">
      <c r="A270" s="12" t="s">
        <v>31</v>
      </c>
      <c r="B270" s="10"/>
      <c r="C270" s="10"/>
      <c r="D270" s="10"/>
      <c r="E270" s="10"/>
      <c r="F270" s="10"/>
      <c r="G270" s="10"/>
      <c r="I270" s="12"/>
      <c r="J270" s="12" t="s">
        <v>32</v>
      </c>
      <c r="K270" s="46"/>
    </row>
    <row r="271" spans="1:11">
      <c r="A271" s="10"/>
      <c r="B271" s="10"/>
      <c r="C271" s="10"/>
      <c r="D271" s="10"/>
      <c r="E271" s="10"/>
      <c r="F271" s="10"/>
      <c r="G271" s="10"/>
      <c r="I271" s="12"/>
      <c r="J271" s="12"/>
      <c r="K271" s="46"/>
    </row>
    <row r="272" spans="1:11">
      <c r="A272" s="10"/>
      <c r="B272" s="10"/>
      <c r="C272" s="10"/>
      <c r="D272" s="10"/>
      <c r="E272" s="10"/>
      <c r="F272" s="10"/>
      <c r="G272" s="10"/>
      <c r="I272" s="12"/>
      <c r="J272" s="12"/>
      <c r="K272" s="46"/>
    </row>
    <row r="273" spans="1:11">
      <c r="A273" s="10"/>
      <c r="B273" s="10"/>
      <c r="C273" s="10"/>
      <c r="D273" s="10"/>
      <c r="E273" s="10"/>
      <c r="F273" s="10"/>
      <c r="G273" s="10"/>
      <c r="I273" s="12"/>
      <c r="J273" s="12"/>
      <c r="K273" s="46"/>
    </row>
    <row r="274" spans="1:11">
      <c r="A274" s="10"/>
      <c r="B274" s="10"/>
      <c r="C274" s="10"/>
      <c r="D274" s="10"/>
      <c r="E274" s="10"/>
      <c r="F274" s="10"/>
      <c r="G274" s="10"/>
      <c r="I274" s="12"/>
      <c r="J274" s="12"/>
      <c r="K274" s="46"/>
    </row>
    <row r="275" spans="1:11">
      <c r="A275" s="48" t="s">
        <v>37</v>
      </c>
      <c r="B275" s="48"/>
      <c r="C275" s="49"/>
      <c r="D275" s="49"/>
      <c r="E275" s="49"/>
      <c r="F275" s="49"/>
      <c r="G275" s="10" t="s">
        <v>33</v>
      </c>
      <c r="I275" s="48"/>
      <c r="J275" s="48" t="s">
        <v>34</v>
      </c>
      <c r="K275" s="46"/>
    </row>
    <row r="280" spans="1:11" ht="15.75">
      <c r="C280" s="2"/>
      <c r="D280" s="2"/>
      <c r="E280" s="2"/>
      <c r="F280" s="2"/>
    </row>
    <row r="281" spans="1:11" ht="15.75">
      <c r="A281" s="3"/>
      <c r="B281" s="3"/>
      <c r="C281" s="2"/>
      <c r="D281" s="2"/>
      <c r="E281" s="2"/>
      <c r="F281" s="2"/>
      <c r="G281" s="3"/>
      <c r="H281" s="4"/>
      <c r="I281" s="4"/>
      <c r="J281" s="4"/>
      <c r="K281" s="5"/>
    </row>
    <row r="282" spans="1:11">
      <c r="H282" s="5"/>
      <c r="I282" s="5"/>
      <c r="J282" s="5"/>
      <c r="K282" s="5"/>
    </row>
    <row r="283" spans="1:11">
      <c r="H283" s="5"/>
      <c r="I283" s="5"/>
      <c r="J283" s="5"/>
      <c r="K283" s="5"/>
    </row>
    <row r="284" spans="1:11">
      <c r="A284" s="72" t="s">
        <v>0</v>
      </c>
      <c r="B284" s="72"/>
      <c r="C284" s="73"/>
      <c r="D284" s="73"/>
      <c r="E284" s="73"/>
      <c r="F284" s="73"/>
      <c r="G284" s="73"/>
      <c r="H284" s="73"/>
      <c r="I284" s="73"/>
      <c r="J284" s="73"/>
      <c r="K284" s="73"/>
    </row>
    <row r="285" spans="1:11">
      <c r="A285" s="73" t="s">
        <v>83</v>
      </c>
      <c r="B285" s="73"/>
      <c r="C285" s="73"/>
      <c r="D285" s="73"/>
      <c r="E285" s="73"/>
      <c r="F285" s="73"/>
      <c r="G285" s="73"/>
      <c r="H285" s="73"/>
      <c r="I285" s="73"/>
      <c r="J285" s="73"/>
      <c r="K285" s="73"/>
    </row>
    <row r="286" spans="1:11">
      <c r="A286" s="73" t="s">
        <v>1</v>
      </c>
      <c r="B286" s="73"/>
      <c r="C286" s="73"/>
      <c r="D286" s="73"/>
      <c r="E286" s="73"/>
      <c r="F286" s="73"/>
      <c r="G286" s="73"/>
      <c r="H286" s="73"/>
      <c r="I286" s="73"/>
      <c r="J286" s="73"/>
      <c r="K286" s="73"/>
    </row>
    <row r="287" spans="1:11">
      <c r="A287" s="73" t="s">
        <v>38</v>
      </c>
      <c r="B287" s="73"/>
      <c r="C287" s="73"/>
      <c r="D287" s="73"/>
      <c r="E287" s="73"/>
      <c r="F287" s="73"/>
      <c r="G287" s="73"/>
      <c r="H287" s="73"/>
      <c r="I287" s="73"/>
      <c r="J287" s="73"/>
      <c r="K287" s="73"/>
    </row>
    <row r="288" spans="1:11">
      <c r="A288" s="73" t="s">
        <v>2</v>
      </c>
      <c r="B288" s="73"/>
      <c r="C288" s="73"/>
      <c r="D288" s="73"/>
      <c r="E288" s="73"/>
      <c r="F288" s="73"/>
      <c r="G288" s="73"/>
      <c r="H288" s="73"/>
      <c r="I288" s="73"/>
      <c r="J288" s="73"/>
      <c r="K288" s="73"/>
    </row>
    <row r="289" spans="1:11">
      <c r="A289" s="6"/>
      <c r="B289" s="6"/>
      <c r="C289" s="7"/>
      <c r="D289" s="7"/>
      <c r="E289" s="7"/>
      <c r="F289" s="7"/>
      <c r="G289" s="8"/>
      <c r="H289" s="9"/>
      <c r="I289" s="9"/>
      <c r="J289" s="9"/>
      <c r="K289" s="9"/>
    </row>
    <row r="290" spans="1:11">
      <c r="A290" s="52" t="s">
        <v>3</v>
      </c>
      <c r="B290" s="10"/>
      <c r="C290" s="10"/>
      <c r="D290" s="53" t="s">
        <v>4</v>
      </c>
      <c r="E290" s="10" t="s">
        <v>5</v>
      </c>
      <c r="F290" s="11"/>
      <c r="G290" s="10"/>
      <c r="H290" s="12"/>
      <c r="I290" s="12"/>
      <c r="J290" s="12"/>
      <c r="K290" s="9"/>
    </row>
    <row r="291" spans="1:11">
      <c r="A291" s="52" t="s">
        <v>6</v>
      </c>
      <c r="B291" s="10"/>
      <c r="C291" s="10"/>
      <c r="D291" s="53" t="s">
        <v>4</v>
      </c>
      <c r="E291" s="10" t="s">
        <v>7</v>
      </c>
      <c r="F291" s="11"/>
      <c r="G291" s="10"/>
      <c r="H291" s="12"/>
      <c r="I291" s="12"/>
      <c r="J291" s="12"/>
      <c r="K291" s="9"/>
    </row>
    <row r="292" spans="1:11">
      <c r="A292" s="52" t="s">
        <v>8</v>
      </c>
      <c r="B292" s="10"/>
      <c r="C292" s="10"/>
      <c r="D292" s="53" t="s">
        <v>4</v>
      </c>
      <c r="E292" s="13">
        <v>2026</v>
      </c>
      <c r="F292" s="11"/>
      <c r="G292" s="13"/>
      <c r="H292" s="12"/>
      <c r="I292" s="12"/>
      <c r="J292" s="12"/>
      <c r="K292" s="9"/>
    </row>
    <row r="293" spans="1:11">
      <c r="A293" s="52" t="s">
        <v>9</v>
      </c>
      <c r="B293" s="10"/>
      <c r="C293" s="10"/>
      <c r="D293" s="53" t="s">
        <v>4</v>
      </c>
      <c r="E293" s="14">
        <f>J304</f>
        <v>132500</v>
      </c>
      <c r="F293" s="11"/>
      <c r="G293" s="14"/>
      <c r="H293" s="12"/>
      <c r="I293" s="12"/>
      <c r="J293" s="12"/>
      <c r="K293" s="9"/>
    </row>
    <row r="294" spans="1:11" ht="15.75">
      <c r="A294" s="10"/>
      <c r="B294" s="10"/>
      <c r="C294" s="15" t="s">
        <v>10</v>
      </c>
      <c r="D294" s="53" t="s">
        <v>4</v>
      </c>
      <c r="E294" s="16" t="str">
        <f>PROPER(IF(E293=0,"nol",IF(E293&lt;0,"minus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293),"000000000000000"),1,3)=0,"",MID(TEXT(ABS(E293),"000000000000000"),1,1)&amp;" ratus "&amp;MID(TEXT(ABS(E293),"000000000000000"),2,1)&amp;" puluh "&amp;MID(TEXT(ABS(E293),"000000000000000"),3,1)&amp;" trilyun ")&amp;IF(--MID(TEXT(ABS(E293),"000000000000000"),4,3)=0,"",MID(TEXT(ABS(E293),"000000000000000"),4,1)&amp;" ratus "&amp;MID(TEXT(ABS(E293),"000000000000000"),5,1)&amp;" puluh "&amp;MID(TEXT(ABS(E293),"000000000000000"),6,1)&amp;" milyar ")&amp;IF(--MID(TEXT(ABS(E293),"000000000000000"),7,3)=0,"",MID(TEXT(ABS(E293),"000000000000000"),7,1)&amp;" ratus "&amp;MID(TEXT(ABS(E293),"000000000000000"),8,1)&amp;" puluh "&amp;MID(TEXT(ABS(E293),"000000000000000"),9,1)&amp;" juta ")&amp;IF(--MID(TEXT(ABS(E293),"000000000000000"),10,3)=0,"",IF(--MID(TEXT(ABS(E293),"000000000000000"),10,3)=1,"*",MID(TEXT(ABS(E293),"000000000000000"),10,1)&amp;" ratus "&amp;MID(TEXT(ABS(E293),"000000000000000"),11,1)&amp;" puluh ")&amp;MID(TEXT(ABS(E293),"000000000000000"),12,1)&amp;" ribu ")&amp;IF(--MID(TEXT(ABS(E293),"000000000000000"),13,3)=0,"",MID(TEXT(ABS(E293),"000000000000000"),13,1)&amp;" ratus "&amp;MID(TEXT(ABS(E293),"000000000000000"),14,1)&amp;" puluh "&amp;MID(TEXT(ABS(E293),"000000000000000"),15,1)),1,"satu"),2,"dua"),3,"tiga"),4,"empat"),5,"lima"),6,"enam"),7,"tujuh"),8,"delapan"),9,"sembilan"),"0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Tiga Puluh Dua Ribu Lima Ratus Rupiah</v>
      </c>
      <c r="F294" s="11"/>
      <c r="G294" s="16"/>
      <c r="H294" s="12"/>
      <c r="I294" s="12"/>
      <c r="J294" s="12"/>
      <c r="K294" s="9"/>
    </row>
    <row r="295" spans="1:11" ht="15.75">
      <c r="A295" s="10"/>
      <c r="B295" s="10"/>
      <c r="C295" s="15"/>
      <c r="D295" s="15"/>
      <c r="E295" s="15"/>
      <c r="F295" s="11"/>
      <c r="G295" s="16"/>
      <c r="H295" s="12"/>
      <c r="I295" s="12"/>
      <c r="J295" s="12"/>
      <c r="K295" s="9"/>
    </row>
    <row r="296" spans="1:11">
      <c r="A296" s="10" t="s">
        <v>11</v>
      </c>
      <c r="B296" s="10"/>
      <c r="C296" s="10"/>
      <c r="D296" s="10"/>
      <c r="E296" s="10"/>
      <c r="F296" s="10"/>
      <c r="G296" s="10"/>
      <c r="H296" s="12"/>
      <c r="I296" s="12"/>
      <c r="J296" s="12"/>
      <c r="K296" s="9"/>
    </row>
    <row r="297" spans="1:11">
      <c r="A297" s="74" t="s">
        <v>12</v>
      </c>
      <c r="B297" s="74"/>
      <c r="C297" s="74"/>
      <c r="D297" s="74"/>
      <c r="E297" s="74"/>
      <c r="F297" s="74"/>
      <c r="G297" s="74"/>
      <c r="H297" s="74"/>
      <c r="I297" s="74"/>
      <c r="J297" s="74"/>
      <c r="K297" s="74"/>
    </row>
    <row r="298" spans="1:11" ht="60">
      <c r="A298" s="17" t="s">
        <v>13</v>
      </c>
      <c r="B298" s="18" t="s">
        <v>14</v>
      </c>
      <c r="C298" s="59" t="s">
        <v>15</v>
      </c>
      <c r="D298" s="60"/>
      <c r="E298" s="61"/>
      <c r="F298" s="19"/>
      <c r="G298" s="20" t="s">
        <v>16</v>
      </c>
      <c r="H298" s="21" t="s">
        <v>35</v>
      </c>
      <c r="I298" s="21"/>
      <c r="J298" s="31" t="s">
        <v>17</v>
      </c>
      <c r="K298" s="32" t="s">
        <v>18</v>
      </c>
    </row>
    <row r="299" spans="1:11">
      <c r="A299" s="27">
        <v>1</v>
      </c>
      <c r="B299" s="24"/>
      <c r="C299" s="28" t="s">
        <v>23</v>
      </c>
      <c r="D299" s="57"/>
      <c r="E299" s="26"/>
      <c r="F299" s="25"/>
      <c r="G299" s="54" t="s">
        <v>19</v>
      </c>
      <c r="H299" s="54" t="s">
        <v>19</v>
      </c>
      <c r="I299" s="54"/>
      <c r="J299" s="54" t="s">
        <v>19</v>
      </c>
      <c r="K299" s="54" t="s">
        <v>19</v>
      </c>
    </row>
    <row r="300" spans="1:11">
      <c r="A300" s="24"/>
      <c r="B300" s="55" t="s">
        <v>20</v>
      </c>
      <c r="C300" s="25" t="s">
        <v>24</v>
      </c>
      <c r="D300" s="10"/>
      <c r="E300" s="26"/>
      <c r="F300" s="25"/>
      <c r="G300" s="23">
        <v>45000000</v>
      </c>
      <c r="H300" s="56">
        <f>H254+J254</f>
        <v>2862700</v>
      </c>
      <c r="I300" s="56"/>
      <c r="J300" s="56">
        <v>0</v>
      </c>
      <c r="K300" s="58">
        <f t="shared" ref="K300:K303" si="11">G300-H300-J300</f>
        <v>42137300</v>
      </c>
    </row>
    <row r="301" spans="1:11">
      <c r="A301" s="24"/>
      <c r="B301" s="55" t="s">
        <v>21</v>
      </c>
      <c r="C301" s="62" t="s">
        <v>39</v>
      </c>
      <c r="D301" s="63"/>
      <c r="E301" s="64"/>
      <c r="F301" s="25"/>
      <c r="G301" s="23">
        <v>35000000</v>
      </c>
      <c r="H301" s="56">
        <f t="shared" ref="H301:H303" si="12">H255+J255</f>
        <v>3541000</v>
      </c>
      <c r="I301" s="56"/>
      <c r="J301" s="56">
        <v>0</v>
      </c>
      <c r="K301" s="58">
        <f t="shared" si="11"/>
        <v>31459000</v>
      </c>
    </row>
    <row r="302" spans="1:11">
      <c r="A302" s="24"/>
      <c r="B302" s="55" t="s">
        <v>22</v>
      </c>
      <c r="C302" s="65" t="s">
        <v>40</v>
      </c>
      <c r="D302" s="66"/>
      <c r="E302" s="67"/>
      <c r="F302" s="25"/>
      <c r="G302" s="23">
        <v>30000000</v>
      </c>
      <c r="H302" s="56">
        <f t="shared" si="12"/>
        <v>500000</v>
      </c>
      <c r="I302" s="22"/>
      <c r="J302" s="22">
        <v>132500</v>
      </c>
      <c r="K302" s="33">
        <f t="shared" si="11"/>
        <v>29367500</v>
      </c>
    </row>
    <row r="303" spans="1:11">
      <c r="A303" s="24"/>
      <c r="B303" s="55" t="s">
        <v>36</v>
      </c>
      <c r="C303" s="68" t="s">
        <v>41</v>
      </c>
      <c r="D303" s="69"/>
      <c r="E303" s="70"/>
      <c r="F303" s="25"/>
      <c r="G303" s="23">
        <v>28125000</v>
      </c>
      <c r="H303" s="56">
        <f t="shared" si="12"/>
        <v>1440650</v>
      </c>
      <c r="I303" s="22"/>
      <c r="J303" s="22">
        <v>0</v>
      </c>
      <c r="K303" s="33">
        <f t="shared" si="11"/>
        <v>26684350</v>
      </c>
    </row>
    <row r="304" spans="1:11">
      <c r="A304" s="34"/>
      <c r="B304" s="34"/>
      <c r="C304" s="34" t="s">
        <v>25</v>
      </c>
      <c r="D304" s="34"/>
      <c r="E304" s="34"/>
      <c r="F304" s="35"/>
      <c r="G304" s="36">
        <f>SUM(G299:G303)</f>
        <v>138125000</v>
      </c>
      <c r="H304" s="37">
        <f>SUM(H299:H303)</f>
        <v>8344350</v>
      </c>
      <c r="I304" s="37"/>
      <c r="J304" s="37">
        <f>SUM(J299:J303)</f>
        <v>132500</v>
      </c>
      <c r="K304" s="37">
        <f>SUM(K299:K303)</f>
        <v>129648150</v>
      </c>
    </row>
    <row r="305" spans="1:11">
      <c r="A305" s="38"/>
      <c r="B305" s="8"/>
      <c r="C305" s="8"/>
      <c r="D305" s="8"/>
      <c r="E305" s="8"/>
      <c r="F305" s="8"/>
      <c r="G305" s="39"/>
      <c r="H305" s="39"/>
      <c r="I305" s="39"/>
      <c r="J305" s="39"/>
      <c r="K305" s="39"/>
    </row>
    <row r="306" spans="1:11">
      <c r="A306" s="71" t="s">
        <v>26</v>
      </c>
      <c r="B306" s="71"/>
      <c r="C306" s="71"/>
      <c r="D306" s="11" t="s">
        <v>4</v>
      </c>
      <c r="E306" s="14">
        <f>J304</f>
        <v>132500</v>
      </c>
      <c r="F306" s="40"/>
      <c r="G306" s="41"/>
      <c r="H306" s="41"/>
      <c r="I306" s="41"/>
      <c r="J306" s="9"/>
      <c r="K306" s="9"/>
    </row>
    <row r="307" spans="1:11">
      <c r="A307" s="10" t="s">
        <v>27</v>
      </c>
      <c r="B307" s="10"/>
      <c r="C307" s="10"/>
      <c r="D307" s="11" t="s">
        <v>4</v>
      </c>
      <c r="E307" s="42"/>
      <c r="F307" s="42"/>
      <c r="G307" s="43"/>
      <c r="H307" s="12"/>
      <c r="I307" s="12"/>
      <c r="J307" s="9"/>
      <c r="K307" s="9"/>
    </row>
    <row r="308" spans="1:11">
      <c r="A308" s="10" t="s">
        <v>28</v>
      </c>
      <c r="B308" s="10"/>
      <c r="C308" s="10"/>
      <c r="D308" s="11" t="s">
        <v>4</v>
      </c>
      <c r="E308" s="44"/>
      <c r="F308" s="44"/>
      <c r="G308" s="43"/>
      <c r="H308" s="12"/>
      <c r="I308" s="12"/>
      <c r="J308" s="9"/>
      <c r="K308" s="9"/>
    </row>
    <row r="309" spans="1:11">
      <c r="A309" s="10" t="s">
        <v>29</v>
      </c>
      <c r="B309" s="10"/>
      <c r="C309" s="10"/>
      <c r="D309" s="11" t="s">
        <v>4</v>
      </c>
      <c r="E309" s="44">
        <f>E307+E308</f>
        <v>0</v>
      </c>
      <c r="F309" s="44"/>
      <c r="G309" s="10"/>
      <c r="H309" s="12"/>
      <c r="I309" s="12"/>
      <c r="J309" s="46"/>
      <c r="K309" s="46"/>
    </row>
    <row r="310" spans="1:11">
      <c r="A310" s="13"/>
      <c r="B310" s="13"/>
      <c r="C310" s="13"/>
      <c r="D310" s="11"/>
      <c r="E310" s="13"/>
      <c r="F310" s="13"/>
      <c r="G310" s="10"/>
      <c r="H310" s="12"/>
      <c r="I310" s="12"/>
      <c r="J310" s="46"/>
      <c r="K310" s="46"/>
    </row>
    <row r="311" spans="1:11">
      <c r="A311" s="71" t="s">
        <v>30</v>
      </c>
      <c r="B311" s="71"/>
      <c r="C311" s="71"/>
      <c r="D311" s="11" t="s">
        <v>4</v>
      </c>
      <c r="E311" s="40">
        <f>E306-E309</f>
        <v>132500</v>
      </c>
      <c r="F311" s="40"/>
      <c r="G311" s="10"/>
      <c r="H311" s="12"/>
      <c r="I311" s="12"/>
      <c r="J311" s="46"/>
      <c r="K311" s="46"/>
    </row>
    <row r="312" spans="1:11" ht="15.75">
      <c r="A312" s="13"/>
      <c r="B312" s="13"/>
      <c r="C312" s="10"/>
      <c r="D312" s="10"/>
      <c r="E312" s="16" t="str">
        <f>PROPER(IF(E311=0,"nol",IF(E311&lt;0,"minus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311),"000000000000000"),1,3)=0,"",MID(TEXT(ABS(E311),"000000000000000"),1,1)&amp;" ratus "&amp;MID(TEXT(ABS(E311),"000000000000000"),2,1)&amp;" puluh "&amp;MID(TEXT(ABS(E311),"000000000000000"),3,1)&amp;" trilyun ")&amp;IF(--MID(TEXT(ABS(E311),"000000000000000"),4,3)=0,"",MID(TEXT(ABS(E311),"000000000000000"),4,1)&amp;" ratus "&amp;MID(TEXT(ABS(E311),"000000000000000"),5,1)&amp;" puluh "&amp;MID(TEXT(ABS(E311),"000000000000000"),6,1)&amp;" milyar ")&amp;IF(--MID(TEXT(ABS(E311),"000000000000000"),7,3)=0,"",MID(TEXT(ABS(E311),"000000000000000"),7,1)&amp;" ratus "&amp;MID(TEXT(ABS(E311),"000000000000000"),8,1)&amp;" puluh "&amp;MID(TEXT(ABS(E311),"000000000000000"),9,1)&amp;" juta ")&amp;IF(--MID(TEXT(ABS(E311),"000000000000000"),10,3)=0,"",IF(--MID(TEXT(ABS(E311),"000000000000000"),10,3)=1,"*",MID(TEXT(ABS(E311),"000000000000000"),10,1)&amp;" ratus "&amp;MID(TEXT(ABS(E311),"000000000000000"),11,1)&amp;" puluh ")&amp;MID(TEXT(ABS(E311),"000000000000000"),12,1)&amp;" ribu ")&amp;IF(--MID(TEXT(ABS(E311),"000000000000000"),13,3)=0,"",MID(TEXT(ABS(E311),"000000000000000"),13,1)&amp;" ratus "&amp;MID(TEXT(ABS(E311),"000000000000000"),14,1)&amp;" puluh "&amp;MID(TEXT(ABS(E311),"000000000000000"),15,1)),1,"satu"),2,"dua"),3,"tiga"),4,"empat"),5,"lima"),6,"enam"),7,"tujuh"),8,"delapan"),9,"sembilan"),"0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Tiga Puluh Dua Ribu Lima Ratus Rupiah</v>
      </c>
      <c r="F312" s="10"/>
      <c r="G312" s="10"/>
      <c r="H312" s="10"/>
      <c r="I312" s="10"/>
      <c r="J312" s="46"/>
      <c r="K312" s="46"/>
    </row>
    <row r="313" spans="1:11">
      <c r="A313" s="45"/>
      <c r="B313" s="45"/>
      <c r="C313" s="45"/>
      <c r="D313" s="45"/>
      <c r="E313" s="45"/>
      <c r="F313" s="45"/>
      <c r="G313" s="29"/>
      <c r="H313" s="46"/>
      <c r="I313" s="46"/>
      <c r="J313" s="46"/>
      <c r="K313" s="46"/>
    </row>
    <row r="314" spans="1:11">
      <c r="A314" s="29"/>
      <c r="B314" s="29"/>
      <c r="C314" s="29"/>
      <c r="D314" s="29"/>
      <c r="E314" s="29"/>
      <c r="F314" s="29"/>
      <c r="G314" s="29"/>
      <c r="H314"/>
      <c r="I314"/>
      <c r="J314" s="46"/>
      <c r="K314" s="46"/>
    </row>
    <row r="315" spans="1:11">
      <c r="A315" s="13"/>
      <c r="B315" s="13"/>
      <c r="C315" s="10"/>
      <c r="D315" s="10"/>
      <c r="E315" s="10"/>
      <c r="F315" s="10"/>
      <c r="G315" s="10"/>
      <c r="I315" s="47"/>
      <c r="J315" s="47" t="s">
        <v>82</v>
      </c>
      <c r="K315" s="46"/>
    </row>
    <row r="316" spans="1:11">
      <c r="A316" s="12" t="s">
        <v>31</v>
      </c>
      <c r="B316" s="10"/>
      <c r="C316" s="10"/>
      <c r="D316" s="10"/>
      <c r="E316" s="10"/>
      <c r="F316" s="10"/>
      <c r="G316" s="10"/>
      <c r="I316" s="12"/>
      <c r="J316" s="12" t="s">
        <v>32</v>
      </c>
      <c r="K316" s="46"/>
    </row>
    <row r="317" spans="1:11">
      <c r="A317" s="10"/>
      <c r="B317" s="10"/>
      <c r="C317" s="10"/>
      <c r="D317" s="10"/>
      <c r="E317" s="10"/>
      <c r="F317" s="10"/>
      <c r="G317" s="10"/>
      <c r="I317" s="12"/>
      <c r="J317" s="12"/>
      <c r="K317" s="46"/>
    </row>
    <row r="318" spans="1:11">
      <c r="A318" s="10"/>
      <c r="B318" s="10"/>
      <c r="C318" s="10"/>
      <c r="D318" s="10"/>
      <c r="E318" s="10"/>
      <c r="F318" s="10"/>
      <c r="G318" s="10"/>
      <c r="I318" s="12"/>
      <c r="J318" s="12"/>
      <c r="K318" s="46"/>
    </row>
    <row r="319" spans="1:11">
      <c r="A319" s="10"/>
      <c r="B319" s="10"/>
      <c r="C319" s="10"/>
      <c r="D319" s="10"/>
      <c r="E319" s="10"/>
      <c r="F319" s="10"/>
      <c r="G319" s="10"/>
      <c r="I319" s="12"/>
      <c r="J319" s="12"/>
      <c r="K319" s="46"/>
    </row>
    <row r="320" spans="1:11">
      <c r="A320" s="10"/>
      <c r="B320" s="10"/>
      <c r="C320" s="10"/>
      <c r="D320" s="10"/>
      <c r="E320" s="10"/>
      <c r="F320" s="10"/>
      <c r="G320" s="10"/>
      <c r="I320" s="12"/>
      <c r="J320" s="12"/>
      <c r="K320" s="46"/>
    </row>
    <row r="321" spans="1:11">
      <c r="A321" s="48" t="s">
        <v>37</v>
      </c>
      <c r="B321" s="48"/>
      <c r="C321" s="49"/>
      <c r="D321" s="49"/>
      <c r="E321" s="49"/>
      <c r="F321" s="49"/>
      <c r="G321" s="10" t="s">
        <v>33</v>
      </c>
      <c r="I321" s="48"/>
      <c r="J321" s="48" t="s">
        <v>34</v>
      </c>
      <c r="K321" s="46"/>
    </row>
    <row r="326" spans="1:11" ht="15.75">
      <c r="C326" s="2"/>
      <c r="D326" s="2"/>
      <c r="E326" s="2"/>
      <c r="F326" s="2"/>
    </row>
    <row r="327" spans="1:11" ht="15.75">
      <c r="A327" s="3"/>
      <c r="B327" s="3"/>
      <c r="C327" s="2"/>
      <c r="D327" s="2"/>
      <c r="E327" s="2"/>
      <c r="F327" s="2"/>
      <c r="G327" s="3"/>
      <c r="H327" s="4"/>
      <c r="I327" s="4"/>
      <c r="J327" s="4"/>
      <c r="K327" s="5"/>
    </row>
    <row r="328" spans="1:11">
      <c r="H328" s="5"/>
      <c r="I328" s="5"/>
      <c r="J328" s="5"/>
      <c r="K328" s="5"/>
    </row>
    <row r="329" spans="1:11">
      <c r="H329" s="5"/>
      <c r="I329" s="5"/>
      <c r="J329" s="5"/>
      <c r="K329" s="5"/>
    </row>
    <row r="330" spans="1:11">
      <c r="A330" s="72" t="s">
        <v>0</v>
      </c>
      <c r="B330" s="72"/>
      <c r="C330" s="73"/>
      <c r="D330" s="73"/>
      <c r="E330" s="73"/>
      <c r="F330" s="73"/>
      <c r="G330" s="73"/>
      <c r="H330" s="73"/>
      <c r="I330" s="73"/>
      <c r="J330" s="73"/>
      <c r="K330" s="73"/>
    </row>
    <row r="331" spans="1:11">
      <c r="A331" s="73" t="s">
        <v>84</v>
      </c>
      <c r="B331" s="73"/>
      <c r="C331" s="73"/>
      <c r="D331" s="73"/>
      <c r="E331" s="73"/>
      <c r="F331" s="73"/>
      <c r="G331" s="73"/>
      <c r="H331" s="73"/>
      <c r="I331" s="73"/>
      <c r="J331" s="73"/>
      <c r="K331" s="73"/>
    </row>
    <row r="332" spans="1:11">
      <c r="A332" s="73" t="s">
        <v>1</v>
      </c>
      <c r="B332" s="73"/>
      <c r="C332" s="73"/>
      <c r="D332" s="73"/>
      <c r="E332" s="73"/>
      <c r="F332" s="73"/>
      <c r="G332" s="73"/>
      <c r="H332" s="73"/>
      <c r="I332" s="73"/>
      <c r="J332" s="73"/>
      <c r="K332" s="73"/>
    </row>
    <row r="333" spans="1:11">
      <c r="A333" s="73" t="s">
        <v>38</v>
      </c>
      <c r="B333" s="73"/>
      <c r="C333" s="73"/>
      <c r="D333" s="73"/>
      <c r="E333" s="73"/>
      <c r="F333" s="73"/>
      <c r="G333" s="73"/>
      <c r="H333" s="73"/>
      <c r="I333" s="73"/>
      <c r="J333" s="73"/>
      <c r="K333" s="73"/>
    </row>
    <row r="334" spans="1:11">
      <c r="A334" s="73" t="s">
        <v>2</v>
      </c>
      <c r="B334" s="73"/>
      <c r="C334" s="73"/>
      <c r="D334" s="73"/>
      <c r="E334" s="73"/>
      <c r="F334" s="73"/>
      <c r="G334" s="73"/>
      <c r="H334" s="73"/>
      <c r="I334" s="73"/>
      <c r="J334" s="73"/>
      <c r="K334" s="73"/>
    </row>
    <row r="335" spans="1:11">
      <c r="A335" s="6"/>
      <c r="B335" s="6"/>
      <c r="C335" s="7"/>
      <c r="D335" s="7"/>
      <c r="E335" s="7"/>
      <c r="F335" s="7"/>
      <c r="G335" s="8"/>
      <c r="H335" s="9"/>
      <c r="I335" s="9"/>
      <c r="J335" s="9"/>
      <c r="K335" s="9"/>
    </row>
    <row r="336" spans="1:11">
      <c r="A336" s="52" t="s">
        <v>3</v>
      </c>
      <c r="B336" s="10"/>
      <c r="C336" s="10"/>
      <c r="D336" s="53" t="s">
        <v>4</v>
      </c>
      <c r="E336" s="10" t="s">
        <v>5</v>
      </c>
      <c r="F336" s="11"/>
      <c r="G336" s="10"/>
      <c r="H336" s="12"/>
      <c r="I336" s="12"/>
      <c r="J336" s="12"/>
      <c r="K336" s="9"/>
    </row>
    <row r="337" spans="1:11">
      <c r="A337" s="52" t="s">
        <v>6</v>
      </c>
      <c r="B337" s="10"/>
      <c r="C337" s="10"/>
      <c r="D337" s="53" t="s">
        <v>4</v>
      </c>
      <c r="E337" s="10" t="s">
        <v>7</v>
      </c>
      <c r="F337" s="11"/>
      <c r="G337" s="10"/>
      <c r="H337" s="12"/>
      <c r="I337" s="12"/>
      <c r="J337" s="12"/>
      <c r="K337" s="9"/>
    </row>
    <row r="338" spans="1:11">
      <c r="A338" s="52" t="s">
        <v>8</v>
      </c>
      <c r="B338" s="10"/>
      <c r="C338" s="10"/>
      <c r="D338" s="53" t="s">
        <v>4</v>
      </c>
      <c r="E338" s="13">
        <v>2026</v>
      </c>
      <c r="F338" s="11"/>
      <c r="G338" s="13"/>
      <c r="H338" s="12"/>
      <c r="I338" s="12"/>
      <c r="J338" s="12"/>
      <c r="K338" s="9"/>
    </row>
    <row r="339" spans="1:11">
      <c r="A339" s="52" t="s">
        <v>9</v>
      </c>
      <c r="B339" s="10"/>
      <c r="C339" s="10"/>
      <c r="D339" s="53" t="s">
        <v>4</v>
      </c>
      <c r="E339" s="14">
        <f>J350</f>
        <v>129000</v>
      </c>
      <c r="F339" s="11"/>
      <c r="G339" s="14"/>
      <c r="H339" s="12"/>
      <c r="I339" s="12"/>
      <c r="J339" s="12"/>
      <c r="K339" s="9"/>
    </row>
    <row r="340" spans="1:11" ht="15.75">
      <c r="A340" s="10"/>
      <c r="B340" s="10"/>
      <c r="C340" s="15" t="s">
        <v>10</v>
      </c>
      <c r="D340" s="53" t="s">
        <v>4</v>
      </c>
      <c r="E340" s="16" t="str">
        <f>PROPER(IF(E339=0,"nol",IF(E339&lt;0,"minus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339),"000000000000000"),1,3)=0,"",MID(TEXT(ABS(E339),"000000000000000"),1,1)&amp;" ratus "&amp;MID(TEXT(ABS(E339),"000000000000000"),2,1)&amp;" puluh "&amp;MID(TEXT(ABS(E339),"000000000000000"),3,1)&amp;" trilyun ")&amp;IF(--MID(TEXT(ABS(E339),"000000000000000"),4,3)=0,"",MID(TEXT(ABS(E339),"000000000000000"),4,1)&amp;" ratus "&amp;MID(TEXT(ABS(E339),"000000000000000"),5,1)&amp;" puluh "&amp;MID(TEXT(ABS(E339),"000000000000000"),6,1)&amp;" milyar ")&amp;IF(--MID(TEXT(ABS(E339),"000000000000000"),7,3)=0,"",MID(TEXT(ABS(E339),"000000000000000"),7,1)&amp;" ratus "&amp;MID(TEXT(ABS(E339),"000000000000000"),8,1)&amp;" puluh "&amp;MID(TEXT(ABS(E339),"000000000000000"),9,1)&amp;" juta ")&amp;IF(--MID(TEXT(ABS(E339),"000000000000000"),10,3)=0,"",IF(--MID(TEXT(ABS(E339),"000000000000000"),10,3)=1,"*",MID(TEXT(ABS(E339),"000000000000000"),10,1)&amp;" ratus "&amp;MID(TEXT(ABS(E339),"000000000000000"),11,1)&amp;" puluh ")&amp;MID(TEXT(ABS(E339),"000000000000000"),12,1)&amp;" ribu ")&amp;IF(--MID(TEXT(ABS(E339),"000000000000000"),13,3)=0,"",MID(TEXT(ABS(E339),"000000000000000"),13,1)&amp;" ratus "&amp;MID(TEXT(ABS(E339),"000000000000000"),14,1)&amp;" puluh "&amp;MID(TEXT(ABS(E339),"000000000000000"),15,1)),1,"satu"),2,"dua"),3,"tiga"),4,"empat"),5,"lima"),6,"enam"),7,"tujuh"),8,"delapan"),9,"sembilan"),"0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Dua Puluh Sembilan Ribu Rupiah</v>
      </c>
      <c r="F340" s="11"/>
      <c r="G340" s="16"/>
      <c r="H340" s="12"/>
      <c r="I340" s="12"/>
      <c r="J340" s="12"/>
      <c r="K340" s="9"/>
    </row>
    <row r="341" spans="1:11" ht="15.75">
      <c r="A341" s="10"/>
      <c r="B341" s="10"/>
      <c r="C341" s="15"/>
      <c r="D341" s="15"/>
      <c r="E341" s="15"/>
      <c r="F341" s="11"/>
      <c r="G341" s="16"/>
      <c r="H341" s="12"/>
      <c r="I341" s="12"/>
      <c r="J341" s="12"/>
      <c r="K341" s="9"/>
    </row>
    <row r="342" spans="1:11">
      <c r="A342" s="10" t="s">
        <v>11</v>
      </c>
      <c r="B342" s="10"/>
      <c r="C342" s="10"/>
      <c r="D342" s="10"/>
      <c r="E342" s="10"/>
      <c r="F342" s="10"/>
      <c r="G342" s="10"/>
      <c r="H342" s="12"/>
      <c r="I342" s="12"/>
      <c r="J342" s="12"/>
      <c r="K342" s="9"/>
    </row>
    <row r="343" spans="1:11">
      <c r="A343" s="74" t="s">
        <v>12</v>
      </c>
      <c r="B343" s="74"/>
      <c r="C343" s="74"/>
      <c r="D343" s="74"/>
      <c r="E343" s="74"/>
      <c r="F343" s="74"/>
      <c r="G343" s="74"/>
      <c r="H343" s="74"/>
      <c r="I343" s="74"/>
      <c r="J343" s="74"/>
      <c r="K343" s="74"/>
    </row>
    <row r="344" spans="1:11" ht="60">
      <c r="A344" s="17" t="s">
        <v>13</v>
      </c>
      <c r="B344" s="18" t="s">
        <v>14</v>
      </c>
      <c r="C344" s="59" t="s">
        <v>15</v>
      </c>
      <c r="D344" s="60"/>
      <c r="E344" s="61"/>
      <c r="F344" s="19"/>
      <c r="G344" s="20" t="s">
        <v>16</v>
      </c>
      <c r="H344" s="21" t="s">
        <v>35</v>
      </c>
      <c r="I344" s="21"/>
      <c r="J344" s="31" t="s">
        <v>17</v>
      </c>
      <c r="K344" s="32" t="s">
        <v>18</v>
      </c>
    </row>
    <row r="345" spans="1:11">
      <c r="A345" s="27">
        <v>1</v>
      </c>
      <c r="B345" s="24"/>
      <c r="C345" s="28" t="s">
        <v>23</v>
      </c>
      <c r="D345" s="57"/>
      <c r="E345" s="26"/>
      <c r="F345" s="25"/>
      <c r="G345" s="54" t="s">
        <v>19</v>
      </c>
      <c r="H345" s="54" t="s">
        <v>19</v>
      </c>
      <c r="I345" s="54"/>
      <c r="J345" s="54" t="s">
        <v>19</v>
      </c>
      <c r="K345" s="54" t="s">
        <v>19</v>
      </c>
    </row>
    <row r="346" spans="1:11">
      <c r="A346" s="24"/>
      <c r="B346" s="55" t="s">
        <v>20</v>
      </c>
      <c r="C346" s="25" t="s">
        <v>24</v>
      </c>
      <c r="D346" s="10"/>
      <c r="E346" s="26"/>
      <c r="F346" s="25"/>
      <c r="G346" s="23">
        <v>45000000</v>
      </c>
      <c r="H346" s="56">
        <f>H300+J300</f>
        <v>2862700</v>
      </c>
      <c r="I346" s="56"/>
      <c r="J346" s="56">
        <v>0</v>
      </c>
      <c r="K346" s="58">
        <f t="shared" ref="K346:K349" si="13">G346-H346-J346</f>
        <v>42137300</v>
      </c>
    </row>
    <row r="347" spans="1:11" ht="28.5" customHeight="1">
      <c r="A347" s="24"/>
      <c r="B347" s="55" t="s">
        <v>21</v>
      </c>
      <c r="C347" s="62" t="s">
        <v>39</v>
      </c>
      <c r="D347" s="63"/>
      <c r="E347" s="64"/>
      <c r="F347" s="25"/>
      <c r="G347" s="23">
        <v>35000000</v>
      </c>
      <c r="H347" s="56">
        <f t="shared" ref="H347:H349" si="14">H301+J301</f>
        <v>3541000</v>
      </c>
      <c r="I347" s="56"/>
      <c r="J347" s="56">
        <v>129000</v>
      </c>
      <c r="K347" s="58">
        <f t="shared" si="13"/>
        <v>31330000</v>
      </c>
    </row>
    <row r="348" spans="1:11">
      <c r="A348" s="24"/>
      <c r="B348" s="55" t="s">
        <v>22</v>
      </c>
      <c r="C348" s="65" t="s">
        <v>40</v>
      </c>
      <c r="D348" s="66"/>
      <c r="E348" s="67"/>
      <c r="F348" s="25"/>
      <c r="G348" s="23">
        <v>30000000</v>
      </c>
      <c r="H348" s="56">
        <f t="shared" si="14"/>
        <v>632500</v>
      </c>
      <c r="I348" s="22"/>
      <c r="J348" s="22">
        <v>0</v>
      </c>
      <c r="K348" s="33">
        <f t="shared" si="13"/>
        <v>29367500</v>
      </c>
    </row>
    <row r="349" spans="1:11">
      <c r="A349" s="24"/>
      <c r="B349" s="55" t="s">
        <v>36</v>
      </c>
      <c r="C349" s="68" t="s">
        <v>41</v>
      </c>
      <c r="D349" s="69"/>
      <c r="E349" s="70"/>
      <c r="F349" s="25"/>
      <c r="G349" s="23">
        <v>28125000</v>
      </c>
      <c r="H349" s="56">
        <f t="shared" si="14"/>
        <v>1440650</v>
      </c>
      <c r="I349" s="22"/>
      <c r="J349" s="22">
        <v>0</v>
      </c>
      <c r="K349" s="33">
        <f t="shared" si="13"/>
        <v>26684350</v>
      </c>
    </row>
    <row r="350" spans="1:11">
      <c r="A350" s="34"/>
      <c r="B350" s="34"/>
      <c r="C350" s="34" t="s">
        <v>25</v>
      </c>
      <c r="D350" s="34"/>
      <c r="E350" s="34"/>
      <c r="F350" s="35"/>
      <c r="G350" s="36">
        <f>SUM(G345:G349)</f>
        <v>138125000</v>
      </c>
      <c r="H350" s="37">
        <f>SUM(H345:H349)</f>
        <v>8476850</v>
      </c>
      <c r="I350" s="37"/>
      <c r="J350" s="37">
        <f>SUM(J345:J349)</f>
        <v>129000</v>
      </c>
      <c r="K350" s="37">
        <f>SUM(K345:K349)</f>
        <v>129519150</v>
      </c>
    </row>
    <row r="351" spans="1:11">
      <c r="A351" s="38"/>
      <c r="B351" s="8"/>
      <c r="C351" s="8"/>
      <c r="D351" s="8"/>
      <c r="E351" s="8"/>
      <c r="F351" s="8"/>
      <c r="G351" s="39"/>
      <c r="H351" s="39"/>
      <c r="I351" s="39"/>
      <c r="J351" s="39"/>
      <c r="K351" s="39"/>
    </row>
    <row r="352" spans="1:11">
      <c r="A352" s="71" t="s">
        <v>26</v>
      </c>
      <c r="B352" s="71"/>
      <c r="C352" s="71"/>
      <c r="D352" s="11" t="s">
        <v>4</v>
      </c>
      <c r="E352" s="14">
        <f>J350</f>
        <v>129000</v>
      </c>
      <c r="F352" s="40"/>
      <c r="G352" s="41"/>
      <c r="H352" s="41"/>
      <c r="I352" s="41"/>
      <c r="J352" s="9"/>
      <c r="K352" s="9"/>
    </row>
    <row r="353" spans="1:11">
      <c r="A353" s="10" t="s">
        <v>27</v>
      </c>
      <c r="B353" s="10"/>
      <c r="C353" s="10"/>
      <c r="D353" s="11" t="s">
        <v>4</v>
      </c>
      <c r="E353" s="42"/>
      <c r="F353" s="42"/>
      <c r="G353" s="43"/>
      <c r="H353" s="12"/>
      <c r="I353" s="12"/>
      <c r="J353" s="9"/>
      <c r="K353" s="9"/>
    </row>
    <row r="354" spans="1:11">
      <c r="A354" s="10" t="s">
        <v>28</v>
      </c>
      <c r="B354" s="10"/>
      <c r="C354" s="10"/>
      <c r="D354" s="11" t="s">
        <v>4</v>
      </c>
      <c r="E354" s="44"/>
      <c r="F354" s="44"/>
      <c r="G354" s="43"/>
      <c r="H354" s="12"/>
      <c r="I354" s="12"/>
      <c r="J354" s="9"/>
      <c r="K354" s="9"/>
    </row>
    <row r="355" spans="1:11">
      <c r="A355" s="10" t="s">
        <v>29</v>
      </c>
      <c r="B355" s="10"/>
      <c r="C355" s="10"/>
      <c r="D355" s="11" t="s">
        <v>4</v>
      </c>
      <c r="E355" s="44">
        <f>E353+E354</f>
        <v>0</v>
      </c>
      <c r="F355" s="44"/>
      <c r="G355" s="10"/>
      <c r="H355" s="12"/>
      <c r="I355" s="12"/>
      <c r="J355" s="46"/>
      <c r="K355" s="46"/>
    </row>
    <row r="356" spans="1:11">
      <c r="A356" s="13"/>
      <c r="B356" s="13"/>
      <c r="C356" s="13"/>
      <c r="D356" s="11"/>
      <c r="E356" s="13"/>
      <c r="F356" s="13"/>
      <c r="G356" s="10"/>
      <c r="H356" s="12"/>
      <c r="I356" s="12"/>
      <c r="J356" s="46"/>
      <c r="K356" s="46"/>
    </row>
    <row r="357" spans="1:11">
      <c r="A357" s="71" t="s">
        <v>30</v>
      </c>
      <c r="B357" s="71"/>
      <c r="C357" s="71"/>
      <c r="D357" s="11" t="s">
        <v>4</v>
      </c>
      <c r="E357" s="40">
        <f>E352-E355</f>
        <v>129000</v>
      </c>
      <c r="F357" s="40"/>
      <c r="G357" s="10"/>
      <c r="H357" s="12"/>
      <c r="I357" s="12"/>
      <c r="J357" s="46"/>
      <c r="K357" s="46"/>
    </row>
    <row r="358" spans="1:11" ht="15.75">
      <c r="A358" s="13"/>
      <c r="B358" s="13"/>
      <c r="C358" s="10"/>
      <c r="D358" s="10"/>
      <c r="E358" s="16" t="str">
        <f>PROPER(IF(E357=0,"nol",IF(E357&lt;0,"minus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357),"000000000000000"),1,3)=0,"",MID(TEXT(ABS(E357),"000000000000000"),1,1)&amp;" ratus "&amp;MID(TEXT(ABS(E357),"000000000000000"),2,1)&amp;" puluh "&amp;MID(TEXT(ABS(E357),"000000000000000"),3,1)&amp;" trilyun ")&amp;IF(--MID(TEXT(ABS(E357),"000000000000000"),4,3)=0,"",MID(TEXT(ABS(E357),"000000000000000"),4,1)&amp;" ratus "&amp;MID(TEXT(ABS(E357),"000000000000000"),5,1)&amp;" puluh "&amp;MID(TEXT(ABS(E357),"000000000000000"),6,1)&amp;" milyar ")&amp;IF(--MID(TEXT(ABS(E357),"000000000000000"),7,3)=0,"",MID(TEXT(ABS(E357),"000000000000000"),7,1)&amp;" ratus "&amp;MID(TEXT(ABS(E357),"000000000000000"),8,1)&amp;" puluh "&amp;MID(TEXT(ABS(E357),"000000000000000"),9,1)&amp;" juta ")&amp;IF(--MID(TEXT(ABS(E357),"000000000000000"),10,3)=0,"",IF(--MID(TEXT(ABS(E357),"000000000000000"),10,3)=1,"*",MID(TEXT(ABS(E357),"000000000000000"),10,1)&amp;" ratus "&amp;MID(TEXT(ABS(E357),"000000000000000"),11,1)&amp;" puluh ")&amp;MID(TEXT(ABS(E357),"000000000000000"),12,1)&amp;" ribu ")&amp;IF(--MID(TEXT(ABS(E357),"000000000000000"),13,3)=0,"",MID(TEXT(ABS(E357),"000000000000000"),13,1)&amp;" ratus "&amp;MID(TEXT(ABS(E357),"000000000000000"),14,1)&amp;" puluh "&amp;MID(TEXT(ABS(E357),"000000000000000"),15,1)),1,"satu"),2,"dua"),3,"tiga"),4,"empat"),5,"lima"),6,"enam"),7,"tujuh"),8,"delapan"),9,"sembilan"),"0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Dua Puluh Sembilan Ribu Rupiah</v>
      </c>
      <c r="F358" s="10"/>
      <c r="G358" s="10"/>
      <c r="H358" s="10"/>
      <c r="I358" s="10"/>
      <c r="J358" s="46"/>
      <c r="K358" s="46"/>
    </row>
    <row r="359" spans="1:11">
      <c r="A359" s="45"/>
      <c r="B359" s="45"/>
      <c r="C359" s="45"/>
      <c r="D359" s="45"/>
      <c r="E359" s="45"/>
      <c r="F359" s="45"/>
      <c r="G359" s="29"/>
      <c r="H359" s="46"/>
      <c r="I359" s="46"/>
      <c r="J359" s="46"/>
      <c r="K359" s="46"/>
    </row>
    <row r="360" spans="1:11">
      <c r="A360" s="29"/>
      <c r="B360" s="29"/>
      <c r="C360" s="29"/>
      <c r="D360" s="29"/>
      <c r="E360" s="29"/>
      <c r="F360" s="29"/>
      <c r="G360" s="29"/>
      <c r="H360"/>
      <c r="I360"/>
      <c r="J360" s="46"/>
      <c r="K360" s="46"/>
    </row>
    <row r="361" spans="1:11">
      <c r="A361" s="13"/>
      <c r="B361" s="13"/>
      <c r="C361" s="10"/>
      <c r="D361" s="10"/>
      <c r="E361" s="10"/>
      <c r="F361" s="10"/>
      <c r="G361" s="10"/>
      <c r="I361" s="47"/>
      <c r="J361" s="47" t="s">
        <v>82</v>
      </c>
      <c r="K361" s="46"/>
    </row>
    <row r="362" spans="1:11">
      <c r="A362" s="12" t="s">
        <v>31</v>
      </c>
      <c r="B362" s="10"/>
      <c r="C362" s="10"/>
      <c r="D362" s="10"/>
      <c r="E362" s="10"/>
      <c r="F362" s="10"/>
      <c r="G362" s="10"/>
      <c r="I362" s="12"/>
      <c r="J362" s="12" t="s">
        <v>32</v>
      </c>
      <c r="K362" s="46"/>
    </row>
    <row r="363" spans="1:11">
      <c r="A363" s="10"/>
      <c r="B363" s="10"/>
      <c r="C363" s="10"/>
      <c r="D363" s="10"/>
      <c r="E363" s="10"/>
      <c r="F363" s="10"/>
      <c r="G363" s="10"/>
      <c r="I363" s="12"/>
      <c r="J363" s="12"/>
      <c r="K363" s="46"/>
    </row>
    <row r="364" spans="1:11">
      <c r="A364" s="10"/>
      <c r="B364" s="10"/>
      <c r="C364" s="10"/>
      <c r="D364" s="10"/>
      <c r="E364" s="10"/>
      <c r="F364" s="10"/>
      <c r="G364" s="10"/>
      <c r="I364" s="12"/>
      <c r="J364" s="12"/>
      <c r="K364" s="46"/>
    </row>
    <row r="365" spans="1:11">
      <c r="A365" s="10"/>
      <c r="B365" s="10"/>
      <c r="C365" s="10"/>
      <c r="D365" s="10"/>
      <c r="E365" s="10"/>
      <c r="F365" s="10"/>
      <c r="G365" s="10"/>
      <c r="I365" s="12"/>
      <c r="J365" s="12"/>
      <c r="K365" s="46"/>
    </row>
    <row r="366" spans="1:11">
      <c r="A366" s="10"/>
      <c r="B366" s="10"/>
      <c r="C366" s="10"/>
      <c r="D366" s="10"/>
      <c r="E366" s="10"/>
      <c r="F366" s="10"/>
      <c r="G366" s="10"/>
      <c r="I366" s="12"/>
      <c r="J366" s="12"/>
      <c r="K366" s="46"/>
    </row>
    <row r="367" spans="1:11">
      <c r="A367" s="48" t="s">
        <v>37</v>
      </c>
      <c r="B367" s="48"/>
      <c r="C367" s="49"/>
      <c r="D367" s="49"/>
      <c r="E367" s="49"/>
      <c r="F367" s="49"/>
      <c r="G367" s="10" t="s">
        <v>33</v>
      </c>
      <c r="I367" s="48"/>
      <c r="J367" s="48" t="s">
        <v>34</v>
      </c>
      <c r="K367" s="46"/>
    </row>
    <row r="372" spans="1:11" ht="15.75">
      <c r="C372" s="2"/>
      <c r="D372" s="2"/>
      <c r="E372" s="2"/>
      <c r="F372" s="2"/>
    </row>
    <row r="373" spans="1:11" ht="15.75">
      <c r="A373" s="3"/>
      <c r="B373" s="3"/>
      <c r="C373" s="2"/>
      <c r="D373" s="2"/>
      <c r="E373" s="2"/>
      <c r="F373" s="2"/>
      <c r="G373" s="3"/>
      <c r="H373" s="4"/>
      <c r="I373" s="4"/>
      <c r="J373" s="4"/>
      <c r="K373" s="5"/>
    </row>
    <row r="374" spans="1:11">
      <c r="H374" s="5"/>
      <c r="I374" s="5"/>
      <c r="J374" s="5"/>
      <c r="K374" s="5"/>
    </row>
    <row r="375" spans="1:11">
      <c r="H375" s="5"/>
      <c r="I375" s="5"/>
      <c r="J375" s="5"/>
      <c r="K375" s="5"/>
    </row>
    <row r="376" spans="1:11">
      <c r="A376" s="72" t="s">
        <v>0</v>
      </c>
      <c r="B376" s="72"/>
      <c r="C376" s="73"/>
      <c r="D376" s="73"/>
      <c r="E376" s="73"/>
      <c r="F376" s="73"/>
      <c r="G376" s="73"/>
      <c r="H376" s="73"/>
      <c r="I376" s="73"/>
      <c r="J376" s="73"/>
      <c r="K376" s="73"/>
    </row>
    <row r="377" spans="1:11">
      <c r="A377" s="73" t="s">
        <v>85</v>
      </c>
      <c r="B377" s="73"/>
      <c r="C377" s="73"/>
      <c r="D377" s="73"/>
      <c r="E377" s="73"/>
      <c r="F377" s="73"/>
      <c r="G377" s="73"/>
      <c r="H377" s="73"/>
      <c r="I377" s="73"/>
      <c r="J377" s="73"/>
      <c r="K377" s="73"/>
    </row>
    <row r="378" spans="1:11">
      <c r="A378" s="73" t="s">
        <v>1</v>
      </c>
      <c r="B378" s="73"/>
      <c r="C378" s="73"/>
      <c r="D378" s="73"/>
      <c r="E378" s="73"/>
      <c r="F378" s="73"/>
      <c r="G378" s="73"/>
      <c r="H378" s="73"/>
      <c r="I378" s="73"/>
      <c r="J378" s="73"/>
      <c r="K378" s="73"/>
    </row>
    <row r="379" spans="1:11">
      <c r="A379" s="73" t="s">
        <v>38</v>
      </c>
      <c r="B379" s="73"/>
      <c r="C379" s="73"/>
      <c r="D379" s="73"/>
      <c r="E379" s="73"/>
      <c r="F379" s="73"/>
      <c r="G379" s="73"/>
      <c r="H379" s="73"/>
      <c r="I379" s="73"/>
      <c r="J379" s="73"/>
      <c r="K379" s="73"/>
    </row>
    <row r="380" spans="1:11">
      <c r="A380" s="73" t="s">
        <v>2</v>
      </c>
      <c r="B380" s="73"/>
      <c r="C380" s="73"/>
      <c r="D380" s="73"/>
      <c r="E380" s="73"/>
      <c r="F380" s="73"/>
      <c r="G380" s="73"/>
      <c r="H380" s="73"/>
      <c r="I380" s="73"/>
      <c r="J380" s="73"/>
      <c r="K380" s="73"/>
    </row>
    <row r="381" spans="1:11">
      <c r="A381" s="6"/>
      <c r="B381" s="6"/>
      <c r="C381" s="7"/>
      <c r="D381" s="7"/>
      <c r="E381" s="7"/>
      <c r="F381" s="7"/>
      <c r="G381" s="8"/>
      <c r="H381" s="9"/>
      <c r="I381" s="9"/>
      <c r="J381" s="9"/>
      <c r="K381" s="9"/>
    </row>
    <row r="382" spans="1:11">
      <c r="A382" s="52" t="s">
        <v>3</v>
      </c>
      <c r="B382" s="10"/>
      <c r="C382" s="10"/>
      <c r="D382" s="53" t="s">
        <v>4</v>
      </c>
      <c r="E382" s="10" t="s">
        <v>5</v>
      </c>
      <c r="F382" s="11"/>
      <c r="G382" s="10"/>
      <c r="H382" s="12"/>
      <c r="I382" s="12"/>
      <c r="J382" s="12"/>
      <c r="K382" s="9"/>
    </row>
    <row r="383" spans="1:11">
      <c r="A383" s="52" t="s">
        <v>6</v>
      </c>
      <c r="B383" s="10"/>
      <c r="C383" s="10"/>
      <c r="D383" s="53" t="s">
        <v>4</v>
      </c>
      <c r="E383" s="10" t="s">
        <v>7</v>
      </c>
      <c r="F383" s="11"/>
      <c r="G383" s="10"/>
      <c r="H383" s="12"/>
      <c r="I383" s="12"/>
      <c r="J383" s="12"/>
      <c r="K383" s="9"/>
    </row>
    <row r="384" spans="1:11">
      <c r="A384" s="52" t="s">
        <v>8</v>
      </c>
      <c r="B384" s="10"/>
      <c r="C384" s="10"/>
      <c r="D384" s="53" t="s">
        <v>4</v>
      </c>
      <c r="E384" s="13">
        <v>2026</v>
      </c>
      <c r="F384" s="11"/>
      <c r="G384" s="13"/>
      <c r="H384" s="12"/>
      <c r="I384" s="12"/>
      <c r="J384" s="12"/>
      <c r="K384" s="9"/>
    </row>
    <row r="385" spans="1:11">
      <c r="A385" s="52" t="s">
        <v>9</v>
      </c>
      <c r="B385" s="10"/>
      <c r="C385" s="10"/>
      <c r="D385" s="53" t="s">
        <v>4</v>
      </c>
      <c r="E385" s="14">
        <f>J396</f>
        <v>1683990</v>
      </c>
      <c r="F385" s="11"/>
      <c r="G385" s="14"/>
      <c r="H385" s="12"/>
      <c r="I385" s="12"/>
      <c r="J385" s="12"/>
      <c r="K385" s="9"/>
    </row>
    <row r="386" spans="1:11" ht="15.75">
      <c r="A386" s="10"/>
      <c r="B386" s="10"/>
      <c r="C386" s="15" t="s">
        <v>10</v>
      </c>
      <c r="D386" s="53" t="s">
        <v>4</v>
      </c>
      <c r="E386" s="16" t="str">
        <f>PROPER(IF(E385=0,"nol",IF(E385&lt;0,"minus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385),"000000000000000"),1,3)=0,"",MID(TEXT(ABS(E385),"000000000000000"),1,1)&amp;" ratus "&amp;MID(TEXT(ABS(E385),"000000000000000"),2,1)&amp;" puluh "&amp;MID(TEXT(ABS(E385),"000000000000000"),3,1)&amp;" trilyun ")&amp;IF(--MID(TEXT(ABS(E385),"000000000000000"),4,3)=0,"",MID(TEXT(ABS(E385),"000000000000000"),4,1)&amp;" ratus "&amp;MID(TEXT(ABS(E385),"000000000000000"),5,1)&amp;" puluh "&amp;MID(TEXT(ABS(E385),"000000000000000"),6,1)&amp;" milyar ")&amp;IF(--MID(TEXT(ABS(E385),"000000000000000"),7,3)=0,"",MID(TEXT(ABS(E385),"000000000000000"),7,1)&amp;" ratus "&amp;MID(TEXT(ABS(E385),"000000000000000"),8,1)&amp;" puluh "&amp;MID(TEXT(ABS(E385),"000000000000000"),9,1)&amp;" juta ")&amp;IF(--MID(TEXT(ABS(E385),"000000000000000"),10,3)=0,"",IF(--MID(TEXT(ABS(E385),"000000000000000"),10,3)=1,"*",MID(TEXT(ABS(E385),"000000000000000"),10,1)&amp;" ratus "&amp;MID(TEXT(ABS(E385),"000000000000000"),11,1)&amp;" puluh ")&amp;MID(TEXT(ABS(E385),"000000000000000"),12,1)&amp;" ribu ")&amp;IF(--MID(TEXT(ABS(E385),"000000000000000"),13,3)=0,"",MID(TEXT(ABS(E385),"000000000000000"),13,1)&amp;" ratus "&amp;MID(TEXT(ABS(E385),"000000000000000"),14,1)&amp;" puluh "&amp;MID(TEXT(ABS(E385),"000000000000000"),15,1)),1,"satu"),2,"dua"),3,"tiga"),4,"empat"),5,"lima"),6,"enam"),7,"tujuh"),8,"delapan"),9,"sembilan"),"0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Enam Ratus Delapan Puluh Tiga Ribu Sembilan Ratus Sembilan Puluh Rupiah</v>
      </c>
      <c r="F386" s="11"/>
      <c r="G386" s="16"/>
      <c r="H386" s="12"/>
      <c r="I386" s="12"/>
      <c r="J386" s="12"/>
      <c r="K386" s="9"/>
    </row>
    <row r="387" spans="1:11" ht="15.75">
      <c r="A387" s="10"/>
      <c r="B387" s="10"/>
      <c r="C387" s="15"/>
      <c r="D387" s="15"/>
      <c r="E387" s="15"/>
      <c r="F387" s="11"/>
      <c r="G387" s="16"/>
      <c r="H387" s="12"/>
      <c r="I387" s="12"/>
      <c r="J387" s="12"/>
      <c r="K387" s="9"/>
    </row>
    <row r="388" spans="1:11">
      <c r="A388" s="10" t="s">
        <v>11</v>
      </c>
      <c r="B388" s="10"/>
      <c r="C388" s="10"/>
      <c r="D388" s="10"/>
      <c r="E388" s="10"/>
      <c r="F388" s="10"/>
      <c r="G388" s="10"/>
      <c r="H388" s="12"/>
      <c r="I388" s="12"/>
      <c r="J388" s="12"/>
      <c r="K388" s="9"/>
    </row>
    <row r="389" spans="1:11">
      <c r="A389" s="74" t="s">
        <v>12</v>
      </c>
      <c r="B389" s="74"/>
      <c r="C389" s="74"/>
      <c r="D389" s="74"/>
      <c r="E389" s="74"/>
      <c r="F389" s="74"/>
      <c r="G389" s="74"/>
      <c r="H389" s="74"/>
      <c r="I389" s="74"/>
      <c r="J389" s="74"/>
      <c r="K389" s="74"/>
    </row>
    <row r="390" spans="1:11" ht="60">
      <c r="A390" s="17" t="s">
        <v>13</v>
      </c>
      <c r="B390" s="18" t="s">
        <v>14</v>
      </c>
      <c r="C390" s="59" t="s">
        <v>15</v>
      </c>
      <c r="D390" s="60"/>
      <c r="E390" s="61"/>
      <c r="F390" s="19"/>
      <c r="G390" s="20" t="s">
        <v>16</v>
      </c>
      <c r="H390" s="21" t="s">
        <v>35</v>
      </c>
      <c r="I390" s="21"/>
      <c r="J390" s="31" t="s">
        <v>17</v>
      </c>
      <c r="K390" s="32" t="s">
        <v>18</v>
      </c>
    </row>
    <row r="391" spans="1:11">
      <c r="A391" s="27">
        <v>1</v>
      </c>
      <c r="B391" s="24"/>
      <c r="C391" s="28" t="s">
        <v>23</v>
      </c>
      <c r="D391" s="57"/>
      <c r="E391" s="26"/>
      <c r="F391" s="25"/>
      <c r="G391" s="54" t="s">
        <v>19</v>
      </c>
      <c r="H391" s="54" t="s">
        <v>19</v>
      </c>
      <c r="I391" s="54"/>
      <c r="J391" s="54" t="s">
        <v>19</v>
      </c>
      <c r="K391" s="54" t="s">
        <v>19</v>
      </c>
    </row>
    <row r="392" spans="1:11">
      <c r="A392" s="24"/>
      <c r="B392" s="55" t="s">
        <v>20</v>
      </c>
      <c r="C392" s="25" t="s">
        <v>24</v>
      </c>
      <c r="D392" s="10"/>
      <c r="E392" s="26"/>
      <c r="F392" s="25"/>
      <c r="G392" s="23">
        <v>45000000</v>
      </c>
      <c r="H392" s="56">
        <f>H346+J346</f>
        <v>2862700</v>
      </c>
      <c r="I392" s="56"/>
      <c r="J392" s="56">
        <v>0</v>
      </c>
      <c r="K392" s="58">
        <f t="shared" ref="K392:K395" si="15">G392-H392-J392</f>
        <v>42137300</v>
      </c>
    </row>
    <row r="393" spans="1:11" ht="28.5" customHeight="1">
      <c r="A393" s="24"/>
      <c r="B393" s="55" t="s">
        <v>21</v>
      </c>
      <c r="C393" s="62" t="s">
        <v>39</v>
      </c>
      <c r="D393" s="63"/>
      <c r="E393" s="64"/>
      <c r="F393" s="25"/>
      <c r="G393" s="23">
        <v>35000000</v>
      </c>
      <c r="H393" s="56">
        <f t="shared" ref="H393:H395" si="16">H347+J347</f>
        <v>3670000</v>
      </c>
      <c r="I393" s="56"/>
      <c r="J393" s="56">
        <v>1683990</v>
      </c>
      <c r="K393" s="58">
        <f t="shared" si="15"/>
        <v>29646010</v>
      </c>
    </row>
    <row r="394" spans="1:11">
      <c r="A394" s="24"/>
      <c r="B394" s="55" t="s">
        <v>22</v>
      </c>
      <c r="C394" s="65" t="s">
        <v>40</v>
      </c>
      <c r="D394" s="66"/>
      <c r="E394" s="67"/>
      <c r="F394" s="25"/>
      <c r="G394" s="23">
        <v>30000000</v>
      </c>
      <c r="H394" s="56">
        <f t="shared" si="16"/>
        <v>632500</v>
      </c>
      <c r="I394" s="22"/>
      <c r="J394" s="22">
        <v>0</v>
      </c>
      <c r="K394" s="33">
        <f t="shared" si="15"/>
        <v>29367500</v>
      </c>
    </row>
    <row r="395" spans="1:11">
      <c r="A395" s="24"/>
      <c r="B395" s="55" t="s">
        <v>36</v>
      </c>
      <c r="C395" s="68" t="s">
        <v>41</v>
      </c>
      <c r="D395" s="69"/>
      <c r="E395" s="70"/>
      <c r="F395" s="25"/>
      <c r="G395" s="23">
        <v>28125000</v>
      </c>
      <c r="H395" s="56">
        <f t="shared" si="16"/>
        <v>1440650</v>
      </c>
      <c r="I395" s="22"/>
      <c r="J395" s="22">
        <v>0</v>
      </c>
      <c r="K395" s="33">
        <f t="shared" si="15"/>
        <v>26684350</v>
      </c>
    </row>
    <row r="396" spans="1:11">
      <c r="A396" s="34"/>
      <c r="B396" s="34"/>
      <c r="C396" s="34" t="s">
        <v>25</v>
      </c>
      <c r="D396" s="34"/>
      <c r="E396" s="34"/>
      <c r="F396" s="35"/>
      <c r="G396" s="36">
        <f>SUM(G391:G395)</f>
        <v>138125000</v>
      </c>
      <c r="H396" s="37">
        <f>SUM(H391:H395)</f>
        <v>8605850</v>
      </c>
      <c r="I396" s="37"/>
      <c r="J396" s="37">
        <f>SUM(J391:J395)</f>
        <v>1683990</v>
      </c>
      <c r="K396" s="37">
        <f>SUM(K391:K395)</f>
        <v>127835160</v>
      </c>
    </row>
    <row r="397" spans="1:11">
      <c r="A397" s="38"/>
      <c r="B397" s="8"/>
      <c r="C397" s="8"/>
      <c r="D397" s="8"/>
      <c r="E397" s="8"/>
      <c r="F397" s="8"/>
      <c r="G397" s="39"/>
      <c r="H397" s="39"/>
      <c r="I397" s="39"/>
      <c r="J397" s="39"/>
      <c r="K397" s="39"/>
    </row>
    <row r="398" spans="1:11">
      <c r="A398" s="71" t="s">
        <v>26</v>
      </c>
      <c r="B398" s="71"/>
      <c r="C398" s="71"/>
      <c r="D398" s="11" t="s">
        <v>4</v>
      </c>
      <c r="E398" s="14">
        <f>J396</f>
        <v>1683990</v>
      </c>
      <c r="F398" s="40"/>
      <c r="G398" s="41"/>
      <c r="H398" s="41"/>
      <c r="I398" s="41"/>
      <c r="J398" s="9"/>
      <c r="K398" s="9"/>
    </row>
    <row r="399" spans="1:11">
      <c r="A399" s="10" t="s">
        <v>27</v>
      </c>
      <c r="B399" s="10"/>
      <c r="C399" s="10"/>
      <c r="D399" s="11" t="s">
        <v>4</v>
      </c>
      <c r="E399" s="42"/>
      <c r="F399" s="42"/>
      <c r="G399" s="43"/>
      <c r="H399" s="12"/>
      <c r="I399" s="12"/>
      <c r="J399" s="9"/>
      <c r="K399" s="9"/>
    </row>
    <row r="400" spans="1:11">
      <c r="A400" s="10" t="s">
        <v>28</v>
      </c>
      <c r="B400" s="10"/>
      <c r="C400" s="10"/>
      <c r="D400" s="11" t="s">
        <v>4</v>
      </c>
      <c r="E400" s="44"/>
      <c r="F400" s="44"/>
      <c r="G400" s="43"/>
      <c r="H400" s="12"/>
      <c r="I400" s="12"/>
      <c r="J400" s="9"/>
      <c r="K400" s="9"/>
    </row>
    <row r="401" spans="1:11">
      <c r="A401" s="10" t="s">
        <v>29</v>
      </c>
      <c r="B401" s="10"/>
      <c r="C401" s="10"/>
      <c r="D401" s="11" t="s">
        <v>4</v>
      </c>
      <c r="E401" s="44">
        <f>E399+E400</f>
        <v>0</v>
      </c>
      <c r="F401" s="44"/>
      <c r="G401" s="10"/>
      <c r="H401" s="12"/>
      <c r="I401" s="12"/>
      <c r="J401" s="46"/>
      <c r="K401" s="46"/>
    </row>
    <row r="402" spans="1:11">
      <c r="A402" s="13"/>
      <c r="B402" s="13"/>
      <c r="C402" s="13"/>
      <c r="D402" s="11"/>
      <c r="E402" s="13"/>
      <c r="F402" s="13"/>
      <c r="G402" s="10"/>
      <c r="H402" s="12"/>
      <c r="I402" s="12"/>
      <c r="J402" s="46"/>
      <c r="K402" s="46"/>
    </row>
    <row r="403" spans="1:11">
      <c r="A403" s="71" t="s">
        <v>30</v>
      </c>
      <c r="B403" s="71"/>
      <c r="C403" s="71"/>
      <c r="D403" s="11" t="s">
        <v>4</v>
      </c>
      <c r="E403" s="40">
        <f>E398-E401</f>
        <v>1683990</v>
      </c>
      <c r="F403" s="40"/>
      <c r="G403" s="10"/>
      <c r="H403" s="12"/>
      <c r="I403" s="12"/>
      <c r="J403" s="46"/>
      <c r="K403" s="46"/>
    </row>
    <row r="404" spans="1:11" ht="15.75">
      <c r="A404" s="13"/>
      <c r="B404" s="13"/>
      <c r="C404" s="10"/>
      <c r="D404" s="10"/>
      <c r="E404" s="16" t="str">
        <f>PROPER(IF(E403=0,"nol",IF(E403&lt;0,"minus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403),"000000000000000"),1,3)=0,"",MID(TEXT(ABS(E403),"000000000000000"),1,1)&amp;" ratus "&amp;MID(TEXT(ABS(E403),"000000000000000"),2,1)&amp;" puluh "&amp;MID(TEXT(ABS(E403),"000000000000000"),3,1)&amp;" trilyun ")&amp;IF(--MID(TEXT(ABS(E403),"000000000000000"),4,3)=0,"",MID(TEXT(ABS(E403),"000000000000000"),4,1)&amp;" ratus "&amp;MID(TEXT(ABS(E403),"000000000000000"),5,1)&amp;" puluh "&amp;MID(TEXT(ABS(E403),"000000000000000"),6,1)&amp;" milyar ")&amp;IF(--MID(TEXT(ABS(E403),"000000000000000"),7,3)=0,"",MID(TEXT(ABS(E403),"000000000000000"),7,1)&amp;" ratus "&amp;MID(TEXT(ABS(E403),"000000000000000"),8,1)&amp;" puluh "&amp;MID(TEXT(ABS(E403),"000000000000000"),9,1)&amp;" juta ")&amp;IF(--MID(TEXT(ABS(E403),"000000000000000"),10,3)=0,"",IF(--MID(TEXT(ABS(E403),"000000000000000"),10,3)=1,"*",MID(TEXT(ABS(E403),"000000000000000"),10,1)&amp;" ratus "&amp;MID(TEXT(ABS(E403),"000000000000000"),11,1)&amp;" puluh ")&amp;MID(TEXT(ABS(E403),"000000000000000"),12,1)&amp;" ribu ")&amp;IF(--MID(TEXT(ABS(E403),"000000000000000"),13,3)=0,"",MID(TEXT(ABS(E403),"000000000000000"),13,1)&amp;" ratus "&amp;MID(TEXT(ABS(E403),"000000000000000"),14,1)&amp;" puluh "&amp;MID(TEXT(ABS(E403),"000000000000000"),15,1)),1,"satu"),2,"dua"),3,"tiga"),4,"empat"),5,"lima"),6,"enam"),7,"tujuh"),8,"delapan"),9,"sembilan"),"0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Enam Ratus Delapan Puluh Tiga Ribu Sembilan Ratus Sembilan Puluh Rupiah</v>
      </c>
      <c r="F404" s="10"/>
      <c r="G404" s="10"/>
      <c r="H404" s="10"/>
      <c r="I404" s="10"/>
      <c r="J404" s="46"/>
      <c r="K404" s="46"/>
    </row>
    <row r="405" spans="1:11">
      <c r="A405" s="45"/>
      <c r="B405" s="45"/>
      <c r="C405" s="45"/>
      <c r="D405" s="45"/>
      <c r="E405" s="45"/>
      <c r="F405" s="45"/>
      <c r="G405" s="29"/>
      <c r="H405" s="46"/>
      <c r="I405" s="46"/>
      <c r="J405" s="46"/>
      <c r="K405" s="46"/>
    </row>
    <row r="406" spans="1:11">
      <c r="A406" s="29"/>
      <c r="B406" s="29"/>
      <c r="C406" s="29"/>
      <c r="D406" s="29"/>
      <c r="E406" s="29"/>
      <c r="F406" s="29"/>
      <c r="G406" s="29"/>
      <c r="H406"/>
      <c r="I406"/>
      <c r="J406" s="46"/>
      <c r="K406" s="46"/>
    </row>
    <row r="407" spans="1:11">
      <c r="A407" s="13"/>
      <c r="B407" s="13"/>
      <c r="C407" s="10"/>
      <c r="D407" s="10"/>
      <c r="E407" s="10"/>
      <c r="F407" s="10"/>
      <c r="G407" s="10"/>
      <c r="I407" s="47"/>
      <c r="J407" s="47" t="s">
        <v>86</v>
      </c>
      <c r="K407" s="46"/>
    </row>
    <row r="408" spans="1:11">
      <c r="A408" s="12" t="s">
        <v>31</v>
      </c>
      <c r="B408" s="10"/>
      <c r="C408" s="10"/>
      <c r="D408" s="10"/>
      <c r="E408" s="10"/>
      <c r="F408" s="10"/>
      <c r="G408" s="10"/>
      <c r="I408" s="12"/>
      <c r="J408" s="12" t="s">
        <v>32</v>
      </c>
      <c r="K408" s="46"/>
    </row>
    <row r="409" spans="1:11">
      <c r="A409" s="10"/>
      <c r="B409" s="10"/>
      <c r="C409" s="10"/>
      <c r="D409" s="10"/>
      <c r="E409" s="10"/>
      <c r="F409" s="10"/>
      <c r="G409" s="10"/>
      <c r="I409" s="12"/>
      <c r="J409" s="12"/>
      <c r="K409" s="46"/>
    </row>
    <row r="410" spans="1:11">
      <c r="A410" s="10"/>
      <c r="B410" s="10"/>
      <c r="C410" s="10"/>
      <c r="D410" s="10"/>
      <c r="E410" s="10"/>
      <c r="F410" s="10"/>
      <c r="G410" s="10"/>
      <c r="I410" s="12"/>
      <c r="J410" s="12"/>
      <c r="K410" s="46"/>
    </row>
    <row r="411" spans="1:11">
      <c r="A411" s="10"/>
      <c r="B411" s="10"/>
      <c r="C411" s="10"/>
      <c r="D411" s="10"/>
      <c r="E411" s="10"/>
      <c r="F411" s="10"/>
      <c r="G411" s="10"/>
      <c r="I411" s="12"/>
      <c r="J411" s="12"/>
      <c r="K411" s="46"/>
    </row>
    <row r="412" spans="1:11">
      <c r="A412" s="10"/>
      <c r="B412" s="10"/>
      <c r="C412" s="10"/>
      <c r="D412" s="10"/>
      <c r="E412" s="10"/>
      <c r="F412" s="10"/>
      <c r="G412" s="10"/>
      <c r="I412" s="12"/>
      <c r="J412" s="12"/>
      <c r="K412" s="46"/>
    </row>
    <row r="413" spans="1:11">
      <c r="A413" s="48" t="s">
        <v>37</v>
      </c>
      <c r="B413" s="48"/>
      <c r="C413" s="49"/>
      <c r="D413" s="49"/>
      <c r="E413" s="49"/>
      <c r="F413" s="49"/>
      <c r="G413" s="10" t="s">
        <v>33</v>
      </c>
      <c r="I413" s="48"/>
      <c r="J413" s="48" t="s">
        <v>34</v>
      </c>
      <c r="K413" s="46"/>
    </row>
    <row r="418" spans="1:11" ht="15.75">
      <c r="C418" s="2"/>
      <c r="D418" s="2"/>
      <c r="E418" s="2"/>
      <c r="F418" s="2"/>
    </row>
    <row r="419" spans="1:11" ht="15.75">
      <c r="A419" s="3"/>
      <c r="B419" s="3"/>
      <c r="C419" s="2"/>
      <c r="D419" s="2"/>
      <c r="E419" s="2"/>
      <c r="F419" s="2"/>
      <c r="G419" s="3"/>
      <c r="H419" s="4"/>
      <c r="I419" s="4"/>
      <c r="J419" s="4"/>
      <c r="K419" s="5"/>
    </row>
    <row r="420" spans="1:11">
      <c r="H420" s="5"/>
      <c r="I420" s="5"/>
      <c r="J420" s="5"/>
      <c r="K420" s="5"/>
    </row>
    <row r="421" spans="1:11">
      <c r="H421" s="5"/>
      <c r="I421" s="5"/>
      <c r="J421" s="5"/>
      <c r="K421" s="5"/>
    </row>
    <row r="422" spans="1:11">
      <c r="A422" s="72" t="s">
        <v>0</v>
      </c>
      <c r="B422" s="72"/>
      <c r="C422" s="73"/>
      <c r="D422" s="73"/>
      <c r="E422" s="73"/>
      <c r="F422" s="73"/>
      <c r="G422" s="73"/>
      <c r="H422" s="73"/>
      <c r="I422" s="73"/>
      <c r="J422" s="73"/>
      <c r="K422" s="73"/>
    </row>
    <row r="423" spans="1:11">
      <c r="A423" s="73" t="s">
        <v>87</v>
      </c>
      <c r="B423" s="73"/>
      <c r="C423" s="73"/>
      <c r="D423" s="73"/>
      <c r="E423" s="73"/>
      <c r="F423" s="73"/>
      <c r="G423" s="73"/>
      <c r="H423" s="73"/>
      <c r="I423" s="73"/>
      <c r="J423" s="73"/>
      <c r="K423" s="73"/>
    </row>
    <row r="424" spans="1:11">
      <c r="A424" s="73" t="s">
        <v>1</v>
      </c>
      <c r="B424" s="73"/>
      <c r="C424" s="73"/>
      <c r="D424" s="73"/>
      <c r="E424" s="73"/>
      <c r="F424" s="73"/>
      <c r="G424" s="73"/>
      <c r="H424" s="73"/>
      <c r="I424" s="73"/>
      <c r="J424" s="73"/>
      <c r="K424" s="73"/>
    </row>
    <row r="425" spans="1:11">
      <c r="A425" s="73" t="s">
        <v>38</v>
      </c>
      <c r="B425" s="73"/>
      <c r="C425" s="73"/>
      <c r="D425" s="73"/>
      <c r="E425" s="73"/>
      <c r="F425" s="73"/>
      <c r="G425" s="73"/>
      <c r="H425" s="73"/>
      <c r="I425" s="73"/>
      <c r="J425" s="73"/>
      <c r="K425" s="73"/>
    </row>
    <row r="426" spans="1:11">
      <c r="A426" s="73" t="s">
        <v>2</v>
      </c>
      <c r="B426" s="73"/>
      <c r="C426" s="73"/>
      <c r="D426" s="73"/>
      <c r="E426" s="73"/>
      <c r="F426" s="73"/>
      <c r="G426" s="73"/>
      <c r="H426" s="73"/>
      <c r="I426" s="73"/>
      <c r="J426" s="73"/>
      <c r="K426" s="73"/>
    </row>
    <row r="427" spans="1:11">
      <c r="A427" s="6"/>
      <c r="B427" s="6"/>
      <c r="C427" s="7"/>
      <c r="D427" s="7"/>
      <c r="E427" s="7"/>
      <c r="F427" s="7"/>
      <c r="G427" s="8"/>
      <c r="H427" s="9"/>
      <c r="I427" s="9"/>
      <c r="J427" s="9"/>
      <c r="K427" s="9"/>
    </row>
    <row r="428" spans="1:11">
      <c r="A428" s="52" t="s">
        <v>3</v>
      </c>
      <c r="B428" s="10"/>
      <c r="C428" s="10"/>
      <c r="D428" s="53" t="s">
        <v>4</v>
      </c>
      <c r="E428" s="10" t="s">
        <v>5</v>
      </c>
      <c r="F428" s="11"/>
      <c r="G428" s="10"/>
      <c r="H428" s="12"/>
      <c r="I428" s="12"/>
      <c r="J428" s="12"/>
      <c r="K428" s="9"/>
    </row>
    <row r="429" spans="1:11">
      <c r="A429" s="52" t="s">
        <v>6</v>
      </c>
      <c r="B429" s="10"/>
      <c r="C429" s="10"/>
      <c r="D429" s="53" t="s">
        <v>4</v>
      </c>
      <c r="E429" s="10" t="s">
        <v>7</v>
      </c>
      <c r="F429" s="11"/>
      <c r="G429" s="10"/>
      <c r="H429" s="12"/>
      <c r="I429" s="12"/>
      <c r="J429" s="12"/>
      <c r="K429" s="9"/>
    </row>
    <row r="430" spans="1:11">
      <c r="A430" s="52" t="s">
        <v>8</v>
      </c>
      <c r="B430" s="10"/>
      <c r="C430" s="10"/>
      <c r="D430" s="53" t="s">
        <v>4</v>
      </c>
      <c r="E430" s="13">
        <v>2026</v>
      </c>
      <c r="F430" s="11"/>
      <c r="G430" s="13"/>
      <c r="H430" s="12"/>
      <c r="I430" s="12"/>
      <c r="J430" s="12"/>
      <c r="K430" s="9"/>
    </row>
    <row r="431" spans="1:11">
      <c r="A431" s="52" t="s">
        <v>9</v>
      </c>
      <c r="B431" s="10"/>
      <c r="C431" s="10"/>
      <c r="D431" s="53" t="s">
        <v>4</v>
      </c>
      <c r="E431" s="14">
        <f>J442</f>
        <v>199000</v>
      </c>
      <c r="F431" s="11"/>
      <c r="G431" s="14"/>
      <c r="H431" s="12"/>
      <c r="I431" s="12"/>
      <c r="J431" s="12"/>
      <c r="K431" s="9"/>
    </row>
    <row r="432" spans="1:11" ht="15.75">
      <c r="A432" s="10"/>
      <c r="B432" s="10"/>
      <c r="C432" s="15" t="s">
        <v>10</v>
      </c>
      <c r="D432" s="53" t="s">
        <v>4</v>
      </c>
      <c r="E432" s="16" t="str">
        <f>PROPER(IF(E431=0,"nol",IF(E431&lt;0,"minus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431),"000000000000000"),1,3)=0,"",MID(TEXT(ABS(E431),"000000000000000"),1,1)&amp;" ratus "&amp;MID(TEXT(ABS(E431),"000000000000000"),2,1)&amp;" puluh "&amp;MID(TEXT(ABS(E431),"000000000000000"),3,1)&amp;" trilyun ")&amp;IF(--MID(TEXT(ABS(E431),"000000000000000"),4,3)=0,"",MID(TEXT(ABS(E431),"000000000000000"),4,1)&amp;" ratus "&amp;MID(TEXT(ABS(E431),"000000000000000"),5,1)&amp;" puluh "&amp;MID(TEXT(ABS(E431),"000000000000000"),6,1)&amp;" milyar ")&amp;IF(--MID(TEXT(ABS(E431),"000000000000000"),7,3)=0,"",MID(TEXT(ABS(E431),"000000000000000"),7,1)&amp;" ratus "&amp;MID(TEXT(ABS(E431),"000000000000000"),8,1)&amp;" puluh "&amp;MID(TEXT(ABS(E431),"000000000000000"),9,1)&amp;" juta ")&amp;IF(--MID(TEXT(ABS(E431),"000000000000000"),10,3)=0,"",IF(--MID(TEXT(ABS(E431),"000000000000000"),10,3)=1,"*",MID(TEXT(ABS(E431),"000000000000000"),10,1)&amp;" ratus "&amp;MID(TEXT(ABS(E431),"000000000000000"),11,1)&amp;" puluh ")&amp;MID(TEXT(ABS(E431),"000000000000000"),12,1)&amp;" ribu ")&amp;IF(--MID(TEXT(ABS(E431),"000000000000000"),13,3)=0,"",MID(TEXT(ABS(E431),"000000000000000"),13,1)&amp;" ratus "&amp;MID(TEXT(ABS(E431),"000000000000000"),14,1)&amp;" puluh "&amp;MID(TEXT(ABS(E431),"000000000000000"),15,1)),1,"satu"),2,"dua"),3,"tiga"),4,"empat"),5,"lima"),6,"enam"),7,"tujuh"),8,"delapan"),9,"sembilan"),"0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Sembilan Puluh Sembilan Ribu Rupiah</v>
      </c>
      <c r="F432" s="11"/>
      <c r="G432" s="16"/>
      <c r="H432" s="12"/>
      <c r="I432" s="12"/>
      <c r="J432" s="12"/>
      <c r="K432" s="9"/>
    </row>
    <row r="433" spans="1:11" ht="15.75">
      <c r="A433" s="10"/>
      <c r="B433" s="10"/>
      <c r="C433" s="15"/>
      <c r="D433" s="15"/>
      <c r="E433" s="15"/>
      <c r="F433" s="11"/>
      <c r="G433" s="16"/>
      <c r="H433" s="12"/>
      <c r="I433" s="12"/>
      <c r="J433" s="12"/>
      <c r="K433" s="9"/>
    </row>
    <row r="434" spans="1:11">
      <c r="A434" s="10" t="s">
        <v>11</v>
      </c>
      <c r="B434" s="10"/>
      <c r="C434" s="10"/>
      <c r="D434" s="10"/>
      <c r="E434" s="10"/>
      <c r="F434" s="10"/>
      <c r="G434" s="10"/>
      <c r="H434" s="12"/>
      <c r="I434" s="12"/>
      <c r="J434" s="12"/>
      <c r="K434" s="9"/>
    </row>
    <row r="435" spans="1:11">
      <c r="A435" s="74" t="s">
        <v>12</v>
      </c>
      <c r="B435" s="74"/>
      <c r="C435" s="74"/>
      <c r="D435" s="74"/>
      <c r="E435" s="74"/>
      <c r="F435" s="74"/>
      <c r="G435" s="74"/>
      <c r="H435" s="74"/>
      <c r="I435" s="74"/>
      <c r="J435" s="74"/>
      <c r="K435" s="74"/>
    </row>
    <row r="436" spans="1:11" ht="60">
      <c r="A436" s="17" t="s">
        <v>13</v>
      </c>
      <c r="B436" s="18" t="s">
        <v>14</v>
      </c>
      <c r="C436" s="59" t="s">
        <v>15</v>
      </c>
      <c r="D436" s="60"/>
      <c r="E436" s="61"/>
      <c r="F436" s="19"/>
      <c r="G436" s="20" t="s">
        <v>16</v>
      </c>
      <c r="H436" s="21" t="s">
        <v>35</v>
      </c>
      <c r="I436" s="21"/>
      <c r="J436" s="31" t="s">
        <v>17</v>
      </c>
      <c r="K436" s="32" t="s">
        <v>18</v>
      </c>
    </row>
    <row r="437" spans="1:11">
      <c r="A437" s="27">
        <v>1</v>
      </c>
      <c r="B437" s="24"/>
      <c r="C437" s="28" t="s">
        <v>23</v>
      </c>
      <c r="D437" s="57"/>
      <c r="E437" s="26"/>
      <c r="F437" s="25"/>
      <c r="G437" s="54" t="s">
        <v>19</v>
      </c>
      <c r="H437" s="54" t="s">
        <v>19</v>
      </c>
      <c r="I437" s="54"/>
      <c r="J437" s="54" t="s">
        <v>19</v>
      </c>
      <c r="K437" s="54" t="s">
        <v>19</v>
      </c>
    </row>
    <row r="438" spans="1:11">
      <c r="A438" s="24"/>
      <c r="B438" s="55" t="s">
        <v>20</v>
      </c>
      <c r="C438" s="25" t="s">
        <v>24</v>
      </c>
      <c r="D438" s="10"/>
      <c r="E438" s="26"/>
      <c r="F438" s="25"/>
      <c r="G438" s="23">
        <v>45000000</v>
      </c>
      <c r="H438" s="56">
        <f>H392+J392</f>
        <v>2862700</v>
      </c>
      <c r="I438" s="56"/>
      <c r="J438" s="56">
        <v>0</v>
      </c>
      <c r="K438" s="58">
        <f t="shared" ref="K438:K441" si="17">G438-H438-J438</f>
        <v>42137300</v>
      </c>
    </row>
    <row r="439" spans="1:11" ht="30.75" customHeight="1">
      <c r="A439" s="24"/>
      <c r="B439" s="55" t="s">
        <v>21</v>
      </c>
      <c r="C439" s="62" t="s">
        <v>39</v>
      </c>
      <c r="D439" s="63"/>
      <c r="E439" s="64"/>
      <c r="F439" s="25"/>
      <c r="G439" s="23">
        <v>35000000</v>
      </c>
      <c r="H439" s="56">
        <f t="shared" ref="H439:H440" si="18">H393+J393</f>
        <v>5353990</v>
      </c>
      <c r="I439" s="56"/>
      <c r="J439" s="56">
        <v>0</v>
      </c>
      <c r="K439" s="58">
        <f t="shared" si="17"/>
        <v>29646010</v>
      </c>
    </row>
    <row r="440" spans="1:11">
      <c r="A440" s="24"/>
      <c r="B440" s="55" t="s">
        <v>22</v>
      </c>
      <c r="C440" s="65" t="s">
        <v>40</v>
      </c>
      <c r="D440" s="66"/>
      <c r="E440" s="67"/>
      <c r="F440" s="25"/>
      <c r="G440" s="23">
        <v>30000000</v>
      </c>
      <c r="H440" s="56">
        <f t="shared" si="18"/>
        <v>632500</v>
      </c>
      <c r="I440" s="22"/>
      <c r="J440" s="22">
        <v>199000</v>
      </c>
      <c r="K440" s="33">
        <f t="shared" si="17"/>
        <v>29168500</v>
      </c>
    </row>
    <row r="441" spans="1:11">
      <c r="A441" s="24"/>
      <c r="B441" s="55" t="s">
        <v>36</v>
      </c>
      <c r="C441" s="68" t="s">
        <v>41</v>
      </c>
      <c r="D441" s="69"/>
      <c r="E441" s="70"/>
      <c r="F441" s="25"/>
      <c r="G441" s="23">
        <v>28125000</v>
      </c>
      <c r="H441" s="56">
        <f>H395+J395</f>
        <v>1440650</v>
      </c>
      <c r="I441" s="22"/>
      <c r="J441" s="22">
        <v>0</v>
      </c>
      <c r="K441" s="33">
        <f t="shared" si="17"/>
        <v>26684350</v>
      </c>
    </row>
    <row r="442" spans="1:11">
      <c r="A442" s="34"/>
      <c r="B442" s="34"/>
      <c r="C442" s="34" t="s">
        <v>25</v>
      </c>
      <c r="D442" s="34"/>
      <c r="E442" s="34"/>
      <c r="F442" s="35"/>
      <c r="G442" s="36">
        <f>SUM(G437:G441)</f>
        <v>138125000</v>
      </c>
      <c r="H442" s="37">
        <f>SUM(H437:H441)</f>
        <v>10289840</v>
      </c>
      <c r="I442" s="37"/>
      <c r="J442" s="37">
        <f>SUM(J437:J441)</f>
        <v>199000</v>
      </c>
      <c r="K442" s="37">
        <f>SUM(K437:K441)</f>
        <v>127636160</v>
      </c>
    </row>
    <row r="443" spans="1:11">
      <c r="A443" s="38"/>
      <c r="B443" s="8"/>
      <c r="C443" s="8"/>
      <c r="D443" s="8"/>
      <c r="E443" s="8"/>
      <c r="F443" s="8"/>
      <c r="G443" s="39"/>
      <c r="H443" s="39"/>
      <c r="I443" s="39"/>
      <c r="J443" s="39"/>
      <c r="K443" s="39"/>
    </row>
    <row r="444" spans="1:11">
      <c r="A444" s="71" t="s">
        <v>26</v>
      </c>
      <c r="B444" s="71"/>
      <c r="C444" s="71"/>
      <c r="D444" s="11" t="s">
        <v>4</v>
      </c>
      <c r="E444" s="14">
        <f>J442</f>
        <v>199000</v>
      </c>
      <c r="F444" s="40"/>
      <c r="G444" s="41"/>
      <c r="H444" s="41"/>
      <c r="I444" s="41"/>
      <c r="J444" s="9"/>
      <c r="K444" s="9"/>
    </row>
    <row r="445" spans="1:11">
      <c r="A445" s="10" t="s">
        <v>27</v>
      </c>
      <c r="B445" s="10"/>
      <c r="C445" s="10"/>
      <c r="D445" s="11" t="s">
        <v>4</v>
      </c>
      <c r="E445" s="42"/>
      <c r="F445" s="42"/>
      <c r="G445" s="43"/>
      <c r="H445" s="12"/>
      <c r="I445" s="12"/>
      <c r="J445" s="9"/>
      <c r="K445" s="9"/>
    </row>
    <row r="446" spans="1:11">
      <c r="A446" s="10" t="s">
        <v>28</v>
      </c>
      <c r="B446" s="10"/>
      <c r="C446" s="10"/>
      <c r="D446" s="11" t="s">
        <v>4</v>
      </c>
      <c r="E446" s="44"/>
      <c r="F446" s="44"/>
      <c r="G446" s="43"/>
      <c r="H446" s="12"/>
      <c r="I446" s="12"/>
      <c r="J446" s="9"/>
      <c r="K446" s="9"/>
    </row>
    <row r="447" spans="1:11">
      <c r="A447" s="10" t="s">
        <v>29</v>
      </c>
      <c r="B447" s="10"/>
      <c r="C447" s="10"/>
      <c r="D447" s="11" t="s">
        <v>4</v>
      </c>
      <c r="E447" s="44">
        <f>E445+E446</f>
        <v>0</v>
      </c>
      <c r="F447" s="44"/>
      <c r="G447" s="10"/>
      <c r="H447" s="12"/>
      <c r="I447" s="12"/>
      <c r="J447" s="46"/>
      <c r="K447" s="46"/>
    </row>
    <row r="448" spans="1:11">
      <c r="A448" s="13"/>
      <c r="B448" s="13"/>
      <c r="C448" s="13"/>
      <c r="D448" s="11"/>
      <c r="E448" s="13"/>
      <c r="F448" s="13"/>
      <c r="G448" s="10"/>
      <c r="H448" s="12"/>
      <c r="I448" s="12"/>
      <c r="J448" s="46"/>
      <c r="K448" s="46"/>
    </row>
    <row r="449" spans="1:11">
      <c r="A449" s="71" t="s">
        <v>30</v>
      </c>
      <c r="B449" s="71"/>
      <c r="C449" s="71"/>
      <c r="D449" s="11" t="s">
        <v>4</v>
      </c>
      <c r="E449" s="40">
        <f>E444-E447</f>
        <v>199000</v>
      </c>
      <c r="F449" s="40"/>
      <c r="G449" s="10"/>
      <c r="H449" s="12"/>
      <c r="I449" s="12"/>
      <c r="J449" s="46"/>
      <c r="K449" s="46"/>
    </row>
    <row r="450" spans="1:11" ht="15.75">
      <c r="A450" s="13"/>
      <c r="B450" s="13"/>
      <c r="C450" s="10"/>
      <c r="D450" s="10"/>
      <c r="E450" s="16" t="str">
        <f>PROPER(IF(E449=0,"nol",IF(E449&lt;0,"minus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449),"000000000000000"),1,3)=0,"",MID(TEXT(ABS(E449),"000000000000000"),1,1)&amp;" ratus "&amp;MID(TEXT(ABS(E449),"000000000000000"),2,1)&amp;" puluh "&amp;MID(TEXT(ABS(E449),"000000000000000"),3,1)&amp;" trilyun ")&amp;IF(--MID(TEXT(ABS(E449),"000000000000000"),4,3)=0,"",MID(TEXT(ABS(E449),"000000000000000"),4,1)&amp;" ratus "&amp;MID(TEXT(ABS(E449),"000000000000000"),5,1)&amp;" puluh "&amp;MID(TEXT(ABS(E449),"000000000000000"),6,1)&amp;" milyar ")&amp;IF(--MID(TEXT(ABS(E449),"000000000000000"),7,3)=0,"",MID(TEXT(ABS(E449),"000000000000000"),7,1)&amp;" ratus "&amp;MID(TEXT(ABS(E449),"000000000000000"),8,1)&amp;" puluh "&amp;MID(TEXT(ABS(E449),"000000000000000"),9,1)&amp;" juta ")&amp;IF(--MID(TEXT(ABS(E449),"000000000000000"),10,3)=0,"",IF(--MID(TEXT(ABS(E449),"000000000000000"),10,3)=1,"*",MID(TEXT(ABS(E449),"000000000000000"),10,1)&amp;" ratus "&amp;MID(TEXT(ABS(E449),"000000000000000"),11,1)&amp;" puluh ")&amp;MID(TEXT(ABS(E449),"000000000000000"),12,1)&amp;" ribu ")&amp;IF(--MID(TEXT(ABS(E449),"000000000000000"),13,3)=0,"",MID(TEXT(ABS(E449),"000000000000000"),13,1)&amp;" ratus "&amp;MID(TEXT(ABS(E449),"000000000000000"),14,1)&amp;" puluh "&amp;MID(TEXT(ABS(E449),"000000000000000"),15,1)),1,"satu"),2,"dua"),3,"tiga"),4,"empat"),5,"lima"),6,"enam"),7,"tujuh"),8,"delapan"),9,"sembilan"),"0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Sembilan Puluh Sembilan Ribu Rupiah</v>
      </c>
      <c r="F450" s="10"/>
      <c r="G450" s="10"/>
      <c r="H450" s="10"/>
      <c r="I450" s="10"/>
      <c r="J450" s="46"/>
      <c r="K450" s="46"/>
    </row>
    <row r="451" spans="1:11">
      <c r="A451" s="45"/>
      <c r="B451" s="45"/>
      <c r="C451" s="45"/>
      <c r="D451" s="45"/>
      <c r="E451" s="45"/>
      <c r="F451" s="45"/>
      <c r="G451" s="29"/>
      <c r="H451" s="46"/>
      <c r="I451" s="46"/>
      <c r="J451" s="46"/>
      <c r="K451" s="46"/>
    </row>
    <row r="452" spans="1:11">
      <c r="A452" s="29"/>
      <c r="B452" s="29"/>
      <c r="C452" s="29"/>
      <c r="D452" s="29"/>
      <c r="E452" s="29"/>
      <c r="F452" s="29"/>
      <c r="G452" s="29"/>
      <c r="H452"/>
      <c r="I452"/>
      <c r="J452" s="46"/>
      <c r="K452" s="46"/>
    </row>
    <row r="453" spans="1:11">
      <c r="A453" s="13"/>
      <c r="B453" s="13"/>
      <c r="C453" s="10"/>
      <c r="D453" s="10"/>
      <c r="E453" s="10"/>
      <c r="F453" s="10"/>
      <c r="G453" s="10"/>
      <c r="I453" s="47"/>
      <c r="J453" s="47" t="s">
        <v>86</v>
      </c>
      <c r="K453" s="46"/>
    </row>
    <row r="454" spans="1:11">
      <c r="A454" s="12" t="s">
        <v>31</v>
      </c>
      <c r="B454" s="10"/>
      <c r="C454" s="10"/>
      <c r="D454" s="10"/>
      <c r="E454" s="10"/>
      <c r="F454" s="10"/>
      <c r="G454" s="10"/>
      <c r="I454" s="12"/>
      <c r="J454" s="12" t="s">
        <v>32</v>
      </c>
      <c r="K454" s="46"/>
    </row>
    <row r="455" spans="1:11">
      <c r="A455" s="10"/>
      <c r="B455" s="10"/>
      <c r="C455" s="10"/>
      <c r="D455" s="10"/>
      <c r="E455" s="10"/>
      <c r="F455" s="10"/>
      <c r="G455" s="10"/>
      <c r="I455" s="12"/>
      <c r="J455" s="12"/>
      <c r="K455" s="46"/>
    </row>
    <row r="456" spans="1:11">
      <c r="A456" s="10"/>
      <c r="B456" s="10"/>
      <c r="C456" s="10"/>
      <c r="D456" s="10"/>
      <c r="E456" s="10"/>
      <c r="F456" s="10"/>
      <c r="G456" s="10"/>
      <c r="I456" s="12"/>
      <c r="J456" s="12"/>
      <c r="K456" s="46"/>
    </row>
    <row r="457" spans="1:11">
      <c r="A457" s="10"/>
      <c r="B457" s="10"/>
      <c r="C457" s="10"/>
      <c r="D457" s="10"/>
      <c r="E457" s="10"/>
      <c r="F457" s="10"/>
      <c r="G457" s="10"/>
      <c r="I457" s="12"/>
      <c r="J457" s="12"/>
      <c r="K457" s="46"/>
    </row>
    <row r="458" spans="1:11">
      <c r="A458" s="10"/>
      <c r="B458" s="10"/>
      <c r="C458" s="10"/>
      <c r="D458" s="10"/>
      <c r="E458" s="10"/>
      <c r="F458" s="10"/>
      <c r="G458" s="10"/>
      <c r="I458" s="12"/>
      <c r="J458" s="12"/>
      <c r="K458" s="46"/>
    </row>
    <row r="459" spans="1:11">
      <c r="A459" s="48" t="s">
        <v>37</v>
      </c>
      <c r="B459" s="48"/>
      <c r="C459" s="49"/>
      <c r="D459" s="49"/>
      <c r="E459" s="49"/>
      <c r="F459" s="49"/>
      <c r="G459" s="10" t="s">
        <v>33</v>
      </c>
      <c r="I459" s="48"/>
      <c r="J459" s="48" t="s">
        <v>34</v>
      </c>
      <c r="K459" s="46"/>
    </row>
    <row r="464" spans="1:11" ht="15.75">
      <c r="C464" s="2"/>
      <c r="D464" s="2"/>
      <c r="E464" s="2"/>
      <c r="F464" s="2"/>
    </row>
    <row r="465" spans="1:11" ht="15.75">
      <c r="A465" s="3"/>
      <c r="B465" s="3"/>
      <c r="C465" s="2"/>
      <c r="D465" s="2"/>
      <c r="E465" s="2"/>
      <c r="F465" s="2"/>
      <c r="G465" s="3"/>
      <c r="H465" s="4"/>
      <c r="I465" s="4"/>
      <c r="J465" s="4"/>
      <c r="K465" s="5"/>
    </row>
    <row r="466" spans="1:11">
      <c r="H466" s="5"/>
      <c r="I466" s="5"/>
      <c r="J466" s="5"/>
      <c r="K466" s="5"/>
    </row>
    <row r="467" spans="1:11">
      <c r="H467" s="5"/>
      <c r="I467" s="5"/>
      <c r="J467" s="5"/>
      <c r="K467" s="5"/>
    </row>
    <row r="468" spans="1:11">
      <c r="A468" s="72" t="s">
        <v>0</v>
      </c>
      <c r="B468" s="72"/>
      <c r="C468" s="73"/>
      <c r="D468" s="73"/>
      <c r="E468" s="73"/>
      <c r="F468" s="73"/>
      <c r="G468" s="73"/>
      <c r="H468" s="73"/>
      <c r="I468" s="73"/>
      <c r="J468" s="73"/>
      <c r="K468" s="73"/>
    </row>
    <row r="469" spans="1:11">
      <c r="A469" s="73" t="s">
        <v>88</v>
      </c>
      <c r="B469" s="73"/>
      <c r="C469" s="73"/>
      <c r="D469" s="73"/>
      <c r="E469" s="73"/>
      <c r="F469" s="73"/>
      <c r="G469" s="73"/>
      <c r="H469" s="73"/>
      <c r="I469" s="73"/>
      <c r="J469" s="73"/>
      <c r="K469" s="73"/>
    </row>
    <row r="470" spans="1:11">
      <c r="A470" s="73" t="s">
        <v>1</v>
      </c>
      <c r="B470" s="73"/>
      <c r="C470" s="73"/>
      <c r="D470" s="73"/>
      <c r="E470" s="73"/>
      <c r="F470" s="73"/>
      <c r="G470" s="73"/>
      <c r="H470" s="73"/>
      <c r="I470" s="73"/>
      <c r="J470" s="73"/>
      <c r="K470" s="73"/>
    </row>
    <row r="471" spans="1:11">
      <c r="A471" s="73" t="s">
        <v>38</v>
      </c>
      <c r="B471" s="73"/>
      <c r="C471" s="73"/>
      <c r="D471" s="73"/>
      <c r="E471" s="73"/>
      <c r="F471" s="73"/>
      <c r="G471" s="73"/>
      <c r="H471" s="73"/>
      <c r="I471" s="73"/>
      <c r="J471" s="73"/>
      <c r="K471" s="73"/>
    </row>
    <row r="472" spans="1:11">
      <c r="A472" s="73" t="s">
        <v>2</v>
      </c>
      <c r="B472" s="73"/>
      <c r="C472" s="73"/>
      <c r="D472" s="73"/>
      <c r="E472" s="73"/>
      <c r="F472" s="73"/>
      <c r="G472" s="73"/>
      <c r="H472" s="73"/>
      <c r="I472" s="73"/>
      <c r="J472" s="73"/>
      <c r="K472" s="73"/>
    </row>
    <row r="473" spans="1:11">
      <c r="A473" s="6"/>
      <c r="B473" s="6"/>
      <c r="C473" s="7"/>
      <c r="D473" s="7"/>
      <c r="E473" s="7"/>
      <c r="F473" s="7"/>
      <c r="G473" s="8"/>
      <c r="H473" s="9"/>
      <c r="I473" s="9"/>
      <c r="J473" s="9"/>
      <c r="K473" s="9"/>
    </row>
    <row r="474" spans="1:11">
      <c r="A474" s="52" t="s">
        <v>3</v>
      </c>
      <c r="B474" s="10"/>
      <c r="C474" s="10"/>
      <c r="D474" s="53" t="s">
        <v>4</v>
      </c>
      <c r="E474" s="10" t="s">
        <v>5</v>
      </c>
      <c r="F474" s="11"/>
      <c r="G474" s="10"/>
      <c r="H474" s="12"/>
      <c r="I474" s="12"/>
      <c r="J474" s="12"/>
      <c r="K474" s="9"/>
    </row>
    <row r="475" spans="1:11">
      <c r="A475" s="52" t="s">
        <v>6</v>
      </c>
      <c r="B475" s="10"/>
      <c r="C475" s="10"/>
      <c r="D475" s="53" t="s">
        <v>4</v>
      </c>
      <c r="E475" s="10" t="s">
        <v>7</v>
      </c>
      <c r="F475" s="11"/>
      <c r="G475" s="10"/>
      <c r="H475" s="12"/>
      <c r="I475" s="12"/>
      <c r="J475" s="12"/>
      <c r="K475" s="9"/>
    </row>
    <row r="476" spans="1:11">
      <c r="A476" s="52" t="s">
        <v>8</v>
      </c>
      <c r="B476" s="10"/>
      <c r="C476" s="10"/>
      <c r="D476" s="53" t="s">
        <v>4</v>
      </c>
      <c r="E476" s="13">
        <v>2026</v>
      </c>
      <c r="F476" s="11"/>
      <c r="G476" s="13"/>
      <c r="H476" s="12"/>
      <c r="I476" s="12"/>
      <c r="J476" s="12"/>
      <c r="K476" s="9"/>
    </row>
    <row r="477" spans="1:11">
      <c r="A477" s="52" t="s">
        <v>9</v>
      </c>
      <c r="B477" s="10"/>
      <c r="C477" s="10"/>
      <c r="D477" s="53" t="s">
        <v>4</v>
      </c>
      <c r="E477" s="14">
        <f>J488</f>
        <v>179500</v>
      </c>
      <c r="F477" s="11"/>
      <c r="G477" s="14"/>
      <c r="H477" s="12"/>
      <c r="I477" s="12"/>
      <c r="J477" s="12"/>
      <c r="K477" s="9"/>
    </row>
    <row r="478" spans="1:11" ht="15.75">
      <c r="A478" s="10"/>
      <c r="B478" s="10"/>
      <c r="C478" s="15" t="s">
        <v>10</v>
      </c>
      <c r="D478" s="53" t="s">
        <v>4</v>
      </c>
      <c r="E478" s="16" t="str">
        <f>PROPER(IF(E477=0,"nol",IF(E477&lt;0,"minus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477),"000000000000000"),1,3)=0,"",MID(TEXT(ABS(E477),"000000000000000"),1,1)&amp;" ratus "&amp;MID(TEXT(ABS(E477),"000000000000000"),2,1)&amp;" puluh "&amp;MID(TEXT(ABS(E477),"000000000000000"),3,1)&amp;" trilyun ")&amp;IF(--MID(TEXT(ABS(E477),"000000000000000"),4,3)=0,"",MID(TEXT(ABS(E477),"000000000000000"),4,1)&amp;" ratus "&amp;MID(TEXT(ABS(E477),"000000000000000"),5,1)&amp;" puluh "&amp;MID(TEXT(ABS(E477),"000000000000000"),6,1)&amp;" milyar ")&amp;IF(--MID(TEXT(ABS(E477),"000000000000000"),7,3)=0,"",MID(TEXT(ABS(E477),"000000000000000"),7,1)&amp;" ratus "&amp;MID(TEXT(ABS(E477),"000000000000000"),8,1)&amp;" puluh "&amp;MID(TEXT(ABS(E477),"000000000000000"),9,1)&amp;" juta ")&amp;IF(--MID(TEXT(ABS(E477),"000000000000000"),10,3)=0,"",IF(--MID(TEXT(ABS(E477),"000000000000000"),10,3)=1,"*",MID(TEXT(ABS(E477),"000000000000000"),10,1)&amp;" ratus "&amp;MID(TEXT(ABS(E477),"000000000000000"),11,1)&amp;" puluh ")&amp;MID(TEXT(ABS(E477),"000000000000000"),12,1)&amp;" ribu ")&amp;IF(--MID(TEXT(ABS(E477),"000000000000000"),13,3)=0,"",MID(TEXT(ABS(E477),"000000000000000"),13,1)&amp;" ratus "&amp;MID(TEXT(ABS(E477),"000000000000000"),14,1)&amp;" puluh "&amp;MID(TEXT(ABS(E477),"000000000000000"),15,1)),1,"satu"),2,"dua"),3,"tiga"),4,"empat"),5,"lima"),6,"enam"),7,"tujuh"),8,"delapan"),9,"sembilan"),"0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Tujuh Puluh Sembilan Ribu Lima Ratus Rupiah</v>
      </c>
      <c r="F478" s="11"/>
      <c r="G478" s="16"/>
      <c r="H478" s="12"/>
      <c r="I478" s="12"/>
      <c r="J478" s="12"/>
      <c r="K478" s="9"/>
    </row>
    <row r="479" spans="1:11" ht="15.75">
      <c r="A479" s="10"/>
      <c r="B479" s="10"/>
      <c r="C479" s="15"/>
      <c r="D479" s="15"/>
      <c r="E479" s="15"/>
      <c r="F479" s="11"/>
      <c r="G479" s="16"/>
      <c r="H479" s="12"/>
      <c r="I479" s="12"/>
      <c r="J479" s="12"/>
      <c r="K479" s="9"/>
    </row>
    <row r="480" spans="1:11">
      <c r="A480" s="10" t="s">
        <v>11</v>
      </c>
      <c r="B480" s="10"/>
      <c r="C480" s="10"/>
      <c r="D480" s="10"/>
      <c r="E480" s="10"/>
      <c r="F480" s="10"/>
      <c r="G480" s="10"/>
      <c r="H480" s="12"/>
      <c r="I480" s="12"/>
      <c r="J480" s="12"/>
      <c r="K480" s="9"/>
    </row>
    <row r="481" spans="1:11">
      <c r="A481" s="74" t="s">
        <v>12</v>
      </c>
      <c r="B481" s="74"/>
      <c r="C481" s="74"/>
      <c r="D481" s="74"/>
      <c r="E481" s="74"/>
      <c r="F481" s="74"/>
      <c r="G481" s="74"/>
      <c r="H481" s="74"/>
      <c r="I481" s="74"/>
      <c r="J481" s="74"/>
      <c r="K481" s="74"/>
    </row>
    <row r="482" spans="1:11" ht="60">
      <c r="A482" s="17" t="s">
        <v>13</v>
      </c>
      <c r="B482" s="18" t="s">
        <v>14</v>
      </c>
      <c r="C482" s="59" t="s">
        <v>15</v>
      </c>
      <c r="D482" s="60"/>
      <c r="E482" s="61"/>
      <c r="F482" s="19"/>
      <c r="G482" s="20" t="s">
        <v>16</v>
      </c>
      <c r="H482" s="21" t="s">
        <v>35</v>
      </c>
      <c r="I482" s="21"/>
      <c r="J482" s="31" t="s">
        <v>17</v>
      </c>
      <c r="K482" s="32" t="s">
        <v>18</v>
      </c>
    </row>
    <row r="483" spans="1:11">
      <c r="A483" s="27">
        <v>1</v>
      </c>
      <c r="B483" s="24"/>
      <c r="C483" s="28" t="s">
        <v>23</v>
      </c>
      <c r="D483" s="57"/>
      <c r="E483" s="26"/>
      <c r="F483" s="25"/>
      <c r="G483" s="54" t="s">
        <v>19</v>
      </c>
      <c r="H483" s="54" t="s">
        <v>19</v>
      </c>
      <c r="I483" s="54"/>
      <c r="J483" s="54" t="s">
        <v>19</v>
      </c>
      <c r="K483" s="54" t="s">
        <v>19</v>
      </c>
    </row>
    <row r="484" spans="1:11">
      <c r="A484" s="24"/>
      <c r="B484" s="55" t="s">
        <v>20</v>
      </c>
      <c r="C484" s="25" t="s">
        <v>24</v>
      </c>
      <c r="D484" s="10"/>
      <c r="E484" s="26"/>
      <c r="F484" s="25"/>
      <c r="G484" s="23">
        <v>45000000</v>
      </c>
      <c r="H484" s="56">
        <f>H438+J438</f>
        <v>2862700</v>
      </c>
      <c r="I484" s="56"/>
      <c r="J484" s="56">
        <v>0</v>
      </c>
      <c r="K484" s="58">
        <f t="shared" ref="K484:K487" si="19">G484-H484-J484</f>
        <v>42137300</v>
      </c>
    </row>
    <row r="485" spans="1:11" ht="28.5" customHeight="1">
      <c r="A485" s="24"/>
      <c r="B485" s="55" t="s">
        <v>21</v>
      </c>
      <c r="C485" s="62" t="s">
        <v>39</v>
      </c>
      <c r="D485" s="63"/>
      <c r="E485" s="64"/>
      <c r="F485" s="25"/>
      <c r="G485" s="23">
        <v>35000000</v>
      </c>
      <c r="H485" s="56">
        <f t="shared" ref="H485:H487" si="20">H439+J439</f>
        <v>5353990</v>
      </c>
      <c r="I485" s="56"/>
      <c r="J485" s="56">
        <v>179500</v>
      </c>
      <c r="K485" s="58">
        <f t="shared" si="19"/>
        <v>29466510</v>
      </c>
    </row>
    <row r="486" spans="1:11">
      <c r="A486" s="24"/>
      <c r="B486" s="55" t="s">
        <v>22</v>
      </c>
      <c r="C486" s="65" t="s">
        <v>40</v>
      </c>
      <c r="D486" s="66"/>
      <c r="E486" s="67"/>
      <c r="F486" s="25"/>
      <c r="G486" s="23">
        <v>30000000</v>
      </c>
      <c r="H486" s="56">
        <f t="shared" si="20"/>
        <v>831500</v>
      </c>
      <c r="I486" s="22"/>
      <c r="J486" s="22">
        <v>0</v>
      </c>
      <c r="K486" s="33">
        <f t="shared" si="19"/>
        <v>29168500</v>
      </c>
    </row>
    <row r="487" spans="1:11">
      <c r="A487" s="24"/>
      <c r="B487" s="55" t="s">
        <v>36</v>
      </c>
      <c r="C487" s="68" t="s">
        <v>41</v>
      </c>
      <c r="D487" s="69"/>
      <c r="E487" s="70"/>
      <c r="F487" s="25"/>
      <c r="G487" s="23">
        <v>28125000</v>
      </c>
      <c r="H487" s="56">
        <f t="shared" si="20"/>
        <v>1440650</v>
      </c>
      <c r="I487" s="22"/>
      <c r="J487" s="22">
        <v>0</v>
      </c>
      <c r="K487" s="33">
        <f t="shared" si="19"/>
        <v>26684350</v>
      </c>
    </row>
    <row r="488" spans="1:11">
      <c r="A488" s="34"/>
      <c r="B488" s="34"/>
      <c r="C488" s="34" t="s">
        <v>25</v>
      </c>
      <c r="D488" s="34"/>
      <c r="E488" s="34"/>
      <c r="F488" s="35"/>
      <c r="G488" s="36">
        <f>SUM(G483:G487)</f>
        <v>138125000</v>
      </c>
      <c r="H488" s="37">
        <f>SUM(H483:H487)</f>
        <v>10488840</v>
      </c>
      <c r="I488" s="37"/>
      <c r="J488" s="37">
        <f>SUM(J483:J487)</f>
        <v>179500</v>
      </c>
      <c r="K488" s="37">
        <f>SUM(K483:K487)</f>
        <v>127456660</v>
      </c>
    </row>
    <row r="489" spans="1:11">
      <c r="A489" s="38"/>
      <c r="B489" s="8"/>
      <c r="C489" s="8"/>
      <c r="D489" s="8"/>
      <c r="E489" s="8"/>
      <c r="F489" s="8"/>
      <c r="G489" s="39"/>
      <c r="H489" s="39"/>
      <c r="I489" s="39"/>
      <c r="J489" s="39"/>
      <c r="K489" s="39"/>
    </row>
    <row r="490" spans="1:11">
      <c r="A490" s="71" t="s">
        <v>26</v>
      </c>
      <c r="B490" s="71"/>
      <c r="C490" s="71"/>
      <c r="D490" s="11" t="s">
        <v>4</v>
      </c>
      <c r="E490" s="14">
        <f>J488</f>
        <v>179500</v>
      </c>
      <c r="F490" s="40"/>
      <c r="G490" s="41"/>
      <c r="H490" s="41"/>
      <c r="I490" s="41"/>
      <c r="J490" s="9"/>
      <c r="K490" s="9"/>
    </row>
    <row r="491" spans="1:11">
      <c r="A491" s="10" t="s">
        <v>27</v>
      </c>
      <c r="B491" s="10"/>
      <c r="C491" s="10"/>
      <c r="D491" s="11" t="s">
        <v>4</v>
      </c>
      <c r="E491" s="42"/>
      <c r="F491" s="42"/>
      <c r="G491" s="43"/>
      <c r="H491" s="12"/>
      <c r="I491" s="12"/>
      <c r="J491" s="9"/>
      <c r="K491" s="9"/>
    </row>
    <row r="492" spans="1:11">
      <c r="A492" s="10" t="s">
        <v>28</v>
      </c>
      <c r="B492" s="10"/>
      <c r="C492" s="10"/>
      <c r="D492" s="11" t="s">
        <v>4</v>
      </c>
      <c r="E492" s="44"/>
      <c r="F492" s="44"/>
      <c r="G492" s="43"/>
      <c r="H492" s="12"/>
      <c r="I492" s="12"/>
      <c r="J492" s="9"/>
      <c r="K492" s="9"/>
    </row>
    <row r="493" spans="1:11">
      <c r="A493" s="10" t="s">
        <v>29</v>
      </c>
      <c r="B493" s="10"/>
      <c r="C493" s="10"/>
      <c r="D493" s="11" t="s">
        <v>4</v>
      </c>
      <c r="E493" s="44">
        <f>E491+E492</f>
        <v>0</v>
      </c>
      <c r="F493" s="44"/>
      <c r="G493" s="10"/>
      <c r="H493" s="12"/>
      <c r="I493" s="12"/>
      <c r="J493" s="46"/>
      <c r="K493" s="46"/>
    </row>
    <row r="494" spans="1:11">
      <c r="A494" s="13"/>
      <c r="B494" s="13"/>
      <c r="C494" s="13"/>
      <c r="D494" s="11"/>
      <c r="E494" s="13"/>
      <c r="F494" s="13"/>
      <c r="G494" s="10"/>
      <c r="H494" s="12"/>
      <c r="I494" s="12"/>
      <c r="J494" s="46"/>
      <c r="K494" s="46"/>
    </row>
    <row r="495" spans="1:11">
      <c r="A495" s="71" t="s">
        <v>30</v>
      </c>
      <c r="B495" s="71"/>
      <c r="C495" s="71"/>
      <c r="D495" s="11" t="s">
        <v>4</v>
      </c>
      <c r="E495" s="40">
        <f>E490-E493</f>
        <v>179500</v>
      </c>
      <c r="F495" s="40"/>
      <c r="G495" s="10"/>
      <c r="H495" s="12"/>
      <c r="I495" s="12"/>
      <c r="J495" s="46"/>
      <c r="K495" s="46"/>
    </row>
    <row r="496" spans="1:11" ht="15.75">
      <c r="A496" s="13"/>
      <c r="B496" s="13"/>
      <c r="C496" s="10"/>
      <c r="D496" s="10"/>
      <c r="E496" s="16" t="str">
        <f>PROPER(IF(E495=0,"nol",IF(E495&lt;0,"minus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495),"000000000000000"),1,3)=0,"",MID(TEXT(ABS(E495),"000000000000000"),1,1)&amp;" ratus "&amp;MID(TEXT(ABS(E495),"000000000000000"),2,1)&amp;" puluh "&amp;MID(TEXT(ABS(E495),"000000000000000"),3,1)&amp;" trilyun ")&amp;IF(--MID(TEXT(ABS(E495),"000000000000000"),4,3)=0,"",MID(TEXT(ABS(E495),"000000000000000"),4,1)&amp;" ratus "&amp;MID(TEXT(ABS(E495),"000000000000000"),5,1)&amp;" puluh "&amp;MID(TEXT(ABS(E495),"000000000000000"),6,1)&amp;" milyar ")&amp;IF(--MID(TEXT(ABS(E495),"000000000000000"),7,3)=0,"",MID(TEXT(ABS(E495),"000000000000000"),7,1)&amp;" ratus "&amp;MID(TEXT(ABS(E495),"000000000000000"),8,1)&amp;" puluh "&amp;MID(TEXT(ABS(E495),"000000000000000"),9,1)&amp;" juta ")&amp;IF(--MID(TEXT(ABS(E495),"000000000000000"),10,3)=0,"",IF(--MID(TEXT(ABS(E495),"000000000000000"),10,3)=1,"*",MID(TEXT(ABS(E495),"000000000000000"),10,1)&amp;" ratus "&amp;MID(TEXT(ABS(E495),"000000000000000"),11,1)&amp;" puluh ")&amp;MID(TEXT(ABS(E495),"000000000000000"),12,1)&amp;" ribu ")&amp;IF(--MID(TEXT(ABS(E495),"000000000000000"),13,3)=0,"",MID(TEXT(ABS(E495),"000000000000000"),13,1)&amp;" ratus "&amp;MID(TEXT(ABS(E495),"000000000000000"),14,1)&amp;" puluh "&amp;MID(TEXT(ABS(E495),"000000000000000"),15,1)),1,"satu"),2,"dua"),3,"tiga"),4,"empat"),5,"lima"),6,"enam"),7,"tujuh"),8,"delapan"),9,"sembilan"),"0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Tujuh Puluh Sembilan Ribu Lima Ratus Rupiah</v>
      </c>
      <c r="F496" s="10"/>
      <c r="G496" s="10"/>
      <c r="H496" s="10"/>
      <c r="I496" s="10"/>
      <c r="J496" s="46"/>
      <c r="K496" s="46"/>
    </row>
    <row r="497" spans="1:11">
      <c r="A497" s="45"/>
      <c r="B497" s="45"/>
      <c r="C497" s="45"/>
      <c r="D497" s="45"/>
      <c r="E497" s="45"/>
      <c r="F497" s="45"/>
      <c r="G497" s="29"/>
      <c r="H497" s="46"/>
      <c r="I497" s="46"/>
      <c r="J497" s="46"/>
      <c r="K497" s="46"/>
    </row>
    <row r="498" spans="1:11">
      <c r="A498" s="29"/>
      <c r="B498" s="29"/>
      <c r="C498" s="29"/>
      <c r="D498" s="29"/>
      <c r="E498" s="29"/>
      <c r="F498" s="29"/>
      <c r="G498" s="29"/>
      <c r="H498"/>
      <c r="I498"/>
      <c r="J498" s="46"/>
      <c r="K498" s="46"/>
    </row>
    <row r="499" spans="1:11">
      <c r="A499" s="13"/>
      <c r="B499" s="13"/>
      <c r="C499" s="10"/>
      <c r="D499" s="10"/>
      <c r="E499" s="10"/>
      <c r="F499" s="10"/>
      <c r="G499" s="10"/>
      <c r="I499" s="47"/>
      <c r="J499" s="47" t="s">
        <v>86</v>
      </c>
      <c r="K499" s="46"/>
    </row>
    <row r="500" spans="1:11">
      <c r="A500" s="12" t="s">
        <v>31</v>
      </c>
      <c r="B500" s="10"/>
      <c r="C500" s="10"/>
      <c r="D500" s="10"/>
      <c r="E500" s="10"/>
      <c r="F500" s="10"/>
      <c r="G500" s="10"/>
      <c r="I500" s="12"/>
      <c r="J500" s="12" t="s">
        <v>32</v>
      </c>
      <c r="K500" s="46"/>
    </row>
    <row r="501" spans="1:11">
      <c r="A501" s="10"/>
      <c r="B501" s="10"/>
      <c r="C501" s="10"/>
      <c r="D501" s="10"/>
      <c r="E501" s="10"/>
      <c r="F501" s="10"/>
      <c r="G501" s="10"/>
      <c r="I501" s="12"/>
      <c r="J501" s="12"/>
      <c r="K501" s="46"/>
    </row>
    <row r="502" spans="1:11">
      <c r="A502" s="10"/>
      <c r="B502" s="10"/>
      <c r="C502" s="10"/>
      <c r="D502" s="10"/>
      <c r="E502" s="10"/>
      <c r="F502" s="10"/>
      <c r="G502" s="10"/>
      <c r="I502" s="12"/>
      <c r="J502" s="12"/>
      <c r="K502" s="46"/>
    </row>
    <row r="503" spans="1:11">
      <c r="A503" s="10"/>
      <c r="B503" s="10"/>
      <c r="C503" s="10"/>
      <c r="D503" s="10"/>
      <c r="E503" s="10"/>
      <c r="F503" s="10"/>
      <c r="G503" s="10"/>
      <c r="I503" s="12"/>
      <c r="J503" s="12"/>
      <c r="K503" s="46"/>
    </row>
    <row r="504" spans="1:11">
      <c r="A504" s="10"/>
      <c r="B504" s="10"/>
      <c r="C504" s="10"/>
      <c r="D504" s="10"/>
      <c r="E504" s="10"/>
      <c r="F504" s="10"/>
      <c r="G504" s="10"/>
      <c r="I504" s="12"/>
      <c r="J504" s="12"/>
      <c r="K504" s="46"/>
    </row>
    <row r="505" spans="1:11">
      <c r="A505" s="48" t="s">
        <v>37</v>
      </c>
      <c r="B505" s="48"/>
      <c r="C505" s="49"/>
      <c r="D505" s="49"/>
      <c r="E505" s="49"/>
      <c r="F505" s="49"/>
      <c r="G505" s="10" t="s">
        <v>33</v>
      </c>
      <c r="I505" s="48"/>
      <c r="J505" s="48" t="s">
        <v>34</v>
      </c>
      <c r="K505" s="46" t="s">
        <v>89</v>
      </c>
    </row>
    <row r="510" spans="1:11" ht="15.75">
      <c r="C510" s="2"/>
      <c r="D510" s="2"/>
      <c r="E510" s="2"/>
      <c r="F510" s="2"/>
    </row>
    <row r="511" spans="1:11" ht="15.75">
      <c r="A511" s="3"/>
      <c r="B511" s="3"/>
      <c r="C511" s="2"/>
      <c r="D511" s="2"/>
      <c r="E511" s="2"/>
      <c r="F511" s="2"/>
      <c r="G511" s="3"/>
      <c r="H511" s="4"/>
      <c r="I511" s="4"/>
      <c r="J511" s="4"/>
      <c r="K511" s="5"/>
    </row>
    <row r="512" spans="1:11">
      <c r="H512" s="5"/>
      <c r="I512" s="5"/>
      <c r="J512" s="5"/>
      <c r="K512" s="5"/>
    </row>
    <row r="513" spans="1:11">
      <c r="H513" s="5"/>
      <c r="I513" s="5"/>
      <c r="J513" s="5"/>
      <c r="K513" s="5"/>
    </row>
    <row r="514" spans="1:11">
      <c r="A514" s="72" t="s">
        <v>0</v>
      </c>
      <c r="B514" s="72"/>
      <c r="C514" s="73"/>
      <c r="D514" s="73"/>
      <c r="E514" s="73"/>
      <c r="F514" s="73"/>
      <c r="G514" s="73"/>
      <c r="H514" s="73"/>
      <c r="I514" s="73"/>
      <c r="J514" s="73"/>
      <c r="K514" s="73"/>
    </row>
    <row r="515" spans="1:11">
      <c r="A515" s="73" t="s">
        <v>90</v>
      </c>
      <c r="B515" s="73"/>
      <c r="C515" s="73"/>
      <c r="D515" s="73"/>
      <c r="E515" s="73"/>
      <c r="F515" s="73"/>
      <c r="G515" s="73"/>
      <c r="H515" s="73"/>
      <c r="I515" s="73"/>
      <c r="J515" s="73"/>
      <c r="K515" s="73"/>
    </row>
    <row r="516" spans="1:11">
      <c r="A516" s="73" t="s">
        <v>1</v>
      </c>
      <c r="B516" s="73"/>
      <c r="C516" s="73"/>
      <c r="D516" s="73"/>
      <c r="E516" s="73"/>
      <c r="F516" s="73"/>
      <c r="G516" s="73"/>
      <c r="H516" s="73"/>
      <c r="I516" s="73"/>
      <c r="J516" s="73"/>
      <c r="K516" s="73"/>
    </row>
    <row r="517" spans="1:11">
      <c r="A517" s="73" t="s">
        <v>38</v>
      </c>
      <c r="B517" s="73"/>
      <c r="C517" s="73"/>
      <c r="D517" s="73"/>
      <c r="E517" s="73"/>
      <c r="F517" s="73"/>
      <c r="G517" s="73"/>
      <c r="H517" s="73"/>
      <c r="I517" s="73"/>
      <c r="J517" s="73"/>
      <c r="K517" s="73"/>
    </row>
    <row r="518" spans="1:11">
      <c r="A518" s="73" t="s">
        <v>2</v>
      </c>
      <c r="B518" s="73"/>
      <c r="C518" s="73"/>
      <c r="D518" s="73"/>
      <c r="E518" s="73"/>
      <c r="F518" s="73"/>
      <c r="G518" s="73"/>
      <c r="H518" s="73"/>
      <c r="I518" s="73"/>
      <c r="J518" s="73"/>
      <c r="K518" s="73"/>
    </row>
    <row r="519" spans="1:11">
      <c r="A519" s="6"/>
      <c r="B519" s="6"/>
      <c r="C519" s="7"/>
      <c r="D519" s="7"/>
      <c r="E519" s="7"/>
      <c r="F519" s="7"/>
      <c r="G519" s="8"/>
      <c r="H519" s="9"/>
      <c r="I519" s="9"/>
      <c r="J519" s="9"/>
      <c r="K519" s="9"/>
    </row>
    <row r="520" spans="1:11">
      <c r="A520" s="52" t="s">
        <v>3</v>
      </c>
      <c r="B520" s="10"/>
      <c r="C520" s="10"/>
      <c r="D520" s="53" t="s">
        <v>4</v>
      </c>
      <c r="E520" s="10" t="s">
        <v>5</v>
      </c>
      <c r="F520" s="11"/>
      <c r="G520" s="10"/>
      <c r="H520" s="12"/>
      <c r="I520" s="12"/>
      <c r="J520" s="12"/>
      <c r="K520" s="9"/>
    </row>
    <row r="521" spans="1:11">
      <c r="A521" s="52" t="s">
        <v>6</v>
      </c>
      <c r="B521" s="10"/>
      <c r="C521" s="10"/>
      <c r="D521" s="53" t="s">
        <v>4</v>
      </c>
      <c r="E521" s="10" t="s">
        <v>7</v>
      </c>
      <c r="F521" s="11"/>
      <c r="G521" s="10"/>
      <c r="H521" s="12"/>
      <c r="I521" s="12"/>
      <c r="J521" s="12"/>
      <c r="K521" s="9"/>
    </row>
    <row r="522" spans="1:11">
      <c r="A522" s="52" t="s">
        <v>8</v>
      </c>
      <c r="B522" s="10"/>
      <c r="C522" s="10"/>
      <c r="D522" s="53" t="s">
        <v>4</v>
      </c>
      <c r="E522" s="13">
        <v>2026</v>
      </c>
      <c r="F522" s="11"/>
      <c r="G522" s="13"/>
      <c r="H522" s="12"/>
      <c r="I522" s="12"/>
      <c r="J522" s="12"/>
      <c r="K522" s="9"/>
    </row>
    <row r="523" spans="1:11">
      <c r="A523" s="52" t="s">
        <v>9</v>
      </c>
      <c r="B523" s="10"/>
      <c r="C523" s="10"/>
      <c r="D523" s="53" t="s">
        <v>4</v>
      </c>
      <c r="E523" s="14">
        <f>J534</f>
        <v>90000</v>
      </c>
      <c r="F523" s="11"/>
      <c r="G523" s="14"/>
      <c r="H523" s="12"/>
      <c r="I523" s="12"/>
      <c r="J523" s="12"/>
      <c r="K523" s="9"/>
    </row>
    <row r="524" spans="1:11" ht="15.75">
      <c r="A524" s="10"/>
      <c r="B524" s="10"/>
      <c r="C524" s="15" t="s">
        <v>10</v>
      </c>
      <c r="D524" s="53" t="s">
        <v>4</v>
      </c>
      <c r="E524" s="16" t="str">
        <f>PROPER(IF(E523=0,"nol",IF(E523&lt;0,"minus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523),"000000000000000"),1,3)=0,"",MID(TEXT(ABS(E523),"000000000000000"),1,1)&amp;" ratus "&amp;MID(TEXT(ABS(E523),"000000000000000"),2,1)&amp;" puluh "&amp;MID(TEXT(ABS(E523),"000000000000000"),3,1)&amp;" trilyun ")&amp;IF(--MID(TEXT(ABS(E523),"000000000000000"),4,3)=0,"",MID(TEXT(ABS(E523),"000000000000000"),4,1)&amp;" ratus "&amp;MID(TEXT(ABS(E523),"000000000000000"),5,1)&amp;" puluh "&amp;MID(TEXT(ABS(E523),"000000000000000"),6,1)&amp;" milyar ")&amp;IF(--MID(TEXT(ABS(E523),"000000000000000"),7,3)=0,"",MID(TEXT(ABS(E523),"000000000000000"),7,1)&amp;" ratus "&amp;MID(TEXT(ABS(E523),"000000000000000"),8,1)&amp;" puluh "&amp;MID(TEXT(ABS(E523),"000000000000000"),9,1)&amp;" juta ")&amp;IF(--MID(TEXT(ABS(E523),"000000000000000"),10,3)=0,"",IF(--MID(TEXT(ABS(E523),"000000000000000"),10,3)=1,"*",MID(TEXT(ABS(E523),"000000000000000"),10,1)&amp;" ratus "&amp;MID(TEXT(ABS(E523),"000000000000000"),11,1)&amp;" puluh ")&amp;MID(TEXT(ABS(E523),"000000000000000"),12,1)&amp;" ribu ")&amp;IF(--MID(TEXT(ABS(E523),"000000000000000"),13,3)=0,"",MID(TEXT(ABS(E523),"000000000000000"),13,1)&amp;" ratus "&amp;MID(TEXT(ABS(E523),"000000000000000"),14,1)&amp;" puluh "&amp;MID(TEXT(ABS(E523),"000000000000000"),15,1)),1,"satu"),2,"dua"),3,"tiga"),4,"empat"),5,"lima"),6,"enam"),7,"tujuh"),8,"delapan"),9,"sembilan"),"0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Puluh Ribu Rupiah</v>
      </c>
      <c r="F524" s="11"/>
      <c r="G524" s="16"/>
      <c r="H524" s="12"/>
      <c r="I524" s="12"/>
      <c r="J524" s="12"/>
      <c r="K524" s="9"/>
    </row>
    <row r="525" spans="1:11" ht="15.75">
      <c r="A525" s="10"/>
      <c r="B525" s="10"/>
      <c r="C525" s="15"/>
      <c r="D525" s="15"/>
      <c r="E525" s="15"/>
      <c r="F525" s="11"/>
      <c r="G525" s="16"/>
      <c r="H525" s="12"/>
      <c r="I525" s="12"/>
      <c r="J525" s="12"/>
      <c r="K525" s="9"/>
    </row>
    <row r="526" spans="1:11">
      <c r="A526" s="10" t="s">
        <v>11</v>
      </c>
      <c r="B526" s="10"/>
      <c r="C526" s="10"/>
      <c r="D526" s="10"/>
      <c r="E526" s="10"/>
      <c r="F526" s="10"/>
      <c r="G526" s="10"/>
      <c r="H526" s="12"/>
      <c r="I526" s="12"/>
      <c r="J526" s="12"/>
      <c r="K526" s="9"/>
    </row>
    <row r="527" spans="1:11">
      <c r="A527" s="74" t="s">
        <v>12</v>
      </c>
      <c r="B527" s="74"/>
      <c r="C527" s="74"/>
      <c r="D527" s="74"/>
      <c r="E527" s="74"/>
      <c r="F527" s="74"/>
      <c r="G527" s="74"/>
      <c r="H527" s="74"/>
      <c r="I527" s="74"/>
      <c r="J527" s="74"/>
      <c r="K527" s="74"/>
    </row>
    <row r="528" spans="1:11" ht="60">
      <c r="A528" s="17" t="s">
        <v>13</v>
      </c>
      <c r="B528" s="18" t="s">
        <v>14</v>
      </c>
      <c r="C528" s="59" t="s">
        <v>15</v>
      </c>
      <c r="D528" s="60"/>
      <c r="E528" s="61"/>
      <c r="F528" s="19"/>
      <c r="G528" s="20" t="s">
        <v>16</v>
      </c>
      <c r="H528" s="21" t="s">
        <v>35</v>
      </c>
      <c r="I528" s="21"/>
      <c r="J528" s="31" t="s">
        <v>17</v>
      </c>
      <c r="K528" s="32" t="s">
        <v>18</v>
      </c>
    </row>
    <row r="529" spans="1:11">
      <c r="A529" s="27">
        <v>1</v>
      </c>
      <c r="B529" s="24"/>
      <c r="C529" s="28" t="s">
        <v>23</v>
      </c>
      <c r="D529" s="57"/>
      <c r="E529" s="26"/>
      <c r="F529" s="25"/>
      <c r="G529" s="54" t="s">
        <v>19</v>
      </c>
      <c r="H529" s="54" t="s">
        <v>19</v>
      </c>
      <c r="I529" s="54"/>
      <c r="J529" s="54" t="s">
        <v>19</v>
      </c>
      <c r="K529" s="54" t="s">
        <v>19</v>
      </c>
    </row>
    <row r="530" spans="1:11">
      <c r="A530" s="24"/>
      <c r="B530" s="55" t="s">
        <v>20</v>
      </c>
      <c r="C530" s="25" t="s">
        <v>24</v>
      </c>
      <c r="D530" s="10"/>
      <c r="E530" s="26"/>
      <c r="F530" s="25"/>
      <c r="G530" s="23">
        <v>45000000</v>
      </c>
      <c r="H530" s="56">
        <f>H484+J484</f>
        <v>2862700</v>
      </c>
      <c r="I530" s="56"/>
      <c r="J530" s="56">
        <v>90000</v>
      </c>
      <c r="K530" s="58">
        <f t="shared" ref="K530:K533" si="21">G530-H530-J530</f>
        <v>42047300</v>
      </c>
    </row>
    <row r="531" spans="1:11">
      <c r="A531" s="24"/>
      <c r="B531" s="55" t="s">
        <v>21</v>
      </c>
      <c r="C531" s="62" t="s">
        <v>39</v>
      </c>
      <c r="D531" s="63"/>
      <c r="E531" s="64"/>
      <c r="F531" s="25"/>
      <c r="G531" s="23">
        <v>35000000</v>
      </c>
      <c r="H531" s="56">
        <f t="shared" ref="H531:H532" si="22">H485+J485</f>
        <v>5533490</v>
      </c>
      <c r="I531" s="56"/>
      <c r="J531" s="56">
        <v>0</v>
      </c>
      <c r="K531" s="58">
        <f t="shared" si="21"/>
        <v>29466510</v>
      </c>
    </row>
    <row r="532" spans="1:11">
      <c r="A532" s="24"/>
      <c r="B532" s="55" t="s">
        <v>22</v>
      </c>
      <c r="C532" s="65" t="s">
        <v>40</v>
      </c>
      <c r="D532" s="66"/>
      <c r="E532" s="67"/>
      <c r="F532" s="25"/>
      <c r="G532" s="23">
        <v>30000000</v>
      </c>
      <c r="H532" s="56">
        <f t="shared" si="22"/>
        <v>831500</v>
      </c>
      <c r="I532" s="22"/>
      <c r="J532" s="22">
        <v>0</v>
      </c>
      <c r="K532" s="33">
        <f t="shared" si="21"/>
        <v>29168500</v>
      </c>
    </row>
    <row r="533" spans="1:11">
      <c r="A533" s="24"/>
      <c r="B533" s="55" t="s">
        <v>36</v>
      </c>
      <c r="C533" s="68" t="s">
        <v>41</v>
      </c>
      <c r="D533" s="69"/>
      <c r="E533" s="70"/>
      <c r="F533" s="25"/>
      <c r="G533" s="23">
        <v>28125000</v>
      </c>
      <c r="H533" s="56">
        <f>H487+J487</f>
        <v>1440650</v>
      </c>
      <c r="I533" s="22"/>
      <c r="J533" s="22">
        <v>0</v>
      </c>
      <c r="K533" s="33">
        <f t="shared" si="21"/>
        <v>26684350</v>
      </c>
    </row>
    <row r="534" spans="1:11">
      <c r="A534" s="34"/>
      <c r="B534" s="34"/>
      <c r="C534" s="34" t="s">
        <v>25</v>
      </c>
      <c r="D534" s="34"/>
      <c r="E534" s="34"/>
      <c r="F534" s="35"/>
      <c r="G534" s="36">
        <f>SUM(G529:G533)</f>
        <v>138125000</v>
      </c>
      <c r="H534" s="37">
        <f>SUM(H529:H533)</f>
        <v>10668340</v>
      </c>
      <c r="I534" s="37"/>
      <c r="J534" s="37">
        <f>SUM(J529:J533)</f>
        <v>90000</v>
      </c>
      <c r="K534" s="37">
        <f>SUM(K529:K533)</f>
        <v>127366660</v>
      </c>
    </row>
    <row r="535" spans="1:11">
      <c r="A535" s="38"/>
      <c r="B535" s="8"/>
      <c r="C535" s="8"/>
      <c r="D535" s="8"/>
      <c r="E535" s="8"/>
      <c r="F535" s="8"/>
      <c r="G535" s="39"/>
      <c r="H535" s="39"/>
      <c r="I535" s="39"/>
      <c r="J535" s="39"/>
      <c r="K535" s="39"/>
    </row>
    <row r="536" spans="1:11">
      <c r="A536" s="71" t="s">
        <v>26</v>
      </c>
      <c r="B536" s="71"/>
      <c r="C536" s="71"/>
      <c r="D536" s="11" t="s">
        <v>4</v>
      </c>
      <c r="E536" s="14">
        <f>J534</f>
        <v>90000</v>
      </c>
      <c r="F536" s="40"/>
      <c r="G536" s="41"/>
      <c r="H536" s="41"/>
      <c r="I536" s="41"/>
      <c r="J536" s="9"/>
      <c r="K536" s="9"/>
    </row>
    <row r="537" spans="1:11">
      <c r="A537" s="10" t="s">
        <v>27</v>
      </c>
      <c r="B537" s="10"/>
      <c r="C537" s="10"/>
      <c r="D537" s="11" t="s">
        <v>4</v>
      </c>
      <c r="E537" s="42"/>
      <c r="F537" s="42"/>
      <c r="G537" s="43"/>
      <c r="H537" s="12"/>
      <c r="I537" s="12"/>
      <c r="J537" s="9"/>
      <c r="K537" s="9"/>
    </row>
    <row r="538" spans="1:11">
      <c r="A538" s="10" t="s">
        <v>28</v>
      </c>
      <c r="B538" s="10"/>
      <c r="C538" s="10"/>
      <c r="D538" s="11" t="s">
        <v>4</v>
      </c>
      <c r="E538" s="44"/>
      <c r="F538" s="44"/>
      <c r="G538" s="43"/>
      <c r="H538" s="12"/>
      <c r="I538" s="12"/>
      <c r="J538" s="9"/>
      <c r="K538" s="9"/>
    </row>
    <row r="539" spans="1:11">
      <c r="A539" s="10" t="s">
        <v>29</v>
      </c>
      <c r="B539" s="10"/>
      <c r="C539" s="10"/>
      <c r="D539" s="11" t="s">
        <v>4</v>
      </c>
      <c r="E539" s="44">
        <f>E537+E538</f>
        <v>0</v>
      </c>
      <c r="F539" s="44"/>
      <c r="G539" s="10"/>
      <c r="H539" s="12"/>
      <c r="I539" s="12"/>
      <c r="J539" s="46"/>
      <c r="K539" s="46"/>
    </row>
    <row r="540" spans="1:11">
      <c r="A540" s="13"/>
      <c r="B540" s="13"/>
      <c r="C540" s="13"/>
      <c r="D540" s="11"/>
      <c r="E540" s="13"/>
      <c r="F540" s="13"/>
      <c r="G540" s="10"/>
      <c r="H540" s="12"/>
      <c r="I540" s="12"/>
      <c r="J540" s="46"/>
      <c r="K540" s="46"/>
    </row>
    <row r="541" spans="1:11">
      <c r="A541" s="71" t="s">
        <v>30</v>
      </c>
      <c r="B541" s="71"/>
      <c r="C541" s="71"/>
      <c r="D541" s="11" t="s">
        <v>4</v>
      </c>
      <c r="E541" s="40">
        <f>E536-E539</f>
        <v>90000</v>
      </c>
      <c r="F541" s="40"/>
      <c r="G541" s="10"/>
      <c r="H541" s="12"/>
      <c r="I541" s="12"/>
      <c r="J541" s="46"/>
      <c r="K541" s="46"/>
    </row>
    <row r="542" spans="1:11" ht="15.75">
      <c r="A542" s="13"/>
      <c r="B542" s="13"/>
      <c r="C542" s="10"/>
      <c r="D542" s="10"/>
      <c r="E542" s="16" t="str">
        <f>PROPER(IF(E541=0,"nol",IF(E541&lt;0,"minus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541),"000000000000000"),1,3)=0,"",MID(TEXT(ABS(E541),"000000000000000"),1,1)&amp;" ratus "&amp;MID(TEXT(ABS(E541),"000000000000000"),2,1)&amp;" puluh "&amp;MID(TEXT(ABS(E541),"000000000000000"),3,1)&amp;" trilyun ")&amp;IF(--MID(TEXT(ABS(E541),"000000000000000"),4,3)=0,"",MID(TEXT(ABS(E541),"000000000000000"),4,1)&amp;" ratus "&amp;MID(TEXT(ABS(E541),"000000000000000"),5,1)&amp;" puluh "&amp;MID(TEXT(ABS(E541),"000000000000000"),6,1)&amp;" milyar ")&amp;IF(--MID(TEXT(ABS(E541),"000000000000000"),7,3)=0,"",MID(TEXT(ABS(E541),"000000000000000"),7,1)&amp;" ratus "&amp;MID(TEXT(ABS(E541),"000000000000000"),8,1)&amp;" puluh "&amp;MID(TEXT(ABS(E541),"000000000000000"),9,1)&amp;" juta ")&amp;IF(--MID(TEXT(ABS(E541),"000000000000000"),10,3)=0,"",IF(--MID(TEXT(ABS(E541),"000000000000000"),10,3)=1,"*",MID(TEXT(ABS(E541),"000000000000000"),10,1)&amp;" ratus "&amp;MID(TEXT(ABS(E541),"000000000000000"),11,1)&amp;" puluh ")&amp;MID(TEXT(ABS(E541),"000000000000000"),12,1)&amp;" ribu ")&amp;IF(--MID(TEXT(ABS(E541),"000000000000000"),13,3)=0,"",MID(TEXT(ABS(E541),"000000000000000"),13,1)&amp;" ratus "&amp;MID(TEXT(ABS(E541),"000000000000000"),14,1)&amp;" puluh "&amp;MID(TEXT(ABS(E541),"000000000000000"),15,1)),1,"satu"),2,"dua"),3,"tiga"),4,"empat"),5,"lima"),6,"enam"),7,"tujuh"),8,"delapan"),9,"sembilan"),"0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Puluh Ribu Rupiah</v>
      </c>
      <c r="F542" s="10"/>
      <c r="G542" s="10"/>
      <c r="H542" s="10"/>
      <c r="I542" s="10"/>
      <c r="J542" s="46"/>
      <c r="K542" s="46"/>
    </row>
    <row r="543" spans="1:11">
      <c r="A543" s="45"/>
      <c r="B543" s="45"/>
      <c r="C543" s="45"/>
      <c r="D543" s="45"/>
      <c r="E543" s="45"/>
      <c r="F543" s="45"/>
      <c r="G543" s="29"/>
      <c r="H543" s="46"/>
      <c r="I543" s="46"/>
      <c r="J543" s="46"/>
      <c r="K543" s="46"/>
    </row>
    <row r="544" spans="1:11">
      <c r="A544" s="29"/>
      <c r="B544" s="29"/>
      <c r="C544" s="29"/>
      <c r="D544" s="29"/>
      <c r="E544" s="29"/>
      <c r="F544" s="29"/>
      <c r="G544" s="29"/>
      <c r="H544"/>
      <c r="I544"/>
      <c r="J544" s="46"/>
      <c r="K544" s="46"/>
    </row>
    <row r="545" spans="1:11">
      <c r="A545" s="13"/>
      <c r="B545" s="13"/>
      <c r="C545" s="10"/>
      <c r="D545" s="10"/>
      <c r="E545" s="10"/>
      <c r="F545" s="10"/>
      <c r="G545" s="10"/>
      <c r="I545" s="47"/>
      <c r="J545" s="47" t="s">
        <v>86</v>
      </c>
      <c r="K545" s="46"/>
    </row>
    <row r="546" spans="1:11">
      <c r="A546" s="12" t="s">
        <v>31</v>
      </c>
      <c r="B546" s="10"/>
      <c r="C546" s="10"/>
      <c r="D546" s="10"/>
      <c r="E546" s="10"/>
      <c r="F546" s="10"/>
      <c r="G546" s="10"/>
      <c r="I546" s="12"/>
      <c r="J546" s="12" t="s">
        <v>32</v>
      </c>
      <c r="K546" s="46"/>
    </row>
    <row r="547" spans="1:11">
      <c r="A547" s="10"/>
      <c r="B547" s="10"/>
      <c r="C547" s="10"/>
      <c r="D547" s="10"/>
      <c r="E547" s="10"/>
      <c r="F547" s="10"/>
      <c r="G547" s="10"/>
      <c r="I547" s="12"/>
      <c r="J547" s="12"/>
      <c r="K547" s="46"/>
    </row>
    <row r="548" spans="1:11">
      <c r="A548" s="10"/>
      <c r="B548" s="10"/>
      <c r="C548" s="10"/>
      <c r="D548" s="10"/>
      <c r="E548" s="10"/>
      <c r="F548" s="10"/>
      <c r="G548" s="10"/>
      <c r="I548" s="12"/>
      <c r="J548" s="12"/>
      <c r="K548" s="46"/>
    </row>
    <row r="549" spans="1:11">
      <c r="A549" s="10"/>
      <c r="B549" s="10"/>
      <c r="C549" s="10"/>
      <c r="D549" s="10"/>
      <c r="E549" s="10"/>
      <c r="F549" s="10"/>
      <c r="G549" s="10"/>
      <c r="I549" s="12"/>
      <c r="J549" s="12"/>
      <c r="K549" s="46"/>
    </row>
    <row r="550" spans="1:11">
      <c r="A550" s="10"/>
      <c r="B550" s="10"/>
      <c r="C550" s="10"/>
      <c r="D550" s="10"/>
      <c r="E550" s="10"/>
      <c r="F550" s="10"/>
      <c r="G550" s="10"/>
      <c r="I550" s="12"/>
      <c r="J550" s="12"/>
      <c r="K550" s="46"/>
    </row>
    <row r="551" spans="1:11">
      <c r="A551" s="48" t="s">
        <v>37</v>
      </c>
      <c r="B551" s="48"/>
      <c r="C551" s="49"/>
      <c r="D551" s="49"/>
      <c r="E551" s="49"/>
      <c r="F551" s="49"/>
      <c r="G551" s="10" t="s">
        <v>33</v>
      </c>
      <c r="I551" s="48"/>
      <c r="J551" s="48" t="s">
        <v>34</v>
      </c>
      <c r="K551" s="46"/>
    </row>
    <row r="556" spans="1:11" ht="15.75">
      <c r="C556" s="2"/>
      <c r="D556" s="2"/>
      <c r="E556" s="2"/>
      <c r="F556" s="2"/>
    </row>
    <row r="557" spans="1:11" ht="15.75">
      <c r="A557" s="3"/>
      <c r="B557" s="3"/>
      <c r="C557" s="2"/>
      <c r="D557" s="2"/>
      <c r="E557" s="2"/>
      <c r="F557" s="2"/>
      <c r="G557" s="3"/>
      <c r="H557" s="4"/>
      <c r="I557" s="4"/>
      <c r="J557" s="4"/>
      <c r="K557" s="5"/>
    </row>
    <row r="558" spans="1:11">
      <c r="H558" s="5"/>
      <c r="I558" s="5"/>
      <c r="J558" s="5"/>
      <c r="K558" s="5"/>
    </row>
    <row r="559" spans="1:11">
      <c r="H559" s="5"/>
      <c r="I559" s="5"/>
      <c r="J559" s="5"/>
      <c r="K559" s="5"/>
    </row>
    <row r="560" spans="1:11">
      <c r="A560" s="72" t="s">
        <v>0</v>
      </c>
      <c r="B560" s="72"/>
      <c r="C560" s="73"/>
      <c r="D560" s="73"/>
      <c r="E560" s="73"/>
      <c r="F560" s="73"/>
      <c r="G560" s="73"/>
      <c r="H560" s="73"/>
      <c r="I560" s="73"/>
      <c r="J560" s="73"/>
      <c r="K560" s="73"/>
    </row>
    <row r="561" spans="1:11">
      <c r="A561" s="73" t="s">
        <v>91</v>
      </c>
      <c r="B561" s="73"/>
      <c r="C561" s="73"/>
      <c r="D561" s="73"/>
      <c r="E561" s="73"/>
      <c r="F561" s="73"/>
      <c r="G561" s="73"/>
      <c r="H561" s="73"/>
      <c r="I561" s="73"/>
      <c r="J561" s="73"/>
      <c r="K561" s="73"/>
    </row>
    <row r="562" spans="1:11">
      <c r="A562" s="73" t="s">
        <v>1</v>
      </c>
      <c r="B562" s="73"/>
      <c r="C562" s="73"/>
      <c r="D562" s="73"/>
      <c r="E562" s="73"/>
      <c r="F562" s="73"/>
      <c r="G562" s="73"/>
      <c r="H562" s="73"/>
      <c r="I562" s="73"/>
      <c r="J562" s="73"/>
      <c r="K562" s="73"/>
    </row>
    <row r="563" spans="1:11">
      <c r="A563" s="73" t="s">
        <v>38</v>
      </c>
      <c r="B563" s="73"/>
      <c r="C563" s="73"/>
      <c r="D563" s="73"/>
      <c r="E563" s="73"/>
      <c r="F563" s="73"/>
      <c r="G563" s="73"/>
      <c r="H563" s="73"/>
      <c r="I563" s="73"/>
      <c r="J563" s="73"/>
      <c r="K563" s="73"/>
    </row>
    <row r="564" spans="1:11">
      <c r="A564" s="73" t="s">
        <v>2</v>
      </c>
      <c r="B564" s="73"/>
      <c r="C564" s="73"/>
      <c r="D564" s="73"/>
      <c r="E564" s="73"/>
      <c r="F564" s="73"/>
      <c r="G564" s="73"/>
      <c r="H564" s="73"/>
      <c r="I564" s="73"/>
      <c r="J564" s="73"/>
      <c r="K564" s="73"/>
    </row>
    <row r="565" spans="1:11">
      <c r="A565" s="6"/>
      <c r="B565" s="6"/>
      <c r="C565" s="7"/>
      <c r="D565" s="7"/>
      <c r="E565" s="7"/>
      <c r="F565" s="7"/>
      <c r="G565" s="8"/>
      <c r="H565" s="9"/>
      <c r="I565" s="9"/>
      <c r="J565" s="9"/>
      <c r="K565" s="9"/>
    </row>
    <row r="566" spans="1:11">
      <c r="A566" s="52" t="s">
        <v>3</v>
      </c>
      <c r="B566" s="10"/>
      <c r="C566" s="10"/>
      <c r="D566" s="53" t="s">
        <v>4</v>
      </c>
      <c r="E566" s="10" t="s">
        <v>5</v>
      </c>
      <c r="F566" s="11"/>
      <c r="G566" s="10"/>
      <c r="H566" s="12"/>
      <c r="I566" s="12"/>
      <c r="J566" s="12"/>
      <c r="K566" s="9"/>
    </row>
    <row r="567" spans="1:11">
      <c r="A567" s="52" t="s">
        <v>6</v>
      </c>
      <c r="B567" s="10"/>
      <c r="C567" s="10"/>
      <c r="D567" s="53" t="s">
        <v>4</v>
      </c>
      <c r="E567" s="10" t="s">
        <v>7</v>
      </c>
      <c r="F567" s="11"/>
      <c r="G567" s="10"/>
      <c r="H567" s="12"/>
      <c r="I567" s="12"/>
      <c r="J567" s="12"/>
      <c r="K567" s="9"/>
    </row>
    <row r="568" spans="1:11">
      <c r="A568" s="52" t="s">
        <v>8</v>
      </c>
      <c r="B568" s="10"/>
      <c r="C568" s="10"/>
      <c r="D568" s="53" t="s">
        <v>4</v>
      </c>
      <c r="E568" s="13">
        <v>2026</v>
      </c>
      <c r="F568" s="11"/>
      <c r="G568" s="13"/>
      <c r="H568" s="12"/>
      <c r="I568" s="12"/>
      <c r="J568" s="12"/>
      <c r="K568" s="9"/>
    </row>
    <row r="569" spans="1:11">
      <c r="A569" s="52" t="s">
        <v>9</v>
      </c>
      <c r="B569" s="10"/>
      <c r="C569" s="10"/>
      <c r="D569" s="53" t="s">
        <v>4</v>
      </c>
      <c r="E569" s="14">
        <f>J580</f>
        <v>50000</v>
      </c>
      <c r="F569" s="11"/>
      <c r="G569" s="14"/>
      <c r="H569" s="12"/>
      <c r="I569" s="12"/>
      <c r="J569" s="12"/>
      <c r="K569" s="9"/>
    </row>
    <row r="570" spans="1:11" ht="15.75">
      <c r="A570" s="10"/>
      <c r="B570" s="10"/>
      <c r="C570" s="15" t="s">
        <v>10</v>
      </c>
      <c r="D570" s="53" t="s">
        <v>4</v>
      </c>
      <c r="E570" s="16" t="str">
        <f>PROPER(IF(E569=0,"nol",IF(E569&lt;0,"minus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569),"000000000000000"),1,3)=0,"",MID(TEXT(ABS(E569),"000000000000000"),1,1)&amp;" ratus "&amp;MID(TEXT(ABS(E569),"000000000000000"),2,1)&amp;" puluh "&amp;MID(TEXT(ABS(E569),"000000000000000"),3,1)&amp;" trilyun ")&amp;IF(--MID(TEXT(ABS(E569),"000000000000000"),4,3)=0,"",MID(TEXT(ABS(E569),"000000000000000"),4,1)&amp;" ratus "&amp;MID(TEXT(ABS(E569),"000000000000000"),5,1)&amp;" puluh "&amp;MID(TEXT(ABS(E569),"000000000000000"),6,1)&amp;" milyar ")&amp;IF(--MID(TEXT(ABS(E569),"000000000000000"),7,3)=0,"",MID(TEXT(ABS(E569),"000000000000000"),7,1)&amp;" ratus "&amp;MID(TEXT(ABS(E569),"000000000000000"),8,1)&amp;" puluh "&amp;MID(TEXT(ABS(E569),"000000000000000"),9,1)&amp;" juta ")&amp;IF(--MID(TEXT(ABS(E569),"000000000000000"),10,3)=0,"",IF(--MID(TEXT(ABS(E569),"000000000000000"),10,3)=1,"*",MID(TEXT(ABS(E569),"000000000000000"),10,1)&amp;" ratus "&amp;MID(TEXT(ABS(E569),"000000000000000"),11,1)&amp;" puluh ")&amp;MID(TEXT(ABS(E569),"000000000000000"),12,1)&amp;" ribu ")&amp;IF(--MID(TEXT(ABS(E569),"000000000000000"),13,3)=0,"",MID(TEXT(ABS(E569),"000000000000000"),13,1)&amp;" ratus "&amp;MID(TEXT(ABS(E569),"000000000000000"),14,1)&amp;" puluh "&amp;MID(TEXT(ABS(E569),"000000000000000"),15,1)),1,"satu"),2,"dua"),3,"tiga"),4,"empat"),5,"lima"),6,"enam"),7,"tujuh"),8,"delapan"),9,"sembilan"),"0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Puluh Ribu Rupiah</v>
      </c>
      <c r="F570" s="11"/>
      <c r="G570" s="16"/>
      <c r="H570" s="12"/>
      <c r="I570" s="12"/>
      <c r="J570" s="12"/>
      <c r="K570" s="9"/>
    </row>
    <row r="571" spans="1:11" ht="15.75">
      <c r="A571" s="10"/>
      <c r="B571" s="10"/>
      <c r="C571" s="15"/>
      <c r="D571" s="15"/>
      <c r="E571" s="15"/>
      <c r="F571" s="11"/>
      <c r="G571" s="16"/>
      <c r="H571" s="12"/>
      <c r="I571" s="12"/>
      <c r="J571" s="12"/>
      <c r="K571" s="9"/>
    </row>
    <row r="572" spans="1:11">
      <c r="A572" s="10" t="s">
        <v>11</v>
      </c>
      <c r="B572" s="10"/>
      <c r="C572" s="10"/>
      <c r="D572" s="10"/>
      <c r="E572" s="10"/>
      <c r="F572" s="10"/>
      <c r="G572" s="10"/>
      <c r="H572" s="12"/>
      <c r="I572" s="12"/>
      <c r="J572" s="12"/>
      <c r="K572" s="9"/>
    </row>
    <row r="573" spans="1:11">
      <c r="A573" s="74" t="s">
        <v>12</v>
      </c>
      <c r="B573" s="74"/>
      <c r="C573" s="74"/>
      <c r="D573" s="74"/>
      <c r="E573" s="74"/>
      <c r="F573" s="74"/>
      <c r="G573" s="74"/>
      <c r="H573" s="74"/>
      <c r="I573" s="74"/>
      <c r="J573" s="74"/>
      <c r="K573" s="74"/>
    </row>
    <row r="574" spans="1:11" ht="60">
      <c r="A574" s="17" t="s">
        <v>13</v>
      </c>
      <c r="B574" s="18" t="s">
        <v>14</v>
      </c>
      <c r="C574" s="59" t="s">
        <v>15</v>
      </c>
      <c r="D574" s="60"/>
      <c r="E574" s="61"/>
      <c r="F574" s="19"/>
      <c r="G574" s="20" t="s">
        <v>16</v>
      </c>
      <c r="H574" s="21" t="s">
        <v>35</v>
      </c>
      <c r="I574" s="21"/>
      <c r="J574" s="31" t="s">
        <v>17</v>
      </c>
      <c r="K574" s="32" t="s">
        <v>18</v>
      </c>
    </row>
    <row r="575" spans="1:11">
      <c r="A575" s="27">
        <v>1</v>
      </c>
      <c r="B575" s="24"/>
      <c r="C575" s="28" t="s">
        <v>23</v>
      </c>
      <c r="D575" s="57"/>
      <c r="E575" s="26"/>
      <c r="F575" s="25"/>
      <c r="G575" s="54" t="s">
        <v>19</v>
      </c>
      <c r="H575" s="54" t="s">
        <v>19</v>
      </c>
      <c r="I575" s="54"/>
      <c r="J575" s="54" t="s">
        <v>19</v>
      </c>
      <c r="K575" s="54" t="s">
        <v>19</v>
      </c>
    </row>
    <row r="576" spans="1:11">
      <c r="A576" s="24"/>
      <c r="B576" s="55" t="s">
        <v>20</v>
      </c>
      <c r="C576" s="25" t="s">
        <v>24</v>
      </c>
      <c r="D576" s="10"/>
      <c r="E576" s="26"/>
      <c r="F576" s="25"/>
      <c r="G576" s="23">
        <v>45000000</v>
      </c>
      <c r="H576" s="56">
        <f>H530+J530</f>
        <v>2952700</v>
      </c>
      <c r="I576" s="56"/>
      <c r="J576" s="56">
        <v>0</v>
      </c>
      <c r="K576" s="58">
        <f t="shared" ref="K576:K579" si="23">G576-H576-J576</f>
        <v>42047300</v>
      </c>
    </row>
    <row r="577" spans="1:11" ht="26.25" customHeight="1">
      <c r="A577" s="24"/>
      <c r="B577" s="55" t="s">
        <v>21</v>
      </c>
      <c r="C577" s="62" t="s">
        <v>39</v>
      </c>
      <c r="D577" s="63"/>
      <c r="E577" s="64"/>
      <c r="F577" s="25"/>
      <c r="G577" s="23">
        <v>35000000</v>
      </c>
      <c r="H577" s="56">
        <f t="shared" ref="H577:H578" si="24">H531+J531</f>
        <v>5533490</v>
      </c>
      <c r="I577" s="56"/>
      <c r="J577" s="56">
        <v>50000</v>
      </c>
      <c r="K577" s="58">
        <f t="shared" si="23"/>
        <v>29416510</v>
      </c>
    </row>
    <row r="578" spans="1:11">
      <c r="A578" s="24"/>
      <c r="B578" s="55" t="s">
        <v>22</v>
      </c>
      <c r="C578" s="65" t="s">
        <v>40</v>
      </c>
      <c r="D578" s="66"/>
      <c r="E578" s="67"/>
      <c r="F578" s="25"/>
      <c r="G578" s="23">
        <v>30000000</v>
      </c>
      <c r="H578" s="56">
        <f t="shared" si="24"/>
        <v>831500</v>
      </c>
      <c r="I578" s="22"/>
      <c r="J578" s="22">
        <v>0</v>
      </c>
      <c r="K578" s="33">
        <f t="shared" si="23"/>
        <v>29168500</v>
      </c>
    </row>
    <row r="579" spans="1:11">
      <c r="A579" s="24"/>
      <c r="B579" s="55" t="s">
        <v>36</v>
      </c>
      <c r="C579" s="68" t="s">
        <v>41</v>
      </c>
      <c r="D579" s="69"/>
      <c r="E579" s="70"/>
      <c r="F579" s="25"/>
      <c r="G579" s="23">
        <v>28125000</v>
      </c>
      <c r="H579" s="56">
        <f>H533+J533</f>
        <v>1440650</v>
      </c>
      <c r="I579" s="22"/>
      <c r="J579" s="22">
        <v>0</v>
      </c>
      <c r="K579" s="33">
        <f t="shared" si="23"/>
        <v>26684350</v>
      </c>
    </row>
    <row r="580" spans="1:11">
      <c r="A580" s="34"/>
      <c r="B580" s="34"/>
      <c r="C580" s="34" t="s">
        <v>25</v>
      </c>
      <c r="D580" s="34"/>
      <c r="E580" s="34"/>
      <c r="F580" s="35"/>
      <c r="G580" s="36">
        <f>SUM(G575:G579)</f>
        <v>138125000</v>
      </c>
      <c r="H580" s="37">
        <f>SUM(H575:H579)</f>
        <v>10758340</v>
      </c>
      <c r="I580" s="37"/>
      <c r="J580" s="37">
        <f>SUM(J575:J579)</f>
        <v>50000</v>
      </c>
      <c r="K580" s="37">
        <f>SUM(K575:K579)</f>
        <v>127316660</v>
      </c>
    </row>
    <row r="581" spans="1:11">
      <c r="A581" s="38"/>
      <c r="B581" s="8"/>
      <c r="C581" s="8"/>
      <c r="D581" s="8"/>
      <c r="E581" s="8"/>
      <c r="F581" s="8"/>
      <c r="G581" s="39"/>
      <c r="H581" s="39"/>
      <c r="I581" s="39"/>
      <c r="J581" s="39"/>
      <c r="K581" s="39"/>
    </row>
    <row r="582" spans="1:11">
      <c r="A582" s="71" t="s">
        <v>26</v>
      </c>
      <c r="B582" s="71"/>
      <c r="C582" s="71"/>
      <c r="D582" s="11" t="s">
        <v>4</v>
      </c>
      <c r="E582" s="14">
        <f>J580</f>
        <v>50000</v>
      </c>
      <c r="F582" s="40"/>
      <c r="G582" s="41"/>
      <c r="H582" s="41"/>
      <c r="I582" s="41"/>
      <c r="J582" s="9"/>
      <c r="K582" s="9"/>
    </row>
    <row r="583" spans="1:11">
      <c r="A583" s="10" t="s">
        <v>27</v>
      </c>
      <c r="B583" s="10"/>
      <c r="C583" s="10"/>
      <c r="D583" s="11" t="s">
        <v>4</v>
      </c>
      <c r="E583" s="42"/>
      <c r="F583" s="42"/>
      <c r="G583" s="43"/>
      <c r="H583" s="12"/>
      <c r="I583" s="12"/>
      <c r="J583" s="9"/>
      <c r="K583" s="9"/>
    </row>
    <row r="584" spans="1:11">
      <c r="A584" s="10" t="s">
        <v>28</v>
      </c>
      <c r="B584" s="10"/>
      <c r="C584" s="10"/>
      <c r="D584" s="11" t="s">
        <v>4</v>
      </c>
      <c r="E584" s="44"/>
      <c r="F584" s="44"/>
      <c r="G584" s="43"/>
      <c r="H584" s="12"/>
      <c r="I584" s="12"/>
      <c r="J584" s="9"/>
      <c r="K584" s="9"/>
    </row>
    <row r="585" spans="1:11">
      <c r="A585" s="10" t="s">
        <v>29</v>
      </c>
      <c r="B585" s="10"/>
      <c r="C585" s="10"/>
      <c r="D585" s="11" t="s">
        <v>4</v>
      </c>
      <c r="E585" s="44">
        <f>E583+E584</f>
        <v>0</v>
      </c>
      <c r="F585" s="44"/>
      <c r="G585" s="10"/>
      <c r="H585" s="12"/>
      <c r="I585" s="12"/>
      <c r="J585" s="46"/>
      <c r="K585" s="46"/>
    </row>
    <row r="586" spans="1:11">
      <c r="A586" s="13"/>
      <c r="B586" s="13"/>
      <c r="C586" s="13"/>
      <c r="D586" s="11"/>
      <c r="E586" s="13"/>
      <c r="F586" s="13"/>
      <c r="G586" s="10"/>
      <c r="H586" s="12"/>
      <c r="I586" s="12"/>
      <c r="J586" s="46"/>
      <c r="K586" s="46"/>
    </row>
    <row r="587" spans="1:11">
      <c r="A587" s="71" t="s">
        <v>30</v>
      </c>
      <c r="B587" s="71"/>
      <c r="C587" s="71"/>
      <c r="D587" s="11" t="s">
        <v>4</v>
      </c>
      <c r="E587" s="40">
        <f>E582-E585</f>
        <v>50000</v>
      </c>
      <c r="F587" s="40"/>
      <c r="G587" s="10"/>
      <c r="H587" s="12"/>
      <c r="I587" s="12"/>
      <c r="J587" s="46"/>
      <c r="K587" s="46"/>
    </row>
    <row r="588" spans="1:11" ht="15.75">
      <c r="A588" s="13"/>
      <c r="B588" s="13"/>
      <c r="C588" s="10"/>
      <c r="D588" s="10"/>
      <c r="E588" s="16" t="str">
        <f>PROPER(IF(E587=0,"nol",IF(E587&lt;0,"minus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587),"000000000000000"),1,3)=0,"",MID(TEXT(ABS(E587),"000000000000000"),1,1)&amp;" ratus "&amp;MID(TEXT(ABS(E587),"000000000000000"),2,1)&amp;" puluh "&amp;MID(TEXT(ABS(E587),"000000000000000"),3,1)&amp;" trilyun ")&amp;IF(--MID(TEXT(ABS(E587),"000000000000000"),4,3)=0,"",MID(TEXT(ABS(E587),"000000000000000"),4,1)&amp;" ratus "&amp;MID(TEXT(ABS(E587),"000000000000000"),5,1)&amp;" puluh "&amp;MID(TEXT(ABS(E587),"000000000000000"),6,1)&amp;" milyar ")&amp;IF(--MID(TEXT(ABS(E587),"000000000000000"),7,3)=0,"",MID(TEXT(ABS(E587),"000000000000000"),7,1)&amp;" ratus "&amp;MID(TEXT(ABS(E587),"000000000000000"),8,1)&amp;" puluh "&amp;MID(TEXT(ABS(E587),"000000000000000"),9,1)&amp;" juta ")&amp;IF(--MID(TEXT(ABS(E587),"000000000000000"),10,3)=0,"",IF(--MID(TEXT(ABS(E587),"000000000000000"),10,3)=1,"*",MID(TEXT(ABS(E587),"000000000000000"),10,1)&amp;" ratus "&amp;MID(TEXT(ABS(E587),"000000000000000"),11,1)&amp;" puluh ")&amp;MID(TEXT(ABS(E587),"000000000000000"),12,1)&amp;" ribu ")&amp;IF(--MID(TEXT(ABS(E587),"000000000000000"),13,3)=0,"",MID(TEXT(ABS(E587),"000000000000000"),13,1)&amp;" ratus "&amp;MID(TEXT(ABS(E587),"000000000000000"),14,1)&amp;" puluh "&amp;MID(TEXT(ABS(E587),"000000000000000"),15,1)),1,"satu"),2,"dua"),3,"tiga"),4,"empat"),5,"lima"),6,"enam"),7,"tujuh"),8,"delapan"),9,"sembilan"),"0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Puluh Ribu Rupiah</v>
      </c>
      <c r="F588" s="10"/>
      <c r="G588" s="10"/>
      <c r="H588" s="10"/>
      <c r="I588" s="10"/>
      <c r="J588" s="46"/>
      <c r="K588" s="46"/>
    </row>
    <row r="589" spans="1:11">
      <c r="A589" s="45"/>
      <c r="B589" s="45"/>
      <c r="C589" s="45"/>
      <c r="D589" s="45"/>
      <c r="E589" s="45"/>
      <c r="F589" s="45"/>
      <c r="G589" s="29"/>
      <c r="H589" s="46"/>
      <c r="I589" s="46"/>
      <c r="J589" s="46"/>
      <c r="K589" s="46"/>
    </row>
    <row r="590" spans="1:11">
      <c r="A590" s="29"/>
      <c r="B590" s="29"/>
      <c r="C590" s="29"/>
      <c r="D590" s="29"/>
      <c r="E590" s="29"/>
      <c r="F590" s="29"/>
      <c r="G590" s="29"/>
      <c r="H590"/>
      <c r="I590"/>
      <c r="J590" s="46"/>
      <c r="K590" s="46"/>
    </row>
    <row r="591" spans="1:11">
      <c r="A591" s="13"/>
      <c r="B591" s="13"/>
      <c r="C591" s="10"/>
      <c r="D591" s="10"/>
      <c r="E591" s="10"/>
      <c r="F591" s="10"/>
      <c r="G591" s="10"/>
      <c r="I591" s="47"/>
      <c r="J591" s="47" t="s">
        <v>92</v>
      </c>
      <c r="K591" s="46"/>
    </row>
    <row r="592" spans="1:11">
      <c r="A592" s="12" t="s">
        <v>31</v>
      </c>
      <c r="B592" s="10"/>
      <c r="C592" s="10"/>
      <c r="D592" s="10"/>
      <c r="E592" s="10"/>
      <c r="F592" s="10"/>
      <c r="G592" s="10"/>
      <c r="I592" s="12"/>
      <c r="J592" s="12" t="s">
        <v>32</v>
      </c>
      <c r="K592" s="46"/>
    </row>
    <row r="593" spans="1:11">
      <c r="A593" s="10"/>
      <c r="B593" s="10"/>
      <c r="C593" s="10"/>
      <c r="D593" s="10"/>
      <c r="E593" s="10"/>
      <c r="F593" s="10"/>
      <c r="G593" s="10"/>
      <c r="I593" s="12"/>
      <c r="J593" s="12"/>
      <c r="K593" s="46"/>
    </row>
    <row r="594" spans="1:11">
      <c r="A594" s="10"/>
      <c r="B594" s="10"/>
      <c r="C594" s="10"/>
      <c r="D594" s="10"/>
      <c r="E594" s="10"/>
      <c r="F594" s="10"/>
      <c r="G594" s="10"/>
      <c r="I594" s="12"/>
      <c r="J594" s="12"/>
      <c r="K594" s="46"/>
    </row>
    <row r="595" spans="1:11">
      <c r="A595" s="10"/>
      <c r="B595" s="10"/>
      <c r="C595" s="10"/>
      <c r="D595" s="10"/>
      <c r="E595" s="10"/>
      <c r="F595" s="10"/>
      <c r="G595" s="10"/>
      <c r="I595" s="12"/>
      <c r="J595" s="12"/>
      <c r="K595" s="46"/>
    </row>
    <row r="596" spans="1:11">
      <c r="A596" s="10"/>
      <c r="B596" s="10"/>
      <c r="C596" s="10"/>
      <c r="D596" s="10"/>
      <c r="E596" s="10"/>
      <c r="F596" s="10"/>
      <c r="G596" s="10"/>
      <c r="I596" s="12"/>
      <c r="J596" s="12"/>
      <c r="K596" s="46"/>
    </row>
    <row r="597" spans="1:11">
      <c r="A597" s="48" t="s">
        <v>37</v>
      </c>
      <c r="B597" s="48"/>
      <c r="C597" s="49"/>
      <c r="D597" s="49"/>
      <c r="E597" s="49"/>
      <c r="F597" s="49"/>
      <c r="G597" s="10" t="s">
        <v>33</v>
      </c>
      <c r="I597" s="48"/>
      <c r="J597" s="48" t="s">
        <v>34</v>
      </c>
      <c r="K597" s="46"/>
    </row>
    <row r="602" spans="1:11" ht="15.75">
      <c r="C602" s="2"/>
      <c r="D602" s="2"/>
      <c r="E602" s="2"/>
      <c r="F602" s="2"/>
    </row>
    <row r="603" spans="1:11" ht="15.75">
      <c r="A603" s="3"/>
      <c r="B603" s="3"/>
      <c r="C603" s="2"/>
      <c r="D603" s="2"/>
      <c r="E603" s="2"/>
      <c r="F603" s="2"/>
      <c r="G603" s="3"/>
      <c r="H603" s="4"/>
      <c r="I603" s="4"/>
      <c r="J603" s="4"/>
      <c r="K603" s="5"/>
    </row>
    <row r="604" spans="1:11">
      <c r="H604" s="5"/>
      <c r="I604" s="5"/>
      <c r="J604" s="5"/>
      <c r="K604" s="5"/>
    </row>
    <row r="605" spans="1:11">
      <c r="H605" s="5"/>
      <c r="I605" s="5"/>
      <c r="J605" s="5"/>
      <c r="K605" s="5"/>
    </row>
    <row r="606" spans="1:11">
      <c r="A606" s="72" t="s">
        <v>0</v>
      </c>
      <c r="B606" s="72"/>
      <c r="C606" s="73"/>
      <c r="D606" s="73"/>
      <c r="E606" s="73"/>
      <c r="F606" s="73"/>
      <c r="G606" s="73"/>
      <c r="H606" s="73"/>
      <c r="I606" s="73"/>
      <c r="J606" s="73"/>
      <c r="K606" s="73"/>
    </row>
    <row r="607" spans="1:11">
      <c r="A607" s="73" t="s">
        <v>93</v>
      </c>
      <c r="B607" s="73"/>
      <c r="C607" s="73"/>
      <c r="D607" s="73"/>
      <c r="E607" s="73"/>
      <c r="F607" s="73"/>
      <c r="G607" s="73"/>
      <c r="H607" s="73"/>
      <c r="I607" s="73"/>
      <c r="J607" s="73"/>
      <c r="K607" s="73"/>
    </row>
    <row r="608" spans="1:11">
      <c r="A608" s="73" t="s">
        <v>1</v>
      </c>
      <c r="B608" s="73"/>
      <c r="C608" s="73"/>
      <c r="D608" s="73"/>
      <c r="E608" s="73"/>
      <c r="F608" s="73"/>
      <c r="G608" s="73"/>
      <c r="H608" s="73"/>
      <c r="I608" s="73"/>
      <c r="J608" s="73"/>
      <c r="K608" s="73"/>
    </row>
    <row r="609" spans="1:11">
      <c r="A609" s="73" t="s">
        <v>38</v>
      </c>
      <c r="B609" s="73"/>
      <c r="C609" s="73"/>
      <c r="D609" s="73"/>
      <c r="E609" s="73"/>
      <c r="F609" s="73"/>
      <c r="G609" s="73"/>
      <c r="H609" s="73"/>
      <c r="I609" s="73"/>
      <c r="J609" s="73"/>
      <c r="K609" s="73"/>
    </row>
    <row r="610" spans="1:11">
      <c r="A610" s="73" t="s">
        <v>2</v>
      </c>
      <c r="B610" s="73"/>
      <c r="C610" s="73"/>
      <c r="D610" s="73"/>
      <c r="E610" s="73"/>
      <c r="F610" s="73"/>
      <c r="G610" s="73"/>
      <c r="H610" s="73"/>
      <c r="I610" s="73"/>
      <c r="J610" s="73"/>
      <c r="K610" s="73"/>
    </row>
    <row r="611" spans="1:11">
      <c r="A611" s="6"/>
      <c r="B611" s="6"/>
      <c r="C611" s="7"/>
      <c r="D611" s="7"/>
      <c r="E611" s="7"/>
      <c r="F611" s="7"/>
      <c r="G611" s="8"/>
      <c r="H611" s="9"/>
      <c r="I611" s="9"/>
      <c r="J611" s="9"/>
      <c r="K611" s="9"/>
    </row>
    <row r="612" spans="1:11">
      <c r="A612" s="52" t="s">
        <v>3</v>
      </c>
      <c r="B612" s="10"/>
      <c r="C612" s="10"/>
      <c r="D612" s="53" t="s">
        <v>4</v>
      </c>
      <c r="E612" s="10" t="s">
        <v>5</v>
      </c>
      <c r="F612" s="11"/>
      <c r="G612" s="10"/>
      <c r="H612" s="12"/>
      <c r="I612" s="12"/>
      <c r="J612" s="12"/>
      <c r="K612" s="9"/>
    </row>
    <row r="613" spans="1:11">
      <c r="A613" s="52" t="s">
        <v>6</v>
      </c>
      <c r="B613" s="10"/>
      <c r="C613" s="10"/>
      <c r="D613" s="53" t="s">
        <v>4</v>
      </c>
      <c r="E613" s="10" t="s">
        <v>7</v>
      </c>
      <c r="F613" s="11"/>
      <c r="G613" s="10"/>
      <c r="H613" s="12"/>
      <c r="I613" s="12"/>
      <c r="J613" s="12"/>
      <c r="K613" s="9"/>
    </row>
    <row r="614" spans="1:11">
      <c r="A614" s="52" t="s">
        <v>8</v>
      </c>
      <c r="B614" s="10"/>
      <c r="C614" s="10"/>
      <c r="D614" s="53" t="s">
        <v>4</v>
      </c>
      <c r="E614" s="13">
        <v>2026</v>
      </c>
      <c r="F614" s="11"/>
      <c r="G614" s="13"/>
      <c r="H614" s="12"/>
      <c r="I614" s="12"/>
      <c r="J614" s="12"/>
      <c r="K614" s="9"/>
    </row>
    <row r="615" spans="1:11">
      <c r="A615" s="52" t="s">
        <v>9</v>
      </c>
      <c r="B615" s="10"/>
      <c r="C615" s="10"/>
      <c r="D615" s="53" t="s">
        <v>4</v>
      </c>
      <c r="E615" s="14">
        <f>J626</f>
        <v>423899</v>
      </c>
      <c r="F615" s="11"/>
      <c r="G615" s="14"/>
      <c r="H615" s="12"/>
      <c r="I615" s="12"/>
      <c r="J615" s="12"/>
      <c r="K615" s="9"/>
    </row>
    <row r="616" spans="1:11" ht="15.75">
      <c r="A616" s="10"/>
      <c r="B616" s="10"/>
      <c r="C616" s="15" t="s">
        <v>10</v>
      </c>
      <c r="D616" s="53" t="s">
        <v>4</v>
      </c>
      <c r="E616" s="16" t="str">
        <f>PROPER(IF(E615=0,"nol",IF(E615&lt;0,"minus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615),"000000000000000"),1,3)=0,"",MID(TEXT(ABS(E615),"000000000000000"),1,1)&amp;" ratus "&amp;MID(TEXT(ABS(E615),"000000000000000"),2,1)&amp;" puluh "&amp;MID(TEXT(ABS(E615),"000000000000000"),3,1)&amp;" trilyun ")&amp;IF(--MID(TEXT(ABS(E615),"000000000000000"),4,3)=0,"",MID(TEXT(ABS(E615),"000000000000000"),4,1)&amp;" ratus "&amp;MID(TEXT(ABS(E615),"000000000000000"),5,1)&amp;" puluh "&amp;MID(TEXT(ABS(E615),"000000000000000"),6,1)&amp;" milyar ")&amp;IF(--MID(TEXT(ABS(E615),"000000000000000"),7,3)=0,"",MID(TEXT(ABS(E615),"000000000000000"),7,1)&amp;" ratus "&amp;MID(TEXT(ABS(E615),"000000000000000"),8,1)&amp;" puluh "&amp;MID(TEXT(ABS(E615),"000000000000000"),9,1)&amp;" juta ")&amp;IF(--MID(TEXT(ABS(E615),"000000000000000"),10,3)=0,"",IF(--MID(TEXT(ABS(E615),"000000000000000"),10,3)=1,"*",MID(TEXT(ABS(E615),"000000000000000"),10,1)&amp;" ratus "&amp;MID(TEXT(ABS(E615),"000000000000000"),11,1)&amp;" puluh ")&amp;MID(TEXT(ABS(E615),"000000000000000"),12,1)&amp;" ribu ")&amp;IF(--MID(TEXT(ABS(E615),"000000000000000"),13,3)=0,"",MID(TEXT(ABS(E615),"000000000000000"),13,1)&amp;" ratus "&amp;MID(TEXT(ABS(E615),"000000000000000"),14,1)&amp;" puluh "&amp;MID(TEXT(ABS(E615),"000000000000000"),15,1)),1,"satu"),2,"dua"),3,"tiga"),4,"empat"),5,"lima"),6,"enam"),7,"tujuh"),8,"delapan"),9,"sembilan"),"0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Dua Puluh Tiga Ribu Delapan Ratus Sembilan Puluh Sembilan Rupiah</v>
      </c>
      <c r="F616" s="11"/>
      <c r="G616" s="16"/>
      <c r="H616" s="12"/>
      <c r="I616" s="12"/>
      <c r="J616" s="12"/>
      <c r="K616" s="9"/>
    </row>
    <row r="617" spans="1:11" ht="15.75">
      <c r="A617" s="10"/>
      <c r="B617" s="10"/>
      <c r="C617" s="15"/>
      <c r="D617" s="15"/>
      <c r="E617" s="15"/>
      <c r="F617" s="11"/>
      <c r="G617" s="16"/>
      <c r="H617" s="12"/>
      <c r="I617" s="12"/>
      <c r="J617" s="12"/>
      <c r="K617" s="9"/>
    </row>
    <row r="618" spans="1:11">
      <c r="A618" s="10" t="s">
        <v>11</v>
      </c>
      <c r="B618" s="10"/>
      <c r="C618" s="10"/>
      <c r="D618" s="10"/>
      <c r="E618" s="10"/>
      <c r="F618" s="10"/>
      <c r="G618" s="10"/>
      <c r="H618" s="12"/>
      <c r="I618" s="12"/>
      <c r="J618" s="12"/>
      <c r="K618" s="9"/>
    </row>
    <row r="619" spans="1:11">
      <c r="A619" s="74" t="s">
        <v>12</v>
      </c>
      <c r="B619" s="74"/>
      <c r="C619" s="74"/>
      <c r="D619" s="74"/>
      <c r="E619" s="74"/>
      <c r="F619" s="74"/>
      <c r="G619" s="74"/>
      <c r="H619" s="74"/>
      <c r="I619" s="74"/>
      <c r="J619" s="74"/>
      <c r="K619" s="74"/>
    </row>
    <row r="620" spans="1:11" ht="60">
      <c r="A620" s="17" t="s">
        <v>13</v>
      </c>
      <c r="B620" s="18" t="s">
        <v>14</v>
      </c>
      <c r="C620" s="59" t="s">
        <v>15</v>
      </c>
      <c r="D620" s="60"/>
      <c r="E620" s="61"/>
      <c r="F620" s="19"/>
      <c r="G620" s="20" t="s">
        <v>16</v>
      </c>
      <c r="H620" s="21" t="s">
        <v>35</v>
      </c>
      <c r="I620" s="21"/>
      <c r="J620" s="31" t="s">
        <v>17</v>
      </c>
      <c r="K620" s="32" t="s">
        <v>18</v>
      </c>
    </row>
    <row r="621" spans="1:11">
      <c r="A621" s="27">
        <v>1</v>
      </c>
      <c r="B621" s="24"/>
      <c r="C621" s="28" t="s">
        <v>23</v>
      </c>
      <c r="D621" s="57"/>
      <c r="E621" s="26"/>
      <c r="F621" s="25"/>
      <c r="G621" s="54" t="s">
        <v>19</v>
      </c>
      <c r="H621" s="54" t="s">
        <v>19</v>
      </c>
      <c r="I621" s="54"/>
      <c r="J621" s="54" t="s">
        <v>19</v>
      </c>
      <c r="K621" s="54" t="s">
        <v>19</v>
      </c>
    </row>
    <row r="622" spans="1:11">
      <c r="A622" s="24"/>
      <c r="B622" s="55" t="s">
        <v>20</v>
      </c>
      <c r="C622" s="25" t="s">
        <v>24</v>
      </c>
      <c r="D622" s="10"/>
      <c r="E622" s="26"/>
      <c r="F622" s="25"/>
      <c r="G622" s="23">
        <v>45000000</v>
      </c>
      <c r="H622" s="56">
        <f>H576+J576</f>
        <v>2952700</v>
      </c>
      <c r="I622" s="56"/>
      <c r="J622" s="56">
        <v>423899</v>
      </c>
      <c r="K622" s="58">
        <f t="shared" ref="K622:K625" si="25">G622-H622-J622</f>
        <v>41623401</v>
      </c>
    </row>
    <row r="623" spans="1:11">
      <c r="A623" s="24"/>
      <c r="B623" s="55" t="s">
        <v>21</v>
      </c>
      <c r="C623" s="62" t="s">
        <v>39</v>
      </c>
      <c r="D623" s="63"/>
      <c r="E623" s="64"/>
      <c r="F623" s="25"/>
      <c r="G623" s="23">
        <v>35000000</v>
      </c>
      <c r="H623" s="56">
        <f t="shared" ref="H623:H624" si="26">H577+J577</f>
        <v>5583490</v>
      </c>
      <c r="I623" s="56"/>
      <c r="J623" s="56">
        <v>0</v>
      </c>
      <c r="K623" s="58">
        <f t="shared" si="25"/>
        <v>29416510</v>
      </c>
    </row>
    <row r="624" spans="1:11">
      <c r="A624" s="24"/>
      <c r="B624" s="55" t="s">
        <v>22</v>
      </c>
      <c r="C624" s="65" t="s">
        <v>40</v>
      </c>
      <c r="D624" s="66"/>
      <c r="E624" s="67"/>
      <c r="F624" s="25"/>
      <c r="G624" s="23">
        <v>30000000</v>
      </c>
      <c r="H624" s="56">
        <f t="shared" si="26"/>
        <v>831500</v>
      </c>
      <c r="I624" s="22"/>
      <c r="J624" s="22">
        <v>0</v>
      </c>
      <c r="K624" s="33">
        <f t="shared" si="25"/>
        <v>29168500</v>
      </c>
    </row>
    <row r="625" spans="1:11">
      <c r="A625" s="24"/>
      <c r="B625" s="55" t="s">
        <v>36</v>
      </c>
      <c r="C625" s="68" t="s">
        <v>41</v>
      </c>
      <c r="D625" s="69"/>
      <c r="E625" s="70"/>
      <c r="F625" s="25"/>
      <c r="G625" s="23">
        <v>28125000</v>
      </c>
      <c r="H625" s="56">
        <f>H579+J579</f>
        <v>1440650</v>
      </c>
      <c r="I625" s="22"/>
      <c r="J625" s="22">
        <v>0</v>
      </c>
      <c r="K625" s="33">
        <f t="shared" si="25"/>
        <v>26684350</v>
      </c>
    </row>
    <row r="626" spans="1:11">
      <c r="A626" s="34"/>
      <c r="B626" s="34"/>
      <c r="C626" s="34" t="s">
        <v>25</v>
      </c>
      <c r="D626" s="34"/>
      <c r="E626" s="34"/>
      <c r="F626" s="35"/>
      <c r="G626" s="36">
        <f>SUM(G621:G625)</f>
        <v>138125000</v>
      </c>
      <c r="H626" s="37">
        <f>SUM(H621:H625)</f>
        <v>10808340</v>
      </c>
      <c r="I626" s="37"/>
      <c r="J626" s="37">
        <f>SUM(J621:J625)</f>
        <v>423899</v>
      </c>
      <c r="K626" s="37">
        <f>SUM(K621:K625)</f>
        <v>126892761</v>
      </c>
    </row>
    <row r="627" spans="1:11">
      <c r="A627" s="38"/>
      <c r="B627" s="8"/>
      <c r="C627" s="8"/>
      <c r="D627" s="8"/>
      <c r="E627" s="8"/>
      <c r="F627" s="8"/>
      <c r="G627" s="39"/>
      <c r="H627" s="39"/>
      <c r="I627" s="39"/>
      <c r="J627" s="39"/>
      <c r="K627" s="39"/>
    </row>
    <row r="628" spans="1:11">
      <c r="A628" s="71" t="s">
        <v>26</v>
      </c>
      <c r="B628" s="71"/>
      <c r="C628" s="71"/>
      <c r="D628" s="11" t="s">
        <v>4</v>
      </c>
      <c r="E628" s="14">
        <f>J626</f>
        <v>423899</v>
      </c>
      <c r="F628" s="40"/>
      <c r="G628" s="41"/>
      <c r="H628" s="41"/>
      <c r="I628" s="41"/>
      <c r="J628" s="9"/>
      <c r="K628" s="9"/>
    </row>
    <row r="629" spans="1:11">
      <c r="A629" s="10" t="s">
        <v>27</v>
      </c>
      <c r="B629" s="10"/>
      <c r="C629" s="10"/>
      <c r="D629" s="11" t="s">
        <v>4</v>
      </c>
      <c r="E629" s="42"/>
      <c r="F629" s="42"/>
      <c r="G629" s="43"/>
      <c r="H629" s="12"/>
      <c r="I629" s="12"/>
      <c r="J629" s="9"/>
      <c r="K629" s="9"/>
    </row>
    <row r="630" spans="1:11">
      <c r="A630" s="10" t="s">
        <v>28</v>
      </c>
      <c r="B630" s="10"/>
      <c r="C630" s="10"/>
      <c r="D630" s="11" t="s">
        <v>4</v>
      </c>
      <c r="E630" s="44"/>
      <c r="F630" s="44"/>
      <c r="G630" s="43"/>
      <c r="H630" s="12"/>
      <c r="I630" s="12"/>
      <c r="J630" s="9"/>
      <c r="K630" s="9"/>
    </row>
    <row r="631" spans="1:11">
      <c r="A631" s="10" t="s">
        <v>29</v>
      </c>
      <c r="B631" s="10"/>
      <c r="C631" s="10"/>
      <c r="D631" s="11" t="s">
        <v>4</v>
      </c>
      <c r="E631" s="44">
        <f>E629+E630</f>
        <v>0</v>
      </c>
      <c r="F631" s="44"/>
      <c r="G631" s="10"/>
      <c r="H631" s="12"/>
      <c r="I631" s="12"/>
      <c r="J631" s="46"/>
      <c r="K631" s="46"/>
    </row>
    <row r="632" spans="1:11">
      <c r="A632" s="13"/>
      <c r="B632" s="13"/>
      <c r="C632" s="13"/>
      <c r="D632" s="11"/>
      <c r="E632" s="13"/>
      <c r="F632" s="13"/>
      <c r="G632" s="10"/>
      <c r="H632" s="12"/>
      <c r="I632" s="12"/>
      <c r="J632" s="46"/>
      <c r="K632" s="46"/>
    </row>
    <row r="633" spans="1:11">
      <c r="A633" s="71" t="s">
        <v>30</v>
      </c>
      <c r="B633" s="71"/>
      <c r="C633" s="71"/>
      <c r="D633" s="11" t="s">
        <v>4</v>
      </c>
      <c r="E633" s="40">
        <f>E628-E631</f>
        <v>423899</v>
      </c>
      <c r="F633" s="40"/>
      <c r="G633" s="10"/>
      <c r="H633" s="12"/>
      <c r="I633" s="12"/>
      <c r="J633" s="46"/>
      <c r="K633" s="46"/>
    </row>
    <row r="634" spans="1:11" ht="15.75">
      <c r="A634" s="13"/>
      <c r="B634" s="13"/>
      <c r="C634" s="10"/>
      <c r="D634" s="10"/>
      <c r="E634" s="16" t="str">
        <f>PROPER(IF(E633=0,"nol",IF(E633&lt;0,"minus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633),"000000000000000"),1,3)=0,"",MID(TEXT(ABS(E633),"000000000000000"),1,1)&amp;" ratus "&amp;MID(TEXT(ABS(E633),"000000000000000"),2,1)&amp;" puluh "&amp;MID(TEXT(ABS(E633),"000000000000000"),3,1)&amp;" trilyun ")&amp;IF(--MID(TEXT(ABS(E633),"000000000000000"),4,3)=0,"",MID(TEXT(ABS(E633),"000000000000000"),4,1)&amp;" ratus "&amp;MID(TEXT(ABS(E633),"000000000000000"),5,1)&amp;" puluh "&amp;MID(TEXT(ABS(E633),"000000000000000"),6,1)&amp;" milyar ")&amp;IF(--MID(TEXT(ABS(E633),"000000000000000"),7,3)=0,"",MID(TEXT(ABS(E633),"000000000000000"),7,1)&amp;" ratus "&amp;MID(TEXT(ABS(E633),"000000000000000"),8,1)&amp;" puluh "&amp;MID(TEXT(ABS(E633),"000000000000000"),9,1)&amp;" juta ")&amp;IF(--MID(TEXT(ABS(E633),"000000000000000"),10,3)=0,"",IF(--MID(TEXT(ABS(E633),"000000000000000"),10,3)=1,"*",MID(TEXT(ABS(E633),"000000000000000"),10,1)&amp;" ratus "&amp;MID(TEXT(ABS(E633),"000000000000000"),11,1)&amp;" puluh ")&amp;MID(TEXT(ABS(E633),"000000000000000"),12,1)&amp;" ribu ")&amp;IF(--MID(TEXT(ABS(E633),"000000000000000"),13,3)=0,"",MID(TEXT(ABS(E633),"000000000000000"),13,1)&amp;" ratus "&amp;MID(TEXT(ABS(E633),"000000000000000"),14,1)&amp;" puluh "&amp;MID(TEXT(ABS(E633),"000000000000000"),15,1)),1,"satu"),2,"dua"),3,"tiga"),4,"empat"),5,"lima"),6,"enam"),7,"tujuh"),8,"delapan"),9,"sembilan"),"0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Dua Puluh Tiga Ribu Delapan Ratus Sembilan Puluh Sembilan Rupiah</v>
      </c>
      <c r="F634" s="10"/>
      <c r="G634" s="10"/>
      <c r="H634" s="10"/>
      <c r="I634" s="10"/>
      <c r="J634" s="46"/>
      <c r="K634" s="46"/>
    </row>
    <row r="635" spans="1:11">
      <c r="A635" s="45"/>
      <c r="B635" s="45"/>
      <c r="C635" s="45"/>
      <c r="D635" s="45"/>
      <c r="E635" s="45"/>
      <c r="F635" s="45"/>
      <c r="G635" s="29"/>
      <c r="H635" s="46"/>
      <c r="I635" s="46"/>
      <c r="J635" s="46"/>
      <c r="K635" s="46"/>
    </row>
    <row r="636" spans="1:11">
      <c r="A636" s="29"/>
      <c r="B636" s="29"/>
      <c r="C636" s="29"/>
      <c r="D636" s="29"/>
      <c r="E636" s="29"/>
      <c r="F636" s="29"/>
      <c r="G636" s="29"/>
      <c r="H636"/>
      <c r="I636"/>
      <c r="J636" s="46"/>
      <c r="K636" s="46"/>
    </row>
    <row r="637" spans="1:11">
      <c r="A637" s="13"/>
      <c r="B637" s="13"/>
      <c r="C637" s="10"/>
      <c r="D637" s="10"/>
      <c r="E637" s="10"/>
      <c r="F637" s="10"/>
      <c r="G637" s="10"/>
      <c r="I637" s="47"/>
      <c r="J637" s="47" t="s">
        <v>92</v>
      </c>
      <c r="K637" s="46"/>
    </row>
    <row r="638" spans="1:11">
      <c r="A638" s="12" t="s">
        <v>31</v>
      </c>
      <c r="B638" s="10"/>
      <c r="C638" s="10"/>
      <c r="D638" s="10"/>
      <c r="E638" s="10"/>
      <c r="F638" s="10"/>
      <c r="G638" s="10"/>
      <c r="I638" s="12"/>
      <c r="J638" s="12" t="s">
        <v>32</v>
      </c>
      <c r="K638" s="46"/>
    </row>
    <row r="639" spans="1:11">
      <c r="A639" s="10"/>
      <c r="B639" s="10"/>
      <c r="C639" s="10"/>
      <c r="D639" s="10"/>
      <c r="E639" s="10"/>
      <c r="F639" s="10"/>
      <c r="G639" s="10"/>
      <c r="I639" s="12"/>
      <c r="J639" s="12"/>
      <c r="K639" s="46"/>
    </row>
    <row r="640" spans="1:11">
      <c r="A640" s="10"/>
      <c r="B640" s="10"/>
      <c r="C640" s="10"/>
      <c r="D640" s="10"/>
      <c r="E640" s="10"/>
      <c r="F640" s="10"/>
      <c r="G640" s="10"/>
      <c r="I640" s="12"/>
      <c r="J640" s="12"/>
      <c r="K640" s="46"/>
    </row>
    <row r="641" spans="1:11">
      <c r="A641" s="10"/>
      <c r="B641" s="10"/>
      <c r="C641" s="10"/>
      <c r="D641" s="10"/>
      <c r="E641" s="10"/>
      <c r="F641" s="10"/>
      <c r="G641" s="10"/>
      <c r="I641" s="12"/>
      <c r="J641" s="12"/>
      <c r="K641" s="46"/>
    </row>
    <row r="642" spans="1:11">
      <c r="A642" s="10"/>
      <c r="B642" s="10"/>
      <c r="C642" s="10"/>
      <c r="D642" s="10"/>
      <c r="E642" s="10"/>
      <c r="F642" s="10"/>
      <c r="G642" s="10"/>
      <c r="I642" s="12"/>
      <c r="J642" s="12"/>
      <c r="K642" s="46"/>
    </row>
    <row r="643" spans="1:11">
      <c r="A643" s="48" t="s">
        <v>37</v>
      </c>
      <c r="B643" s="48"/>
      <c r="C643" s="49"/>
      <c r="D643" s="49"/>
      <c r="E643" s="49"/>
      <c r="F643" s="49"/>
      <c r="G643" s="10" t="s">
        <v>33</v>
      </c>
      <c r="I643" s="48"/>
      <c r="J643" s="48" t="s">
        <v>34</v>
      </c>
      <c r="K643" s="46"/>
    </row>
    <row r="648" spans="1:11" ht="15.75">
      <c r="C648" s="2"/>
      <c r="D648" s="2"/>
      <c r="E648" s="2"/>
      <c r="F648" s="2"/>
    </row>
    <row r="649" spans="1:11" ht="15.75">
      <c r="A649" s="3"/>
      <c r="B649" s="3"/>
      <c r="C649" s="2"/>
      <c r="D649" s="2"/>
      <c r="E649" s="2"/>
      <c r="F649" s="2"/>
      <c r="G649" s="3"/>
      <c r="H649" s="4"/>
      <c r="I649" s="4"/>
      <c r="J649" s="4"/>
      <c r="K649" s="5"/>
    </row>
    <row r="650" spans="1:11">
      <c r="H650" s="5"/>
      <c r="I650" s="5"/>
      <c r="J650" s="5"/>
      <c r="K650" s="5"/>
    </row>
    <row r="651" spans="1:11">
      <c r="H651" s="5"/>
      <c r="I651" s="5"/>
      <c r="J651" s="5"/>
      <c r="K651" s="5"/>
    </row>
    <row r="652" spans="1:11">
      <c r="A652" s="72" t="s">
        <v>0</v>
      </c>
      <c r="B652" s="72"/>
      <c r="C652" s="73"/>
      <c r="D652" s="73"/>
      <c r="E652" s="73"/>
      <c r="F652" s="73"/>
      <c r="G652" s="73"/>
      <c r="H652" s="73"/>
      <c r="I652" s="73"/>
      <c r="J652" s="73"/>
      <c r="K652" s="73"/>
    </row>
    <row r="653" spans="1:11">
      <c r="A653" s="73" t="s">
        <v>94</v>
      </c>
      <c r="B653" s="73"/>
      <c r="C653" s="73"/>
      <c r="D653" s="73"/>
      <c r="E653" s="73"/>
      <c r="F653" s="73"/>
      <c r="G653" s="73"/>
      <c r="H653" s="73"/>
      <c r="I653" s="73"/>
      <c r="J653" s="73"/>
      <c r="K653" s="73"/>
    </row>
    <row r="654" spans="1:11">
      <c r="A654" s="73" t="s">
        <v>1</v>
      </c>
      <c r="B654" s="73"/>
      <c r="C654" s="73"/>
      <c r="D654" s="73"/>
      <c r="E654" s="73"/>
      <c r="F654" s="73"/>
      <c r="G654" s="73"/>
      <c r="H654" s="73"/>
      <c r="I654" s="73"/>
      <c r="J654" s="73"/>
      <c r="K654" s="73"/>
    </row>
    <row r="655" spans="1:11">
      <c r="A655" s="73" t="s">
        <v>38</v>
      </c>
      <c r="B655" s="73"/>
      <c r="C655" s="73"/>
      <c r="D655" s="73"/>
      <c r="E655" s="73"/>
      <c r="F655" s="73"/>
      <c r="G655" s="73"/>
      <c r="H655" s="73"/>
      <c r="I655" s="73"/>
      <c r="J655" s="73"/>
      <c r="K655" s="73"/>
    </row>
    <row r="656" spans="1:11">
      <c r="A656" s="73" t="s">
        <v>2</v>
      </c>
      <c r="B656" s="73"/>
      <c r="C656" s="73"/>
      <c r="D656" s="73"/>
      <c r="E656" s="73"/>
      <c r="F656" s="73"/>
      <c r="G656" s="73"/>
      <c r="H656" s="73"/>
      <c r="I656" s="73"/>
      <c r="J656" s="73"/>
      <c r="K656" s="73"/>
    </row>
    <row r="657" spans="1:11">
      <c r="A657" s="6"/>
      <c r="B657" s="6"/>
      <c r="C657" s="7"/>
      <c r="D657" s="7"/>
      <c r="E657" s="7"/>
      <c r="F657" s="7"/>
      <c r="G657" s="8"/>
      <c r="H657" s="9"/>
      <c r="I657" s="9"/>
      <c r="J657" s="9"/>
      <c r="K657" s="9"/>
    </row>
    <row r="658" spans="1:11">
      <c r="A658" s="52" t="s">
        <v>3</v>
      </c>
      <c r="B658" s="10"/>
      <c r="C658" s="10"/>
      <c r="D658" s="53" t="s">
        <v>4</v>
      </c>
      <c r="E658" s="10" t="s">
        <v>5</v>
      </c>
      <c r="F658" s="11"/>
      <c r="G658" s="10"/>
      <c r="H658" s="12"/>
      <c r="I658" s="12"/>
      <c r="J658" s="12"/>
      <c r="K658" s="9"/>
    </row>
    <row r="659" spans="1:11">
      <c r="A659" s="52" t="s">
        <v>6</v>
      </c>
      <c r="B659" s="10"/>
      <c r="C659" s="10"/>
      <c r="D659" s="53" t="s">
        <v>4</v>
      </c>
      <c r="E659" s="10" t="s">
        <v>7</v>
      </c>
      <c r="F659" s="11"/>
      <c r="G659" s="10"/>
      <c r="H659" s="12"/>
      <c r="I659" s="12"/>
      <c r="J659" s="12"/>
      <c r="K659" s="9"/>
    </row>
    <row r="660" spans="1:11">
      <c r="A660" s="52" t="s">
        <v>8</v>
      </c>
      <c r="B660" s="10"/>
      <c r="C660" s="10"/>
      <c r="D660" s="53" t="s">
        <v>4</v>
      </c>
      <c r="E660" s="13">
        <v>2026</v>
      </c>
      <c r="F660" s="11"/>
      <c r="G660" s="13"/>
      <c r="H660" s="12"/>
      <c r="I660" s="12"/>
      <c r="J660" s="12"/>
      <c r="K660" s="9"/>
    </row>
    <row r="661" spans="1:11">
      <c r="A661" s="52" t="s">
        <v>9</v>
      </c>
      <c r="B661" s="10"/>
      <c r="C661" s="10"/>
      <c r="D661" s="53" t="s">
        <v>4</v>
      </c>
      <c r="E661" s="14">
        <f>J672</f>
        <v>192500</v>
      </c>
      <c r="F661" s="11"/>
      <c r="G661" s="14"/>
      <c r="H661" s="12"/>
      <c r="I661" s="12"/>
      <c r="J661" s="12"/>
      <c r="K661" s="9"/>
    </row>
    <row r="662" spans="1:11" ht="15.75">
      <c r="A662" s="10"/>
      <c r="B662" s="10"/>
      <c r="C662" s="15" t="s">
        <v>10</v>
      </c>
      <c r="D662" s="53" t="s">
        <v>4</v>
      </c>
      <c r="E662" s="16" t="str">
        <f>PROPER(IF(E661=0,"nol",IF(E661&lt;0,"minus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661),"000000000000000"),1,3)=0,"",MID(TEXT(ABS(E661),"000000000000000"),1,1)&amp;" ratus "&amp;MID(TEXT(ABS(E661),"000000000000000"),2,1)&amp;" puluh "&amp;MID(TEXT(ABS(E661),"000000000000000"),3,1)&amp;" trilyun ")&amp;IF(--MID(TEXT(ABS(E661),"000000000000000"),4,3)=0,"",MID(TEXT(ABS(E661),"000000000000000"),4,1)&amp;" ratus "&amp;MID(TEXT(ABS(E661),"000000000000000"),5,1)&amp;" puluh "&amp;MID(TEXT(ABS(E661),"000000000000000"),6,1)&amp;" milyar ")&amp;IF(--MID(TEXT(ABS(E661),"000000000000000"),7,3)=0,"",MID(TEXT(ABS(E661),"000000000000000"),7,1)&amp;" ratus "&amp;MID(TEXT(ABS(E661),"000000000000000"),8,1)&amp;" puluh "&amp;MID(TEXT(ABS(E661),"000000000000000"),9,1)&amp;" juta ")&amp;IF(--MID(TEXT(ABS(E661),"000000000000000"),10,3)=0,"",IF(--MID(TEXT(ABS(E661),"000000000000000"),10,3)=1,"*",MID(TEXT(ABS(E661),"000000000000000"),10,1)&amp;" ratus "&amp;MID(TEXT(ABS(E661),"000000000000000"),11,1)&amp;" puluh ")&amp;MID(TEXT(ABS(E661),"000000000000000"),12,1)&amp;" ribu ")&amp;IF(--MID(TEXT(ABS(E661),"000000000000000"),13,3)=0,"",MID(TEXT(ABS(E661),"000000000000000"),13,1)&amp;" ratus "&amp;MID(TEXT(ABS(E661),"000000000000000"),14,1)&amp;" puluh "&amp;MID(TEXT(ABS(E661),"000000000000000"),15,1)),1,"satu"),2,"dua"),3,"tiga"),4,"empat"),5,"lima"),6,"enam"),7,"tujuh"),8,"delapan"),9,"sembilan"),"0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Sembilan Puluh Dua Ribu Lima Ratus Rupiah</v>
      </c>
      <c r="F662" s="11"/>
      <c r="G662" s="16"/>
      <c r="H662" s="12"/>
      <c r="I662" s="12"/>
      <c r="J662" s="12"/>
      <c r="K662" s="9"/>
    </row>
    <row r="663" spans="1:11" ht="15.75">
      <c r="A663" s="10"/>
      <c r="B663" s="10"/>
      <c r="C663" s="15"/>
      <c r="D663" s="15"/>
      <c r="E663" s="15"/>
      <c r="F663" s="11"/>
      <c r="G663" s="16"/>
      <c r="H663" s="12"/>
      <c r="I663" s="12"/>
      <c r="J663" s="12"/>
      <c r="K663" s="9"/>
    </row>
    <row r="664" spans="1:11">
      <c r="A664" s="10" t="s">
        <v>11</v>
      </c>
      <c r="B664" s="10"/>
      <c r="C664" s="10"/>
      <c r="D664" s="10"/>
      <c r="E664" s="10"/>
      <c r="F664" s="10"/>
      <c r="G664" s="10"/>
      <c r="H664" s="12"/>
      <c r="I664" s="12"/>
      <c r="J664" s="12"/>
      <c r="K664" s="9"/>
    </row>
    <row r="665" spans="1:11">
      <c r="A665" s="74" t="s">
        <v>12</v>
      </c>
      <c r="B665" s="74"/>
      <c r="C665" s="74"/>
      <c r="D665" s="74"/>
      <c r="E665" s="74"/>
      <c r="F665" s="74"/>
      <c r="G665" s="74"/>
      <c r="H665" s="74"/>
      <c r="I665" s="74"/>
      <c r="J665" s="74"/>
      <c r="K665" s="74"/>
    </row>
    <row r="666" spans="1:11" ht="60">
      <c r="A666" s="17" t="s">
        <v>13</v>
      </c>
      <c r="B666" s="18" t="s">
        <v>14</v>
      </c>
      <c r="C666" s="59" t="s">
        <v>15</v>
      </c>
      <c r="D666" s="60"/>
      <c r="E666" s="61"/>
      <c r="F666" s="19"/>
      <c r="G666" s="20" t="s">
        <v>16</v>
      </c>
      <c r="H666" s="21" t="s">
        <v>35</v>
      </c>
      <c r="I666" s="21"/>
      <c r="J666" s="31" t="s">
        <v>17</v>
      </c>
      <c r="K666" s="32" t="s">
        <v>18</v>
      </c>
    </row>
    <row r="667" spans="1:11">
      <c r="A667" s="27">
        <v>1</v>
      </c>
      <c r="B667" s="24"/>
      <c r="C667" s="28" t="s">
        <v>23</v>
      </c>
      <c r="D667" s="57"/>
      <c r="E667" s="26"/>
      <c r="F667" s="25"/>
      <c r="G667" s="54" t="s">
        <v>19</v>
      </c>
      <c r="H667" s="54" t="s">
        <v>19</v>
      </c>
      <c r="I667" s="54"/>
      <c r="J667" s="54" t="s">
        <v>19</v>
      </c>
      <c r="K667" s="54" t="s">
        <v>19</v>
      </c>
    </row>
    <row r="668" spans="1:11">
      <c r="A668" s="24"/>
      <c r="B668" s="55" t="s">
        <v>20</v>
      </c>
      <c r="C668" s="25" t="s">
        <v>24</v>
      </c>
      <c r="D668" s="10"/>
      <c r="E668" s="26"/>
      <c r="F668" s="25"/>
      <c r="G668" s="23">
        <v>45000000</v>
      </c>
      <c r="H668" s="56">
        <f>H622+J622</f>
        <v>3376599</v>
      </c>
      <c r="I668" s="56"/>
      <c r="J668" s="56">
        <v>0</v>
      </c>
      <c r="K668" s="58">
        <f t="shared" ref="K668:K671" si="27">G668-H668-J668</f>
        <v>41623401</v>
      </c>
    </row>
    <row r="669" spans="1:11" ht="29.25" customHeight="1">
      <c r="A669" s="24"/>
      <c r="B669" s="55" t="s">
        <v>21</v>
      </c>
      <c r="C669" s="62" t="s">
        <v>39</v>
      </c>
      <c r="D669" s="63"/>
      <c r="E669" s="64"/>
      <c r="F669" s="25"/>
      <c r="G669" s="23">
        <v>35000000</v>
      </c>
      <c r="H669" s="56">
        <f t="shared" ref="H669:H670" si="28">H623+J623</f>
        <v>5583490</v>
      </c>
      <c r="I669" s="56"/>
      <c r="J669" s="56">
        <v>192500</v>
      </c>
      <c r="K669" s="58">
        <f t="shared" si="27"/>
        <v>29224010</v>
      </c>
    </row>
    <row r="670" spans="1:11">
      <c r="A670" s="24"/>
      <c r="B670" s="55" t="s">
        <v>22</v>
      </c>
      <c r="C670" s="65" t="s">
        <v>40</v>
      </c>
      <c r="D670" s="66"/>
      <c r="E670" s="67"/>
      <c r="F670" s="25"/>
      <c r="G670" s="23">
        <v>30000000</v>
      </c>
      <c r="H670" s="56">
        <f t="shared" si="28"/>
        <v>831500</v>
      </c>
      <c r="I670" s="22"/>
      <c r="J670" s="22">
        <v>0</v>
      </c>
      <c r="K670" s="33">
        <f t="shared" si="27"/>
        <v>29168500</v>
      </c>
    </row>
    <row r="671" spans="1:11">
      <c r="A671" s="24"/>
      <c r="B671" s="55" t="s">
        <v>36</v>
      </c>
      <c r="C671" s="68" t="s">
        <v>41</v>
      </c>
      <c r="D671" s="69"/>
      <c r="E671" s="70"/>
      <c r="F671" s="25"/>
      <c r="G671" s="23">
        <v>28125000</v>
      </c>
      <c r="H671" s="56">
        <f>H625+J625</f>
        <v>1440650</v>
      </c>
      <c r="I671" s="22"/>
      <c r="J671" s="22">
        <v>0</v>
      </c>
      <c r="K671" s="33">
        <f t="shared" si="27"/>
        <v>26684350</v>
      </c>
    </row>
    <row r="672" spans="1:11">
      <c r="A672" s="34"/>
      <c r="B672" s="34"/>
      <c r="C672" s="34" t="s">
        <v>25</v>
      </c>
      <c r="D672" s="34"/>
      <c r="E672" s="34"/>
      <c r="F672" s="35"/>
      <c r="G672" s="36">
        <f>SUM(G667:G671)</f>
        <v>138125000</v>
      </c>
      <c r="H672" s="37">
        <f>SUM(H667:H671)</f>
        <v>11232239</v>
      </c>
      <c r="I672" s="37"/>
      <c r="J672" s="37">
        <f>SUM(J667:J671)</f>
        <v>192500</v>
      </c>
      <c r="K672" s="37">
        <f>SUM(K667:K671)</f>
        <v>126700261</v>
      </c>
    </row>
    <row r="673" spans="1:11">
      <c r="A673" s="38"/>
      <c r="B673" s="8"/>
      <c r="C673" s="8"/>
      <c r="D673" s="8"/>
      <c r="E673" s="8"/>
      <c r="F673" s="8"/>
      <c r="G673" s="39"/>
      <c r="H673" s="39"/>
      <c r="I673" s="39"/>
      <c r="J673" s="39"/>
      <c r="K673" s="39"/>
    </row>
    <row r="674" spans="1:11">
      <c r="A674" s="71" t="s">
        <v>26</v>
      </c>
      <c r="B674" s="71"/>
      <c r="C674" s="71"/>
      <c r="D674" s="11" t="s">
        <v>4</v>
      </c>
      <c r="E674" s="14">
        <f>J672</f>
        <v>192500</v>
      </c>
      <c r="F674" s="40"/>
      <c r="G674" s="41"/>
      <c r="H674" s="41"/>
      <c r="I674" s="41"/>
      <c r="J674" s="9"/>
      <c r="K674" s="9"/>
    </row>
    <row r="675" spans="1:11">
      <c r="A675" s="10" t="s">
        <v>27</v>
      </c>
      <c r="B675" s="10"/>
      <c r="C675" s="10"/>
      <c r="D675" s="11" t="s">
        <v>4</v>
      </c>
      <c r="E675" s="42"/>
      <c r="F675" s="42"/>
      <c r="G675" s="43"/>
      <c r="H675" s="12"/>
      <c r="I675" s="12"/>
      <c r="J675" s="9"/>
      <c r="K675" s="9"/>
    </row>
    <row r="676" spans="1:11">
      <c r="A676" s="10" t="s">
        <v>28</v>
      </c>
      <c r="B676" s="10"/>
      <c r="C676" s="10"/>
      <c r="D676" s="11" t="s">
        <v>4</v>
      </c>
      <c r="E676" s="44"/>
      <c r="F676" s="44"/>
      <c r="G676" s="43"/>
      <c r="H676" s="12"/>
      <c r="I676" s="12"/>
      <c r="J676" s="9"/>
      <c r="K676" s="9"/>
    </row>
    <row r="677" spans="1:11">
      <c r="A677" s="10" t="s">
        <v>29</v>
      </c>
      <c r="B677" s="10"/>
      <c r="C677" s="10"/>
      <c r="D677" s="11" t="s">
        <v>4</v>
      </c>
      <c r="E677" s="44">
        <f>E675+E676</f>
        <v>0</v>
      </c>
      <c r="F677" s="44"/>
      <c r="G677" s="10"/>
      <c r="H677" s="12"/>
      <c r="I677" s="12"/>
      <c r="J677" s="46"/>
      <c r="K677" s="46"/>
    </row>
    <row r="678" spans="1:11">
      <c r="A678" s="13"/>
      <c r="B678" s="13"/>
      <c r="C678" s="13"/>
      <c r="D678" s="11"/>
      <c r="E678" s="13"/>
      <c r="F678" s="13"/>
      <c r="G678" s="10"/>
      <c r="H678" s="12"/>
      <c r="I678" s="12"/>
      <c r="J678" s="46"/>
      <c r="K678" s="46"/>
    </row>
    <row r="679" spans="1:11">
      <c r="A679" s="71" t="s">
        <v>30</v>
      </c>
      <c r="B679" s="71"/>
      <c r="C679" s="71"/>
      <c r="D679" s="11" t="s">
        <v>4</v>
      </c>
      <c r="E679" s="40">
        <f>E674-E677</f>
        <v>192500</v>
      </c>
      <c r="F679" s="40"/>
      <c r="G679" s="10"/>
      <c r="H679" s="12"/>
      <c r="I679" s="12"/>
      <c r="J679" s="46"/>
      <c r="K679" s="46"/>
    </row>
    <row r="680" spans="1:11" ht="15.75">
      <c r="A680" s="13"/>
      <c r="B680" s="13"/>
      <c r="C680" s="10"/>
      <c r="D680" s="10"/>
      <c r="E680" s="16" t="str">
        <f>PROPER(IF(E679=0,"nol",IF(E679&lt;0,"minus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679),"000000000000000"),1,3)=0,"",MID(TEXT(ABS(E679),"000000000000000"),1,1)&amp;" ratus "&amp;MID(TEXT(ABS(E679),"000000000000000"),2,1)&amp;" puluh "&amp;MID(TEXT(ABS(E679),"000000000000000"),3,1)&amp;" trilyun ")&amp;IF(--MID(TEXT(ABS(E679),"000000000000000"),4,3)=0,"",MID(TEXT(ABS(E679),"000000000000000"),4,1)&amp;" ratus "&amp;MID(TEXT(ABS(E679),"000000000000000"),5,1)&amp;" puluh "&amp;MID(TEXT(ABS(E679),"000000000000000"),6,1)&amp;" milyar ")&amp;IF(--MID(TEXT(ABS(E679),"000000000000000"),7,3)=0,"",MID(TEXT(ABS(E679),"000000000000000"),7,1)&amp;" ratus "&amp;MID(TEXT(ABS(E679),"000000000000000"),8,1)&amp;" puluh "&amp;MID(TEXT(ABS(E679),"000000000000000"),9,1)&amp;" juta ")&amp;IF(--MID(TEXT(ABS(E679),"000000000000000"),10,3)=0,"",IF(--MID(TEXT(ABS(E679),"000000000000000"),10,3)=1,"*",MID(TEXT(ABS(E679),"000000000000000"),10,1)&amp;" ratus "&amp;MID(TEXT(ABS(E679),"000000000000000"),11,1)&amp;" puluh ")&amp;MID(TEXT(ABS(E679),"000000000000000"),12,1)&amp;" ribu ")&amp;IF(--MID(TEXT(ABS(E679),"000000000000000"),13,3)=0,"",MID(TEXT(ABS(E679),"000000000000000"),13,1)&amp;" ratus "&amp;MID(TEXT(ABS(E679),"000000000000000"),14,1)&amp;" puluh "&amp;MID(TEXT(ABS(E679),"000000000000000"),15,1)),1,"satu"),2,"dua"),3,"tiga"),4,"empat"),5,"lima"),6,"enam"),7,"tujuh"),8,"delapan"),9,"sembilan"),"0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Sembilan Puluh Dua Ribu Lima Ratus Rupiah</v>
      </c>
      <c r="F680" s="10"/>
      <c r="G680" s="10"/>
      <c r="H680" s="10"/>
      <c r="I680" s="10"/>
      <c r="J680" s="46"/>
      <c r="K680" s="46"/>
    </row>
    <row r="681" spans="1:11">
      <c r="A681" s="45"/>
      <c r="B681" s="45"/>
      <c r="C681" s="45"/>
      <c r="D681" s="45"/>
      <c r="E681" s="45"/>
      <c r="F681" s="45"/>
      <c r="G681" s="29"/>
      <c r="H681" s="46"/>
      <c r="I681" s="46"/>
      <c r="J681" s="46"/>
      <c r="K681" s="46"/>
    </row>
    <row r="682" spans="1:11">
      <c r="A682" s="29"/>
      <c r="B682" s="29"/>
      <c r="C682" s="29"/>
      <c r="D682" s="29"/>
      <c r="E682" s="29"/>
      <c r="F682" s="29"/>
      <c r="G682" s="29"/>
      <c r="H682"/>
      <c r="I682"/>
      <c r="J682" s="46"/>
      <c r="K682" s="46"/>
    </row>
    <row r="683" spans="1:11">
      <c r="A683" s="13"/>
      <c r="B683" s="13"/>
      <c r="C683" s="10"/>
      <c r="D683" s="10"/>
      <c r="E683" s="10"/>
      <c r="F683" s="10"/>
      <c r="G683" s="10"/>
      <c r="I683" s="47"/>
      <c r="J683" s="47" t="s">
        <v>92</v>
      </c>
      <c r="K683" s="46"/>
    </row>
    <row r="684" spans="1:11">
      <c r="A684" s="12" t="s">
        <v>31</v>
      </c>
      <c r="B684" s="10"/>
      <c r="C684" s="10"/>
      <c r="D684" s="10"/>
      <c r="E684" s="10"/>
      <c r="F684" s="10"/>
      <c r="G684" s="10"/>
      <c r="I684" s="12"/>
      <c r="J684" s="12" t="s">
        <v>32</v>
      </c>
      <c r="K684" s="46"/>
    </row>
    <row r="685" spans="1:11">
      <c r="A685" s="10"/>
      <c r="B685" s="10"/>
      <c r="C685" s="10"/>
      <c r="D685" s="10"/>
      <c r="E685" s="10"/>
      <c r="F685" s="10"/>
      <c r="G685" s="10"/>
      <c r="I685" s="12"/>
      <c r="J685" s="12"/>
      <c r="K685" s="46"/>
    </row>
    <row r="686" spans="1:11">
      <c r="A686" s="10"/>
      <c r="B686" s="10"/>
      <c r="C686" s="10"/>
      <c r="D686" s="10"/>
      <c r="E686" s="10"/>
      <c r="F686" s="10"/>
      <c r="G686" s="10"/>
      <c r="I686" s="12"/>
      <c r="J686" s="12"/>
      <c r="K686" s="46"/>
    </row>
    <row r="687" spans="1:11">
      <c r="A687" s="10"/>
      <c r="B687" s="10"/>
      <c r="C687" s="10"/>
      <c r="D687" s="10"/>
      <c r="E687" s="10"/>
      <c r="F687" s="10"/>
      <c r="G687" s="10"/>
      <c r="I687" s="12"/>
      <c r="J687" s="12"/>
      <c r="K687" s="46"/>
    </row>
    <row r="688" spans="1:11">
      <c r="A688" s="10"/>
      <c r="B688" s="10"/>
      <c r="C688" s="10"/>
      <c r="D688" s="10"/>
      <c r="E688" s="10"/>
      <c r="F688" s="10"/>
      <c r="G688" s="10"/>
      <c r="I688" s="12"/>
      <c r="J688" s="12"/>
      <c r="K688" s="46"/>
    </row>
    <row r="689" spans="1:11">
      <c r="A689" s="48" t="s">
        <v>37</v>
      </c>
      <c r="B689" s="48"/>
      <c r="C689" s="49"/>
      <c r="D689" s="49"/>
      <c r="E689" s="49"/>
      <c r="F689" s="49"/>
      <c r="G689" s="10" t="s">
        <v>33</v>
      </c>
      <c r="I689" s="48"/>
      <c r="J689" s="48" t="s">
        <v>34</v>
      </c>
      <c r="K689" s="46"/>
    </row>
    <row r="694" spans="1:11" ht="15.75">
      <c r="C694" s="2"/>
      <c r="D694" s="2"/>
      <c r="E694" s="2"/>
      <c r="F694" s="2"/>
    </row>
    <row r="695" spans="1:11" ht="15.75">
      <c r="A695" s="3"/>
      <c r="B695" s="3"/>
      <c r="C695" s="2"/>
      <c r="D695" s="2"/>
      <c r="E695" s="2"/>
      <c r="F695" s="2"/>
      <c r="G695" s="3"/>
      <c r="H695" s="4"/>
      <c r="I695" s="4"/>
      <c r="J695" s="4"/>
      <c r="K695" s="5"/>
    </row>
    <row r="696" spans="1:11">
      <c r="H696" s="5"/>
      <c r="I696" s="5"/>
      <c r="J696" s="5"/>
      <c r="K696" s="5"/>
    </row>
    <row r="697" spans="1:11">
      <c r="H697" s="5"/>
      <c r="I697" s="5"/>
      <c r="J697" s="5"/>
      <c r="K697" s="5"/>
    </row>
    <row r="698" spans="1:11">
      <c r="A698" s="72" t="s">
        <v>0</v>
      </c>
      <c r="B698" s="72"/>
      <c r="C698" s="73"/>
      <c r="D698" s="73"/>
      <c r="E698" s="73"/>
      <c r="F698" s="73"/>
      <c r="G698" s="73"/>
      <c r="H698" s="73"/>
      <c r="I698" s="73"/>
      <c r="J698" s="73"/>
      <c r="K698" s="73"/>
    </row>
    <row r="699" spans="1:11">
      <c r="A699" s="73" t="s">
        <v>95</v>
      </c>
      <c r="B699" s="73"/>
      <c r="C699" s="73"/>
      <c r="D699" s="73"/>
      <c r="E699" s="73"/>
      <c r="F699" s="73"/>
      <c r="G699" s="73"/>
      <c r="H699" s="73"/>
      <c r="I699" s="73"/>
      <c r="J699" s="73"/>
      <c r="K699" s="73"/>
    </row>
    <row r="700" spans="1:11">
      <c r="A700" s="73" t="s">
        <v>1</v>
      </c>
      <c r="B700" s="73"/>
      <c r="C700" s="73"/>
      <c r="D700" s="73"/>
      <c r="E700" s="73"/>
      <c r="F700" s="73"/>
      <c r="G700" s="73"/>
      <c r="H700" s="73"/>
      <c r="I700" s="73"/>
      <c r="J700" s="73"/>
      <c r="K700" s="73"/>
    </row>
    <row r="701" spans="1:11">
      <c r="A701" s="73" t="s">
        <v>38</v>
      </c>
      <c r="B701" s="73"/>
      <c r="C701" s="73"/>
      <c r="D701" s="73"/>
      <c r="E701" s="73"/>
      <c r="F701" s="73"/>
      <c r="G701" s="73"/>
      <c r="H701" s="73"/>
      <c r="I701" s="73"/>
      <c r="J701" s="73"/>
      <c r="K701" s="73"/>
    </row>
    <row r="702" spans="1:11">
      <c r="A702" s="73" t="s">
        <v>2</v>
      </c>
      <c r="B702" s="73"/>
      <c r="C702" s="73"/>
      <c r="D702" s="73"/>
      <c r="E702" s="73"/>
      <c r="F702" s="73"/>
      <c r="G702" s="73"/>
      <c r="H702" s="73"/>
      <c r="I702" s="73"/>
      <c r="J702" s="73"/>
      <c r="K702" s="73"/>
    </row>
    <row r="703" spans="1:11">
      <c r="A703" s="6"/>
      <c r="B703" s="6"/>
      <c r="C703" s="7"/>
      <c r="D703" s="7"/>
      <c r="E703" s="7"/>
      <c r="F703" s="7"/>
      <c r="G703" s="8"/>
      <c r="H703" s="9"/>
      <c r="I703" s="9"/>
      <c r="J703" s="9"/>
      <c r="K703" s="9"/>
    </row>
    <row r="704" spans="1:11">
      <c r="A704" s="52" t="s">
        <v>3</v>
      </c>
      <c r="B704" s="10"/>
      <c r="C704" s="10"/>
      <c r="D704" s="53" t="s">
        <v>4</v>
      </c>
      <c r="E704" s="10" t="s">
        <v>5</v>
      </c>
      <c r="F704" s="11"/>
      <c r="G704" s="10"/>
      <c r="H704" s="12"/>
      <c r="I704" s="12"/>
      <c r="J704" s="12"/>
      <c r="K704" s="9"/>
    </row>
    <row r="705" spans="1:11">
      <c r="A705" s="52" t="s">
        <v>6</v>
      </c>
      <c r="B705" s="10"/>
      <c r="C705" s="10"/>
      <c r="D705" s="53" t="s">
        <v>4</v>
      </c>
      <c r="E705" s="10" t="s">
        <v>7</v>
      </c>
      <c r="F705" s="11"/>
      <c r="G705" s="10"/>
      <c r="H705" s="12"/>
      <c r="I705" s="12"/>
      <c r="J705" s="12"/>
      <c r="K705" s="9"/>
    </row>
    <row r="706" spans="1:11">
      <c r="A706" s="52" t="s">
        <v>8</v>
      </c>
      <c r="B706" s="10"/>
      <c r="C706" s="10"/>
      <c r="D706" s="53" t="s">
        <v>4</v>
      </c>
      <c r="E706" s="13">
        <v>2026</v>
      </c>
      <c r="F706" s="11"/>
      <c r="G706" s="13"/>
      <c r="H706" s="12"/>
      <c r="I706" s="12"/>
      <c r="J706" s="12"/>
      <c r="K706" s="9"/>
    </row>
    <row r="707" spans="1:11">
      <c r="A707" s="52" t="s">
        <v>9</v>
      </c>
      <c r="B707" s="10"/>
      <c r="C707" s="10"/>
      <c r="D707" s="53" t="s">
        <v>4</v>
      </c>
      <c r="E707" s="14">
        <f>J718</f>
        <v>49000</v>
      </c>
      <c r="F707" s="11"/>
      <c r="G707" s="14"/>
      <c r="H707" s="12"/>
      <c r="I707" s="12"/>
      <c r="J707" s="12"/>
      <c r="K707" s="9"/>
    </row>
    <row r="708" spans="1:11" ht="15.75">
      <c r="A708" s="10"/>
      <c r="B708" s="10"/>
      <c r="C708" s="15" t="s">
        <v>10</v>
      </c>
      <c r="D708" s="53" t="s">
        <v>4</v>
      </c>
      <c r="E708" s="16" t="str">
        <f>PROPER(IF(E707=0,"nol",IF(E707&lt;0,"minus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707),"000000000000000"),1,3)=0,"",MID(TEXT(ABS(E707),"000000000000000"),1,1)&amp;" ratus "&amp;MID(TEXT(ABS(E707),"000000000000000"),2,1)&amp;" puluh "&amp;MID(TEXT(ABS(E707),"000000000000000"),3,1)&amp;" trilyun ")&amp;IF(--MID(TEXT(ABS(E707),"000000000000000"),4,3)=0,"",MID(TEXT(ABS(E707),"000000000000000"),4,1)&amp;" ratus "&amp;MID(TEXT(ABS(E707),"000000000000000"),5,1)&amp;" puluh "&amp;MID(TEXT(ABS(E707),"000000000000000"),6,1)&amp;" milyar ")&amp;IF(--MID(TEXT(ABS(E707),"000000000000000"),7,3)=0,"",MID(TEXT(ABS(E707),"000000000000000"),7,1)&amp;" ratus "&amp;MID(TEXT(ABS(E707),"000000000000000"),8,1)&amp;" puluh "&amp;MID(TEXT(ABS(E707),"000000000000000"),9,1)&amp;" juta ")&amp;IF(--MID(TEXT(ABS(E707),"000000000000000"),10,3)=0,"",IF(--MID(TEXT(ABS(E707),"000000000000000"),10,3)=1,"*",MID(TEXT(ABS(E707),"000000000000000"),10,1)&amp;" ratus "&amp;MID(TEXT(ABS(E707),"000000000000000"),11,1)&amp;" puluh ")&amp;MID(TEXT(ABS(E707),"000000000000000"),12,1)&amp;" ribu ")&amp;IF(--MID(TEXT(ABS(E707),"000000000000000"),13,3)=0,"",MID(TEXT(ABS(E707),"000000000000000"),13,1)&amp;" ratus "&amp;MID(TEXT(ABS(E707),"000000000000000"),14,1)&amp;" puluh "&amp;MID(TEXT(ABS(E707),"000000000000000"),15,1)),1,"satu"),2,"dua"),3,"tiga"),4,"empat"),5,"lima"),6,"enam"),7,"tujuh"),8,"delapan"),9,"sembilan"),"0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Sembilan Ribu Rupiah</v>
      </c>
      <c r="F708" s="11"/>
      <c r="G708" s="16"/>
      <c r="H708" s="12"/>
      <c r="I708" s="12"/>
      <c r="J708" s="12"/>
      <c r="K708" s="9"/>
    </row>
    <row r="709" spans="1:11" ht="15.75">
      <c r="A709" s="10"/>
      <c r="B709" s="10"/>
      <c r="C709" s="15"/>
      <c r="D709" s="15"/>
      <c r="E709" s="15"/>
      <c r="F709" s="11"/>
      <c r="G709" s="16"/>
      <c r="H709" s="12"/>
      <c r="I709" s="12"/>
      <c r="J709" s="12"/>
      <c r="K709" s="9"/>
    </row>
    <row r="710" spans="1:11">
      <c r="A710" s="10" t="s">
        <v>11</v>
      </c>
      <c r="B710" s="10"/>
      <c r="C710" s="10"/>
      <c r="D710" s="10"/>
      <c r="E710" s="10"/>
      <c r="F710" s="10"/>
      <c r="G710" s="10"/>
      <c r="H710" s="12"/>
      <c r="I710" s="12"/>
      <c r="J710" s="12"/>
      <c r="K710" s="9"/>
    </row>
    <row r="711" spans="1:11">
      <c r="A711" s="74" t="s">
        <v>12</v>
      </c>
      <c r="B711" s="74"/>
      <c r="C711" s="74"/>
      <c r="D711" s="74"/>
      <c r="E711" s="74"/>
      <c r="F711" s="74"/>
      <c r="G711" s="74"/>
      <c r="H711" s="74"/>
      <c r="I711" s="74"/>
      <c r="J711" s="74"/>
      <c r="K711" s="74"/>
    </row>
    <row r="712" spans="1:11" ht="60">
      <c r="A712" s="17" t="s">
        <v>13</v>
      </c>
      <c r="B712" s="18" t="s">
        <v>14</v>
      </c>
      <c r="C712" s="59" t="s">
        <v>15</v>
      </c>
      <c r="D712" s="60"/>
      <c r="E712" s="61"/>
      <c r="F712" s="19"/>
      <c r="G712" s="20" t="s">
        <v>16</v>
      </c>
      <c r="H712" s="21" t="s">
        <v>35</v>
      </c>
      <c r="I712" s="21"/>
      <c r="J712" s="31" t="s">
        <v>17</v>
      </c>
      <c r="K712" s="32" t="s">
        <v>18</v>
      </c>
    </row>
    <row r="713" spans="1:11">
      <c r="A713" s="27">
        <v>1</v>
      </c>
      <c r="B713" s="24"/>
      <c r="C713" s="28" t="s">
        <v>23</v>
      </c>
      <c r="D713" s="57"/>
      <c r="E713" s="26"/>
      <c r="F713" s="25"/>
      <c r="G713" s="54" t="s">
        <v>19</v>
      </c>
      <c r="H713" s="54" t="s">
        <v>19</v>
      </c>
      <c r="I713" s="54"/>
      <c r="J713" s="54" t="s">
        <v>19</v>
      </c>
      <c r="K713" s="54" t="s">
        <v>19</v>
      </c>
    </row>
    <row r="714" spans="1:11">
      <c r="A714" s="24"/>
      <c r="B714" s="55" t="s">
        <v>20</v>
      </c>
      <c r="C714" s="25" t="s">
        <v>24</v>
      </c>
      <c r="D714" s="10"/>
      <c r="E714" s="26"/>
      <c r="F714" s="25"/>
      <c r="G714" s="23">
        <v>45000000</v>
      </c>
      <c r="H714" s="56">
        <f>H668+J668</f>
        <v>3376599</v>
      </c>
      <c r="I714" s="56"/>
      <c r="J714" s="56">
        <v>49000</v>
      </c>
      <c r="K714" s="58">
        <f t="shared" ref="K714:K717" si="29">G714-H714-J714</f>
        <v>41574401</v>
      </c>
    </row>
    <row r="715" spans="1:11">
      <c r="A715" s="24"/>
      <c r="B715" s="55" t="s">
        <v>21</v>
      </c>
      <c r="C715" s="62" t="s">
        <v>39</v>
      </c>
      <c r="D715" s="63"/>
      <c r="E715" s="64"/>
      <c r="F715" s="25"/>
      <c r="G715" s="23">
        <v>35000000</v>
      </c>
      <c r="H715" s="56">
        <f t="shared" ref="H715:H716" si="30">H669+J669</f>
        <v>5775990</v>
      </c>
      <c r="I715" s="56"/>
      <c r="J715" s="56">
        <v>0</v>
      </c>
      <c r="K715" s="58">
        <f t="shared" si="29"/>
        <v>29224010</v>
      </c>
    </row>
    <row r="716" spans="1:11">
      <c r="A716" s="24"/>
      <c r="B716" s="55" t="s">
        <v>22</v>
      </c>
      <c r="C716" s="65" t="s">
        <v>40</v>
      </c>
      <c r="D716" s="66"/>
      <c r="E716" s="67"/>
      <c r="F716" s="25"/>
      <c r="G716" s="23">
        <v>30000000</v>
      </c>
      <c r="H716" s="56">
        <f t="shared" si="30"/>
        <v>831500</v>
      </c>
      <c r="I716" s="22"/>
      <c r="J716" s="22">
        <v>0</v>
      </c>
      <c r="K716" s="33">
        <f t="shared" si="29"/>
        <v>29168500</v>
      </c>
    </row>
    <row r="717" spans="1:11">
      <c r="A717" s="24"/>
      <c r="B717" s="55" t="s">
        <v>36</v>
      </c>
      <c r="C717" s="68" t="s">
        <v>41</v>
      </c>
      <c r="D717" s="69"/>
      <c r="E717" s="70"/>
      <c r="F717" s="25"/>
      <c r="G717" s="23">
        <v>28125000</v>
      </c>
      <c r="H717" s="56">
        <f>H671+J671</f>
        <v>1440650</v>
      </c>
      <c r="I717" s="22"/>
      <c r="J717" s="22">
        <v>0</v>
      </c>
      <c r="K717" s="33">
        <f t="shared" si="29"/>
        <v>26684350</v>
      </c>
    </row>
    <row r="718" spans="1:11">
      <c r="A718" s="34"/>
      <c r="B718" s="34"/>
      <c r="C718" s="34" t="s">
        <v>25</v>
      </c>
      <c r="D718" s="34"/>
      <c r="E718" s="34"/>
      <c r="F718" s="35"/>
      <c r="G718" s="36">
        <f>SUM(G713:G717)</f>
        <v>138125000</v>
      </c>
      <c r="H718" s="37">
        <f>SUM(H713:H717)</f>
        <v>11424739</v>
      </c>
      <c r="I718" s="37"/>
      <c r="J718" s="37">
        <f>SUM(J713:J717)</f>
        <v>49000</v>
      </c>
      <c r="K718" s="37">
        <f>SUM(K713:K717)</f>
        <v>126651261</v>
      </c>
    </row>
    <row r="719" spans="1:11">
      <c r="A719" s="38"/>
      <c r="B719" s="8"/>
      <c r="C719" s="8"/>
      <c r="D719" s="8"/>
      <c r="E719" s="8"/>
      <c r="F719" s="8"/>
      <c r="G719" s="39"/>
      <c r="H719" s="39"/>
      <c r="I719" s="39"/>
      <c r="J719" s="39"/>
      <c r="K719" s="39"/>
    </row>
    <row r="720" spans="1:11">
      <c r="A720" s="71" t="s">
        <v>26</v>
      </c>
      <c r="B720" s="71"/>
      <c r="C720" s="71"/>
      <c r="D720" s="11" t="s">
        <v>4</v>
      </c>
      <c r="E720" s="14">
        <f>J718</f>
        <v>49000</v>
      </c>
      <c r="F720" s="40"/>
      <c r="G720" s="41"/>
      <c r="H720" s="41"/>
      <c r="I720" s="41"/>
      <c r="J720" s="9"/>
      <c r="K720" s="9"/>
    </row>
    <row r="721" spans="1:11">
      <c r="A721" s="10" t="s">
        <v>27</v>
      </c>
      <c r="B721" s="10"/>
      <c r="C721" s="10"/>
      <c r="D721" s="11" t="s">
        <v>4</v>
      </c>
      <c r="E721" s="42"/>
      <c r="F721" s="42"/>
      <c r="G721" s="43"/>
      <c r="H721" s="12"/>
      <c r="I721" s="12"/>
      <c r="J721" s="9"/>
      <c r="K721" s="9"/>
    </row>
    <row r="722" spans="1:11">
      <c r="A722" s="10" t="s">
        <v>28</v>
      </c>
      <c r="B722" s="10"/>
      <c r="C722" s="10"/>
      <c r="D722" s="11" t="s">
        <v>4</v>
      </c>
      <c r="E722" s="44"/>
      <c r="F722" s="44"/>
      <c r="G722" s="43"/>
      <c r="H722" s="12"/>
      <c r="I722" s="12"/>
      <c r="J722" s="9"/>
      <c r="K722" s="9"/>
    </row>
    <row r="723" spans="1:11">
      <c r="A723" s="10" t="s">
        <v>29</v>
      </c>
      <c r="B723" s="10"/>
      <c r="C723" s="10"/>
      <c r="D723" s="11" t="s">
        <v>4</v>
      </c>
      <c r="E723" s="44">
        <f>E721+E722</f>
        <v>0</v>
      </c>
      <c r="F723" s="44"/>
      <c r="G723" s="10"/>
      <c r="H723" s="12"/>
      <c r="I723" s="12"/>
      <c r="J723" s="46"/>
      <c r="K723" s="46"/>
    </row>
    <row r="724" spans="1:11">
      <c r="A724" s="13"/>
      <c r="B724" s="13"/>
      <c r="C724" s="13"/>
      <c r="D724" s="11"/>
      <c r="E724" s="13"/>
      <c r="F724" s="13"/>
      <c r="G724" s="10"/>
      <c r="H724" s="12"/>
      <c r="I724" s="12"/>
      <c r="J724" s="46"/>
      <c r="K724" s="46"/>
    </row>
    <row r="725" spans="1:11">
      <c r="A725" s="71" t="s">
        <v>30</v>
      </c>
      <c r="B725" s="71"/>
      <c r="C725" s="71"/>
      <c r="D725" s="11" t="s">
        <v>4</v>
      </c>
      <c r="E725" s="40">
        <f>E720-E723</f>
        <v>49000</v>
      </c>
      <c r="F725" s="40"/>
      <c r="G725" s="10"/>
      <c r="H725" s="12"/>
      <c r="I725" s="12"/>
      <c r="J725" s="46"/>
      <c r="K725" s="46"/>
    </row>
    <row r="726" spans="1:11" ht="15.75">
      <c r="A726" s="13"/>
      <c r="B726" s="13"/>
      <c r="C726" s="10"/>
      <c r="D726" s="10"/>
      <c r="E726" s="16" t="str">
        <f>PROPER(IF(E725=0,"nol",IF(E725&lt;0,"minus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725),"000000000000000"),1,3)=0,"",MID(TEXT(ABS(E725),"000000000000000"),1,1)&amp;" ratus "&amp;MID(TEXT(ABS(E725),"000000000000000"),2,1)&amp;" puluh "&amp;MID(TEXT(ABS(E725),"000000000000000"),3,1)&amp;" trilyun ")&amp;IF(--MID(TEXT(ABS(E725),"000000000000000"),4,3)=0,"",MID(TEXT(ABS(E725),"000000000000000"),4,1)&amp;" ratus "&amp;MID(TEXT(ABS(E725),"000000000000000"),5,1)&amp;" puluh "&amp;MID(TEXT(ABS(E725),"000000000000000"),6,1)&amp;" milyar ")&amp;IF(--MID(TEXT(ABS(E725),"000000000000000"),7,3)=0,"",MID(TEXT(ABS(E725),"000000000000000"),7,1)&amp;" ratus "&amp;MID(TEXT(ABS(E725),"000000000000000"),8,1)&amp;" puluh "&amp;MID(TEXT(ABS(E725),"000000000000000"),9,1)&amp;" juta ")&amp;IF(--MID(TEXT(ABS(E725),"000000000000000"),10,3)=0,"",IF(--MID(TEXT(ABS(E725),"000000000000000"),10,3)=1,"*",MID(TEXT(ABS(E725),"000000000000000"),10,1)&amp;" ratus "&amp;MID(TEXT(ABS(E725),"000000000000000"),11,1)&amp;" puluh ")&amp;MID(TEXT(ABS(E725),"000000000000000"),12,1)&amp;" ribu ")&amp;IF(--MID(TEXT(ABS(E725),"000000000000000"),13,3)=0,"",MID(TEXT(ABS(E725),"000000000000000"),13,1)&amp;" ratus "&amp;MID(TEXT(ABS(E725),"000000000000000"),14,1)&amp;" puluh "&amp;MID(TEXT(ABS(E725),"000000000000000"),15,1)),1,"satu"),2,"dua"),3,"tiga"),4,"empat"),5,"lima"),6,"enam"),7,"tujuh"),8,"delapan"),9,"sembilan"),"0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Sembilan Ribu Rupiah</v>
      </c>
      <c r="F726" s="10"/>
      <c r="G726" s="10"/>
      <c r="H726" s="10"/>
      <c r="I726" s="10"/>
      <c r="J726" s="46"/>
      <c r="K726" s="46"/>
    </row>
    <row r="727" spans="1:11">
      <c r="A727" s="45"/>
      <c r="B727" s="45"/>
      <c r="C727" s="45"/>
      <c r="D727" s="45"/>
      <c r="E727" s="45"/>
      <c r="F727" s="45"/>
      <c r="G727" s="29"/>
      <c r="H727" s="46"/>
      <c r="I727" s="46"/>
      <c r="J727" s="46"/>
      <c r="K727" s="46"/>
    </row>
    <row r="728" spans="1:11">
      <c r="A728" s="29"/>
      <c r="B728" s="29"/>
      <c r="C728" s="29"/>
      <c r="D728" s="29"/>
      <c r="E728" s="29"/>
      <c r="F728" s="29"/>
      <c r="G728" s="29"/>
      <c r="H728"/>
      <c r="I728"/>
      <c r="J728" s="46"/>
      <c r="K728" s="46"/>
    </row>
    <row r="729" spans="1:11">
      <c r="A729" s="13"/>
      <c r="B729" s="13"/>
      <c r="C729" s="10"/>
      <c r="D729" s="10"/>
      <c r="E729" s="10"/>
      <c r="F729" s="10"/>
      <c r="G729" s="10"/>
      <c r="I729" s="47"/>
      <c r="J729" s="47" t="s">
        <v>96</v>
      </c>
      <c r="K729" s="46"/>
    </row>
    <row r="730" spans="1:11">
      <c r="A730" s="12" t="s">
        <v>31</v>
      </c>
      <c r="B730" s="10"/>
      <c r="C730" s="10"/>
      <c r="D730" s="10"/>
      <c r="E730" s="10"/>
      <c r="F730" s="10"/>
      <c r="G730" s="10"/>
      <c r="I730" s="12"/>
      <c r="J730" s="12" t="s">
        <v>32</v>
      </c>
      <c r="K730" s="46"/>
    </row>
    <row r="731" spans="1:11">
      <c r="A731" s="10"/>
      <c r="B731" s="10"/>
      <c r="C731" s="10"/>
      <c r="D731" s="10"/>
      <c r="E731" s="10"/>
      <c r="F731" s="10"/>
      <c r="G731" s="10"/>
      <c r="I731" s="12"/>
      <c r="J731" s="12"/>
      <c r="K731" s="46"/>
    </row>
    <row r="732" spans="1:11">
      <c r="A732" s="10"/>
      <c r="B732" s="10"/>
      <c r="C732" s="10"/>
      <c r="D732" s="10"/>
      <c r="E732" s="10"/>
      <c r="F732" s="10"/>
      <c r="G732" s="10"/>
      <c r="I732" s="12"/>
      <c r="J732" s="12"/>
      <c r="K732" s="46"/>
    </row>
    <row r="733" spans="1:11">
      <c r="A733" s="10"/>
      <c r="B733" s="10"/>
      <c r="C733" s="10"/>
      <c r="D733" s="10"/>
      <c r="E733" s="10"/>
      <c r="F733" s="10"/>
      <c r="G733" s="10"/>
      <c r="I733" s="12"/>
      <c r="J733" s="12"/>
      <c r="K733" s="46"/>
    </row>
    <row r="734" spans="1:11">
      <c r="A734" s="10"/>
      <c r="B734" s="10"/>
      <c r="C734" s="10"/>
      <c r="D734" s="10"/>
      <c r="E734" s="10"/>
      <c r="F734" s="10"/>
      <c r="G734" s="10"/>
      <c r="I734" s="12"/>
      <c r="J734" s="12"/>
      <c r="K734" s="46"/>
    </row>
    <row r="735" spans="1:11">
      <c r="A735" s="48" t="s">
        <v>37</v>
      </c>
      <c r="B735" s="48"/>
      <c r="C735" s="49"/>
      <c r="D735" s="49"/>
      <c r="E735" s="49"/>
      <c r="F735" s="49"/>
      <c r="G735" s="10" t="s">
        <v>33</v>
      </c>
      <c r="I735" s="48"/>
      <c r="J735" s="48" t="s">
        <v>34</v>
      </c>
      <c r="K735" s="46"/>
    </row>
    <row r="740" spans="1:11" ht="15.75">
      <c r="C740" s="2"/>
      <c r="D740" s="2"/>
      <c r="E740" s="2"/>
      <c r="F740" s="2"/>
    </row>
    <row r="741" spans="1:11" ht="15.75">
      <c r="A741" s="3"/>
      <c r="B741" s="3"/>
      <c r="C741" s="2"/>
      <c r="D741" s="2"/>
      <c r="E741" s="2"/>
      <c r="F741" s="2"/>
      <c r="G741" s="3"/>
      <c r="H741" s="4"/>
      <c r="I741" s="4"/>
      <c r="J741" s="4"/>
      <c r="K741" s="5"/>
    </row>
    <row r="742" spans="1:11">
      <c r="H742" s="5"/>
      <c r="I742" s="5"/>
      <c r="J742" s="5"/>
      <c r="K742" s="5"/>
    </row>
    <row r="743" spans="1:11">
      <c r="H743" s="5"/>
      <c r="I743" s="5"/>
      <c r="J743" s="5"/>
      <c r="K743" s="5"/>
    </row>
    <row r="744" spans="1:11">
      <c r="A744" s="72" t="s">
        <v>0</v>
      </c>
      <c r="B744" s="72"/>
      <c r="C744" s="73"/>
      <c r="D744" s="73"/>
      <c r="E744" s="73"/>
      <c r="F744" s="73"/>
      <c r="G744" s="73"/>
      <c r="H744" s="73"/>
      <c r="I744" s="73"/>
      <c r="J744" s="73"/>
      <c r="K744" s="73"/>
    </row>
    <row r="745" spans="1:11">
      <c r="A745" s="73" t="s">
        <v>98</v>
      </c>
      <c r="B745" s="73"/>
      <c r="C745" s="73"/>
      <c r="D745" s="73"/>
      <c r="E745" s="73"/>
      <c r="F745" s="73"/>
      <c r="G745" s="73"/>
      <c r="H745" s="73"/>
      <c r="I745" s="73"/>
      <c r="J745" s="73"/>
      <c r="K745" s="73"/>
    </row>
    <row r="746" spans="1:11">
      <c r="A746" s="73" t="s">
        <v>1</v>
      </c>
      <c r="B746" s="73"/>
      <c r="C746" s="73"/>
      <c r="D746" s="73"/>
      <c r="E746" s="73"/>
      <c r="F746" s="73"/>
      <c r="G746" s="73"/>
      <c r="H746" s="73"/>
      <c r="I746" s="73"/>
      <c r="J746" s="73"/>
      <c r="K746" s="73"/>
    </row>
    <row r="747" spans="1:11">
      <c r="A747" s="73" t="s">
        <v>38</v>
      </c>
      <c r="B747" s="73"/>
      <c r="C747" s="73"/>
      <c r="D747" s="73"/>
      <c r="E747" s="73"/>
      <c r="F747" s="73"/>
      <c r="G747" s="73"/>
      <c r="H747" s="73"/>
      <c r="I747" s="73"/>
      <c r="J747" s="73"/>
      <c r="K747" s="73"/>
    </row>
    <row r="748" spans="1:11">
      <c r="A748" s="73" t="s">
        <v>2</v>
      </c>
      <c r="B748" s="73"/>
      <c r="C748" s="73"/>
      <c r="D748" s="73"/>
      <c r="E748" s="73"/>
      <c r="F748" s="73"/>
      <c r="G748" s="73"/>
      <c r="H748" s="73"/>
      <c r="I748" s="73"/>
      <c r="J748" s="73"/>
      <c r="K748" s="73"/>
    </row>
    <row r="749" spans="1:11">
      <c r="A749" s="6"/>
      <c r="B749" s="6"/>
      <c r="C749" s="7"/>
      <c r="D749" s="7"/>
      <c r="E749" s="7"/>
      <c r="F749" s="7"/>
      <c r="G749" s="8"/>
      <c r="H749" s="9"/>
      <c r="I749" s="9"/>
      <c r="J749" s="9"/>
      <c r="K749" s="9"/>
    </row>
    <row r="750" spans="1:11">
      <c r="A750" s="52" t="s">
        <v>3</v>
      </c>
      <c r="B750" s="10"/>
      <c r="C750" s="10"/>
      <c r="D750" s="53" t="s">
        <v>4</v>
      </c>
      <c r="E750" s="10" t="s">
        <v>5</v>
      </c>
      <c r="F750" s="11"/>
      <c r="G750" s="10"/>
      <c r="H750" s="12"/>
      <c r="I750" s="12"/>
      <c r="J750" s="12"/>
      <c r="K750" s="9"/>
    </row>
    <row r="751" spans="1:11">
      <c r="A751" s="52" t="s">
        <v>6</v>
      </c>
      <c r="B751" s="10"/>
      <c r="C751" s="10"/>
      <c r="D751" s="53" t="s">
        <v>4</v>
      </c>
      <c r="E751" s="10" t="s">
        <v>7</v>
      </c>
      <c r="F751" s="11"/>
      <c r="G751" s="10"/>
      <c r="H751" s="12"/>
      <c r="I751" s="12"/>
      <c r="J751" s="12"/>
      <c r="K751" s="9"/>
    </row>
    <row r="752" spans="1:11">
      <c r="A752" s="52" t="s">
        <v>8</v>
      </c>
      <c r="B752" s="10"/>
      <c r="C752" s="10"/>
      <c r="D752" s="53" t="s">
        <v>4</v>
      </c>
      <c r="E752" s="13">
        <v>2026</v>
      </c>
      <c r="F752" s="11"/>
      <c r="G752" s="13"/>
      <c r="H752" s="12"/>
      <c r="I752" s="12"/>
      <c r="J752" s="12"/>
      <c r="K752" s="9"/>
    </row>
    <row r="753" spans="1:11">
      <c r="A753" s="52" t="s">
        <v>9</v>
      </c>
      <c r="B753" s="10"/>
      <c r="C753" s="10"/>
      <c r="D753" s="53" t="s">
        <v>4</v>
      </c>
      <c r="E753" s="14">
        <f>J764</f>
        <v>250000</v>
      </c>
      <c r="F753" s="11"/>
      <c r="G753" s="14"/>
      <c r="H753" s="12"/>
      <c r="I753" s="12"/>
      <c r="J753" s="12"/>
      <c r="K753" s="9"/>
    </row>
    <row r="754" spans="1:11" ht="15.75">
      <c r="A754" s="10"/>
      <c r="B754" s="10"/>
      <c r="C754" s="15" t="s">
        <v>10</v>
      </c>
      <c r="D754" s="53" t="s">
        <v>4</v>
      </c>
      <c r="E754" s="16" t="str">
        <f>PROPER(IF(E753=0,"nol",IF(E753&lt;0,"minus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753),"000000000000000"),1,3)=0,"",MID(TEXT(ABS(E753),"000000000000000"),1,1)&amp;" ratus "&amp;MID(TEXT(ABS(E753),"000000000000000"),2,1)&amp;" puluh "&amp;MID(TEXT(ABS(E753),"000000000000000"),3,1)&amp;" trilyun ")&amp;IF(--MID(TEXT(ABS(E753),"000000000000000"),4,3)=0,"",MID(TEXT(ABS(E753),"000000000000000"),4,1)&amp;" ratus "&amp;MID(TEXT(ABS(E753),"000000000000000"),5,1)&amp;" puluh "&amp;MID(TEXT(ABS(E753),"000000000000000"),6,1)&amp;" milyar ")&amp;IF(--MID(TEXT(ABS(E753),"000000000000000"),7,3)=0,"",MID(TEXT(ABS(E753),"000000000000000"),7,1)&amp;" ratus "&amp;MID(TEXT(ABS(E753),"000000000000000"),8,1)&amp;" puluh "&amp;MID(TEXT(ABS(E753),"000000000000000"),9,1)&amp;" juta ")&amp;IF(--MID(TEXT(ABS(E753),"000000000000000"),10,3)=0,"",IF(--MID(TEXT(ABS(E753),"000000000000000"),10,3)=1,"*",MID(TEXT(ABS(E753),"000000000000000"),10,1)&amp;" ratus "&amp;MID(TEXT(ABS(E753),"000000000000000"),11,1)&amp;" puluh ")&amp;MID(TEXT(ABS(E753),"000000000000000"),12,1)&amp;" ribu ")&amp;IF(--MID(TEXT(ABS(E753),"000000000000000"),13,3)=0,"",MID(TEXT(ABS(E753),"000000000000000"),13,1)&amp;" ratus "&amp;MID(TEXT(ABS(E753),"000000000000000"),14,1)&amp;" puluh "&amp;MID(TEXT(ABS(E753),"000000000000000"),15,1)),1,"satu"),2,"dua"),3,"tiga"),4,"empat"),5,"lima"),6,"enam"),7,"tujuh"),8,"delapan"),9,"sembilan"),"0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Lima Puluh Ribu Rupiah</v>
      </c>
      <c r="F754" s="11"/>
      <c r="G754" s="16"/>
      <c r="H754" s="12"/>
      <c r="I754" s="12"/>
      <c r="J754" s="12"/>
      <c r="K754" s="9"/>
    </row>
    <row r="755" spans="1:11" ht="15.75">
      <c r="A755" s="10"/>
      <c r="B755" s="10"/>
      <c r="C755" s="15"/>
      <c r="D755" s="15"/>
      <c r="E755" s="15"/>
      <c r="F755" s="11"/>
      <c r="G755" s="16"/>
      <c r="H755" s="12"/>
      <c r="I755" s="12"/>
      <c r="J755" s="12"/>
      <c r="K755" s="9"/>
    </row>
    <row r="756" spans="1:11">
      <c r="A756" s="10" t="s">
        <v>11</v>
      </c>
      <c r="B756" s="10"/>
      <c r="C756" s="10"/>
      <c r="D756" s="10"/>
      <c r="E756" s="10"/>
      <c r="F756" s="10"/>
      <c r="G756" s="10"/>
      <c r="H756" s="12"/>
      <c r="I756" s="12"/>
      <c r="J756" s="12"/>
      <c r="K756" s="9"/>
    </row>
    <row r="757" spans="1:11">
      <c r="A757" s="74" t="s">
        <v>12</v>
      </c>
      <c r="B757" s="74"/>
      <c r="C757" s="74"/>
      <c r="D757" s="74"/>
      <c r="E757" s="74"/>
      <c r="F757" s="74"/>
      <c r="G757" s="74"/>
      <c r="H757" s="74"/>
      <c r="I757" s="74"/>
      <c r="J757" s="74"/>
      <c r="K757" s="74"/>
    </row>
    <row r="758" spans="1:11" ht="60">
      <c r="A758" s="17" t="s">
        <v>13</v>
      </c>
      <c r="B758" s="18" t="s">
        <v>14</v>
      </c>
      <c r="C758" s="59" t="s">
        <v>15</v>
      </c>
      <c r="D758" s="60"/>
      <c r="E758" s="61"/>
      <c r="F758" s="19"/>
      <c r="G758" s="20" t="s">
        <v>16</v>
      </c>
      <c r="H758" s="21" t="s">
        <v>35</v>
      </c>
      <c r="I758" s="21"/>
      <c r="J758" s="31" t="s">
        <v>17</v>
      </c>
      <c r="K758" s="32" t="s">
        <v>18</v>
      </c>
    </row>
    <row r="759" spans="1:11">
      <c r="A759" s="27">
        <v>1</v>
      </c>
      <c r="B759" s="24"/>
      <c r="C759" s="28" t="s">
        <v>23</v>
      </c>
      <c r="D759" s="57"/>
      <c r="E759" s="26"/>
      <c r="F759" s="25"/>
      <c r="G759" s="54" t="s">
        <v>19</v>
      </c>
      <c r="H759" s="54" t="s">
        <v>19</v>
      </c>
      <c r="I759" s="54"/>
      <c r="J759" s="54" t="s">
        <v>19</v>
      </c>
      <c r="K759" s="54" t="s">
        <v>19</v>
      </c>
    </row>
    <row r="760" spans="1:11">
      <c r="A760" s="24"/>
      <c r="B760" s="55" t="s">
        <v>20</v>
      </c>
      <c r="C760" s="25" t="s">
        <v>24</v>
      </c>
      <c r="D760" s="10"/>
      <c r="E760" s="26"/>
      <c r="F760" s="25"/>
      <c r="G760" s="23">
        <v>45000000</v>
      </c>
      <c r="H760" s="56">
        <f>H714+J714</f>
        <v>3425599</v>
      </c>
      <c r="I760" s="56"/>
      <c r="J760" s="56">
        <v>0</v>
      </c>
      <c r="K760" s="58">
        <f t="shared" ref="K760:K763" si="31">G760-H760-J760</f>
        <v>41574401</v>
      </c>
    </row>
    <row r="761" spans="1:11">
      <c r="A761" s="24"/>
      <c r="B761" s="55" t="s">
        <v>21</v>
      </c>
      <c r="C761" s="62" t="s">
        <v>39</v>
      </c>
      <c r="D761" s="63"/>
      <c r="E761" s="64"/>
      <c r="F761" s="25"/>
      <c r="G761" s="23">
        <v>35000000</v>
      </c>
      <c r="H761" s="56">
        <f t="shared" ref="H761:H762" si="32">H715+J715</f>
        <v>5775990</v>
      </c>
      <c r="I761" s="56"/>
      <c r="J761" s="56">
        <v>0</v>
      </c>
      <c r="K761" s="58">
        <f t="shared" si="31"/>
        <v>29224010</v>
      </c>
    </row>
    <row r="762" spans="1:11">
      <c r="A762" s="24"/>
      <c r="B762" s="55" t="s">
        <v>22</v>
      </c>
      <c r="C762" s="65" t="s">
        <v>40</v>
      </c>
      <c r="D762" s="66"/>
      <c r="E762" s="67"/>
      <c r="F762" s="25"/>
      <c r="G762" s="23">
        <v>30000000</v>
      </c>
      <c r="H762" s="56">
        <f t="shared" si="32"/>
        <v>831500</v>
      </c>
      <c r="I762" s="22"/>
      <c r="J762" s="22">
        <v>250000</v>
      </c>
      <c r="K762" s="33">
        <f t="shared" si="31"/>
        <v>28918500</v>
      </c>
    </row>
    <row r="763" spans="1:11">
      <c r="A763" s="24"/>
      <c r="B763" s="55" t="s">
        <v>36</v>
      </c>
      <c r="C763" s="68" t="s">
        <v>41</v>
      </c>
      <c r="D763" s="69"/>
      <c r="E763" s="70"/>
      <c r="F763" s="25"/>
      <c r="G763" s="23">
        <v>28125000</v>
      </c>
      <c r="H763" s="56">
        <f>H717+J717</f>
        <v>1440650</v>
      </c>
      <c r="I763" s="22"/>
      <c r="J763" s="22">
        <v>0</v>
      </c>
      <c r="K763" s="33">
        <f t="shared" si="31"/>
        <v>26684350</v>
      </c>
    </row>
    <row r="764" spans="1:11">
      <c r="A764" s="34"/>
      <c r="B764" s="34"/>
      <c r="C764" s="34" t="s">
        <v>25</v>
      </c>
      <c r="D764" s="34"/>
      <c r="E764" s="34"/>
      <c r="F764" s="35"/>
      <c r="G764" s="36">
        <f>SUM(G759:G763)</f>
        <v>138125000</v>
      </c>
      <c r="H764" s="37">
        <f>SUM(H759:H763)</f>
        <v>11473739</v>
      </c>
      <c r="I764" s="37"/>
      <c r="J764" s="37">
        <f>SUM(J759:J763)</f>
        <v>250000</v>
      </c>
      <c r="K764" s="37">
        <f>SUM(K759:K763)</f>
        <v>126401261</v>
      </c>
    </row>
    <row r="765" spans="1:11">
      <c r="A765" s="38"/>
      <c r="B765" s="8"/>
      <c r="C765" s="8"/>
      <c r="D765" s="8"/>
      <c r="E765" s="8"/>
      <c r="F765" s="8"/>
      <c r="G765" s="39"/>
      <c r="H765" s="39"/>
      <c r="I765" s="39"/>
      <c r="J765" s="39"/>
      <c r="K765" s="39"/>
    </row>
    <row r="766" spans="1:11">
      <c r="A766" s="71" t="s">
        <v>26</v>
      </c>
      <c r="B766" s="71"/>
      <c r="C766" s="71"/>
      <c r="D766" s="11" t="s">
        <v>4</v>
      </c>
      <c r="E766" s="14">
        <f>J764</f>
        <v>250000</v>
      </c>
      <c r="F766" s="40"/>
      <c r="G766" s="41"/>
      <c r="H766" s="41"/>
      <c r="I766" s="41"/>
      <c r="J766" s="9"/>
      <c r="K766" s="9"/>
    </row>
    <row r="767" spans="1:11">
      <c r="A767" s="10" t="s">
        <v>27</v>
      </c>
      <c r="B767" s="10"/>
      <c r="C767" s="10"/>
      <c r="D767" s="11" t="s">
        <v>4</v>
      </c>
      <c r="E767" s="42"/>
      <c r="F767" s="42"/>
      <c r="G767" s="43"/>
      <c r="H767" s="12"/>
      <c r="I767" s="12"/>
      <c r="J767" s="9"/>
      <c r="K767" s="9"/>
    </row>
    <row r="768" spans="1:11">
      <c r="A768" s="10" t="s">
        <v>28</v>
      </c>
      <c r="B768" s="10"/>
      <c r="C768" s="10"/>
      <c r="D768" s="11" t="s">
        <v>4</v>
      </c>
      <c r="E768" s="44"/>
      <c r="F768" s="44"/>
      <c r="G768" s="43"/>
      <c r="H768" s="12"/>
      <c r="I768" s="12"/>
      <c r="J768" s="9"/>
      <c r="K768" s="9"/>
    </row>
    <row r="769" spans="1:11">
      <c r="A769" s="10" t="s">
        <v>29</v>
      </c>
      <c r="B769" s="10"/>
      <c r="C769" s="10"/>
      <c r="D769" s="11" t="s">
        <v>4</v>
      </c>
      <c r="E769" s="44">
        <f>E767+E768</f>
        <v>0</v>
      </c>
      <c r="F769" s="44"/>
      <c r="G769" s="10"/>
      <c r="H769" s="12"/>
      <c r="I769" s="12"/>
      <c r="J769" s="46"/>
      <c r="K769" s="46"/>
    </row>
    <row r="770" spans="1:11">
      <c r="A770" s="13"/>
      <c r="B770" s="13"/>
      <c r="C770" s="13"/>
      <c r="D770" s="11"/>
      <c r="E770" s="13"/>
      <c r="F770" s="13"/>
      <c r="G770" s="10"/>
      <c r="H770" s="12"/>
      <c r="I770" s="12"/>
      <c r="J770" s="46"/>
      <c r="K770" s="46"/>
    </row>
    <row r="771" spans="1:11">
      <c r="A771" s="71" t="s">
        <v>30</v>
      </c>
      <c r="B771" s="71"/>
      <c r="C771" s="71"/>
      <c r="D771" s="11" t="s">
        <v>4</v>
      </c>
      <c r="E771" s="40">
        <f>E766-E769</f>
        <v>250000</v>
      </c>
      <c r="F771" s="40"/>
      <c r="G771" s="10"/>
      <c r="H771" s="12"/>
      <c r="I771" s="12"/>
      <c r="J771" s="46"/>
      <c r="K771" s="46"/>
    </row>
    <row r="772" spans="1:11" ht="15.75">
      <c r="A772" s="13"/>
      <c r="B772" s="13"/>
      <c r="C772" s="10"/>
      <c r="D772" s="10"/>
      <c r="E772" s="16" t="str">
        <f>PROPER(IF(E771=0,"nol",IF(E771&lt;0,"minus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771),"000000000000000"),1,3)=0,"",MID(TEXT(ABS(E771),"000000000000000"),1,1)&amp;" ratus "&amp;MID(TEXT(ABS(E771),"000000000000000"),2,1)&amp;" puluh "&amp;MID(TEXT(ABS(E771),"000000000000000"),3,1)&amp;" trilyun ")&amp;IF(--MID(TEXT(ABS(E771),"000000000000000"),4,3)=0,"",MID(TEXT(ABS(E771),"000000000000000"),4,1)&amp;" ratus "&amp;MID(TEXT(ABS(E771),"000000000000000"),5,1)&amp;" puluh "&amp;MID(TEXT(ABS(E771),"000000000000000"),6,1)&amp;" milyar ")&amp;IF(--MID(TEXT(ABS(E771),"000000000000000"),7,3)=0,"",MID(TEXT(ABS(E771),"000000000000000"),7,1)&amp;" ratus "&amp;MID(TEXT(ABS(E771),"000000000000000"),8,1)&amp;" puluh "&amp;MID(TEXT(ABS(E771),"000000000000000"),9,1)&amp;" juta ")&amp;IF(--MID(TEXT(ABS(E771),"000000000000000"),10,3)=0,"",IF(--MID(TEXT(ABS(E771),"000000000000000"),10,3)=1,"*",MID(TEXT(ABS(E771),"000000000000000"),10,1)&amp;" ratus "&amp;MID(TEXT(ABS(E771),"000000000000000"),11,1)&amp;" puluh ")&amp;MID(TEXT(ABS(E771),"000000000000000"),12,1)&amp;" ribu ")&amp;IF(--MID(TEXT(ABS(E771),"000000000000000"),13,3)=0,"",MID(TEXT(ABS(E771),"000000000000000"),13,1)&amp;" ratus "&amp;MID(TEXT(ABS(E771),"000000000000000"),14,1)&amp;" puluh "&amp;MID(TEXT(ABS(E771),"000000000000000"),15,1)),1,"satu"),2,"dua"),3,"tiga"),4,"empat"),5,"lima"),6,"enam"),7,"tujuh"),8,"delapan"),9,"sembilan"),"0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Lima Puluh Ribu Rupiah</v>
      </c>
      <c r="F772" s="10"/>
      <c r="G772" s="10"/>
      <c r="H772" s="10"/>
      <c r="I772" s="10"/>
      <c r="J772" s="46"/>
      <c r="K772" s="46"/>
    </row>
    <row r="773" spans="1:11">
      <c r="A773" s="45"/>
      <c r="B773" s="45"/>
      <c r="C773" s="45"/>
      <c r="D773" s="45"/>
      <c r="E773" s="45"/>
      <c r="F773" s="45"/>
      <c r="G773" s="29"/>
      <c r="H773" s="46"/>
      <c r="I773" s="46"/>
      <c r="J773" s="46"/>
      <c r="K773" s="46"/>
    </row>
    <row r="774" spans="1:11">
      <c r="A774" s="29"/>
      <c r="B774" s="29"/>
      <c r="C774" s="29"/>
      <c r="D774" s="29"/>
      <c r="E774" s="29"/>
      <c r="F774" s="29"/>
      <c r="G774" s="29"/>
      <c r="H774"/>
      <c r="I774"/>
      <c r="J774" s="46"/>
      <c r="K774" s="46"/>
    </row>
    <row r="775" spans="1:11">
      <c r="A775" s="13"/>
      <c r="B775" s="13"/>
      <c r="C775" s="10"/>
      <c r="D775" s="10"/>
      <c r="E775" s="10"/>
      <c r="F775" s="10"/>
      <c r="G775" s="10"/>
      <c r="I775" s="47"/>
      <c r="J775" s="47" t="s">
        <v>97</v>
      </c>
      <c r="K775" s="46"/>
    </row>
    <row r="776" spans="1:11">
      <c r="A776" s="12" t="s">
        <v>31</v>
      </c>
      <c r="B776" s="10"/>
      <c r="C776" s="10"/>
      <c r="D776" s="10"/>
      <c r="E776" s="10"/>
      <c r="F776" s="10"/>
      <c r="G776" s="10"/>
      <c r="I776" s="12"/>
      <c r="J776" s="12" t="s">
        <v>32</v>
      </c>
      <c r="K776" s="46"/>
    </row>
    <row r="777" spans="1:11">
      <c r="A777" s="10"/>
      <c r="B777" s="10"/>
      <c r="C777" s="10"/>
      <c r="D777" s="10"/>
      <c r="E777" s="10"/>
      <c r="F777" s="10"/>
      <c r="G777" s="10"/>
      <c r="I777" s="12"/>
      <c r="J777" s="12"/>
      <c r="K777" s="46"/>
    </row>
    <row r="778" spans="1:11">
      <c r="A778" s="10"/>
      <c r="B778" s="10"/>
      <c r="C778" s="10"/>
      <c r="D778" s="10"/>
      <c r="E778" s="10"/>
      <c r="F778" s="10"/>
      <c r="G778" s="10"/>
      <c r="I778" s="12"/>
      <c r="J778" s="12"/>
      <c r="K778" s="46"/>
    </row>
    <row r="779" spans="1:11">
      <c r="A779" s="10"/>
      <c r="B779" s="10"/>
      <c r="C779" s="10"/>
      <c r="D779" s="10"/>
      <c r="E779" s="10"/>
      <c r="F779" s="10"/>
      <c r="G779" s="10"/>
      <c r="I779" s="12"/>
      <c r="J779" s="12"/>
      <c r="K779" s="46"/>
    </row>
    <row r="780" spans="1:11">
      <c r="A780" s="10"/>
      <c r="B780" s="10"/>
      <c r="C780" s="10"/>
      <c r="D780" s="10"/>
      <c r="E780" s="10"/>
      <c r="F780" s="10"/>
      <c r="G780" s="10"/>
      <c r="I780" s="12"/>
      <c r="J780" s="12"/>
      <c r="K780" s="46"/>
    </row>
    <row r="781" spans="1:11">
      <c r="A781" s="48" t="s">
        <v>37</v>
      </c>
      <c r="B781" s="48"/>
      <c r="C781" s="49"/>
      <c r="D781" s="49"/>
      <c r="E781" s="49"/>
      <c r="F781" s="49"/>
      <c r="G781" s="10" t="s">
        <v>33</v>
      </c>
      <c r="I781" s="48"/>
      <c r="J781" s="48" t="s">
        <v>34</v>
      </c>
      <c r="K781" s="46"/>
    </row>
    <row r="786" spans="1:11" ht="15.75">
      <c r="C786" s="2"/>
      <c r="D786" s="2"/>
      <c r="E786" s="2"/>
      <c r="F786" s="2"/>
    </row>
    <row r="787" spans="1:11" ht="15.75">
      <c r="A787" s="3"/>
      <c r="B787" s="3"/>
      <c r="C787" s="2"/>
      <c r="D787" s="2"/>
      <c r="E787" s="2"/>
      <c r="F787" s="2"/>
      <c r="G787" s="3"/>
      <c r="H787" s="4"/>
      <c r="I787" s="4"/>
      <c r="J787" s="4"/>
      <c r="K787" s="5"/>
    </row>
    <row r="788" spans="1:11">
      <c r="H788" s="5"/>
      <c r="I788" s="5"/>
      <c r="J788" s="5"/>
      <c r="K788" s="5"/>
    </row>
    <row r="789" spans="1:11">
      <c r="H789" s="5"/>
      <c r="I789" s="5"/>
      <c r="J789" s="5"/>
      <c r="K789" s="5"/>
    </row>
    <row r="790" spans="1:11">
      <c r="A790" s="72" t="s">
        <v>0</v>
      </c>
      <c r="B790" s="72"/>
      <c r="C790" s="73"/>
      <c r="D790" s="73"/>
      <c r="E790" s="73"/>
      <c r="F790" s="73"/>
      <c r="G790" s="73"/>
      <c r="H790" s="73"/>
      <c r="I790" s="73"/>
      <c r="J790" s="73"/>
      <c r="K790" s="73"/>
    </row>
    <row r="791" spans="1:11">
      <c r="A791" s="73" t="s">
        <v>100</v>
      </c>
      <c r="B791" s="73"/>
      <c r="C791" s="73"/>
      <c r="D791" s="73"/>
      <c r="E791" s="73"/>
      <c r="F791" s="73"/>
      <c r="G791" s="73"/>
      <c r="H791" s="73"/>
      <c r="I791" s="73"/>
      <c r="J791" s="73"/>
      <c r="K791" s="73"/>
    </row>
    <row r="792" spans="1:11">
      <c r="A792" s="73" t="s">
        <v>1</v>
      </c>
      <c r="B792" s="73"/>
      <c r="C792" s="73"/>
      <c r="D792" s="73"/>
      <c r="E792" s="73"/>
      <c r="F792" s="73"/>
      <c r="G792" s="73"/>
      <c r="H792" s="73"/>
      <c r="I792" s="73"/>
      <c r="J792" s="73"/>
      <c r="K792" s="73"/>
    </row>
    <row r="793" spans="1:11">
      <c r="A793" s="73" t="s">
        <v>38</v>
      </c>
      <c r="B793" s="73"/>
      <c r="C793" s="73"/>
      <c r="D793" s="73"/>
      <c r="E793" s="73"/>
      <c r="F793" s="73"/>
      <c r="G793" s="73"/>
      <c r="H793" s="73"/>
      <c r="I793" s="73"/>
      <c r="J793" s="73"/>
      <c r="K793" s="73"/>
    </row>
    <row r="794" spans="1:11">
      <c r="A794" s="73" t="s">
        <v>2</v>
      </c>
      <c r="B794" s="73"/>
      <c r="C794" s="73"/>
      <c r="D794" s="73"/>
      <c r="E794" s="73"/>
      <c r="F794" s="73"/>
      <c r="G794" s="73"/>
      <c r="H794" s="73"/>
      <c r="I794" s="73"/>
      <c r="J794" s="73"/>
      <c r="K794" s="73"/>
    </row>
    <row r="795" spans="1:11">
      <c r="A795" s="6"/>
      <c r="B795" s="6"/>
      <c r="C795" s="7"/>
      <c r="D795" s="7"/>
      <c r="E795" s="7"/>
      <c r="F795" s="7"/>
      <c r="G795" s="8"/>
      <c r="H795" s="9"/>
      <c r="I795" s="9"/>
      <c r="J795" s="9"/>
      <c r="K795" s="9"/>
    </row>
    <row r="796" spans="1:11">
      <c r="A796" s="52" t="s">
        <v>3</v>
      </c>
      <c r="B796" s="10"/>
      <c r="C796" s="10"/>
      <c r="D796" s="53" t="s">
        <v>4</v>
      </c>
      <c r="E796" s="10" t="s">
        <v>5</v>
      </c>
      <c r="F796" s="11"/>
      <c r="G796" s="10"/>
      <c r="H796" s="12"/>
      <c r="I796" s="12"/>
      <c r="J796" s="12"/>
      <c r="K796" s="9"/>
    </row>
    <row r="797" spans="1:11">
      <c r="A797" s="52" t="s">
        <v>6</v>
      </c>
      <c r="B797" s="10"/>
      <c r="C797" s="10"/>
      <c r="D797" s="53" t="s">
        <v>4</v>
      </c>
      <c r="E797" s="10" t="s">
        <v>7</v>
      </c>
      <c r="F797" s="11"/>
      <c r="G797" s="10"/>
      <c r="H797" s="12"/>
      <c r="I797" s="12"/>
      <c r="J797" s="12"/>
      <c r="K797" s="9"/>
    </row>
    <row r="798" spans="1:11">
      <c r="A798" s="52" t="s">
        <v>8</v>
      </c>
      <c r="B798" s="10"/>
      <c r="C798" s="10"/>
      <c r="D798" s="53" t="s">
        <v>4</v>
      </c>
      <c r="E798" s="13">
        <v>2026</v>
      </c>
      <c r="F798" s="11"/>
      <c r="G798" s="13"/>
      <c r="H798" s="12"/>
      <c r="I798" s="12"/>
      <c r="J798" s="12"/>
      <c r="K798" s="9"/>
    </row>
    <row r="799" spans="1:11">
      <c r="A799" s="52" t="s">
        <v>9</v>
      </c>
      <c r="B799" s="10"/>
      <c r="C799" s="10"/>
      <c r="D799" s="53" t="s">
        <v>4</v>
      </c>
      <c r="E799" s="14">
        <f>J810</f>
        <v>413000</v>
      </c>
      <c r="F799" s="11"/>
      <c r="G799" s="14"/>
      <c r="H799" s="12"/>
      <c r="I799" s="12"/>
      <c r="J799" s="12"/>
      <c r="K799" s="9"/>
    </row>
    <row r="800" spans="1:11" ht="15.75">
      <c r="A800" s="10"/>
      <c r="B800" s="10"/>
      <c r="C800" s="15" t="s">
        <v>10</v>
      </c>
      <c r="D800" s="53" t="s">
        <v>4</v>
      </c>
      <c r="E800" s="16" t="str">
        <f>PROPER(IF(E799=0,"nol",IF(E799&lt;0,"minus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799),"000000000000000"),1,3)=0,"",MID(TEXT(ABS(E799),"000000000000000"),1,1)&amp;" ratus "&amp;MID(TEXT(ABS(E799),"000000000000000"),2,1)&amp;" puluh "&amp;MID(TEXT(ABS(E799),"000000000000000"),3,1)&amp;" trilyun ")&amp;IF(--MID(TEXT(ABS(E799),"000000000000000"),4,3)=0,"",MID(TEXT(ABS(E799),"000000000000000"),4,1)&amp;" ratus "&amp;MID(TEXT(ABS(E799),"000000000000000"),5,1)&amp;" puluh "&amp;MID(TEXT(ABS(E799),"000000000000000"),6,1)&amp;" milyar ")&amp;IF(--MID(TEXT(ABS(E799),"000000000000000"),7,3)=0,"",MID(TEXT(ABS(E799),"000000000000000"),7,1)&amp;" ratus "&amp;MID(TEXT(ABS(E799),"000000000000000"),8,1)&amp;" puluh "&amp;MID(TEXT(ABS(E799),"000000000000000"),9,1)&amp;" juta ")&amp;IF(--MID(TEXT(ABS(E799),"000000000000000"),10,3)=0,"",IF(--MID(TEXT(ABS(E799),"000000000000000"),10,3)=1,"*",MID(TEXT(ABS(E799),"000000000000000"),10,1)&amp;" ratus "&amp;MID(TEXT(ABS(E799),"000000000000000"),11,1)&amp;" puluh ")&amp;MID(TEXT(ABS(E799),"000000000000000"),12,1)&amp;" ribu ")&amp;IF(--MID(TEXT(ABS(E799),"000000000000000"),13,3)=0,"",MID(TEXT(ABS(E799),"000000000000000"),13,1)&amp;" ratus "&amp;MID(TEXT(ABS(E799),"000000000000000"),14,1)&amp;" puluh "&amp;MID(TEXT(ABS(E799),"000000000000000"),15,1)),1,"satu"),2,"dua"),3,"tiga"),4,"empat"),5,"lima"),6,"enam"),7,"tujuh"),8,"delapan"),9,"sembilan"),"0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Tigabelas Ribu Rupiah</v>
      </c>
      <c r="F800" s="11"/>
      <c r="G800" s="16"/>
      <c r="H800" s="12"/>
      <c r="I800" s="12"/>
      <c r="J800" s="12"/>
      <c r="K800" s="9"/>
    </row>
    <row r="801" spans="1:11" ht="15.75">
      <c r="A801" s="10"/>
      <c r="B801" s="10"/>
      <c r="C801" s="15"/>
      <c r="D801" s="15"/>
      <c r="E801" s="15"/>
      <c r="F801" s="11"/>
      <c r="G801" s="16"/>
      <c r="H801" s="12"/>
      <c r="I801" s="12"/>
      <c r="J801" s="12"/>
      <c r="K801" s="9"/>
    </row>
    <row r="802" spans="1:11">
      <c r="A802" s="10" t="s">
        <v>11</v>
      </c>
      <c r="B802" s="10"/>
      <c r="C802" s="10"/>
      <c r="D802" s="10"/>
      <c r="E802" s="10"/>
      <c r="F802" s="10"/>
      <c r="G802" s="10"/>
      <c r="H802" s="12"/>
      <c r="I802" s="12"/>
      <c r="J802" s="12"/>
      <c r="K802" s="9"/>
    </row>
    <row r="803" spans="1:11">
      <c r="A803" s="74" t="s">
        <v>12</v>
      </c>
      <c r="B803" s="74"/>
      <c r="C803" s="74"/>
      <c r="D803" s="74"/>
      <c r="E803" s="74"/>
      <c r="F803" s="74"/>
      <c r="G803" s="74"/>
      <c r="H803" s="74"/>
      <c r="I803" s="74"/>
      <c r="J803" s="74"/>
      <c r="K803" s="74"/>
    </row>
    <row r="804" spans="1:11" ht="60">
      <c r="A804" s="17" t="s">
        <v>13</v>
      </c>
      <c r="B804" s="18" t="s">
        <v>14</v>
      </c>
      <c r="C804" s="59" t="s">
        <v>15</v>
      </c>
      <c r="D804" s="60"/>
      <c r="E804" s="61"/>
      <c r="F804" s="19"/>
      <c r="G804" s="20" t="s">
        <v>16</v>
      </c>
      <c r="H804" s="21" t="s">
        <v>35</v>
      </c>
      <c r="I804" s="21"/>
      <c r="J804" s="31" t="s">
        <v>17</v>
      </c>
      <c r="K804" s="32" t="s">
        <v>18</v>
      </c>
    </row>
    <row r="805" spans="1:11">
      <c r="A805" s="27">
        <v>1</v>
      </c>
      <c r="B805" s="24"/>
      <c r="C805" s="28" t="s">
        <v>23</v>
      </c>
      <c r="D805" s="57"/>
      <c r="E805" s="26"/>
      <c r="F805" s="25"/>
      <c r="G805" s="54" t="s">
        <v>19</v>
      </c>
      <c r="H805" s="54" t="s">
        <v>19</v>
      </c>
      <c r="I805" s="54"/>
      <c r="J805" s="54" t="s">
        <v>19</v>
      </c>
      <c r="K805" s="54" t="s">
        <v>19</v>
      </c>
    </row>
    <row r="806" spans="1:11">
      <c r="A806" s="24"/>
      <c r="B806" s="55" t="s">
        <v>20</v>
      </c>
      <c r="C806" s="25" t="s">
        <v>24</v>
      </c>
      <c r="D806" s="10"/>
      <c r="E806" s="26"/>
      <c r="F806" s="25"/>
      <c r="G806" s="23">
        <v>45000000</v>
      </c>
      <c r="H806" s="56">
        <f>H760+J760</f>
        <v>3425599</v>
      </c>
      <c r="I806" s="56"/>
      <c r="J806" s="56">
        <v>0</v>
      </c>
      <c r="K806" s="58">
        <f t="shared" ref="K806:K809" si="33">G806-H806-J806</f>
        <v>41574401</v>
      </c>
    </row>
    <row r="807" spans="1:11">
      <c r="A807" s="24"/>
      <c r="B807" s="55" t="s">
        <v>21</v>
      </c>
      <c r="C807" s="62" t="s">
        <v>39</v>
      </c>
      <c r="D807" s="63"/>
      <c r="E807" s="64"/>
      <c r="F807" s="25"/>
      <c r="G807" s="23">
        <v>35000000</v>
      </c>
      <c r="H807" s="56">
        <f>H761+J761</f>
        <v>5775990</v>
      </c>
      <c r="I807" s="56"/>
      <c r="J807" s="56">
        <v>0</v>
      </c>
      <c r="K807" s="58">
        <f t="shared" si="33"/>
        <v>29224010</v>
      </c>
    </row>
    <row r="808" spans="1:11">
      <c r="A808" s="24"/>
      <c r="B808" s="55" t="s">
        <v>22</v>
      </c>
      <c r="C808" s="65" t="s">
        <v>40</v>
      </c>
      <c r="D808" s="66"/>
      <c r="E808" s="67"/>
      <c r="F808" s="25"/>
      <c r="G808" s="23">
        <v>30000000</v>
      </c>
      <c r="H808" s="56">
        <f t="shared" ref="H808" si="34">H762+J762</f>
        <v>1081500</v>
      </c>
      <c r="I808" s="22"/>
      <c r="J808" s="22">
        <v>413000</v>
      </c>
      <c r="K808" s="33">
        <f t="shared" si="33"/>
        <v>28505500</v>
      </c>
    </row>
    <row r="809" spans="1:11">
      <c r="A809" s="24"/>
      <c r="B809" s="55" t="s">
        <v>36</v>
      </c>
      <c r="C809" s="68" t="s">
        <v>41</v>
      </c>
      <c r="D809" s="69"/>
      <c r="E809" s="70"/>
      <c r="F809" s="25"/>
      <c r="G809" s="23">
        <v>28125000</v>
      </c>
      <c r="H809" s="56">
        <f>H763+J763</f>
        <v>1440650</v>
      </c>
      <c r="I809" s="22"/>
      <c r="J809" s="22">
        <v>0</v>
      </c>
      <c r="K809" s="33">
        <f t="shared" si="33"/>
        <v>26684350</v>
      </c>
    </row>
    <row r="810" spans="1:11">
      <c r="A810" s="34"/>
      <c r="B810" s="34"/>
      <c r="C810" s="34" t="s">
        <v>25</v>
      </c>
      <c r="D810" s="34"/>
      <c r="E810" s="34"/>
      <c r="F810" s="35"/>
      <c r="G810" s="36">
        <f>SUM(G805:G809)</f>
        <v>138125000</v>
      </c>
      <c r="H810" s="37">
        <f>SUM(H805:H809)</f>
        <v>11723739</v>
      </c>
      <c r="I810" s="37"/>
      <c r="J810" s="37">
        <f>SUM(J805:J809)</f>
        <v>413000</v>
      </c>
      <c r="K810" s="37">
        <f>SUM(K805:K809)</f>
        <v>125988261</v>
      </c>
    </row>
    <row r="811" spans="1:11">
      <c r="A811" s="38"/>
      <c r="B811" s="8"/>
      <c r="C811" s="8"/>
      <c r="D811" s="8"/>
      <c r="E811" s="8"/>
      <c r="F811" s="8"/>
      <c r="G811" s="39"/>
      <c r="H811" s="39"/>
      <c r="I811" s="39"/>
      <c r="J811" s="39"/>
      <c r="K811" s="39"/>
    </row>
    <row r="812" spans="1:11">
      <c r="A812" s="71" t="s">
        <v>26</v>
      </c>
      <c r="B812" s="71"/>
      <c r="C812" s="71"/>
      <c r="D812" s="11" t="s">
        <v>4</v>
      </c>
      <c r="E812" s="14">
        <f>J810</f>
        <v>413000</v>
      </c>
      <c r="F812" s="40"/>
      <c r="G812" s="41"/>
      <c r="H812" s="41"/>
      <c r="I812" s="41"/>
      <c r="J812" s="9"/>
      <c r="K812" s="9"/>
    </row>
    <row r="813" spans="1:11">
      <c r="A813" s="10" t="s">
        <v>27</v>
      </c>
      <c r="B813" s="10"/>
      <c r="C813" s="10"/>
      <c r="D813" s="11" t="s">
        <v>4</v>
      </c>
      <c r="E813" s="42"/>
      <c r="F813" s="42"/>
      <c r="G813" s="43"/>
      <c r="H813" s="12"/>
      <c r="I813" s="12"/>
      <c r="J813" s="9"/>
      <c r="K813" s="9"/>
    </row>
    <row r="814" spans="1:11">
      <c r="A814" s="10" t="s">
        <v>28</v>
      </c>
      <c r="B814" s="10"/>
      <c r="C814" s="10"/>
      <c r="D814" s="11" t="s">
        <v>4</v>
      </c>
      <c r="E814" s="44"/>
      <c r="F814" s="44"/>
      <c r="G814" s="43"/>
      <c r="H814" s="12"/>
      <c r="I814" s="12"/>
      <c r="J814" s="9"/>
      <c r="K814" s="9"/>
    </row>
    <row r="815" spans="1:11">
      <c r="A815" s="10" t="s">
        <v>29</v>
      </c>
      <c r="B815" s="10"/>
      <c r="C815" s="10"/>
      <c r="D815" s="11" t="s">
        <v>4</v>
      </c>
      <c r="E815" s="44">
        <f>E813+E814</f>
        <v>0</v>
      </c>
      <c r="F815" s="44"/>
      <c r="G815" s="10"/>
      <c r="H815" s="12"/>
      <c r="I815" s="12"/>
      <c r="J815" s="46"/>
      <c r="K815" s="46"/>
    </row>
    <row r="816" spans="1:11">
      <c r="A816" s="13"/>
      <c r="B816" s="13"/>
      <c r="C816" s="13"/>
      <c r="D816" s="11"/>
      <c r="E816" s="13"/>
      <c r="F816" s="13"/>
      <c r="G816" s="10"/>
      <c r="H816" s="12"/>
      <c r="I816" s="12"/>
      <c r="J816" s="46"/>
      <c r="K816" s="46"/>
    </row>
    <row r="817" spans="1:11">
      <c r="A817" s="71" t="s">
        <v>30</v>
      </c>
      <c r="B817" s="71"/>
      <c r="C817" s="71"/>
      <c r="D817" s="11" t="s">
        <v>4</v>
      </c>
      <c r="E817" s="40">
        <f>E812-E815</f>
        <v>413000</v>
      </c>
      <c r="F817" s="40"/>
      <c r="G817" s="10"/>
      <c r="H817" s="12"/>
      <c r="I817" s="12"/>
      <c r="J817" s="46"/>
      <c r="K817" s="46"/>
    </row>
    <row r="818" spans="1:11" ht="15.75">
      <c r="A818" s="13"/>
      <c r="B818" s="13"/>
      <c r="C818" s="10"/>
      <c r="D818" s="10"/>
      <c r="E818" s="16" t="str">
        <f>PROPER(IF(E817=0,"nol",IF(E817&lt;0,"minus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817),"000000000000000"),1,3)=0,"",MID(TEXT(ABS(E817),"000000000000000"),1,1)&amp;" ratus "&amp;MID(TEXT(ABS(E817),"000000000000000"),2,1)&amp;" puluh "&amp;MID(TEXT(ABS(E817),"000000000000000"),3,1)&amp;" trilyun ")&amp;IF(--MID(TEXT(ABS(E817),"000000000000000"),4,3)=0,"",MID(TEXT(ABS(E817),"000000000000000"),4,1)&amp;" ratus "&amp;MID(TEXT(ABS(E817),"000000000000000"),5,1)&amp;" puluh "&amp;MID(TEXT(ABS(E817),"000000000000000"),6,1)&amp;" milyar ")&amp;IF(--MID(TEXT(ABS(E817),"000000000000000"),7,3)=0,"",MID(TEXT(ABS(E817),"000000000000000"),7,1)&amp;" ratus "&amp;MID(TEXT(ABS(E817),"000000000000000"),8,1)&amp;" puluh "&amp;MID(TEXT(ABS(E817),"000000000000000"),9,1)&amp;" juta ")&amp;IF(--MID(TEXT(ABS(E817),"000000000000000"),10,3)=0,"",IF(--MID(TEXT(ABS(E817),"000000000000000"),10,3)=1,"*",MID(TEXT(ABS(E817),"000000000000000"),10,1)&amp;" ratus "&amp;MID(TEXT(ABS(E817),"000000000000000"),11,1)&amp;" puluh ")&amp;MID(TEXT(ABS(E817),"000000000000000"),12,1)&amp;" ribu ")&amp;IF(--MID(TEXT(ABS(E817),"000000000000000"),13,3)=0,"",MID(TEXT(ABS(E817),"000000000000000"),13,1)&amp;" ratus "&amp;MID(TEXT(ABS(E817),"000000000000000"),14,1)&amp;" puluh "&amp;MID(TEXT(ABS(E817),"000000000000000"),15,1)),1,"satu"),2,"dua"),3,"tiga"),4,"empat"),5,"lima"),6,"enam"),7,"tujuh"),8,"delapan"),9,"sembilan"),"0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Tigabelas Ribu Rupiah</v>
      </c>
      <c r="F818" s="10"/>
      <c r="G818" s="10"/>
      <c r="H818" s="10"/>
      <c r="I818" s="10"/>
      <c r="J818" s="46"/>
      <c r="K818" s="46"/>
    </row>
    <row r="819" spans="1:11">
      <c r="A819" s="45"/>
      <c r="B819" s="45"/>
      <c r="C819" s="45"/>
      <c r="D819" s="45"/>
      <c r="E819" s="45"/>
      <c r="F819" s="45"/>
      <c r="G819" s="29"/>
      <c r="H819" s="46"/>
      <c r="I819" s="46"/>
      <c r="J819" s="46"/>
      <c r="K819" s="46"/>
    </row>
    <row r="820" spans="1:11">
      <c r="A820" s="29"/>
      <c r="B820" s="29"/>
      <c r="C820" s="29"/>
      <c r="D820" s="29"/>
      <c r="E820" s="29"/>
      <c r="F820" s="29"/>
      <c r="G820" s="29"/>
      <c r="H820"/>
      <c r="I820"/>
      <c r="J820" s="46"/>
      <c r="K820" s="46"/>
    </row>
    <row r="821" spans="1:11">
      <c r="A821" s="13"/>
      <c r="B821" s="13"/>
      <c r="C821" s="10"/>
      <c r="D821" s="10"/>
      <c r="E821" s="10"/>
      <c r="F821" s="10"/>
      <c r="G821" s="10"/>
      <c r="I821" s="47"/>
      <c r="J821" s="47" t="s">
        <v>97</v>
      </c>
      <c r="K821" s="46"/>
    </row>
    <row r="822" spans="1:11">
      <c r="A822" s="12" t="s">
        <v>31</v>
      </c>
      <c r="B822" s="10"/>
      <c r="C822" s="10"/>
      <c r="D822" s="10"/>
      <c r="E822" s="10"/>
      <c r="F822" s="10"/>
      <c r="G822" s="10"/>
      <c r="I822" s="12"/>
      <c r="J822" s="12" t="s">
        <v>32</v>
      </c>
      <c r="K822" s="46"/>
    </row>
    <row r="823" spans="1:11">
      <c r="A823" s="10"/>
      <c r="B823" s="10"/>
      <c r="C823" s="10"/>
      <c r="D823" s="10"/>
      <c r="E823" s="10"/>
      <c r="F823" s="10"/>
      <c r="G823" s="10"/>
      <c r="I823" s="12"/>
      <c r="J823" s="12"/>
      <c r="K823" s="46"/>
    </row>
    <row r="824" spans="1:11">
      <c r="A824" s="10"/>
      <c r="B824" s="10"/>
      <c r="C824" s="10"/>
      <c r="D824" s="10"/>
      <c r="E824" s="10"/>
      <c r="F824" s="10"/>
      <c r="G824" s="10"/>
      <c r="I824" s="12"/>
      <c r="J824" s="12"/>
      <c r="K824" s="46"/>
    </row>
    <row r="825" spans="1:11">
      <c r="A825" s="10"/>
      <c r="B825" s="10"/>
      <c r="C825" s="10"/>
      <c r="D825" s="10"/>
      <c r="E825" s="10"/>
      <c r="F825" s="10"/>
      <c r="G825" s="10"/>
      <c r="I825" s="12"/>
      <c r="J825" s="12"/>
      <c r="K825" s="46"/>
    </row>
    <row r="826" spans="1:11">
      <c r="A826" s="10"/>
      <c r="B826" s="10"/>
      <c r="C826" s="10"/>
      <c r="D826" s="10"/>
      <c r="E826" s="10"/>
      <c r="F826" s="10"/>
      <c r="G826" s="10"/>
      <c r="I826" s="12"/>
      <c r="J826" s="12"/>
      <c r="K826" s="46"/>
    </row>
    <row r="827" spans="1:11">
      <c r="A827" s="48" t="s">
        <v>37</v>
      </c>
      <c r="B827" s="48"/>
      <c r="C827" s="49"/>
      <c r="D827" s="49"/>
      <c r="E827" s="49"/>
      <c r="F827" s="49"/>
      <c r="G827" s="10" t="s">
        <v>33</v>
      </c>
      <c r="I827" s="48"/>
      <c r="J827" s="48" t="s">
        <v>34</v>
      </c>
      <c r="K827" s="46"/>
    </row>
    <row r="832" spans="1:11" ht="15.75">
      <c r="C832" s="2"/>
      <c r="D832" s="2"/>
      <c r="E832" s="2"/>
      <c r="F832" s="2"/>
    </row>
    <row r="833" spans="1:11" ht="15.75">
      <c r="A833" s="3"/>
      <c r="B833" s="3"/>
      <c r="C833" s="2"/>
      <c r="D833" s="2"/>
      <c r="E833" s="2"/>
      <c r="F833" s="2"/>
      <c r="G833" s="3"/>
      <c r="H833" s="4"/>
      <c r="I833" s="4"/>
      <c r="J833" s="4"/>
      <c r="K833" s="5"/>
    </row>
    <row r="834" spans="1:11">
      <c r="H834" s="5"/>
      <c r="I834" s="5"/>
      <c r="J834" s="5"/>
      <c r="K834" s="5"/>
    </row>
    <row r="835" spans="1:11">
      <c r="H835" s="5"/>
      <c r="I835" s="5"/>
      <c r="J835" s="5"/>
      <c r="K835" s="5"/>
    </row>
    <row r="836" spans="1:11">
      <c r="A836" s="72" t="s">
        <v>0</v>
      </c>
      <c r="B836" s="72"/>
      <c r="C836" s="73"/>
      <c r="D836" s="73"/>
      <c r="E836" s="73"/>
      <c r="F836" s="73"/>
      <c r="G836" s="73"/>
      <c r="H836" s="73"/>
      <c r="I836" s="73"/>
      <c r="J836" s="73"/>
      <c r="K836" s="73"/>
    </row>
    <row r="837" spans="1:11">
      <c r="A837" s="73" t="s">
        <v>99</v>
      </c>
      <c r="B837" s="73"/>
      <c r="C837" s="73"/>
      <c r="D837" s="73"/>
      <c r="E837" s="73"/>
      <c r="F837" s="73"/>
      <c r="G837" s="73"/>
      <c r="H837" s="73"/>
      <c r="I837" s="73"/>
      <c r="J837" s="73"/>
      <c r="K837" s="73"/>
    </row>
    <row r="838" spans="1:11">
      <c r="A838" s="73" t="s">
        <v>1</v>
      </c>
      <c r="B838" s="73"/>
      <c r="C838" s="73"/>
      <c r="D838" s="73"/>
      <c r="E838" s="73"/>
      <c r="F838" s="73"/>
      <c r="G838" s="73"/>
      <c r="H838" s="73"/>
      <c r="I838" s="73"/>
      <c r="J838" s="73"/>
      <c r="K838" s="73"/>
    </row>
    <row r="839" spans="1:11">
      <c r="A839" s="73" t="s">
        <v>38</v>
      </c>
      <c r="B839" s="73"/>
      <c r="C839" s="73"/>
      <c r="D839" s="73"/>
      <c r="E839" s="73"/>
      <c r="F839" s="73"/>
      <c r="G839" s="73"/>
      <c r="H839" s="73"/>
      <c r="I839" s="73"/>
      <c r="J839" s="73"/>
      <c r="K839" s="73"/>
    </row>
    <row r="840" spans="1:11">
      <c r="A840" s="73" t="s">
        <v>2</v>
      </c>
      <c r="B840" s="73"/>
      <c r="C840" s="73"/>
      <c r="D840" s="73"/>
      <c r="E840" s="73"/>
      <c r="F840" s="73"/>
      <c r="G840" s="73"/>
      <c r="H840" s="73"/>
      <c r="I840" s="73"/>
      <c r="J840" s="73"/>
      <c r="K840" s="73"/>
    </row>
    <row r="841" spans="1:11">
      <c r="A841" s="6"/>
      <c r="B841" s="6"/>
      <c r="C841" s="7"/>
      <c r="D841" s="7"/>
      <c r="E841" s="7"/>
      <c r="F841" s="7"/>
      <c r="G841" s="8"/>
      <c r="H841" s="9"/>
      <c r="I841" s="9"/>
      <c r="J841" s="9"/>
      <c r="K841" s="9"/>
    </row>
    <row r="842" spans="1:11">
      <c r="A842" s="52" t="s">
        <v>3</v>
      </c>
      <c r="B842" s="10"/>
      <c r="C842" s="10"/>
      <c r="D842" s="53" t="s">
        <v>4</v>
      </c>
      <c r="E842" s="10" t="s">
        <v>5</v>
      </c>
      <c r="F842" s="11"/>
      <c r="G842" s="10"/>
      <c r="H842" s="12"/>
      <c r="I842" s="12"/>
      <c r="J842" s="12"/>
      <c r="K842" s="9"/>
    </row>
    <row r="843" spans="1:11">
      <c r="A843" s="52" t="s">
        <v>6</v>
      </c>
      <c r="B843" s="10"/>
      <c r="C843" s="10"/>
      <c r="D843" s="53" t="s">
        <v>4</v>
      </c>
      <c r="E843" s="10" t="s">
        <v>7</v>
      </c>
      <c r="F843" s="11"/>
      <c r="G843" s="10"/>
      <c r="H843" s="12"/>
      <c r="I843" s="12"/>
      <c r="J843" s="12"/>
      <c r="K843" s="9"/>
    </row>
    <row r="844" spans="1:11">
      <c r="A844" s="52" t="s">
        <v>8</v>
      </c>
      <c r="B844" s="10"/>
      <c r="C844" s="10"/>
      <c r="D844" s="53" t="s">
        <v>4</v>
      </c>
      <c r="E844" s="13">
        <v>2026</v>
      </c>
      <c r="F844" s="11"/>
      <c r="G844" s="13"/>
      <c r="H844" s="12"/>
      <c r="I844" s="12"/>
      <c r="J844" s="12"/>
      <c r="K844" s="9"/>
    </row>
    <row r="845" spans="1:11">
      <c r="A845" s="52" t="s">
        <v>9</v>
      </c>
      <c r="B845" s="10"/>
      <c r="C845" s="10"/>
      <c r="D845" s="53" t="s">
        <v>4</v>
      </c>
      <c r="E845" s="14">
        <f>J856</f>
        <v>446000</v>
      </c>
      <c r="F845" s="11"/>
      <c r="G845" s="14"/>
      <c r="H845" s="12"/>
      <c r="I845" s="12"/>
      <c r="J845" s="12"/>
      <c r="K845" s="9"/>
    </row>
    <row r="846" spans="1:11" ht="15.75">
      <c r="A846" s="10"/>
      <c r="B846" s="10"/>
      <c r="C846" s="15" t="s">
        <v>10</v>
      </c>
      <c r="D846" s="53" t="s">
        <v>4</v>
      </c>
      <c r="E846" s="16" t="str">
        <f>PROPER(IF(E845=0,"nol",IF(E845&lt;0,"minus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845),"000000000000000"),1,3)=0,"",MID(TEXT(ABS(E845),"000000000000000"),1,1)&amp;" ratus "&amp;MID(TEXT(ABS(E845),"000000000000000"),2,1)&amp;" puluh "&amp;MID(TEXT(ABS(E845),"000000000000000"),3,1)&amp;" trilyun ")&amp;IF(--MID(TEXT(ABS(E845),"000000000000000"),4,3)=0,"",MID(TEXT(ABS(E845),"000000000000000"),4,1)&amp;" ratus "&amp;MID(TEXT(ABS(E845),"000000000000000"),5,1)&amp;" puluh "&amp;MID(TEXT(ABS(E845),"000000000000000"),6,1)&amp;" milyar ")&amp;IF(--MID(TEXT(ABS(E845),"000000000000000"),7,3)=0,"",MID(TEXT(ABS(E845),"000000000000000"),7,1)&amp;" ratus "&amp;MID(TEXT(ABS(E845),"000000000000000"),8,1)&amp;" puluh "&amp;MID(TEXT(ABS(E845),"000000000000000"),9,1)&amp;" juta ")&amp;IF(--MID(TEXT(ABS(E845),"000000000000000"),10,3)=0,"",IF(--MID(TEXT(ABS(E845),"000000000000000"),10,3)=1,"*",MID(TEXT(ABS(E845),"000000000000000"),10,1)&amp;" ratus "&amp;MID(TEXT(ABS(E845),"000000000000000"),11,1)&amp;" puluh ")&amp;MID(TEXT(ABS(E845),"000000000000000"),12,1)&amp;" ribu ")&amp;IF(--MID(TEXT(ABS(E845),"000000000000000"),13,3)=0,"",MID(TEXT(ABS(E845),"000000000000000"),13,1)&amp;" ratus "&amp;MID(TEXT(ABS(E845),"000000000000000"),14,1)&amp;" puluh "&amp;MID(TEXT(ABS(E845),"000000000000000"),15,1)),1,"satu"),2,"dua"),3,"tiga"),4,"empat"),5,"lima"),6,"enam"),7,"tujuh"),8,"delapan"),9,"sembilan"),"0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Empat Puluh Enam Ribu Rupiah</v>
      </c>
      <c r="F846" s="11"/>
      <c r="G846" s="16"/>
      <c r="H846" s="12"/>
      <c r="I846" s="12"/>
      <c r="J846" s="12"/>
      <c r="K846" s="9"/>
    </row>
    <row r="847" spans="1:11" ht="15.75">
      <c r="A847" s="10"/>
      <c r="B847" s="10"/>
      <c r="C847" s="15"/>
      <c r="D847" s="15"/>
      <c r="E847" s="15"/>
      <c r="F847" s="11"/>
      <c r="G847" s="16"/>
      <c r="H847" s="12"/>
      <c r="I847" s="12"/>
      <c r="J847" s="12"/>
      <c r="K847" s="9"/>
    </row>
    <row r="848" spans="1:11">
      <c r="A848" s="10" t="s">
        <v>11</v>
      </c>
      <c r="B848" s="10"/>
      <c r="C848" s="10"/>
      <c r="D848" s="10"/>
      <c r="E848" s="10"/>
      <c r="F848" s="10"/>
      <c r="G848" s="10"/>
      <c r="H848" s="12"/>
      <c r="I848" s="12"/>
      <c r="J848" s="12"/>
      <c r="K848" s="9"/>
    </row>
    <row r="849" spans="1:11">
      <c r="A849" s="74" t="s">
        <v>12</v>
      </c>
      <c r="B849" s="74"/>
      <c r="C849" s="74"/>
      <c r="D849" s="74"/>
      <c r="E849" s="74"/>
      <c r="F849" s="74"/>
      <c r="G849" s="74"/>
      <c r="H849" s="74"/>
      <c r="I849" s="74"/>
      <c r="J849" s="74"/>
      <c r="K849" s="74"/>
    </row>
    <row r="850" spans="1:11" ht="60">
      <c r="A850" s="17" t="s">
        <v>13</v>
      </c>
      <c r="B850" s="18" t="s">
        <v>14</v>
      </c>
      <c r="C850" s="59" t="s">
        <v>15</v>
      </c>
      <c r="D850" s="60"/>
      <c r="E850" s="61"/>
      <c r="F850" s="19"/>
      <c r="G850" s="20" t="s">
        <v>16</v>
      </c>
      <c r="H850" s="21" t="s">
        <v>35</v>
      </c>
      <c r="I850" s="21"/>
      <c r="J850" s="31" t="s">
        <v>17</v>
      </c>
      <c r="K850" s="32" t="s">
        <v>18</v>
      </c>
    </row>
    <row r="851" spans="1:11">
      <c r="A851" s="27">
        <v>1</v>
      </c>
      <c r="B851" s="24"/>
      <c r="C851" s="28" t="s">
        <v>23</v>
      </c>
      <c r="D851" s="57"/>
      <c r="E851" s="26"/>
      <c r="F851" s="25"/>
      <c r="G851" s="54" t="s">
        <v>19</v>
      </c>
      <c r="H851" s="54" t="s">
        <v>19</v>
      </c>
      <c r="I851" s="54"/>
      <c r="J851" s="54" t="s">
        <v>19</v>
      </c>
      <c r="K851" s="54" t="s">
        <v>19</v>
      </c>
    </row>
    <row r="852" spans="1:11">
      <c r="A852" s="24"/>
      <c r="B852" s="55" t="s">
        <v>20</v>
      </c>
      <c r="C852" s="25" t="s">
        <v>24</v>
      </c>
      <c r="D852" s="10"/>
      <c r="E852" s="26"/>
      <c r="F852" s="25"/>
      <c r="G852" s="23">
        <v>45000000</v>
      </c>
      <c r="H852" s="56">
        <f>H806+J806</f>
        <v>3425599</v>
      </c>
      <c r="I852" s="56"/>
      <c r="J852" s="56">
        <v>0</v>
      </c>
      <c r="K852" s="58">
        <f t="shared" ref="K852:K855" si="35">G852-H852-J852</f>
        <v>41574401</v>
      </c>
    </row>
    <row r="853" spans="1:11">
      <c r="A853" s="24"/>
      <c r="B853" s="55" t="s">
        <v>21</v>
      </c>
      <c r="C853" s="62" t="s">
        <v>39</v>
      </c>
      <c r="D853" s="63"/>
      <c r="E853" s="64"/>
      <c r="F853" s="25"/>
      <c r="G853" s="23">
        <v>35000000</v>
      </c>
      <c r="H853" s="56">
        <f>H807+J807</f>
        <v>5775990</v>
      </c>
      <c r="I853" s="56"/>
      <c r="J853" s="56">
        <v>0</v>
      </c>
      <c r="K853" s="58">
        <f t="shared" si="35"/>
        <v>29224010</v>
      </c>
    </row>
    <row r="854" spans="1:11">
      <c r="A854" s="24"/>
      <c r="B854" s="55" t="s">
        <v>22</v>
      </c>
      <c r="C854" s="65" t="s">
        <v>40</v>
      </c>
      <c r="D854" s="66"/>
      <c r="E854" s="67"/>
      <c r="F854" s="25"/>
      <c r="G854" s="23">
        <v>30000000</v>
      </c>
      <c r="H854" s="56">
        <f>H808+J808</f>
        <v>1494500</v>
      </c>
      <c r="I854" s="22"/>
      <c r="J854" s="22">
        <v>446000</v>
      </c>
      <c r="K854" s="33">
        <f t="shared" si="35"/>
        <v>28059500</v>
      </c>
    </row>
    <row r="855" spans="1:11">
      <c r="A855" s="24"/>
      <c r="B855" s="55" t="s">
        <v>36</v>
      </c>
      <c r="C855" s="68" t="s">
        <v>41</v>
      </c>
      <c r="D855" s="69"/>
      <c r="E855" s="70"/>
      <c r="F855" s="25"/>
      <c r="G855" s="23">
        <v>28125000</v>
      </c>
      <c r="H855" s="56">
        <f>H809+J809</f>
        <v>1440650</v>
      </c>
      <c r="I855" s="22"/>
      <c r="J855" s="22">
        <v>0</v>
      </c>
      <c r="K855" s="33">
        <f t="shared" si="35"/>
        <v>26684350</v>
      </c>
    </row>
    <row r="856" spans="1:11">
      <c r="A856" s="34"/>
      <c r="B856" s="34"/>
      <c r="C856" s="34" t="s">
        <v>25</v>
      </c>
      <c r="D856" s="34"/>
      <c r="E856" s="34"/>
      <c r="F856" s="35"/>
      <c r="G856" s="36">
        <f>SUM(G851:G855)</f>
        <v>138125000</v>
      </c>
      <c r="H856" s="37">
        <f>SUM(H851:H855)</f>
        <v>12136739</v>
      </c>
      <c r="I856" s="37"/>
      <c r="J856" s="37">
        <f>SUM(J851:J855)</f>
        <v>446000</v>
      </c>
      <c r="K856" s="37">
        <f>SUM(K851:K855)</f>
        <v>125542261</v>
      </c>
    </row>
    <row r="857" spans="1:11">
      <c r="A857" s="38"/>
      <c r="B857" s="8"/>
      <c r="C857" s="8"/>
      <c r="D857" s="8"/>
      <c r="E857" s="8"/>
      <c r="F857" s="8"/>
      <c r="G857" s="39"/>
      <c r="H857" s="39"/>
      <c r="I857" s="39"/>
      <c r="J857" s="39"/>
      <c r="K857" s="39"/>
    </row>
    <row r="858" spans="1:11">
      <c r="A858" s="71" t="s">
        <v>26</v>
      </c>
      <c r="B858" s="71"/>
      <c r="C858" s="71"/>
      <c r="D858" s="11" t="s">
        <v>4</v>
      </c>
      <c r="E858" s="14">
        <f>J856</f>
        <v>446000</v>
      </c>
      <c r="F858" s="40"/>
      <c r="G858" s="41"/>
      <c r="H858" s="41"/>
      <c r="I858" s="41"/>
      <c r="J858" s="9"/>
      <c r="K858" s="9"/>
    </row>
    <row r="859" spans="1:11">
      <c r="A859" s="10" t="s">
        <v>27</v>
      </c>
      <c r="B859" s="10"/>
      <c r="C859" s="10"/>
      <c r="D859" s="11" t="s">
        <v>4</v>
      </c>
      <c r="E859" s="42"/>
      <c r="F859" s="42"/>
      <c r="G859" s="43"/>
      <c r="H859" s="12"/>
      <c r="I859" s="12"/>
      <c r="J859" s="9"/>
      <c r="K859" s="9"/>
    </row>
    <row r="860" spans="1:11">
      <c r="A860" s="10" t="s">
        <v>28</v>
      </c>
      <c r="B860" s="10"/>
      <c r="C860" s="10"/>
      <c r="D860" s="11" t="s">
        <v>4</v>
      </c>
      <c r="E860" s="44"/>
      <c r="F860" s="44"/>
      <c r="G860" s="43"/>
      <c r="H860" s="12"/>
      <c r="I860" s="12"/>
      <c r="J860" s="9"/>
      <c r="K860" s="9"/>
    </row>
    <row r="861" spans="1:11">
      <c r="A861" s="10" t="s">
        <v>29</v>
      </c>
      <c r="B861" s="10"/>
      <c r="C861" s="10"/>
      <c r="D861" s="11" t="s">
        <v>4</v>
      </c>
      <c r="E861" s="44">
        <f>E859+E860</f>
        <v>0</v>
      </c>
      <c r="F861" s="44"/>
      <c r="G861" s="10"/>
      <c r="H861" s="12"/>
      <c r="I861" s="12"/>
      <c r="J861" s="46"/>
      <c r="K861" s="46"/>
    </row>
    <row r="862" spans="1:11">
      <c r="A862" s="13"/>
      <c r="B862" s="13"/>
      <c r="C862" s="13"/>
      <c r="D862" s="11"/>
      <c r="E862" s="13"/>
      <c r="F862" s="13"/>
      <c r="G862" s="10"/>
      <c r="H862" s="12"/>
      <c r="I862" s="12"/>
      <c r="J862" s="46"/>
      <c r="K862" s="46"/>
    </row>
    <row r="863" spans="1:11">
      <c r="A863" s="71" t="s">
        <v>30</v>
      </c>
      <c r="B863" s="71"/>
      <c r="C863" s="71"/>
      <c r="D863" s="11" t="s">
        <v>4</v>
      </c>
      <c r="E863" s="40">
        <f>E858-E861</f>
        <v>446000</v>
      </c>
      <c r="F863" s="40"/>
      <c r="G863" s="10"/>
      <c r="H863" s="12"/>
      <c r="I863" s="12"/>
      <c r="J863" s="46"/>
      <c r="K863" s="46"/>
    </row>
    <row r="864" spans="1:11" ht="15.75">
      <c r="A864" s="13"/>
      <c r="B864" s="13"/>
      <c r="C864" s="10"/>
      <c r="D864" s="10"/>
      <c r="E864" s="16" t="str">
        <f>PROPER(IF(E863=0,"nol",IF(E863&lt;0,"minus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863),"000000000000000"),1,3)=0,"",MID(TEXT(ABS(E863),"000000000000000"),1,1)&amp;" ratus "&amp;MID(TEXT(ABS(E863),"000000000000000"),2,1)&amp;" puluh "&amp;MID(TEXT(ABS(E863),"000000000000000"),3,1)&amp;" trilyun ")&amp;IF(--MID(TEXT(ABS(E863),"000000000000000"),4,3)=0,"",MID(TEXT(ABS(E863),"000000000000000"),4,1)&amp;" ratus "&amp;MID(TEXT(ABS(E863),"000000000000000"),5,1)&amp;" puluh "&amp;MID(TEXT(ABS(E863),"000000000000000"),6,1)&amp;" milyar ")&amp;IF(--MID(TEXT(ABS(E863),"000000000000000"),7,3)=0,"",MID(TEXT(ABS(E863),"000000000000000"),7,1)&amp;" ratus "&amp;MID(TEXT(ABS(E863),"000000000000000"),8,1)&amp;" puluh "&amp;MID(TEXT(ABS(E863),"000000000000000"),9,1)&amp;" juta ")&amp;IF(--MID(TEXT(ABS(E863),"000000000000000"),10,3)=0,"",IF(--MID(TEXT(ABS(E863),"000000000000000"),10,3)=1,"*",MID(TEXT(ABS(E863),"000000000000000"),10,1)&amp;" ratus "&amp;MID(TEXT(ABS(E863),"000000000000000"),11,1)&amp;" puluh ")&amp;MID(TEXT(ABS(E863),"000000000000000"),12,1)&amp;" ribu ")&amp;IF(--MID(TEXT(ABS(E863),"000000000000000"),13,3)=0,"",MID(TEXT(ABS(E863),"000000000000000"),13,1)&amp;" ratus "&amp;MID(TEXT(ABS(E863),"000000000000000"),14,1)&amp;" puluh "&amp;MID(TEXT(ABS(E863),"000000000000000"),15,1)),1,"satu"),2,"dua"),3,"tiga"),4,"empat"),5,"lima"),6,"enam"),7,"tujuh"),8,"delapan"),9,"sembilan"),"0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Empat Puluh Enam Ribu Rupiah</v>
      </c>
      <c r="F864" s="10"/>
      <c r="G864" s="10"/>
      <c r="H864" s="10"/>
      <c r="I864" s="10"/>
      <c r="J864" s="46"/>
      <c r="K864" s="46"/>
    </row>
    <row r="865" spans="1:11">
      <c r="A865" s="45"/>
      <c r="B865" s="45"/>
      <c r="C865" s="45"/>
      <c r="D865" s="45"/>
      <c r="E865" s="45"/>
      <c r="F865" s="45"/>
      <c r="G865" s="29"/>
      <c r="H865" s="46"/>
      <c r="I865" s="46"/>
      <c r="J865" s="46"/>
      <c r="K865" s="46"/>
    </row>
    <row r="866" spans="1:11">
      <c r="A866" s="29"/>
      <c r="B866" s="29"/>
      <c r="C866" s="29"/>
      <c r="D866" s="29"/>
      <c r="E866" s="29"/>
      <c r="F866" s="29"/>
      <c r="G866" s="29"/>
      <c r="H866"/>
      <c r="I866"/>
      <c r="J866" s="46"/>
      <c r="K866" s="46"/>
    </row>
    <row r="867" spans="1:11">
      <c r="A867" s="13"/>
      <c r="B867" s="13"/>
      <c r="C867" s="10"/>
      <c r="D867" s="10"/>
      <c r="E867" s="10"/>
      <c r="F867" s="10"/>
      <c r="G867" s="10"/>
      <c r="I867" s="47"/>
      <c r="J867" s="47" t="s">
        <v>97</v>
      </c>
      <c r="K867" s="46"/>
    </row>
    <row r="868" spans="1:11">
      <c r="A868" s="12" t="s">
        <v>31</v>
      </c>
      <c r="B868" s="10"/>
      <c r="C868" s="10"/>
      <c r="D868" s="10"/>
      <c r="E868" s="10"/>
      <c r="F868" s="10"/>
      <c r="G868" s="10"/>
      <c r="I868" s="12"/>
      <c r="J868" s="12" t="s">
        <v>32</v>
      </c>
      <c r="K868" s="46"/>
    </row>
    <row r="869" spans="1:11">
      <c r="A869" s="10"/>
      <c r="B869" s="10"/>
      <c r="C869" s="10"/>
      <c r="D869" s="10"/>
      <c r="E869" s="10"/>
      <c r="F869" s="10"/>
      <c r="G869" s="10"/>
      <c r="I869" s="12"/>
      <c r="J869" s="12"/>
      <c r="K869" s="46"/>
    </row>
    <row r="870" spans="1:11">
      <c r="A870" s="10"/>
      <c r="B870" s="10"/>
      <c r="C870" s="10"/>
      <c r="D870" s="10"/>
      <c r="E870" s="10"/>
      <c r="F870" s="10"/>
      <c r="G870" s="10"/>
      <c r="I870" s="12"/>
      <c r="J870" s="12"/>
      <c r="K870" s="46"/>
    </row>
    <row r="871" spans="1:11">
      <c r="A871" s="10"/>
      <c r="B871" s="10"/>
      <c r="C871" s="10"/>
      <c r="D871" s="10"/>
      <c r="E871" s="10"/>
      <c r="F871" s="10"/>
      <c r="G871" s="10"/>
      <c r="I871" s="12"/>
      <c r="J871" s="12"/>
      <c r="K871" s="46"/>
    </row>
    <row r="872" spans="1:11">
      <c r="A872" s="10"/>
      <c r="B872" s="10"/>
      <c r="C872" s="10"/>
      <c r="D872" s="10"/>
      <c r="E872" s="10"/>
      <c r="F872" s="10"/>
      <c r="G872" s="10"/>
      <c r="I872" s="12"/>
      <c r="J872" s="12"/>
      <c r="K872" s="46"/>
    </row>
    <row r="873" spans="1:11">
      <c r="A873" s="48" t="s">
        <v>37</v>
      </c>
      <c r="B873" s="48"/>
      <c r="C873" s="49"/>
      <c r="D873" s="49"/>
      <c r="E873" s="49"/>
      <c r="F873" s="49"/>
      <c r="G873" s="10" t="s">
        <v>33</v>
      </c>
      <c r="I873" s="48"/>
      <c r="J873" s="48" t="s">
        <v>34</v>
      </c>
      <c r="K873" s="46"/>
    </row>
    <row r="878" spans="1:11" ht="15.75">
      <c r="C878" s="2"/>
      <c r="D878" s="2"/>
      <c r="E878" s="2"/>
      <c r="F878" s="2"/>
    </row>
    <row r="879" spans="1:11" ht="15.75">
      <c r="A879" s="3"/>
      <c r="B879" s="3"/>
      <c r="C879" s="2"/>
      <c r="D879" s="2"/>
      <c r="E879" s="2"/>
      <c r="F879" s="2"/>
      <c r="G879" s="3"/>
      <c r="H879" s="4"/>
      <c r="I879" s="4"/>
      <c r="J879" s="4"/>
      <c r="K879" s="5"/>
    </row>
    <row r="880" spans="1:11">
      <c r="H880" s="5"/>
      <c r="I880" s="5"/>
      <c r="J880" s="5"/>
      <c r="K880" s="5"/>
    </row>
    <row r="881" spans="1:11">
      <c r="H881" s="5"/>
      <c r="I881" s="5"/>
      <c r="J881" s="5"/>
      <c r="K881" s="5"/>
    </row>
    <row r="882" spans="1:11">
      <c r="A882" s="72" t="s">
        <v>0</v>
      </c>
      <c r="B882" s="72"/>
      <c r="C882" s="73"/>
      <c r="D882" s="73"/>
      <c r="E882" s="73"/>
      <c r="F882" s="73"/>
      <c r="G882" s="73"/>
      <c r="H882" s="73"/>
      <c r="I882" s="73"/>
      <c r="J882" s="73"/>
      <c r="K882" s="73"/>
    </row>
    <row r="883" spans="1:11">
      <c r="A883" s="73" t="s">
        <v>101</v>
      </c>
      <c r="B883" s="73"/>
      <c r="C883" s="73"/>
      <c r="D883" s="73"/>
      <c r="E883" s="73"/>
      <c r="F883" s="73"/>
      <c r="G883" s="73"/>
      <c r="H883" s="73"/>
      <c r="I883" s="73"/>
      <c r="J883" s="73"/>
      <c r="K883" s="73"/>
    </row>
    <row r="884" spans="1:11">
      <c r="A884" s="73" t="s">
        <v>1</v>
      </c>
      <c r="B884" s="73"/>
      <c r="C884" s="73"/>
      <c r="D884" s="73"/>
      <c r="E884" s="73"/>
      <c r="F884" s="73"/>
      <c r="G884" s="73"/>
      <c r="H884" s="73"/>
      <c r="I884" s="73"/>
      <c r="J884" s="73"/>
      <c r="K884" s="73"/>
    </row>
    <row r="885" spans="1:11">
      <c r="A885" s="73" t="s">
        <v>38</v>
      </c>
      <c r="B885" s="73"/>
      <c r="C885" s="73"/>
      <c r="D885" s="73"/>
      <c r="E885" s="73"/>
      <c r="F885" s="73"/>
      <c r="G885" s="73"/>
      <c r="H885" s="73"/>
      <c r="I885" s="73"/>
      <c r="J885" s="73"/>
      <c r="K885" s="73"/>
    </row>
    <row r="886" spans="1:11">
      <c r="A886" s="73" t="s">
        <v>2</v>
      </c>
      <c r="B886" s="73"/>
      <c r="C886" s="73"/>
      <c r="D886" s="73"/>
      <c r="E886" s="73"/>
      <c r="F886" s="73"/>
      <c r="G886" s="73"/>
      <c r="H886" s="73"/>
      <c r="I886" s="73"/>
      <c r="J886" s="73"/>
      <c r="K886" s="73"/>
    </row>
    <row r="887" spans="1:11">
      <c r="A887" s="6"/>
      <c r="B887" s="6"/>
      <c r="C887" s="7"/>
      <c r="D887" s="7"/>
      <c r="E887" s="7"/>
      <c r="F887" s="7"/>
      <c r="G887" s="8"/>
      <c r="H887" s="9"/>
      <c r="I887" s="9"/>
      <c r="J887" s="9"/>
      <c r="K887" s="9"/>
    </row>
    <row r="888" spans="1:11">
      <c r="A888" s="52" t="s">
        <v>3</v>
      </c>
      <c r="B888" s="10"/>
      <c r="C888" s="10"/>
      <c r="D888" s="53" t="s">
        <v>4</v>
      </c>
      <c r="E888" s="10" t="s">
        <v>5</v>
      </c>
      <c r="F888" s="11"/>
      <c r="G888" s="10"/>
      <c r="H888" s="12"/>
      <c r="I888" s="12"/>
      <c r="J888" s="12"/>
      <c r="K888" s="9"/>
    </row>
    <row r="889" spans="1:11">
      <c r="A889" s="52" t="s">
        <v>6</v>
      </c>
      <c r="B889" s="10"/>
      <c r="C889" s="10"/>
      <c r="D889" s="53" t="s">
        <v>4</v>
      </c>
      <c r="E889" s="10" t="s">
        <v>7</v>
      </c>
      <c r="F889" s="11"/>
      <c r="G889" s="10"/>
      <c r="H889" s="12"/>
      <c r="I889" s="12"/>
      <c r="J889" s="12"/>
      <c r="K889" s="9"/>
    </row>
    <row r="890" spans="1:11">
      <c r="A890" s="52" t="s">
        <v>8</v>
      </c>
      <c r="B890" s="10"/>
      <c r="C890" s="10"/>
      <c r="D890" s="53" t="s">
        <v>4</v>
      </c>
      <c r="E890" s="13">
        <v>2026</v>
      </c>
      <c r="F890" s="11"/>
      <c r="G890" s="13"/>
      <c r="H890" s="12"/>
      <c r="I890" s="12"/>
      <c r="J890" s="12"/>
      <c r="K890" s="9"/>
    </row>
    <row r="891" spans="1:11">
      <c r="A891" s="52" t="s">
        <v>9</v>
      </c>
      <c r="B891" s="10"/>
      <c r="C891" s="10"/>
      <c r="D891" s="53" t="s">
        <v>4</v>
      </c>
      <c r="E891" s="14">
        <f>J902</f>
        <v>529000</v>
      </c>
      <c r="F891" s="11"/>
      <c r="G891" s="14"/>
      <c r="H891" s="12"/>
      <c r="I891" s="12"/>
      <c r="J891" s="12"/>
      <c r="K891" s="9"/>
    </row>
    <row r="892" spans="1:11" ht="15.75">
      <c r="A892" s="10"/>
      <c r="B892" s="10"/>
      <c r="C892" s="15" t="s">
        <v>10</v>
      </c>
      <c r="D892" s="53" t="s">
        <v>4</v>
      </c>
      <c r="E892" s="16" t="str">
        <f>PROPER(IF(E891=0,"nol",IF(E891&lt;0,"minus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891),"000000000000000"),1,3)=0,"",MID(TEXT(ABS(E891),"000000000000000"),1,1)&amp;" ratus "&amp;MID(TEXT(ABS(E891),"000000000000000"),2,1)&amp;" puluh "&amp;MID(TEXT(ABS(E891),"000000000000000"),3,1)&amp;" trilyun ")&amp;IF(--MID(TEXT(ABS(E891),"000000000000000"),4,3)=0,"",MID(TEXT(ABS(E891),"000000000000000"),4,1)&amp;" ratus "&amp;MID(TEXT(ABS(E891),"000000000000000"),5,1)&amp;" puluh "&amp;MID(TEXT(ABS(E891),"000000000000000"),6,1)&amp;" milyar ")&amp;IF(--MID(TEXT(ABS(E891),"000000000000000"),7,3)=0,"",MID(TEXT(ABS(E891),"000000000000000"),7,1)&amp;" ratus "&amp;MID(TEXT(ABS(E891),"000000000000000"),8,1)&amp;" puluh "&amp;MID(TEXT(ABS(E891),"000000000000000"),9,1)&amp;" juta ")&amp;IF(--MID(TEXT(ABS(E891),"000000000000000"),10,3)=0,"",IF(--MID(TEXT(ABS(E891),"000000000000000"),10,3)=1,"*",MID(TEXT(ABS(E891),"000000000000000"),10,1)&amp;" ratus "&amp;MID(TEXT(ABS(E891),"000000000000000"),11,1)&amp;" puluh ")&amp;MID(TEXT(ABS(E891),"000000000000000"),12,1)&amp;" ribu ")&amp;IF(--MID(TEXT(ABS(E891),"000000000000000"),13,3)=0,"",MID(TEXT(ABS(E891),"000000000000000"),13,1)&amp;" ratus "&amp;MID(TEXT(ABS(E891),"000000000000000"),14,1)&amp;" puluh "&amp;MID(TEXT(ABS(E891),"000000000000000"),15,1)),1,"satu"),2,"dua"),3,"tiga"),4,"empat"),5,"lima"),6,"enam"),7,"tujuh"),8,"delapan"),9,"sembilan"),"0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Ratus Dua Puluh Sembilan Ribu Rupiah</v>
      </c>
      <c r="F892" s="11"/>
      <c r="G892" s="16"/>
      <c r="H892" s="12"/>
      <c r="I892" s="12"/>
      <c r="J892" s="12"/>
      <c r="K892" s="9"/>
    </row>
    <row r="893" spans="1:11" ht="15.75">
      <c r="A893" s="10"/>
      <c r="B893" s="10"/>
      <c r="C893" s="15"/>
      <c r="D893" s="15"/>
      <c r="E893" s="15"/>
      <c r="F893" s="11"/>
      <c r="G893" s="16"/>
      <c r="H893" s="12"/>
      <c r="I893" s="12"/>
      <c r="J893" s="12"/>
      <c r="K893" s="9"/>
    </row>
    <row r="894" spans="1:11">
      <c r="A894" s="10" t="s">
        <v>11</v>
      </c>
      <c r="B894" s="10"/>
      <c r="C894" s="10"/>
      <c r="D894" s="10"/>
      <c r="E894" s="10"/>
      <c r="F894" s="10"/>
      <c r="G894" s="10"/>
      <c r="H894" s="12"/>
      <c r="I894" s="12"/>
      <c r="J894" s="12"/>
      <c r="K894" s="9"/>
    </row>
    <row r="895" spans="1:11">
      <c r="A895" s="74" t="s">
        <v>12</v>
      </c>
      <c r="B895" s="74"/>
      <c r="C895" s="74"/>
      <c r="D895" s="74"/>
      <c r="E895" s="74"/>
      <c r="F895" s="74"/>
      <c r="G895" s="74"/>
      <c r="H895" s="74"/>
      <c r="I895" s="74"/>
      <c r="J895" s="74"/>
      <c r="K895" s="74"/>
    </row>
    <row r="896" spans="1:11" ht="60">
      <c r="A896" s="17" t="s">
        <v>13</v>
      </c>
      <c r="B896" s="18" t="s">
        <v>14</v>
      </c>
      <c r="C896" s="59" t="s">
        <v>15</v>
      </c>
      <c r="D896" s="60"/>
      <c r="E896" s="61"/>
      <c r="F896" s="19"/>
      <c r="G896" s="20" t="s">
        <v>16</v>
      </c>
      <c r="H896" s="21" t="s">
        <v>35</v>
      </c>
      <c r="I896" s="21"/>
      <c r="J896" s="31" t="s">
        <v>17</v>
      </c>
      <c r="K896" s="32" t="s">
        <v>18</v>
      </c>
    </row>
    <row r="897" spans="1:11">
      <c r="A897" s="27">
        <v>1</v>
      </c>
      <c r="B897" s="24"/>
      <c r="C897" s="28" t="s">
        <v>23</v>
      </c>
      <c r="D897" s="57"/>
      <c r="E897" s="26"/>
      <c r="F897" s="25"/>
      <c r="G897" s="54" t="s">
        <v>19</v>
      </c>
      <c r="H897" s="54" t="s">
        <v>19</v>
      </c>
      <c r="I897" s="54"/>
      <c r="J897" s="54" t="s">
        <v>19</v>
      </c>
      <c r="K897" s="54" t="s">
        <v>19</v>
      </c>
    </row>
    <row r="898" spans="1:11">
      <c r="A898" s="24"/>
      <c r="B898" s="55" t="s">
        <v>20</v>
      </c>
      <c r="C898" s="25" t="s">
        <v>24</v>
      </c>
      <c r="D898" s="10"/>
      <c r="E898" s="26"/>
      <c r="F898" s="25"/>
      <c r="G898" s="23">
        <v>45000000</v>
      </c>
      <c r="H898" s="56">
        <f>H852+J852</f>
        <v>3425599</v>
      </c>
      <c r="I898" s="56"/>
      <c r="J898" s="56">
        <v>0</v>
      </c>
      <c r="K898" s="58">
        <f t="shared" ref="K898:K901" si="36">G898-H898-J898</f>
        <v>41574401</v>
      </c>
    </row>
    <row r="899" spans="1:11">
      <c r="A899" s="24"/>
      <c r="B899" s="55" t="s">
        <v>21</v>
      </c>
      <c r="C899" s="62" t="s">
        <v>39</v>
      </c>
      <c r="D899" s="63"/>
      <c r="E899" s="64"/>
      <c r="F899" s="25"/>
      <c r="G899" s="23">
        <v>35000000</v>
      </c>
      <c r="H899" s="56">
        <f>H853+J853</f>
        <v>5775990</v>
      </c>
      <c r="I899" s="56"/>
      <c r="J899" s="56">
        <v>0</v>
      </c>
      <c r="K899" s="58">
        <f t="shared" si="36"/>
        <v>29224010</v>
      </c>
    </row>
    <row r="900" spans="1:11">
      <c r="A900" s="24"/>
      <c r="B900" s="55" t="s">
        <v>22</v>
      </c>
      <c r="C900" s="65" t="s">
        <v>40</v>
      </c>
      <c r="D900" s="66"/>
      <c r="E900" s="67"/>
      <c r="F900" s="25"/>
      <c r="G900" s="23">
        <v>30000000</v>
      </c>
      <c r="H900" s="56">
        <f t="shared" ref="H900" si="37">H854+J854</f>
        <v>1940500</v>
      </c>
      <c r="I900" s="22"/>
      <c r="J900" s="22">
        <v>529000</v>
      </c>
      <c r="K900" s="33">
        <f t="shared" si="36"/>
        <v>27530500</v>
      </c>
    </row>
    <row r="901" spans="1:11">
      <c r="A901" s="24"/>
      <c r="B901" s="55" t="s">
        <v>36</v>
      </c>
      <c r="C901" s="68" t="s">
        <v>41</v>
      </c>
      <c r="D901" s="69"/>
      <c r="E901" s="70"/>
      <c r="F901" s="25"/>
      <c r="G901" s="23">
        <v>28125000</v>
      </c>
      <c r="H901" s="56">
        <f>H855+J855</f>
        <v>1440650</v>
      </c>
      <c r="I901" s="22"/>
      <c r="J901" s="22">
        <v>0</v>
      </c>
      <c r="K901" s="33">
        <f t="shared" si="36"/>
        <v>26684350</v>
      </c>
    </row>
    <row r="902" spans="1:11">
      <c r="A902" s="34"/>
      <c r="B902" s="34"/>
      <c r="C902" s="34" t="s">
        <v>25</v>
      </c>
      <c r="D902" s="34"/>
      <c r="E902" s="34"/>
      <c r="F902" s="35"/>
      <c r="G902" s="36">
        <f>SUM(G897:G901)</f>
        <v>138125000</v>
      </c>
      <c r="H902" s="37">
        <f>SUM(H897:H901)</f>
        <v>12582739</v>
      </c>
      <c r="I902" s="37"/>
      <c r="J902" s="37">
        <f>SUM(J897:J901)</f>
        <v>529000</v>
      </c>
      <c r="K902" s="37">
        <f>SUM(K897:K901)</f>
        <v>125013261</v>
      </c>
    </row>
    <row r="903" spans="1:11">
      <c r="A903" s="38"/>
      <c r="B903" s="8"/>
      <c r="C903" s="8"/>
      <c r="D903" s="8"/>
      <c r="E903" s="8"/>
      <c r="F903" s="8"/>
      <c r="G903" s="39"/>
      <c r="H903" s="39"/>
      <c r="I903" s="39"/>
      <c r="J903" s="39"/>
      <c r="K903" s="39"/>
    </row>
    <row r="904" spans="1:11">
      <c r="A904" s="71" t="s">
        <v>26</v>
      </c>
      <c r="B904" s="71"/>
      <c r="C904" s="71"/>
      <c r="D904" s="11" t="s">
        <v>4</v>
      </c>
      <c r="E904" s="14">
        <f>J902</f>
        <v>529000</v>
      </c>
      <c r="F904" s="40"/>
      <c r="G904" s="41"/>
      <c r="H904" s="41"/>
      <c r="I904" s="41"/>
      <c r="J904" s="9"/>
      <c r="K904" s="9"/>
    </row>
    <row r="905" spans="1:11">
      <c r="A905" s="10" t="s">
        <v>27</v>
      </c>
      <c r="B905" s="10"/>
      <c r="C905" s="10"/>
      <c r="D905" s="11" t="s">
        <v>4</v>
      </c>
      <c r="E905" s="42"/>
      <c r="F905" s="42"/>
      <c r="G905" s="43"/>
      <c r="H905" s="12"/>
      <c r="I905" s="12"/>
      <c r="J905" s="9"/>
      <c r="K905" s="9"/>
    </row>
    <row r="906" spans="1:11">
      <c r="A906" s="10" t="s">
        <v>28</v>
      </c>
      <c r="B906" s="10"/>
      <c r="C906" s="10"/>
      <c r="D906" s="11" t="s">
        <v>4</v>
      </c>
      <c r="E906" s="44"/>
      <c r="F906" s="44"/>
      <c r="G906" s="43"/>
      <c r="H906" s="12"/>
      <c r="I906" s="12"/>
      <c r="J906" s="9"/>
      <c r="K906" s="9"/>
    </row>
    <row r="907" spans="1:11">
      <c r="A907" s="10" t="s">
        <v>29</v>
      </c>
      <c r="B907" s="10"/>
      <c r="C907" s="10"/>
      <c r="D907" s="11" t="s">
        <v>4</v>
      </c>
      <c r="E907" s="44">
        <f>E905+E906</f>
        <v>0</v>
      </c>
      <c r="F907" s="44"/>
      <c r="G907" s="10"/>
      <c r="H907" s="12"/>
      <c r="I907" s="12"/>
      <c r="J907" s="46"/>
      <c r="K907" s="46"/>
    </row>
    <row r="908" spans="1:11">
      <c r="A908" s="13"/>
      <c r="B908" s="13"/>
      <c r="C908" s="13"/>
      <c r="D908" s="11"/>
      <c r="E908" s="13"/>
      <c r="F908" s="13"/>
      <c r="G908" s="10"/>
      <c r="H908" s="12"/>
      <c r="I908" s="12"/>
      <c r="J908" s="46"/>
      <c r="K908" s="46"/>
    </row>
    <row r="909" spans="1:11">
      <c r="A909" s="71" t="s">
        <v>30</v>
      </c>
      <c r="B909" s="71"/>
      <c r="C909" s="71"/>
      <c r="D909" s="11" t="s">
        <v>4</v>
      </c>
      <c r="E909" s="40">
        <f>E904-E907</f>
        <v>529000</v>
      </c>
      <c r="F909" s="40"/>
      <c r="G909" s="10"/>
      <c r="H909" s="12"/>
      <c r="I909" s="12"/>
      <c r="J909" s="46"/>
      <c r="K909" s="46"/>
    </row>
    <row r="910" spans="1:11" ht="15.75">
      <c r="A910" s="13"/>
      <c r="B910" s="13"/>
      <c r="C910" s="10"/>
      <c r="D910" s="10"/>
      <c r="E910" s="16" t="str">
        <f>PROPER(IF(E909=0,"nol",IF(E909&lt;0,"minus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909),"000000000000000"),1,3)=0,"",MID(TEXT(ABS(E909),"000000000000000"),1,1)&amp;" ratus "&amp;MID(TEXT(ABS(E909),"000000000000000"),2,1)&amp;" puluh "&amp;MID(TEXT(ABS(E909),"000000000000000"),3,1)&amp;" trilyun ")&amp;IF(--MID(TEXT(ABS(E909),"000000000000000"),4,3)=0,"",MID(TEXT(ABS(E909),"000000000000000"),4,1)&amp;" ratus "&amp;MID(TEXT(ABS(E909),"000000000000000"),5,1)&amp;" puluh "&amp;MID(TEXT(ABS(E909),"000000000000000"),6,1)&amp;" milyar ")&amp;IF(--MID(TEXT(ABS(E909),"000000000000000"),7,3)=0,"",MID(TEXT(ABS(E909),"000000000000000"),7,1)&amp;" ratus "&amp;MID(TEXT(ABS(E909),"000000000000000"),8,1)&amp;" puluh "&amp;MID(TEXT(ABS(E909),"000000000000000"),9,1)&amp;" juta ")&amp;IF(--MID(TEXT(ABS(E909),"000000000000000"),10,3)=0,"",IF(--MID(TEXT(ABS(E909),"000000000000000"),10,3)=1,"*",MID(TEXT(ABS(E909),"000000000000000"),10,1)&amp;" ratus "&amp;MID(TEXT(ABS(E909),"000000000000000"),11,1)&amp;" puluh ")&amp;MID(TEXT(ABS(E909),"000000000000000"),12,1)&amp;" ribu ")&amp;IF(--MID(TEXT(ABS(E909),"000000000000000"),13,3)=0,"",MID(TEXT(ABS(E909),"000000000000000"),13,1)&amp;" ratus "&amp;MID(TEXT(ABS(E909),"000000000000000"),14,1)&amp;" puluh "&amp;MID(TEXT(ABS(E909),"000000000000000"),15,1)),1,"satu"),2,"dua"),3,"tiga"),4,"empat"),5,"lima"),6,"enam"),7,"tujuh"),8,"delapan"),9,"sembilan"),"0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Ratus Dua Puluh Sembilan Ribu Rupiah</v>
      </c>
      <c r="F910" s="10"/>
      <c r="G910" s="10"/>
      <c r="H910" s="10"/>
      <c r="I910" s="10"/>
      <c r="J910" s="46"/>
      <c r="K910" s="46"/>
    </row>
    <row r="911" spans="1:11">
      <c r="A911" s="45"/>
      <c r="B911" s="45"/>
      <c r="C911" s="45"/>
      <c r="D911" s="45"/>
      <c r="E911" s="45"/>
      <c r="F911" s="45"/>
      <c r="G911" s="29"/>
      <c r="H911" s="46"/>
      <c r="I911" s="46"/>
      <c r="J911" s="46"/>
      <c r="K911" s="46"/>
    </row>
    <row r="912" spans="1:11">
      <c r="A912" s="29"/>
      <c r="B912" s="29"/>
      <c r="C912" s="29"/>
      <c r="D912" s="29"/>
      <c r="E912" s="29"/>
      <c r="F912" s="29"/>
      <c r="G912" s="29"/>
      <c r="H912"/>
      <c r="I912"/>
      <c r="J912" s="46"/>
      <c r="K912" s="46"/>
    </row>
    <row r="913" spans="1:11">
      <c r="A913" s="13"/>
      <c r="B913" s="13"/>
      <c r="C913" s="10"/>
      <c r="D913" s="10"/>
      <c r="E913" s="10"/>
      <c r="F913" s="10"/>
      <c r="G913" s="10"/>
      <c r="I913" s="47"/>
      <c r="J913" s="47" t="s">
        <v>97</v>
      </c>
      <c r="K913" s="46"/>
    </row>
    <row r="914" spans="1:11">
      <c r="A914" s="12" t="s">
        <v>31</v>
      </c>
      <c r="B914" s="10"/>
      <c r="C914" s="10"/>
      <c r="D914" s="10"/>
      <c r="E914" s="10"/>
      <c r="F914" s="10"/>
      <c r="G914" s="10"/>
      <c r="I914" s="12"/>
      <c r="J914" s="12" t="s">
        <v>32</v>
      </c>
      <c r="K914" s="46"/>
    </row>
    <row r="915" spans="1:11">
      <c r="A915" s="10"/>
      <c r="B915" s="10"/>
      <c r="C915" s="10"/>
      <c r="D915" s="10"/>
      <c r="E915" s="10"/>
      <c r="F915" s="10"/>
      <c r="G915" s="10"/>
      <c r="I915" s="12"/>
      <c r="J915" s="12"/>
      <c r="K915" s="46"/>
    </row>
    <row r="916" spans="1:11">
      <c r="A916" s="10"/>
      <c r="B916" s="10"/>
      <c r="C916" s="10"/>
      <c r="D916" s="10"/>
      <c r="E916" s="10"/>
      <c r="F916" s="10"/>
      <c r="G916" s="10"/>
      <c r="I916" s="12"/>
      <c r="J916" s="12"/>
      <c r="K916" s="46"/>
    </row>
    <row r="917" spans="1:11">
      <c r="A917" s="10"/>
      <c r="B917" s="10"/>
      <c r="C917" s="10"/>
      <c r="D917" s="10"/>
      <c r="E917" s="10"/>
      <c r="F917" s="10"/>
      <c r="G917" s="10"/>
      <c r="I917" s="12"/>
      <c r="J917" s="12"/>
      <c r="K917" s="46"/>
    </row>
    <row r="918" spans="1:11">
      <c r="A918" s="10"/>
      <c r="B918" s="10"/>
      <c r="C918" s="10"/>
      <c r="D918" s="10"/>
      <c r="E918" s="10"/>
      <c r="F918" s="10"/>
      <c r="G918" s="10"/>
      <c r="I918" s="12"/>
      <c r="J918" s="12"/>
      <c r="K918" s="46"/>
    </row>
    <row r="919" spans="1:11">
      <c r="A919" s="48" t="s">
        <v>37</v>
      </c>
      <c r="B919" s="48"/>
      <c r="C919" s="49"/>
      <c r="D919" s="49"/>
      <c r="E919" s="49"/>
      <c r="F919" s="49"/>
      <c r="G919" s="10" t="s">
        <v>33</v>
      </c>
      <c r="I919" s="48"/>
      <c r="J919" s="48" t="s">
        <v>34</v>
      </c>
      <c r="K919" s="46"/>
    </row>
    <row r="924" spans="1:11" ht="15.75">
      <c r="C924" s="2"/>
      <c r="D924" s="2"/>
      <c r="E924" s="2"/>
      <c r="F924" s="2"/>
    </row>
    <row r="925" spans="1:11" ht="15.75">
      <c r="A925" s="3"/>
      <c r="B925" s="3"/>
      <c r="C925" s="2"/>
      <c r="D925" s="2"/>
      <c r="E925" s="2"/>
      <c r="F925" s="2"/>
      <c r="G925" s="3"/>
      <c r="H925" s="4"/>
      <c r="I925" s="4"/>
      <c r="J925" s="4"/>
      <c r="K925" s="5"/>
    </row>
    <row r="926" spans="1:11">
      <c r="H926" s="5"/>
      <c r="I926" s="5"/>
      <c r="J926" s="5"/>
      <c r="K926" s="5"/>
    </row>
    <row r="927" spans="1:11">
      <c r="H927" s="5"/>
      <c r="I927" s="5"/>
      <c r="J927" s="5"/>
      <c r="K927" s="5"/>
    </row>
    <row r="928" spans="1:11">
      <c r="A928" s="72" t="s">
        <v>0</v>
      </c>
      <c r="B928" s="72"/>
      <c r="C928" s="73"/>
      <c r="D928" s="73"/>
      <c r="E928" s="73"/>
      <c r="F928" s="73"/>
      <c r="G928" s="73"/>
      <c r="H928" s="73"/>
      <c r="I928" s="73"/>
      <c r="J928" s="73"/>
      <c r="K928" s="73"/>
    </row>
    <row r="929" spans="1:11">
      <c r="A929" s="73" t="s">
        <v>102</v>
      </c>
      <c r="B929" s="73"/>
      <c r="C929" s="73"/>
      <c r="D929" s="73"/>
      <c r="E929" s="73"/>
      <c r="F929" s="73"/>
      <c r="G929" s="73"/>
      <c r="H929" s="73"/>
      <c r="I929" s="73"/>
      <c r="J929" s="73"/>
      <c r="K929" s="73"/>
    </row>
    <row r="930" spans="1:11">
      <c r="A930" s="73" t="s">
        <v>1</v>
      </c>
      <c r="B930" s="73"/>
      <c r="C930" s="73"/>
      <c r="D930" s="73"/>
      <c r="E930" s="73"/>
      <c r="F930" s="73"/>
      <c r="G930" s="73"/>
      <c r="H930" s="73"/>
      <c r="I930" s="73"/>
      <c r="J930" s="73"/>
      <c r="K930" s="73"/>
    </row>
    <row r="931" spans="1:11">
      <c r="A931" s="73" t="s">
        <v>38</v>
      </c>
      <c r="B931" s="73"/>
      <c r="C931" s="73"/>
      <c r="D931" s="73"/>
      <c r="E931" s="73"/>
      <c r="F931" s="73"/>
      <c r="G931" s="73"/>
      <c r="H931" s="73"/>
      <c r="I931" s="73"/>
      <c r="J931" s="73"/>
      <c r="K931" s="73"/>
    </row>
    <row r="932" spans="1:11">
      <c r="A932" s="73" t="s">
        <v>2</v>
      </c>
      <c r="B932" s="73"/>
      <c r="C932" s="73"/>
      <c r="D932" s="73"/>
      <c r="E932" s="73"/>
      <c r="F932" s="73"/>
      <c r="G932" s="73"/>
      <c r="H932" s="73"/>
      <c r="I932" s="73"/>
      <c r="J932" s="73"/>
      <c r="K932" s="73"/>
    </row>
    <row r="933" spans="1:11">
      <c r="A933" s="6"/>
      <c r="B933" s="6"/>
      <c r="C933" s="7"/>
      <c r="D933" s="7"/>
      <c r="E933" s="7"/>
      <c r="F933" s="7"/>
      <c r="G933" s="8"/>
      <c r="H933" s="9"/>
      <c r="I933" s="9"/>
      <c r="J933" s="9"/>
      <c r="K933" s="9"/>
    </row>
    <row r="934" spans="1:11">
      <c r="A934" s="52" t="s">
        <v>3</v>
      </c>
      <c r="B934" s="10"/>
      <c r="C934" s="10"/>
      <c r="D934" s="53" t="s">
        <v>4</v>
      </c>
      <c r="E934" s="10" t="s">
        <v>5</v>
      </c>
      <c r="F934" s="11"/>
      <c r="G934" s="10"/>
      <c r="H934" s="12"/>
      <c r="I934" s="12"/>
      <c r="J934" s="12"/>
      <c r="K934" s="9"/>
    </row>
    <row r="935" spans="1:11">
      <c r="A935" s="52" t="s">
        <v>6</v>
      </c>
      <c r="B935" s="10"/>
      <c r="C935" s="10"/>
      <c r="D935" s="53" t="s">
        <v>4</v>
      </c>
      <c r="E935" s="10" t="s">
        <v>7</v>
      </c>
      <c r="F935" s="11"/>
      <c r="G935" s="10"/>
      <c r="H935" s="12"/>
      <c r="I935" s="12"/>
      <c r="J935" s="12"/>
      <c r="K935" s="9"/>
    </row>
    <row r="936" spans="1:11">
      <c r="A936" s="52" t="s">
        <v>8</v>
      </c>
      <c r="B936" s="10"/>
      <c r="C936" s="10"/>
      <c r="D936" s="53" t="s">
        <v>4</v>
      </c>
      <c r="E936" s="13">
        <v>2026</v>
      </c>
      <c r="F936" s="11"/>
      <c r="G936" s="13"/>
      <c r="H936" s="12"/>
      <c r="I936" s="12"/>
      <c r="J936" s="12"/>
      <c r="K936" s="9"/>
    </row>
    <row r="937" spans="1:11">
      <c r="A937" s="52" t="s">
        <v>9</v>
      </c>
      <c r="B937" s="10"/>
      <c r="C937" s="10"/>
      <c r="D937" s="53" t="s">
        <v>4</v>
      </c>
      <c r="E937" s="14">
        <f>J948</f>
        <v>410000</v>
      </c>
      <c r="F937" s="11"/>
      <c r="G937" s="14"/>
      <c r="H937" s="12"/>
      <c r="I937" s="12"/>
      <c r="J937" s="12"/>
      <c r="K937" s="9"/>
    </row>
    <row r="938" spans="1:11" ht="15.75">
      <c r="A938" s="10"/>
      <c r="B938" s="10"/>
      <c r="C938" s="15" t="s">
        <v>10</v>
      </c>
      <c r="D938" s="53" t="s">
        <v>4</v>
      </c>
      <c r="E938" s="16" t="str">
        <f>PROPER(IF(E937=0,"nol",IF(E937&lt;0,"minus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937),"000000000000000"),1,3)=0,"",MID(TEXT(ABS(E937),"000000000000000"),1,1)&amp;" ratus "&amp;MID(TEXT(ABS(E937),"000000000000000"),2,1)&amp;" puluh "&amp;MID(TEXT(ABS(E937),"000000000000000"),3,1)&amp;" trilyun ")&amp;IF(--MID(TEXT(ABS(E937),"000000000000000"),4,3)=0,"",MID(TEXT(ABS(E937),"000000000000000"),4,1)&amp;" ratus "&amp;MID(TEXT(ABS(E937),"000000000000000"),5,1)&amp;" puluh "&amp;MID(TEXT(ABS(E937),"000000000000000"),6,1)&amp;" milyar ")&amp;IF(--MID(TEXT(ABS(E937),"000000000000000"),7,3)=0,"",MID(TEXT(ABS(E937),"000000000000000"),7,1)&amp;" ratus "&amp;MID(TEXT(ABS(E937),"000000000000000"),8,1)&amp;" puluh "&amp;MID(TEXT(ABS(E937),"000000000000000"),9,1)&amp;" juta ")&amp;IF(--MID(TEXT(ABS(E937),"000000000000000"),10,3)=0,"",IF(--MID(TEXT(ABS(E937),"000000000000000"),10,3)=1,"*",MID(TEXT(ABS(E937),"000000000000000"),10,1)&amp;" ratus "&amp;MID(TEXT(ABS(E937),"000000000000000"),11,1)&amp;" puluh ")&amp;MID(TEXT(ABS(E937),"000000000000000"),12,1)&amp;" ribu ")&amp;IF(--MID(TEXT(ABS(E937),"000000000000000"),13,3)=0,"",MID(TEXT(ABS(E937),"000000000000000"),13,1)&amp;" ratus "&amp;MID(TEXT(ABS(E937),"000000000000000"),14,1)&amp;" puluh "&amp;MID(TEXT(ABS(E937),"000000000000000"),15,1)),1,"satu"),2,"dua"),3,"tiga"),4,"empat"),5,"lima"),6,"enam"),7,"tujuh"),8,"delapan"),9,"sembilan"),"0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Sepuluh Ribu Rupiah</v>
      </c>
      <c r="F938" s="11"/>
      <c r="G938" s="16"/>
      <c r="H938" s="12"/>
      <c r="I938" s="12"/>
      <c r="J938" s="12"/>
      <c r="K938" s="9"/>
    </row>
    <row r="939" spans="1:11" ht="15.75">
      <c r="A939" s="10"/>
      <c r="B939" s="10"/>
      <c r="C939" s="15"/>
      <c r="D939" s="15"/>
      <c r="E939" s="15"/>
      <c r="F939" s="11"/>
      <c r="G939" s="16"/>
      <c r="H939" s="12"/>
      <c r="I939" s="12"/>
      <c r="J939" s="12"/>
      <c r="K939" s="9"/>
    </row>
    <row r="940" spans="1:11">
      <c r="A940" s="10" t="s">
        <v>11</v>
      </c>
      <c r="B940" s="10"/>
      <c r="C940" s="10"/>
      <c r="D940" s="10"/>
      <c r="E940" s="10"/>
      <c r="F940" s="10"/>
      <c r="G940" s="10"/>
      <c r="H940" s="12"/>
      <c r="I940" s="12"/>
      <c r="J940" s="12"/>
      <c r="K940" s="9"/>
    </row>
    <row r="941" spans="1:11">
      <c r="A941" s="74" t="s">
        <v>12</v>
      </c>
      <c r="B941" s="74"/>
      <c r="C941" s="74"/>
      <c r="D941" s="74"/>
      <c r="E941" s="74"/>
      <c r="F941" s="74"/>
      <c r="G941" s="74"/>
      <c r="H941" s="74"/>
      <c r="I941" s="74"/>
      <c r="J941" s="74"/>
      <c r="K941" s="74"/>
    </row>
    <row r="942" spans="1:11" ht="60">
      <c r="A942" s="17" t="s">
        <v>13</v>
      </c>
      <c r="B942" s="18" t="s">
        <v>14</v>
      </c>
      <c r="C942" s="59" t="s">
        <v>15</v>
      </c>
      <c r="D942" s="60"/>
      <c r="E942" s="61"/>
      <c r="F942" s="19"/>
      <c r="G942" s="20" t="s">
        <v>16</v>
      </c>
      <c r="H942" s="21" t="s">
        <v>35</v>
      </c>
      <c r="I942" s="21"/>
      <c r="J942" s="31" t="s">
        <v>17</v>
      </c>
      <c r="K942" s="32" t="s">
        <v>18</v>
      </c>
    </row>
    <row r="943" spans="1:11">
      <c r="A943" s="27">
        <v>1</v>
      </c>
      <c r="B943" s="24"/>
      <c r="C943" s="28" t="s">
        <v>23</v>
      </c>
      <c r="D943" s="57"/>
      <c r="E943" s="26"/>
      <c r="F943" s="25"/>
      <c r="G943" s="54" t="s">
        <v>19</v>
      </c>
      <c r="H943" s="54" t="s">
        <v>19</v>
      </c>
      <c r="I943" s="54"/>
      <c r="J943" s="54" t="s">
        <v>19</v>
      </c>
      <c r="K943" s="54" t="s">
        <v>19</v>
      </c>
    </row>
    <row r="944" spans="1:11">
      <c r="A944" s="24"/>
      <c r="B944" s="55" t="s">
        <v>20</v>
      </c>
      <c r="C944" s="25" t="s">
        <v>24</v>
      </c>
      <c r="D944" s="10"/>
      <c r="E944" s="26"/>
      <c r="F944" s="25"/>
      <c r="G944" s="23">
        <v>45000000</v>
      </c>
      <c r="H944" s="56">
        <f>H898+J898</f>
        <v>3425599</v>
      </c>
      <c r="I944" s="56"/>
      <c r="J944" s="56">
        <v>0</v>
      </c>
      <c r="K944" s="58">
        <f t="shared" ref="K944:K947" si="38">G944-H944-J944</f>
        <v>41574401</v>
      </c>
    </row>
    <row r="945" spans="1:11">
      <c r="A945" s="24"/>
      <c r="B945" s="55" t="s">
        <v>21</v>
      </c>
      <c r="C945" s="62" t="s">
        <v>39</v>
      </c>
      <c r="D945" s="63"/>
      <c r="E945" s="64"/>
      <c r="F945" s="25"/>
      <c r="G945" s="23">
        <v>35000000</v>
      </c>
      <c r="H945" s="56">
        <f>H899+J899</f>
        <v>5775990</v>
      </c>
      <c r="I945" s="56"/>
      <c r="J945" s="56">
        <v>0</v>
      </c>
      <c r="K945" s="58">
        <f t="shared" si="38"/>
        <v>29224010</v>
      </c>
    </row>
    <row r="946" spans="1:11">
      <c r="A946" s="24"/>
      <c r="B946" s="55" t="s">
        <v>22</v>
      </c>
      <c r="C946" s="65" t="s">
        <v>40</v>
      </c>
      <c r="D946" s="66"/>
      <c r="E946" s="67"/>
      <c r="F946" s="25"/>
      <c r="G946" s="23">
        <v>30000000</v>
      </c>
      <c r="H946" s="56">
        <f t="shared" ref="H946" si="39">H900+J900</f>
        <v>2469500</v>
      </c>
      <c r="I946" s="22"/>
      <c r="J946" s="22">
        <v>410000</v>
      </c>
      <c r="K946" s="33">
        <f t="shared" si="38"/>
        <v>27120500</v>
      </c>
    </row>
    <row r="947" spans="1:11">
      <c r="A947" s="24"/>
      <c r="B947" s="55" t="s">
        <v>36</v>
      </c>
      <c r="C947" s="68" t="s">
        <v>41</v>
      </c>
      <c r="D947" s="69"/>
      <c r="E947" s="70"/>
      <c r="F947" s="25"/>
      <c r="G947" s="23">
        <v>28125000</v>
      </c>
      <c r="H947" s="56">
        <f>H901+J901</f>
        <v>1440650</v>
      </c>
      <c r="I947" s="22"/>
      <c r="J947" s="22">
        <v>0</v>
      </c>
      <c r="K947" s="33">
        <f t="shared" si="38"/>
        <v>26684350</v>
      </c>
    </row>
    <row r="948" spans="1:11">
      <c r="A948" s="34"/>
      <c r="B948" s="34"/>
      <c r="C948" s="34" t="s">
        <v>25</v>
      </c>
      <c r="D948" s="34"/>
      <c r="E948" s="34"/>
      <c r="F948" s="35"/>
      <c r="G948" s="36">
        <f>SUM(G943:G947)</f>
        <v>138125000</v>
      </c>
      <c r="H948" s="37">
        <f>SUM(H943:H947)</f>
        <v>13111739</v>
      </c>
      <c r="I948" s="37"/>
      <c r="J948" s="37">
        <f>SUM(J943:J947)</f>
        <v>410000</v>
      </c>
      <c r="K948" s="37">
        <f>SUM(K943:K947)</f>
        <v>124603261</v>
      </c>
    </row>
    <row r="949" spans="1:11">
      <c r="A949" s="38"/>
      <c r="B949" s="8"/>
      <c r="C949" s="8"/>
      <c r="D949" s="8"/>
      <c r="E949" s="8"/>
      <c r="F949" s="8"/>
      <c r="G949" s="39"/>
      <c r="H949" s="39"/>
      <c r="I949" s="39"/>
      <c r="J949" s="39"/>
      <c r="K949" s="39"/>
    </row>
    <row r="950" spans="1:11">
      <c r="A950" s="71" t="s">
        <v>26</v>
      </c>
      <c r="B950" s="71"/>
      <c r="C950" s="71"/>
      <c r="D950" s="11" t="s">
        <v>4</v>
      </c>
      <c r="E950" s="14">
        <f>J948</f>
        <v>410000</v>
      </c>
      <c r="F950" s="40"/>
      <c r="G950" s="41"/>
      <c r="H950" s="41"/>
      <c r="I950" s="41"/>
      <c r="J950" s="9"/>
      <c r="K950" s="9"/>
    </row>
    <row r="951" spans="1:11">
      <c r="A951" s="10" t="s">
        <v>27</v>
      </c>
      <c r="B951" s="10"/>
      <c r="C951" s="10"/>
      <c r="D951" s="11" t="s">
        <v>4</v>
      </c>
      <c r="E951" s="42"/>
      <c r="F951" s="42"/>
      <c r="G951" s="43"/>
      <c r="H951" s="12"/>
      <c r="I951" s="12"/>
      <c r="J951" s="9"/>
      <c r="K951" s="9"/>
    </row>
    <row r="952" spans="1:11">
      <c r="A952" s="10" t="s">
        <v>28</v>
      </c>
      <c r="B952" s="10"/>
      <c r="C952" s="10"/>
      <c r="D952" s="11" t="s">
        <v>4</v>
      </c>
      <c r="E952" s="44"/>
      <c r="F952" s="44"/>
      <c r="G952" s="43"/>
      <c r="H952" s="12"/>
      <c r="I952" s="12"/>
      <c r="J952" s="9"/>
      <c r="K952" s="9"/>
    </row>
    <row r="953" spans="1:11">
      <c r="A953" s="10" t="s">
        <v>29</v>
      </c>
      <c r="B953" s="10"/>
      <c r="C953" s="10"/>
      <c r="D953" s="11" t="s">
        <v>4</v>
      </c>
      <c r="E953" s="44">
        <f>E951+E952</f>
        <v>0</v>
      </c>
      <c r="F953" s="44"/>
      <c r="G953" s="10"/>
      <c r="H953" s="12"/>
      <c r="I953" s="12"/>
      <c r="J953" s="46"/>
      <c r="K953" s="46"/>
    </row>
    <row r="954" spans="1:11">
      <c r="A954" s="13"/>
      <c r="B954" s="13"/>
      <c r="C954" s="13"/>
      <c r="D954" s="11"/>
      <c r="E954" s="13"/>
      <c r="F954" s="13"/>
      <c r="G954" s="10"/>
      <c r="H954" s="12"/>
      <c r="I954" s="12"/>
      <c r="J954" s="46"/>
      <c r="K954" s="46"/>
    </row>
    <row r="955" spans="1:11">
      <c r="A955" s="71" t="s">
        <v>30</v>
      </c>
      <c r="B955" s="71"/>
      <c r="C955" s="71"/>
      <c r="D955" s="11" t="s">
        <v>4</v>
      </c>
      <c r="E955" s="40">
        <f>E950-E953</f>
        <v>410000</v>
      </c>
      <c r="F955" s="40"/>
      <c r="G955" s="10"/>
      <c r="H955" s="12"/>
      <c r="I955" s="12"/>
      <c r="J955" s="46"/>
      <c r="K955" s="46"/>
    </row>
    <row r="956" spans="1:11" ht="15.75">
      <c r="A956" s="13"/>
      <c r="B956" s="13"/>
      <c r="C956" s="10"/>
      <c r="D956" s="10"/>
      <c r="E956" s="16" t="str">
        <f>PROPER(IF(E955=0,"nol",IF(E955&lt;0,"minus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955),"000000000000000"),1,3)=0,"",MID(TEXT(ABS(E955),"000000000000000"),1,1)&amp;" ratus "&amp;MID(TEXT(ABS(E955),"000000000000000"),2,1)&amp;" puluh "&amp;MID(TEXT(ABS(E955),"000000000000000"),3,1)&amp;" trilyun ")&amp;IF(--MID(TEXT(ABS(E955),"000000000000000"),4,3)=0,"",MID(TEXT(ABS(E955),"000000000000000"),4,1)&amp;" ratus "&amp;MID(TEXT(ABS(E955),"000000000000000"),5,1)&amp;" puluh "&amp;MID(TEXT(ABS(E955),"000000000000000"),6,1)&amp;" milyar ")&amp;IF(--MID(TEXT(ABS(E955),"000000000000000"),7,3)=0,"",MID(TEXT(ABS(E955),"000000000000000"),7,1)&amp;" ratus "&amp;MID(TEXT(ABS(E955),"000000000000000"),8,1)&amp;" puluh "&amp;MID(TEXT(ABS(E955),"000000000000000"),9,1)&amp;" juta ")&amp;IF(--MID(TEXT(ABS(E955),"000000000000000"),10,3)=0,"",IF(--MID(TEXT(ABS(E955),"000000000000000"),10,3)=1,"*",MID(TEXT(ABS(E955),"000000000000000"),10,1)&amp;" ratus "&amp;MID(TEXT(ABS(E955),"000000000000000"),11,1)&amp;" puluh ")&amp;MID(TEXT(ABS(E955),"000000000000000"),12,1)&amp;" ribu ")&amp;IF(--MID(TEXT(ABS(E955),"000000000000000"),13,3)=0,"",MID(TEXT(ABS(E955),"000000000000000"),13,1)&amp;" ratus "&amp;MID(TEXT(ABS(E955),"000000000000000"),14,1)&amp;" puluh "&amp;MID(TEXT(ABS(E955),"000000000000000"),15,1)),1,"satu"),2,"dua"),3,"tiga"),4,"empat"),5,"lima"),6,"enam"),7,"tujuh"),8,"delapan"),9,"sembilan"),"0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Sepuluh Ribu Rupiah</v>
      </c>
      <c r="F956" s="10"/>
      <c r="G956" s="10"/>
      <c r="H956" s="10"/>
      <c r="I956" s="10"/>
      <c r="J956" s="46"/>
      <c r="K956" s="46"/>
    </row>
    <row r="957" spans="1:11">
      <c r="A957" s="45"/>
      <c r="B957" s="45"/>
      <c r="C957" s="45"/>
      <c r="D957" s="45"/>
      <c r="E957" s="45"/>
      <c r="F957" s="45"/>
      <c r="G957" s="29"/>
      <c r="H957" s="46"/>
      <c r="I957" s="46"/>
      <c r="J957" s="46"/>
      <c r="K957" s="46"/>
    </row>
    <row r="958" spans="1:11">
      <c r="A958" s="29"/>
      <c r="B958" s="29"/>
      <c r="C958" s="29"/>
      <c r="D958" s="29"/>
      <c r="E958" s="29"/>
      <c r="F958" s="29"/>
      <c r="G958" s="29"/>
      <c r="H958"/>
      <c r="I958"/>
      <c r="J958" s="46"/>
      <c r="K958" s="46"/>
    </row>
    <row r="959" spans="1:11">
      <c r="A959" s="13"/>
      <c r="B959" s="13"/>
      <c r="C959" s="10"/>
      <c r="D959" s="10"/>
      <c r="E959" s="10"/>
      <c r="F959" s="10"/>
      <c r="G959" s="10"/>
      <c r="I959" s="47"/>
      <c r="J959" s="47" t="s">
        <v>103</v>
      </c>
      <c r="K959" s="46"/>
    </row>
    <row r="960" spans="1:11">
      <c r="A960" s="12" t="s">
        <v>31</v>
      </c>
      <c r="B960" s="10"/>
      <c r="C960" s="10"/>
      <c r="D960" s="10"/>
      <c r="E960" s="10"/>
      <c r="F960" s="10"/>
      <c r="G960" s="10"/>
      <c r="I960" s="12"/>
      <c r="J960" s="12" t="s">
        <v>32</v>
      </c>
      <c r="K960" s="46"/>
    </row>
    <row r="961" spans="1:11">
      <c r="A961" s="10"/>
      <c r="B961" s="10"/>
      <c r="C961" s="10"/>
      <c r="D961" s="10"/>
      <c r="E961" s="10"/>
      <c r="F961" s="10"/>
      <c r="G961" s="10"/>
      <c r="I961" s="12"/>
      <c r="J961" s="12"/>
      <c r="K961" s="46"/>
    </row>
    <row r="962" spans="1:11">
      <c r="A962" s="10"/>
      <c r="B962" s="10"/>
      <c r="C962" s="10"/>
      <c r="D962" s="10"/>
      <c r="E962" s="10"/>
      <c r="F962" s="10"/>
      <c r="G962" s="10"/>
      <c r="I962" s="12"/>
      <c r="J962" s="12"/>
      <c r="K962" s="46"/>
    </row>
    <row r="963" spans="1:11">
      <c r="A963" s="10"/>
      <c r="B963" s="10"/>
      <c r="C963" s="10"/>
      <c r="D963" s="10"/>
      <c r="E963" s="10"/>
      <c r="F963" s="10"/>
      <c r="G963" s="10"/>
      <c r="I963" s="12"/>
      <c r="J963" s="12"/>
      <c r="K963" s="46"/>
    </row>
    <row r="964" spans="1:11">
      <c r="A964" s="10"/>
      <c r="B964" s="10"/>
      <c r="C964" s="10"/>
      <c r="D964" s="10"/>
      <c r="E964" s="10"/>
      <c r="F964" s="10"/>
      <c r="G964" s="10"/>
      <c r="I964" s="12"/>
      <c r="J964" s="12"/>
      <c r="K964" s="46"/>
    </row>
    <row r="965" spans="1:11">
      <c r="A965" s="48" t="s">
        <v>37</v>
      </c>
      <c r="B965" s="48"/>
      <c r="C965" s="49"/>
      <c r="D965" s="49"/>
      <c r="E965" s="49"/>
      <c r="F965" s="49"/>
      <c r="G965" s="10" t="s">
        <v>33</v>
      </c>
      <c r="I965" s="48"/>
      <c r="J965" s="48" t="s">
        <v>34</v>
      </c>
      <c r="K965" s="46"/>
    </row>
    <row r="970" spans="1:11" ht="15.75">
      <c r="C970" s="2"/>
      <c r="D970" s="2"/>
      <c r="E970" s="2"/>
      <c r="F970" s="2"/>
    </row>
    <row r="971" spans="1:11" ht="15.75">
      <c r="A971" s="3"/>
      <c r="B971" s="3"/>
      <c r="C971" s="2"/>
      <c r="D971" s="2"/>
      <c r="E971" s="2"/>
      <c r="F971" s="2"/>
      <c r="G971" s="3"/>
      <c r="H971" s="4"/>
      <c r="I971" s="4"/>
      <c r="J971" s="4"/>
      <c r="K971" s="5"/>
    </row>
    <row r="972" spans="1:11">
      <c r="H972" s="5"/>
      <c r="I972" s="5"/>
      <c r="J972" s="5"/>
      <c r="K972" s="5"/>
    </row>
    <row r="973" spans="1:11">
      <c r="H973" s="5"/>
      <c r="I973" s="5"/>
      <c r="J973" s="5"/>
      <c r="K973" s="5"/>
    </row>
    <row r="974" spans="1:11">
      <c r="A974" s="72" t="s">
        <v>0</v>
      </c>
      <c r="B974" s="72"/>
      <c r="C974" s="73"/>
      <c r="D974" s="73"/>
      <c r="E974" s="73"/>
      <c r="F974" s="73"/>
      <c r="G974" s="73"/>
      <c r="H974" s="73"/>
      <c r="I974" s="73"/>
      <c r="J974" s="73"/>
      <c r="K974" s="73"/>
    </row>
    <row r="975" spans="1:11">
      <c r="A975" s="73" t="s">
        <v>104</v>
      </c>
      <c r="B975" s="73"/>
      <c r="C975" s="73"/>
      <c r="D975" s="73"/>
      <c r="E975" s="73"/>
      <c r="F975" s="73"/>
      <c r="G975" s="73"/>
      <c r="H975" s="73"/>
      <c r="I975" s="73"/>
      <c r="J975" s="73"/>
      <c r="K975" s="73"/>
    </row>
    <row r="976" spans="1:11">
      <c r="A976" s="73" t="s">
        <v>1</v>
      </c>
      <c r="B976" s="73"/>
      <c r="C976" s="73"/>
      <c r="D976" s="73"/>
      <c r="E976" s="73"/>
      <c r="F976" s="73"/>
      <c r="G976" s="73"/>
      <c r="H976" s="73"/>
      <c r="I976" s="73"/>
      <c r="J976" s="73"/>
      <c r="K976" s="73"/>
    </row>
    <row r="977" spans="1:11">
      <c r="A977" s="73" t="s">
        <v>38</v>
      </c>
      <c r="B977" s="73"/>
      <c r="C977" s="73"/>
      <c r="D977" s="73"/>
      <c r="E977" s="73"/>
      <c r="F977" s="73"/>
      <c r="G977" s="73"/>
      <c r="H977" s="73"/>
      <c r="I977" s="73"/>
      <c r="J977" s="73"/>
      <c r="K977" s="73"/>
    </row>
    <row r="978" spans="1:11">
      <c r="A978" s="73" t="s">
        <v>2</v>
      </c>
      <c r="B978" s="73"/>
      <c r="C978" s="73"/>
      <c r="D978" s="73"/>
      <c r="E978" s="73"/>
      <c r="F978" s="73"/>
      <c r="G978" s="73"/>
      <c r="H978" s="73"/>
      <c r="I978" s="73"/>
      <c r="J978" s="73"/>
      <c r="K978" s="73"/>
    </row>
    <row r="979" spans="1:11">
      <c r="A979" s="6"/>
      <c r="B979" s="6"/>
      <c r="C979" s="7"/>
      <c r="D979" s="7"/>
      <c r="E979" s="7"/>
      <c r="F979" s="7"/>
      <c r="G979" s="8"/>
      <c r="H979" s="9"/>
      <c r="I979" s="9"/>
      <c r="J979" s="9"/>
      <c r="K979" s="9"/>
    </row>
    <row r="980" spans="1:11">
      <c r="A980" s="52" t="s">
        <v>3</v>
      </c>
      <c r="B980" s="10"/>
      <c r="C980" s="10"/>
      <c r="D980" s="53" t="s">
        <v>4</v>
      </c>
      <c r="E980" s="10" t="s">
        <v>5</v>
      </c>
      <c r="F980" s="11"/>
      <c r="G980" s="10"/>
      <c r="H980" s="12"/>
      <c r="I980" s="12"/>
      <c r="J980" s="12"/>
      <c r="K980" s="9"/>
    </row>
    <row r="981" spans="1:11">
      <c r="A981" s="52" t="s">
        <v>6</v>
      </c>
      <c r="B981" s="10"/>
      <c r="C981" s="10"/>
      <c r="D981" s="53" t="s">
        <v>4</v>
      </c>
      <c r="E981" s="10" t="s">
        <v>7</v>
      </c>
      <c r="F981" s="11"/>
      <c r="G981" s="10"/>
      <c r="H981" s="12"/>
      <c r="I981" s="12"/>
      <c r="J981" s="12"/>
      <c r="K981" s="9"/>
    </row>
    <row r="982" spans="1:11">
      <c r="A982" s="52" t="s">
        <v>8</v>
      </c>
      <c r="B982" s="10"/>
      <c r="C982" s="10"/>
      <c r="D982" s="53" t="s">
        <v>4</v>
      </c>
      <c r="E982" s="13">
        <v>2026</v>
      </c>
      <c r="F982" s="11"/>
      <c r="G982" s="13"/>
      <c r="H982" s="12"/>
      <c r="I982" s="12"/>
      <c r="J982" s="12"/>
      <c r="K982" s="9"/>
    </row>
    <row r="983" spans="1:11">
      <c r="A983" s="52" t="s">
        <v>9</v>
      </c>
      <c r="B983" s="10"/>
      <c r="C983" s="10"/>
      <c r="D983" s="53" t="s">
        <v>4</v>
      </c>
      <c r="E983" s="14">
        <f>J994</f>
        <v>930000</v>
      </c>
      <c r="F983" s="11"/>
      <c r="G983" s="14"/>
      <c r="H983" s="12"/>
      <c r="I983" s="12"/>
      <c r="J983" s="12"/>
      <c r="K983" s="9"/>
    </row>
    <row r="984" spans="1:11" ht="15.75">
      <c r="A984" s="10"/>
      <c r="B984" s="10"/>
      <c r="C984" s="15" t="s">
        <v>10</v>
      </c>
      <c r="D984" s="53" t="s">
        <v>4</v>
      </c>
      <c r="E984" s="16" t="str">
        <f>PROPER(IF(E983=0,"nol",IF(E983&lt;0,"minus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983),"000000000000000"),1,3)=0,"",MID(TEXT(ABS(E983),"000000000000000"),1,1)&amp;" ratus "&amp;MID(TEXT(ABS(E983),"000000000000000"),2,1)&amp;" puluh "&amp;MID(TEXT(ABS(E983),"000000000000000"),3,1)&amp;" trilyun ")&amp;IF(--MID(TEXT(ABS(E983),"000000000000000"),4,3)=0,"",MID(TEXT(ABS(E983),"000000000000000"),4,1)&amp;" ratus "&amp;MID(TEXT(ABS(E983),"000000000000000"),5,1)&amp;" puluh "&amp;MID(TEXT(ABS(E983),"000000000000000"),6,1)&amp;" milyar ")&amp;IF(--MID(TEXT(ABS(E983),"000000000000000"),7,3)=0,"",MID(TEXT(ABS(E983),"000000000000000"),7,1)&amp;" ratus "&amp;MID(TEXT(ABS(E983),"000000000000000"),8,1)&amp;" puluh "&amp;MID(TEXT(ABS(E983),"000000000000000"),9,1)&amp;" juta ")&amp;IF(--MID(TEXT(ABS(E983),"000000000000000"),10,3)=0,"",IF(--MID(TEXT(ABS(E983),"000000000000000"),10,3)=1,"*",MID(TEXT(ABS(E983),"000000000000000"),10,1)&amp;" ratus "&amp;MID(TEXT(ABS(E983),"000000000000000"),11,1)&amp;" puluh ")&amp;MID(TEXT(ABS(E983),"000000000000000"),12,1)&amp;" ribu ")&amp;IF(--MID(TEXT(ABS(E983),"000000000000000"),13,3)=0,"",MID(TEXT(ABS(E983),"000000000000000"),13,1)&amp;" ratus "&amp;MID(TEXT(ABS(E983),"000000000000000"),14,1)&amp;" puluh "&amp;MID(TEXT(ABS(E983),"000000000000000"),15,1)),1,"satu"),2,"dua"),3,"tiga"),4,"empat"),5,"lima"),6,"enam"),7,"tujuh"),8,"delapan"),9,"sembilan"),"0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Ratus Tiga Puluh Ribu Rupiah</v>
      </c>
      <c r="F984" s="11"/>
      <c r="G984" s="16"/>
      <c r="H984" s="12"/>
      <c r="I984" s="12"/>
      <c r="J984" s="12"/>
      <c r="K984" s="9"/>
    </row>
    <row r="985" spans="1:11" ht="15.75">
      <c r="A985" s="10"/>
      <c r="B985" s="10"/>
      <c r="C985" s="15"/>
      <c r="D985" s="15"/>
      <c r="E985" s="15"/>
      <c r="F985" s="11"/>
      <c r="G985" s="16"/>
      <c r="H985" s="12"/>
      <c r="I985" s="12"/>
      <c r="J985" s="12"/>
      <c r="K985" s="9"/>
    </row>
    <row r="986" spans="1:11">
      <c r="A986" s="10" t="s">
        <v>11</v>
      </c>
      <c r="B986" s="10"/>
      <c r="C986" s="10"/>
      <c r="D986" s="10"/>
      <c r="E986" s="10"/>
      <c r="F986" s="10"/>
      <c r="G986" s="10"/>
      <c r="H986" s="12"/>
      <c r="I986" s="12"/>
      <c r="J986" s="12"/>
      <c r="K986" s="9"/>
    </row>
    <row r="987" spans="1:11">
      <c r="A987" s="74" t="s">
        <v>12</v>
      </c>
      <c r="B987" s="74"/>
      <c r="C987" s="74"/>
      <c r="D987" s="74"/>
      <c r="E987" s="74"/>
      <c r="F987" s="74"/>
      <c r="G987" s="74"/>
      <c r="H987" s="74"/>
      <c r="I987" s="74"/>
      <c r="J987" s="74"/>
      <c r="K987" s="74"/>
    </row>
    <row r="988" spans="1:11" ht="60">
      <c r="A988" s="17" t="s">
        <v>13</v>
      </c>
      <c r="B988" s="18" t="s">
        <v>14</v>
      </c>
      <c r="C988" s="59" t="s">
        <v>15</v>
      </c>
      <c r="D988" s="60"/>
      <c r="E988" s="61"/>
      <c r="F988" s="19"/>
      <c r="G988" s="20" t="s">
        <v>16</v>
      </c>
      <c r="H988" s="21" t="s">
        <v>35</v>
      </c>
      <c r="I988" s="21"/>
      <c r="J988" s="31" t="s">
        <v>17</v>
      </c>
      <c r="K988" s="32" t="s">
        <v>18</v>
      </c>
    </row>
    <row r="989" spans="1:11">
      <c r="A989" s="27">
        <v>1</v>
      </c>
      <c r="B989" s="24"/>
      <c r="C989" s="28" t="s">
        <v>23</v>
      </c>
      <c r="D989" s="57"/>
      <c r="E989" s="26"/>
      <c r="F989" s="25"/>
      <c r="G989" s="54" t="s">
        <v>19</v>
      </c>
      <c r="H989" s="54" t="s">
        <v>19</v>
      </c>
      <c r="I989" s="54"/>
      <c r="J989" s="54" t="s">
        <v>19</v>
      </c>
      <c r="K989" s="54" t="s">
        <v>19</v>
      </c>
    </row>
    <row r="990" spans="1:11">
      <c r="A990" s="24"/>
      <c r="B990" s="55" t="s">
        <v>20</v>
      </c>
      <c r="C990" s="25" t="s">
        <v>24</v>
      </c>
      <c r="D990" s="10"/>
      <c r="E990" s="26"/>
      <c r="F990" s="25"/>
      <c r="G990" s="23">
        <v>45000000</v>
      </c>
      <c r="H990" s="56">
        <f>H944+J944</f>
        <v>3425599</v>
      </c>
      <c r="I990" s="56"/>
      <c r="J990" s="56">
        <v>0</v>
      </c>
      <c r="K990" s="58">
        <f t="shared" ref="K990:K993" si="40">G990-H990-J990</f>
        <v>41574401</v>
      </c>
    </row>
    <row r="991" spans="1:11">
      <c r="A991" s="24"/>
      <c r="B991" s="55" t="s">
        <v>21</v>
      </c>
      <c r="C991" s="62" t="s">
        <v>39</v>
      </c>
      <c r="D991" s="63"/>
      <c r="E991" s="64"/>
      <c r="F991" s="25"/>
      <c r="G991" s="23">
        <v>35000000</v>
      </c>
      <c r="H991" s="56">
        <f t="shared" ref="H991:H993" si="41">H945+J945</f>
        <v>5775990</v>
      </c>
      <c r="I991" s="56"/>
      <c r="J991" s="56">
        <v>0</v>
      </c>
      <c r="K991" s="58">
        <f t="shared" si="40"/>
        <v>29224010</v>
      </c>
    </row>
    <row r="992" spans="1:11">
      <c r="A992" s="24"/>
      <c r="B992" s="55" t="s">
        <v>22</v>
      </c>
      <c r="C992" s="65" t="s">
        <v>40</v>
      </c>
      <c r="D992" s="66"/>
      <c r="E992" s="67"/>
      <c r="F992" s="25"/>
      <c r="G992" s="23">
        <v>30000000</v>
      </c>
      <c r="H992" s="56">
        <f t="shared" si="41"/>
        <v>2879500</v>
      </c>
      <c r="I992" s="22"/>
      <c r="J992" s="22">
        <v>930000</v>
      </c>
      <c r="K992" s="33">
        <f t="shared" si="40"/>
        <v>26190500</v>
      </c>
    </row>
    <row r="993" spans="1:11">
      <c r="A993" s="24"/>
      <c r="B993" s="55" t="s">
        <v>36</v>
      </c>
      <c r="C993" s="68" t="s">
        <v>41</v>
      </c>
      <c r="D993" s="69"/>
      <c r="E993" s="70"/>
      <c r="F993" s="25"/>
      <c r="G993" s="23">
        <v>28125000</v>
      </c>
      <c r="H993" s="56">
        <f t="shared" si="41"/>
        <v>1440650</v>
      </c>
      <c r="I993" s="22"/>
      <c r="J993" s="22">
        <v>0</v>
      </c>
      <c r="K993" s="33">
        <f t="shared" si="40"/>
        <v>26684350</v>
      </c>
    </row>
    <row r="994" spans="1:11">
      <c r="A994" s="34"/>
      <c r="B994" s="34"/>
      <c r="C994" s="34" t="s">
        <v>25</v>
      </c>
      <c r="D994" s="34"/>
      <c r="E994" s="34"/>
      <c r="F994" s="35"/>
      <c r="G994" s="36">
        <f>SUM(G989:G993)</f>
        <v>138125000</v>
      </c>
      <c r="H994" s="37">
        <f>SUM(H989:H993)</f>
        <v>13521739</v>
      </c>
      <c r="I994" s="37"/>
      <c r="J994" s="37">
        <f>SUM(J989:J993)</f>
        <v>930000</v>
      </c>
      <c r="K994" s="37">
        <f>SUM(K989:K993)</f>
        <v>123673261</v>
      </c>
    </row>
    <row r="995" spans="1:11">
      <c r="A995" s="38"/>
      <c r="B995" s="8"/>
      <c r="C995" s="8"/>
      <c r="D995" s="8"/>
      <c r="E995" s="8"/>
      <c r="F995" s="8"/>
      <c r="G995" s="39"/>
      <c r="H995" s="39"/>
      <c r="I995" s="39"/>
      <c r="J995" s="39"/>
      <c r="K995" s="39"/>
    </row>
    <row r="996" spans="1:11">
      <c r="A996" s="71" t="s">
        <v>26</v>
      </c>
      <c r="B996" s="71"/>
      <c r="C996" s="71"/>
      <c r="D996" s="11" t="s">
        <v>4</v>
      </c>
      <c r="E996" s="14">
        <f>J994</f>
        <v>930000</v>
      </c>
      <c r="F996" s="40"/>
      <c r="G996" s="41"/>
      <c r="H996" s="41"/>
      <c r="I996" s="41"/>
      <c r="J996" s="9"/>
      <c r="K996" s="9"/>
    </row>
    <row r="997" spans="1:11">
      <c r="A997" s="10" t="s">
        <v>27</v>
      </c>
      <c r="B997" s="10"/>
      <c r="C997" s="10"/>
      <c r="D997" s="11" t="s">
        <v>4</v>
      </c>
      <c r="E997" s="42"/>
      <c r="F997" s="42"/>
      <c r="G997" s="43"/>
      <c r="H997" s="12"/>
      <c r="I997" s="12"/>
      <c r="J997" s="9"/>
      <c r="K997" s="9"/>
    </row>
    <row r="998" spans="1:11">
      <c r="A998" s="10" t="s">
        <v>28</v>
      </c>
      <c r="B998" s="10"/>
      <c r="C998" s="10"/>
      <c r="D998" s="11" t="s">
        <v>4</v>
      </c>
      <c r="E998" s="44"/>
      <c r="F998" s="44"/>
      <c r="G998" s="43"/>
      <c r="H998" s="12"/>
      <c r="I998" s="12"/>
      <c r="J998" s="9"/>
      <c r="K998" s="9"/>
    </row>
    <row r="999" spans="1:11">
      <c r="A999" s="10" t="s">
        <v>29</v>
      </c>
      <c r="B999" s="10"/>
      <c r="C999" s="10"/>
      <c r="D999" s="11" t="s">
        <v>4</v>
      </c>
      <c r="E999" s="44">
        <f>E997+E998</f>
        <v>0</v>
      </c>
      <c r="F999" s="44"/>
      <c r="G999" s="10"/>
      <c r="H999" s="12"/>
      <c r="I999" s="12"/>
      <c r="J999" s="46"/>
      <c r="K999" s="46"/>
    </row>
    <row r="1000" spans="1:11">
      <c r="A1000" s="13"/>
      <c r="B1000" s="13"/>
      <c r="C1000" s="13"/>
      <c r="D1000" s="11"/>
      <c r="E1000" s="13"/>
      <c r="F1000" s="13"/>
      <c r="G1000" s="10"/>
      <c r="H1000" s="12"/>
      <c r="I1000" s="12"/>
      <c r="J1000" s="46"/>
      <c r="K1000" s="46"/>
    </row>
    <row r="1001" spans="1:11">
      <c r="A1001" s="71" t="s">
        <v>30</v>
      </c>
      <c r="B1001" s="71"/>
      <c r="C1001" s="71"/>
      <c r="D1001" s="11" t="s">
        <v>4</v>
      </c>
      <c r="E1001" s="40">
        <f>E996-E999</f>
        <v>930000</v>
      </c>
      <c r="F1001" s="40"/>
      <c r="G1001" s="10"/>
      <c r="H1001" s="12"/>
      <c r="I1001" s="12"/>
      <c r="J1001" s="46"/>
      <c r="K1001" s="46"/>
    </row>
    <row r="1002" spans="1:11" ht="15.75">
      <c r="A1002" s="13"/>
      <c r="B1002" s="13"/>
      <c r="C1002" s="10"/>
      <c r="D1002" s="10"/>
      <c r="E1002" s="16" t="str">
        <f>PROPER(IF(E1001=0,"nol",IF(E1001&lt;0,"minus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1001),"000000000000000"),1,3)=0,"",MID(TEXT(ABS(E1001),"000000000000000"),1,1)&amp;" ratus "&amp;MID(TEXT(ABS(E1001),"000000000000000"),2,1)&amp;" puluh "&amp;MID(TEXT(ABS(E1001),"000000000000000"),3,1)&amp;" trilyun ")&amp;IF(--MID(TEXT(ABS(E1001),"000000000000000"),4,3)=0,"",MID(TEXT(ABS(E1001),"000000000000000"),4,1)&amp;" ratus "&amp;MID(TEXT(ABS(E1001),"000000000000000"),5,1)&amp;" puluh "&amp;MID(TEXT(ABS(E1001),"000000000000000"),6,1)&amp;" milyar ")&amp;IF(--MID(TEXT(ABS(E1001),"000000000000000"),7,3)=0,"",MID(TEXT(ABS(E1001),"000000000000000"),7,1)&amp;" ratus "&amp;MID(TEXT(ABS(E1001),"000000000000000"),8,1)&amp;" puluh "&amp;MID(TEXT(ABS(E1001),"000000000000000"),9,1)&amp;" juta ")&amp;IF(--MID(TEXT(ABS(E1001),"000000000000000"),10,3)=0,"",IF(--MID(TEXT(ABS(E1001),"000000000000000"),10,3)=1,"*",MID(TEXT(ABS(E1001),"000000000000000"),10,1)&amp;" ratus "&amp;MID(TEXT(ABS(E1001),"000000000000000"),11,1)&amp;" puluh ")&amp;MID(TEXT(ABS(E1001),"000000000000000"),12,1)&amp;" ribu ")&amp;IF(--MID(TEXT(ABS(E1001),"000000000000000"),13,3)=0,"",MID(TEXT(ABS(E1001),"000000000000000"),13,1)&amp;" ratus "&amp;MID(TEXT(ABS(E1001),"000000000000000"),14,1)&amp;" puluh "&amp;MID(TEXT(ABS(E1001),"000000000000000"),15,1)),1,"satu"),2,"dua"),3,"tiga"),4,"empat"),5,"lima"),6,"enam"),7,"tujuh"),8,"delapan"),9,"sembilan"),"0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Ratus Tiga Puluh Ribu Rupiah</v>
      </c>
      <c r="F1002" s="10"/>
      <c r="G1002" s="10"/>
      <c r="H1002" s="10"/>
      <c r="I1002" s="10"/>
      <c r="J1002" s="46"/>
      <c r="K1002" s="46"/>
    </row>
    <row r="1003" spans="1:11">
      <c r="A1003" s="45"/>
      <c r="B1003" s="45"/>
      <c r="C1003" s="45"/>
      <c r="D1003" s="45"/>
      <c r="E1003" s="45"/>
      <c r="F1003" s="45"/>
      <c r="G1003" s="29"/>
      <c r="H1003" s="46"/>
      <c r="I1003" s="46"/>
      <c r="J1003" s="46"/>
      <c r="K1003" s="46"/>
    </row>
    <row r="1004" spans="1:11">
      <c r="A1004" s="29"/>
      <c r="B1004" s="29"/>
      <c r="C1004" s="29"/>
      <c r="D1004" s="29"/>
      <c r="E1004" s="29"/>
      <c r="F1004" s="29"/>
      <c r="G1004" s="29"/>
      <c r="H1004"/>
      <c r="I1004"/>
      <c r="J1004" s="46"/>
      <c r="K1004" s="46"/>
    </row>
    <row r="1005" spans="1:11">
      <c r="A1005" s="13"/>
      <c r="B1005" s="13"/>
      <c r="C1005" s="10"/>
      <c r="D1005" s="10"/>
      <c r="E1005" s="10"/>
      <c r="F1005" s="10"/>
      <c r="G1005" s="10"/>
      <c r="I1005" s="47"/>
      <c r="J1005" s="47" t="s">
        <v>105</v>
      </c>
      <c r="K1005" s="46"/>
    </row>
    <row r="1006" spans="1:11">
      <c r="A1006" s="12" t="s">
        <v>31</v>
      </c>
      <c r="B1006" s="10"/>
      <c r="C1006" s="10"/>
      <c r="D1006" s="10"/>
      <c r="E1006" s="10"/>
      <c r="F1006" s="10"/>
      <c r="G1006" s="10"/>
      <c r="I1006" s="12"/>
      <c r="J1006" s="12" t="s">
        <v>32</v>
      </c>
      <c r="K1006" s="46"/>
    </row>
    <row r="1007" spans="1:11">
      <c r="A1007" s="10"/>
      <c r="B1007" s="10"/>
      <c r="C1007" s="10"/>
      <c r="D1007" s="10"/>
      <c r="E1007" s="10"/>
      <c r="F1007" s="10"/>
      <c r="G1007" s="10"/>
      <c r="I1007" s="12"/>
      <c r="J1007" s="12"/>
      <c r="K1007" s="46"/>
    </row>
    <row r="1008" spans="1:11">
      <c r="A1008" s="10"/>
      <c r="B1008" s="10"/>
      <c r="C1008" s="10"/>
      <c r="D1008" s="10"/>
      <c r="E1008" s="10"/>
      <c r="F1008" s="10"/>
      <c r="G1008" s="10"/>
      <c r="I1008" s="12"/>
      <c r="J1008" s="12"/>
      <c r="K1008" s="46"/>
    </row>
    <row r="1009" spans="1:11">
      <c r="A1009" s="10"/>
      <c r="B1009" s="10"/>
      <c r="C1009" s="10"/>
      <c r="D1009" s="10"/>
      <c r="E1009" s="10"/>
      <c r="F1009" s="10"/>
      <c r="G1009" s="10"/>
      <c r="I1009" s="12"/>
      <c r="J1009" s="12"/>
      <c r="K1009" s="46"/>
    </row>
    <row r="1010" spans="1:11">
      <c r="A1010" s="10"/>
      <c r="B1010" s="10"/>
      <c r="C1010" s="10"/>
      <c r="D1010" s="10"/>
      <c r="E1010" s="10"/>
      <c r="F1010" s="10"/>
      <c r="G1010" s="10"/>
      <c r="I1010" s="12"/>
      <c r="J1010" s="12"/>
      <c r="K1010" s="46"/>
    </row>
    <row r="1011" spans="1:11">
      <c r="A1011" s="48" t="s">
        <v>37</v>
      </c>
      <c r="B1011" s="48"/>
      <c r="C1011" s="49"/>
      <c r="D1011" s="49"/>
      <c r="E1011" s="49"/>
      <c r="F1011" s="49"/>
      <c r="G1011" s="10" t="s">
        <v>33</v>
      </c>
      <c r="I1011" s="48"/>
      <c r="J1011" s="48" t="s">
        <v>34</v>
      </c>
      <c r="K1011" s="46"/>
    </row>
    <row r="1016" spans="1:11" ht="15.75">
      <c r="C1016" s="2"/>
      <c r="D1016" s="2"/>
      <c r="E1016" s="2"/>
      <c r="F1016" s="2"/>
    </row>
    <row r="1017" spans="1:11" ht="15.75">
      <c r="A1017" s="3"/>
      <c r="B1017" s="3"/>
      <c r="C1017" s="2"/>
      <c r="D1017" s="2"/>
      <c r="E1017" s="2"/>
      <c r="F1017" s="2"/>
      <c r="G1017" s="3"/>
      <c r="H1017" s="4"/>
      <c r="I1017" s="4"/>
      <c r="J1017" s="4"/>
      <c r="K1017" s="5"/>
    </row>
    <row r="1018" spans="1:11">
      <c r="H1018" s="5"/>
      <c r="I1018" s="5"/>
      <c r="J1018" s="5"/>
      <c r="K1018" s="5"/>
    </row>
    <row r="1019" spans="1:11">
      <c r="H1019" s="5"/>
      <c r="I1019" s="5"/>
      <c r="J1019" s="5"/>
      <c r="K1019" s="5"/>
    </row>
    <row r="1020" spans="1:11">
      <c r="A1020" s="72" t="s">
        <v>0</v>
      </c>
      <c r="B1020" s="72"/>
      <c r="C1020" s="73"/>
      <c r="D1020" s="73"/>
      <c r="E1020" s="73"/>
      <c r="F1020" s="73"/>
      <c r="G1020" s="73"/>
      <c r="H1020" s="73"/>
      <c r="I1020" s="73"/>
      <c r="J1020" s="73"/>
      <c r="K1020" s="73"/>
    </row>
    <row r="1021" spans="1:11">
      <c r="A1021" s="73" t="s">
        <v>107</v>
      </c>
      <c r="B1021" s="73"/>
      <c r="C1021" s="73"/>
      <c r="D1021" s="73"/>
      <c r="E1021" s="73"/>
      <c r="F1021" s="73"/>
      <c r="G1021" s="73"/>
      <c r="H1021" s="73"/>
      <c r="I1021" s="73"/>
      <c r="J1021" s="73"/>
      <c r="K1021" s="73"/>
    </row>
    <row r="1022" spans="1:11">
      <c r="A1022" s="73" t="s">
        <v>1</v>
      </c>
      <c r="B1022" s="73"/>
      <c r="C1022" s="73"/>
      <c r="D1022" s="73"/>
      <c r="E1022" s="73"/>
      <c r="F1022" s="73"/>
      <c r="G1022" s="73"/>
      <c r="H1022" s="73"/>
      <c r="I1022" s="73"/>
      <c r="J1022" s="73"/>
      <c r="K1022" s="73"/>
    </row>
    <row r="1023" spans="1:11">
      <c r="A1023" s="73" t="s">
        <v>38</v>
      </c>
      <c r="B1023" s="73"/>
      <c r="C1023" s="73"/>
      <c r="D1023" s="73"/>
      <c r="E1023" s="73"/>
      <c r="F1023" s="73"/>
      <c r="G1023" s="73"/>
      <c r="H1023" s="73"/>
      <c r="I1023" s="73"/>
      <c r="J1023" s="73"/>
      <c r="K1023" s="73"/>
    </row>
    <row r="1024" spans="1:11">
      <c r="A1024" s="73" t="s">
        <v>2</v>
      </c>
      <c r="B1024" s="73"/>
      <c r="C1024" s="73"/>
      <c r="D1024" s="73"/>
      <c r="E1024" s="73"/>
      <c r="F1024" s="73"/>
      <c r="G1024" s="73"/>
      <c r="H1024" s="73"/>
      <c r="I1024" s="73"/>
      <c r="J1024" s="73"/>
      <c r="K1024" s="73"/>
    </row>
    <row r="1025" spans="1:11">
      <c r="A1025" s="6"/>
      <c r="B1025" s="6"/>
      <c r="C1025" s="7"/>
      <c r="D1025" s="7"/>
      <c r="E1025" s="7"/>
      <c r="F1025" s="7"/>
      <c r="G1025" s="8"/>
      <c r="H1025" s="9"/>
      <c r="I1025" s="9"/>
      <c r="J1025" s="9"/>
      <c r="K1025" s="9"/>
    </row>
    <row r="1026" spans="1:11">
      <c r="A1026" s="52" t="s">
        <v>3</v>
      </c>
      <c r="B1026" s="10"/>
      <c r="C1026" s="10"/>
      <c r="D1026" s="53" t="s">
        <v>4</v>
      </c>
      <c r="E1026" s="10" t="s">
        <v>5</v>
      </c>
      <c r="F1026" s="11"/>
      <c r="G1026" s="10"/>
      <c r="H1026" s="12"/>
      <c r="I1026" s="12"/>
      <c r="J1026" s="12"/>
      <c r="K1026" s="9"/>
    </row>
    <row r="1027" spans="1:11">
      <c r="A1027" s="52" t="s">
        <v>6</v>
      </c>
      <c r="B1027" s="10"/>
      <c r="C1027" s="10"/>
      <c r="D1027" s="53" t="s">
        <v>4</v>
      </c>
      <c r="E1027" s="10" t="s">
        <v>7</v>
      </c>
      <c r="F1027" s="11"/>
      <c r="G1027" s="10"/>
      <c r="H1027" s="12"/>
      <c r="I1027" s="12"/>
      <c r="J1027" s="12"/>
      <c r="K1027" s="9"/>
    </row>
    <row r="1028" spans="1:11">
      <c r="A1028" s="52" t="s">
        <v>8</v>
      </c>
      <c r="B1028" s="10"/>
      <c r="C1028" s="10"/>
      <c r="D1028" s="53" t="s">
        <v>4</v>
      </c>
      <c r="E1028" s="13">
        <v>2026</v>
      </c>
      <c r="F1028" s="11"/>
      <c r="G1028" s="13"/>
      <c r="H1028" s="12"/>
      <c r="I1028" s="12"/>
      <c r="J1028" s="12"/>
      <c r="K1028" s="9"/>
    </row>
    <row r="1029" spans="1:11">
      <c r="A1029" s="52" t="s">
        <v>9</v>
      </c>
      <c r="B1029" s="10"/>
      <c r="C1029" s="10"/>
      <c r="D1029" s="53" t="s">
        <v>4</v>
      </c>
      <c r="E1029" s="14">
        <f>J1040</f>
        <v>210000</v>
      </c>
      <c r="F1029" s="11"/>
      <c r="G1029" s="14"/>
      <c r="H1029" s="12"/>
      <c r="I1029" s="12"/>
      <c r="J1029" s="12"/>
      <c r="K1029" s="9"/>
    </row>
    <row r="1030" spans="1:11" ht="15.75">
      <c r="A1030" s="10"/>
      <c r="B1030" s="10"/>
      <c r="C1030" s="15" t="s">
        <v>10</v>
      </c>
      <c r="D1030" s="53" t="s">
        <v>4</v>
      </c>
      <c r="E1030" s="16" t="str">
        <f>PROPER(IF(E1029=0,"nol",IF(E1029&lt;0,"minus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1029),"000000000000000"),1,3)=0,"",MID(TEXT(ABS(E1029),"000000000000000"),1,1)&amp;" ratus "&amp;MID(TEXT(ABS(E1029),"000000000000000"),2,1)&amp;" puluh "&amp;MID(TEXT(ABS(E1029),"000000000000000"),3,1)&amp;" trilyun ")&amp;IF(--MID(TEXT(ABS(E1029),"000000000000000"),4,3)=0,"",MID(TEXT(ABS(E1029),"000000000000000"),4,1)&amp;" ratus "&amp;MID(TEXT(ABS(E1029),"000000000000000"),5,1)&amp;" puluh "&amp;MID(TEXT(ABS(E1029),"000000000000000"),6,1)&amp;" milyar ")&amp;IF(--MID(TEXT(ABS(E1029),"000000000000000"),7,3)=0,"",MID(TEXT(ABS(E1029),"000000000000000"),7,1)&amp;" ratus "&amp;MID(TEXT(ABS(E1029),"000000000000000"),8,1)&amp;" puluh "&amp;MID(TEXT(ABS(E1029),"000000000000000"),9,1)&amp;" juta ")&amp;IF(--MID(TEXT(ABS(E1029),"000000000000000"),10,3)=0,"",IF(--MID(TEXT(ABS(E1029),"000000000000000"),10,3)=1,"*",MID(TEXT(ABS(E1029),"000000000000000"),10,1)&amp;" ratus "&amp;MID(TEXT(ABS(E1029),"000000000000000"),11,1)&amp;" puluh ")&amp;MID(TEXT(ABS(E1029),"000000000000000"),12,1)&amp;" ribu ")&amp;IF(--MID(TEXT(ABS(E1029),"000000000000000"),13,3)=0,"",MID(TEXT(ABS(E1029),"000000000000000"),13,1)&amp;" ratus "&amp;MID(TEXT(ABS(E1029),"000000000000000"),14,1)&amp;" puluh "&amp;MID(TEXT(ABS(E1029),"000000000000000"),15,1)),1,"satu"),2,"dua"),3,"tiga"),4,"empat"),5,"lima"),6,"enam"),7,"tujuh"),8,"delapan"),9,"sembilan"),"0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Sepuluh Ribu Rupiah</v>
      </c>
      <c r="F1030" s="11"/>
      <c r="G1030" s="16"/>
      <c r="H1030" s="12"/>
      <c r="I1030" s="12"/>
      <c r="J1030" s="12"/>
      <c r="K1030" s="9"/>
    </row>
    <row r="1031" spans="1:11" ht="15.75">
      <c r="A1031" s="10"/>
      <c r="B1031" s="10"/>
      <c r="C1031" s="15"/>
      <c r="D1031" s="15"/>
      <c r="E1031" s="15"/>
      <c r="F1031" s="11"/>
      <c r="G1031" s="16"/>
      <c r="H1031" s="12"/>
      <c r="I1031" s="12"/>
      <c r="J1031" s="12"/>
      <c r="K1031" s="9"/>
    </row>
    <row r="1032" spans="1:11">
      <c r="A1032" s="10" t="s">
        <v>11</v>
      </c>
      <c r="B1032" s="10"/>
      <c r="C1032" s="10"/>
      <c r="D1032" s="10"/>
      <c r="E1032" s="10"/>
      <c r="F1032" s="10"/>
      <c r="G1032" s="10"/>
      <c r="H1032" s="12"/>
      <c r="I1032" s="12"/>
      <c r="J1032" s="12"/>
      <c r="K1032" s="9"/>
    </row>
    <row r="1033" spans="1:11">
      <c r="A1033" s="74" t="s">
        <v>12</v>
      </c>
      <c r="B1033" s="74"/>
      <c r="C1033" s="74"/>
      <c r="D1033" s="74"/>
      <c r="E1033" s="74"/>
      <c r="F1033" s="74"/>
      <c r="G1033" s="74"/>
      <c r="H1033" s="74"/>
      <c r="I1033" s="74"/>
      <c r="J1033" s="74"/>
      <c r="K1033" s="74"/>
    </row>
    <row r="1034" spans="1:11" ht="60">
      <c r="A1034" s="17" t="s">
        <v>13</v>
      </c>
      <c r="B1034" s="18" t="s">
        <v>14</v>
      </c>
      <c r="C1034" s="59" t="s">
        <v>15</v>
      </c>
      <c r="D1034" s="60"/>
      <c r="E1034" s="61"/>
      <c r="F1034" s="19"/>
      <c r="G1034" s="20" t="s">
        <v>16</v>
      </c>
      <c r="H1034" s="21" t="s">
        <v>35</v>
      </c>
      <c r="I1034" s="21"/>
      <c r="J1034" s="31" t="s">
        <v>17</v>
      </c>
      <c r="K1034" s="32" t="s">
        <v>18</v>
      </c>
    </row>
    <row r="1035" spans="1:11">
      <c r="A1035" s="27">
        <v>1</v>
      </c>
      <c r="B1035" s="24"/>
      <c r="C1035" s="28" t="s">
        <v>23</v>
      </c>
      <c r="D1035" s="57"/>
      <c r="E1035" s="26"/>
      <c r="F1035" s="25"/>
      <c r="G1035" s="54" t="s">
        <v>19</v>
      </c>
      <c r="H1035" s="54" t="s">
        <v>19</v>
      </c>
      <c r="I1035" s="54"/>
      <c r="J1035" s="54" t="s">
        <v>19</v>
      </c>
      <c r="K1035" s="54" t="s">
        <v>19</v>
      </c>
    </row>
    <row r="1036" spans="1:11">
      <c r="A1036" s="24"/>
      <c r="B1036" s="55" t="s">
        <v>20</v>
      </c>
      <c r="C1036" s="25" t="s">
        <v>24</v>
      </c>
      <c r="D1036" s="10"/>
      <c r="E1036" s="26"/>
      <c r="F1036" s="25"/>
      <c r="G1036" s="23">
        <v>45000000</v>
      </c>
      <c r="H1036" s="56">
        <f>H990+J990</f>
        <v>3425599</v>
      </c>
      <c r="I1036" s="56"/>
      <c r="J1036" s="56">
        <v>0</v>
      </c>
      <c r="K1036" s="58">
        <f t="shared" ref="K1036:K1039" si="42">G1036-H1036-J1036</f>
        <v>41574401</v>
      </c>
    </row>
    <row r="1037" spans="1:11">
      <c r="A1037" s="24"/>
      <c r="B1037" s="55" t="s">
        <v>21</v>
      </c>
      <c r="C1037" s="62" t="s">
        <v>39</v>
      </c>
      <c r="D1037" s="63"/>
      <c r="E1037" s="64"/>
      <c r="F1037" s="25"/>
      <c r="G1037" s="23">
        <v>35000000</v>
      </c>
      <c r="H1037" s="56">
        <f>H991+J991</f>
        <v>5775990</v>
      </c>
      <c r="I1037" s="56"/>
      <c r="J1037" s="56">
        <v>0</v>
      </c>
      <c r="K1037" s="58">
        <f t="shared" si="42"/>
        <v>29224010</v>
      </c>
    </row>
    <row r="1038" spans="1:11">
      <c r="A1038" s="24"/>
      <c r="B1038" s="55" t="s">
        <v>22</v>
      </c>
      <c r="C1038" s="65" t="s">
        <v>40</v>
      </c>
      <c r="D1038" s="66"/>
      <c r="E1038" s="67"/>
      <c r="F1038" s="25"/>
      <c r="G1038" s="23">
        <v>30000000</v>
      </c>
      <c r="H1038" s="56">
        <f>H992+J992</f>
        <v>3809500</v>
      </c>
      <c r="I1038" s="22"/>
      <c r="J1038" s="22">
        <v>210000</v>
      </c>
      <c r="K1038" s="33">
        <f t="shared" si="42"/>
        <v>25980500</v>
      </c>
    </row>
    <row r="1039" spans="1:11">
      <c r="A1039" s="24"/>
      <c r="B1039" s="55" t="s">
        <v>36</v>
      </c>
      <c r="C1039" s="68" t="s">
        <v>41</v>
      </c>
      <c r="D1039" s="69"/>
      <c r="E1039" s="70"/>
      <c r="F1039" s="25"/>
      <c r="G1039" s="23">
        <v>28125000</v>
      </c>
      <c r="H1039" s="56">
        <f>H993+J993</f>
        <v>1440650</v>
      </c>
      <c r="I1039" s="22"/>
      <c r="J1039" s="22">
        <v>0</v>
      </c>
      <c r="K1039" s="33">
        <f t="shared" si="42"/>
        <v>26684350</v>
      </c>
    </row>
    <row r="1040" spans="1:11">
      <c r="A1040" s="34"/>
      <c r="B1040" s="34"/>
      <c r="C1040" s="34" t="s">
        <v>25</v>
      </c>
      <c r="D1040" s="34"/>
      <c r="E1040" s="34"/>
      <c r="F1040" s="35"/>
      <c r="G1040" s="36">
        <f>SUM(G1035:G1039)</f>
        <v>138125000</v>
      </c>
      <c r="H1040" s="37">
        <f>SUM(H1035:H1039)</f>
        <v>14451739</v>
      </c>
      <c r="I1040" s="37"/>
      <c r="J1040" s="37">
        <f>SUM(J1035:J1039)</f>
        <v>210000</v>
      </c>
      <c r="K1040" s="37">
        <f>SUM(K1035:K1039)</f>
        <v>123463261</v>
      </c>
    </row>
    <row r="1041" spans="1:11">
      <c r="A1041" s="38"/>
      <c r="B1041" s="8"/>
      <c r="C1041" s="8"/>
      <c r="D1041" s="8"/>
      <c r="E1041" s="8"/>
      <c r="F1041" s="8"/>
      <c r="G1041" s="39"/>
      <c r="H1041" s="39"/>
      <c r="I1041" s="39"/>
      <c r="J1041" s="39"/>
      <c r="K1041" s="39"/>
    </row>
    <row r="1042" spans="1:11">
      <c r="A1042" s="71" t="s">
        <v>26</v>
      </c>
      <c r="B1042" s="71"/>
      <c r="C1042" s="71"/>
      <c r="D1042" s="11" t="s">
        <v>4</v>
      </c>
      <c r="E1042" s="14">
        <f>J1040</f>
        <v>210000</v>
      </c>
      <c r="F1042" s="40"/>
      <c r="G1042" s="41"/>
      <c r="H1042" s="41"/>
      <c r="I1042" s="41"/>
      <c r="J1042" s="9"/>
      <c r="K1042" s="9"/>
    </row>
    <row r="1043" spans="1:11">
      <c r="A1043" s="10" t="s">
        <v>27</v>
      </c>
      <c r="B1043" s="10"/>
      <c r="C1043" s="10"/>
      <c r="D1043" s="11" t="s">
        <v>4</v>
      </c>
      <c r="E1043" s="42"/>
      <c r="F1043" s="42"/>
      <c r="G1043" s="43"/>
      <c r="H1043" s="12"/>
      <c r="I1043" s="12"/>
      <c r="J1043" s="9"/>
      <c r="K1043" s="9"/>
    </row>
    <row r="1044" spans="1:11">
      <c r="A1044" s="10" t="s">
        <v>28</v>
      </c>
      <c r="B1044" s="10"/>
      <c r="C1044" s="10"/>
      <c r="D1044" s="11" t="s">
        <v>4</v>
      </c>
      <c r="E1044" s="44"/>
      <c r="F1044" s="44"/>
      <c r="G1044" s="43"/>
      <c r="H1044" s="12"/>
      <c r="I1044" s="12"/>
      <c r="J1044" s="9"/>
      <c r="K1044" s="9"/>
    </row>
    <row r="1045" spans="1:11">
      <c r="A1045" s="10" t="s">
        <v>29</v>
      </c>
      <c r="B1045" s="10"/>
      <c r="C1045" s="10"/>
      <c r="D1045" s="11" t="s">
        <v>4</v>
      </c>
      <c r="E1045" s="44">
        <f>E1043+E1044</f>
        <v>0</v>
      </c>
      <c r="F1045" s="44"/>
      <c r="G1045" s="10"/>
      <c r="H1045" s="12"/>
      <c r="I1045" s="12"/>
      <c r="J1045" s="46"/>
      <c r="K1045" s="46"/>
    </row>
    <row r="1046" spans="1:11">
      <c r="A1046" s="13"/>
      <c r="B1046" s="13"/>
      <c r="C1046" s="13"/>
      <c r="D1046" s="11"/>
      <c r="E1046" s="13"/>
      <c r="F1046" s="13"/>
      <c r="G1046" s="10"/>
      <c r="H1046" s="12"/>
      <c r="I1046" s="12"/>
      <c r="J1046" s="46"/>
      <c r="K1046" s="46"/>
    </row>
    <row r="1047" spans="1:11">
      <c r="A1047" s="71" t="s">
        <v>30</v>
      </c>
      <c r="B1047" s="71"/>
      <c r="C1047" s="71"/>
      <c r="D1047" s="11" t="s">
        <v>4</v>
      </c>
      <c r="E1047" s="40">
        <f>E1042-E1045</f>
        <v>210000</v>
      </c>
      <c r="F1047" s="40"/>
      <c r="G1047" s="10"/>
      <c r="H1047" s="12"/>
      <c r="I1047" s="12"/>
      <c r="J1047" s="46"/>
      <c r="K1047" s="46"/>
    </row>
    <row r="1048" spans="1:11" ht="15.75">
      <c r="A1048" s="13"/>
      <c r="B1048" s="13"/>
      <c r="C1048" s="10"/>
      <c r="D1048" s="10"/>
      <c r="E1048" s="16" t="str">
        <f>PROPER(IF(E1047=0,"nol",IF(E1047&lt;0,"minus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1047),"000000000000000"),1,3)=0,"",MID(TEXT(ABS(E1047),"000000000000000"),1,1)&amp;" ratus "&amp;MID(TEXT(ABS(E1047),"000000000000000"),2,1)&amp;" puluh "&amp;MID(TEXT(ABS(E1047),"000000000000000"),3,1)&amp;" trilyun ")&amp;IF(--MID(TEXT(ABS(E1047),"000000000000000"),4,3)=0,"",MID(TEXT(ABS(E1047),"000000000000000"),4,1)&amp;" ratus "&amp;MID(TEXT(ABS(E1047),"000000000000000"),5,1)&amp;" puluh "&amp;MID(TEXT(ABS(E1047),"000000000000000"),6,1)&amp;" milyar ")&amp;IF(--MID(TEXT(ABS(E1047),"000000000000000"),7,3)=0,"",MID(TEXT(ABS(E1047),"000000000000000"),7,1)&amp;" ratus "&amp;MID(TEXT(ABS(E1047),"000000000000000"),8,1)&amp;" puluh "&amp;MID(TEXT(ABS(E1047),"000000000000000"),9,1)&amp;" juta ")&amp;IF(--MID(TEXT(ABS(E1047),"000000000000000"),10,3)=0,"",IF(--MID(TEXT(ABS(E1047),"000000000000000"),10,3)=1,"*",MID(TEXT(ABS(E1047),"000000000000000"),10,1)&amp;" ratus "&amp;MID(TEXT(ABS(E1047),"000000000000000"),11,1)&amp;" puluh ")&amp;MID(TEXT(ABS(E1047),"000000000000000"),12,1)&amp;" ribu ")&amp;IF(--MID(TEXT(ABS(E1047),"000000000000000"),13,3)=0,"",MID(TEXT(ABS(E1047),"000000000000000"),13,1)&amp;" ratus "&amp;MID(TEXT(ABS(E1047),"000000000000000"),14,1)&amp;" puluh "&amp;MID(TEXT(ABS(E1047),"000000000000000"),15,1)),1,"satu"),2,"dua"),3,"tiga"),4,"empat"),5,"lima"),6,"enam"),7,"tujuh"),8,"delapan"),9,"sembilan"),"0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Sepuluh Ribu Rupiah</v>
      </c>
      <c r="F1048" s="10"/>
      <c r="G1048" s="10"/>
      <c r="H1048" s="10"/>
      <c r="I1048" s="10"/>
      <c r="J1048" s="46"/>
      <c r="K1048" s="46"/>
    </row>
    <row r="1049" spans="1:11">
      <c r="A1049" s="45"/>
      <c r="B1049" s="45"/>
      <c r="C1049" s="45"/>
      <c r="D1049" s="45"/>
      <c r="E1049" s="45"/>
      <c r="F1049" s="45"/>
      <c r="G1049" s="29"/>
      <c r="H1049" s="46"/>
      <c r="I1049" s="46"/>
      <c r="J1049" s="46"/>
      <c r="K1049" s="46"/>
    </row>
    <row r="1050" spans="1:11">
      <c r="A1050" s="29"/>
      <c r="B1050" s="29"/>
      <c r="C1050" s="29"/>
      <c r="D1050" s="29"/>
      <c r="E1050" s="29"/>
      <c r="F1050" s="29"/>
      <c r="G1050" s="29"/>
      <c r="H1050"/>
      <c r="I1050"/>
      <c r="J1050" s="46"/>
      <c r="K1050" s="46"/>
    </row>
    <row r="1051" spans="1:11">
      <c r="A1051" s="13"/>
      <c r="B1051" s="13"/>
      <c r="C1051" s="10"/>
      <c r="D1051" s="10"/>
      <c r="E1051" s="10"/>
      <c r="F1051" s="10"/>
      <c r="G1051" s="10"/>
      <c r="I1051" s="47"/>
      <c r="J1051" s="47" t="s">
        <v>108</v>
      </c>
      <c r="K1051" s="46"/>
    </row>
    <row r="1052" spans="1:11">
      <c r="A1052" s="12" t="s">
        <v>31</v>
      </c>
      <c r="B1052" s="10"/>
      <c r="C1052" s="10"/>
      <c r="D1052" s="10"/>
      <c r="E1052" s="10"/>
      <c r="F1052" s="10"/>
      <c r="G1052" s="10"/>
      <c r="I1052" s="12"/>
      <c r="J1052" s="12" t="s">
        <v>32</v>
      </c>
      <c r="K1052" s="46"/>
    </row>
    <row r="1053" spans="1:11">
      <c r="A1053" s="10"/>
      <c r="B1053" s="10"/>
      <c r="C1053" s="10"/>
      <c r="D1053" s="10"/>
      <c r="E1053" s="10"/>
      <c r="F1053" s="10"/>
      <c r="G1053" s="10"/>
      <c r="I1053" s="12"/>
      <c r="J1053" s="12"/>
      <c r="K1053" s="46"/>
    </row>
    <row r="1054" spans="1:11">
      <c r="A1054" s="10"/>
      <c r="B1054" s="10"/>
      <c r="C1054" s="10"/>
      <c r="D1054" s="10"/>
      <c r="E1054" s="10"/>
      <c r="F1054" s="10"/>
      <c r="G1054" s="10"/>
      <c r="I1054" s="12"/>
      <c r="J1054" s="12"/>
      <c r="K1054" s="46"/>
    </row>
    <row r="1055" spans="1:11">
      <c r="A1055" s="10"/>
      <c r="B1055" s="10"/>
      <c r="C1055" s="10"/>
      <c r="D1055" s="10"/>
      <c r="E1055" s="10"/>
      <c r="F1055" s="10"/>
      <c r="G1055" s="10"/>
      <c r="I1055" s="12"/>
      <c r="J1055" s="12"/>
      <c r="K1055" s="46"/>
    </row>
    <row r="1056" spans="1:11">
      <c r="A1056" s="10"/>
      <c r="B1056" s="10"/>
      <c r="C1056" s="10"/>
      <c r="D1056" s="10"/>
      <c r="E1056" s="10"/>
      <c r="F1056" s="10"/>
      <c r="G1056" s="10"/>
      <c r="I1056" s="12"/>
      <c r="J1056" s="12"/>
      <c r="K1056" s="46"/>
    </row>
    <row r="1057" spans="1:11">
      <c r="A1057" s="48" t="s">
        <v>37</v>
      </c>
      <c r="B1057" s="48"/>
      <c r="C1057" s="49"/>
      <c r="D1057" s="49"/>
      <c r="E1057" s="49"/>
      <c r="F1057" s="49"/>
      <c r="G1057" s="10" t="s">
        <v>33</v>
      </c>
      <c r="I1057" s="48"/>
      <c r="J1057" s="48" t="s">
        <v>34</v>
      </c>
      <c r="K1057" s="46"/>
    </row>
    <row r="1062" spans="1:11" ht="15.75">
      <c r="C1062" s="2"/>
      <c r="D1062" s="2"/>
      <c r="E1062" s="2"/>
      <c r="F1062" s="2"/>
    </row>
    <row r="1063" spans="1:11" ht="15.75">
      <c r="A1063" s="3"/>
      <c r="B1063" s="3"/>
      <c r="C1063" s="2"/>
      <c r="D1063" s="2"/>
      <c r="E1063" s="2"/>
      <c r="F1063" s="2"/>
      <c r="G1063" s="3"/>
      <c r="H1063" s="4"/>
      <c r="I1063" s="4"/>
      <c r="J1063" s="4"/>
      <c r="K1063" s="5"/>
    </row>
    <row r="1064" spans="1:11">
      <c r="H1064" s="5"/>
      <c r="I1064" s="5"/>
      <c r="J1064" s="5"/>
      <c r="K1064" s="5"/>
    </row>
    <row r="1065" spans="1:11">
      <c r="H1065" s="5"/>
      <c r="I1065" s="5"/>
      <c r="J1065" s="5"/>
      <c r="K1065" s="5"/>
    </row>
    <row r="1066" spans="1:11">
      <c r="A1066" s="72" t="s">
        <v>0</v>
      </c>
      <c r="B1066" s="72"/>
      <c r="C1066" s="73"/>
      <c r="D1066" s="73"/>
      <c r="E1066" s="73"/>
      <c r="F1066" s="73"/>
      <c r="G1066" s="73"/>
      <c r="H1066" s="73"/>
      <c r="I1066" s="73"/>
      <c r="J1066" s="73"/>
      <c r="K1066" s="73"/>
    </row>
    <row r="1067" spans="1:11">
      <c r="A1067" s="73" t="s">
        <v>109</v>
      </c>
      <c r="B1067" s="73"/>
      <c r="C1067" s="73"/>
      <c r="D1067" s="73"/>
      <c r="E1067" s="73"/>
      <c r="F1067" s="73"/>
      <c r="G1067" s="73"/>
      <c r="H1067" s="73"/>
      <c r="I1067" s="73"/>
      <c r="J1067" s="73"/>
      <c r="K1067" s="73"/>
    </row>
    <row r="1068" spans="1:11">
      <c r="A1068" s="73" t="s">
        <v>1</v>
      </c>
      <c r="B1068" s="73"/>
      <c r="C1068" s="73"/>
      <c r="D1068" s="73"/>
      <c r="E1068" s="73"/>
      <c r="F1068" s="73"/>
      <c r="G1068" s="73"/>
      <c r="H1068" s="73"/>
      <c r="I1068" s="73"/>
      <c r="J1068" s="73"/>
      <c r="K1068" s="73"/>
    </row>
    <row r="1069" spans="1:11">
      <c r="A1069" s="73" t="s">
        <v>38</v>
      </c>
      <c r="B1069" s="73"/>
      <c r="C1069" s="73"/>
      <c r="D1069" s="73"/>
      <c r="E1069" s="73"/>
      <c r="F1069" s="73"/>
      <c r="G1069" s="73"/>
      <c r="H1069" s="73"/>
      <c r="I1069" s="73"/>
      <c r="J1069" s="73"/>
      <c r="K1069" s="73"/>
    </row>
    <row r="1070" spans="1:11">
      <c r="A1070" s="73" t="s">
        <v>2</v>
      </c>
      <c r="B1070" s="73"/>
      <c r="C1070" s="73"/>
      <c r="D1070" s="73"/>
      <c r="E1070" s="73"/>
      <c r="F1070" s="73"/>
      <c r="G1070" s="73"/>
      <c r="H1070" s="73"/>
      <c r="I1070" s="73"/>
      <c r="J1070" s="73"/>
      <c r="K1070" s="73"/>
    </row>
    <row r="1071" spans="1:11">
      <c r="A1071" s="6"/>
      <c r="B1071" s="6"/>
      <c r="C1071" s="7"/>
      <c r="D1071" s="7"/>
      <c r="E1071" s="7"/>
      <c r="F1071" s="7"/>
      <c r="G1071" s="8"/>
      <c r="H1071" s="9"/>
      <c r="I1071" s="9"/>
      <c r="J1071" s="9"/>
      <c r="K1071" s="9"/>
    </row>
    <row r="1072" spans="1:11">
      <c r="A1072" s="52" t="s">
        <v>3</v>
      </c>
      <c r="B1072" s="10"/>
      <c r="C1072" s="10"/>
      <c r="D1072" s="53" t="s">
        <v>4</v>
      </c>
      <c r="E1072" s="10" t="s">
        <v>5</v>
      </c>
      <c r="F1072" s="11"/>
      <c r="G1072" s="10"/>
      <c r="H1072" s="12"/>
      <c r="I1072" s="12"/>
      <c r="J1072" s="12"/>
      <c r="K1072" s="9"/>
    </row>
    <row r="1073" spans="1:11">
      <c r="A1073" s="52" t="s">
        <v>6</v>
      </c>
      <c r="B1073" s="10"/>
      <c r="C1073" s="10"/>
      <c r="D1073" s="53" t="s">
        <v>4</v>
      </c>
      <c r="E1073" s="10" t="s">
        <v>7</v>
      </c>
      <c r="F1073" s="11"/>
      <c r="G1073" s="10"/>
      <c r="H1073" s="12"/>
      <c r="I1073" s="12"/>
      <c r="J1073" s="12"/>
      <c r="K1073" s="9"/>
    </row>
    <row r="1074" spans="1:11">
      <c r="A1074" s="52" t="s">
        <v>8</v>
      </c>
      <c r="B1074" s="10"/>
      <c r="C1074" s="10"/>
      <c r="D1074" s="53" t="s">
        <v>4</v>
      </c>
      <c r="E1074" s="13">
        <v>2026</v>
      </c>
      <c r="F1074" s="11"/>
      <c r="G1074" s="13"/>
      <c r="H1074" s="12"/>
      <c r="I1074" s="12"/>
      <c r="J1074" s="12"/>
      <c r="K1074" s="9"/>
    </row>
    <row r="1075" spans="1:11">
      <c r="A1075" s="52" t="s">
        <v>9</v>
      </c>
      <c r="B1075" s="10"/>
      <c r="C1075" s="10"/>
      <c r="D1075" s="53" t="s">
        <v>4</v>
      </c>
      <c r="E1075" s="14">
        <f>J1086</f>
        <v>375000</v>
      </c>
      <c r="F1075" s="11"/>
      <c r="G1075" s="14"/>
      <c r="H1075" s="12"/>
      <c r="I1075" s="12"/>
      <c r="J1075" s="12"/>
      <c r="K1075" s="9"/>
    </row>
    <row r="1076" spans="1:11" ht="15.75">
      <c r="A1076" s="10"/>
      <c r="B1076" s="10"/>
      <c r="C1076" s="15" t="s">
        <v>10</v>
      </c>
      <c r="D1076" s="53" t="s">
        <v>4</v>
      </c>
      <c r="E1076" s="16" t="str">
        <f>PROPER(IF(E1075=0,"nol",IF(E1075&lt;0,"minus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1075),"000000000000000"),1,3)=0,"",MID(TEXT(ABS(E1075),"000000000000000"),1,1)&amp;" ratus "&amp;MID(TEXT(ABS(E1075),"000000000000000"),2,1)&amp;" puluh "&amp;MID(TEXT(ABS(E1075),"000000000000000"),3,1)&amp;" trilyun ")&amp;IF(--MID(TEXT(ABS(E1075),"000000000000000"),4,3)=0,"",MID(TEXT(ABS(E1075),"000000000000000"),4,1)&amp;" ratus "&amp;MID(TEXT(ABS(E1075),"000000000000000"),5,1)&amp;" puluh "&amp;MID(TEXT(ABS(E1075),"000000000000000"),6,1)&amp;" milyar ")&amp;IF(--MID(TEXT(ABS(E1075),"000000000000000"),7,3)=0,"",MID(TEXT(ABS(E1075),"000000000000000"),7,1)&amp;" ratus "&amp;MID(TEXT(ABS(E1075),"000000000000000"),8,1)&amp;" puluh "&amp;MID(TEXT(ABS(E1075),"000000000000000"),9,1)&amp;" juta ")&amp;IF(--MID(TEXT(ABS(E1075),"000000000000000"),10,3)=0,"",IF(--MID(TEXT(ABS(E1075),"000000000000000"),10,3)=1,"*",MID(TEXT(ABS(E1075),"000000000000000"),10,1)&amp;" ratus "&amp;MID(TEXT(ABS(E1075),"000000000000000"),11,1)&amp;" puluh ")&amp;MID(TEXT(ABS(E1075),"000000000000000"),12,1)&amp;" ribu ")&amp;IF(--MID(TEXT(ABS(E1075),"000000000000000"),13,3)=0,"",MID(TEXT(ABS(E1075),"000000000000000"),13,1)&amp;" ratus "&amp;MID(TEXT(ABS(E1075),"000000000000000"),14,1)&amp;" puluh "&amp;MID(TEXT(ABS(E1075),"000000000000000"),15,1)),1,"satu"),2,"dua"),3,"tiga"),4,"empat"),5,"lima"),6,"enam"),7,"tujuh"),8,"delapan"),9,"sembilan"),"0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Tujuh Puluh Lima Ribu Rupiah</v>
      </c>
      <c r="F1076" s="11"/>
      <c r="G1076" s="16"/>
      <c r="H1076" s="12"/>
      <c r="I1076" s="12"/>
      <c r="J1076" s="12"/>
      <c r="K1076" s="9"/>
    </row>
    <row r="1077" spans="1:11" ht="15.75">
      <c r="A1077" s="10"/>
      <c r="B1077" s="10"/>
      <c r="C1077" s="15"/>
      <c r="D1077" s="15"/>
      <c r="E1077" s="15"/>
      <c r="F1077" s="11"/>
      <c r="G1077" s="16"/>
      <c r="H1077" s="12"/>
      <c r="I1077" s="12"/>
      <c r="J1077" s="12"/>
      <c r="K1077" s="9"/>
    </row>
    <row r="1078" spans="1:11">
      <c r="A1078" s="10" t="s">
        <v>11</v>
      </c>
      <c r="B1078" s="10"/>
      <c r="C1078" s="10"/>
      <c r="D1078" s="10"/>
      <c r="E1078" s="10"/>
      <c r="F1078" s="10"/>
      <c r="G1078" s="10"/>
      <c r="H1078" s="12"/>
      <c r="I1078" s="12"/>
      <c r="J1078" s="12"/>
      <c r="K1078" s="9"/>
    </row>
    <row r="1079" spans="1:11">
      <c r="A1079" s="74" t="s">
        <v>12</v>
      </c>
      <c r="B1079" s="74"/>
      <c r="C1079" s="74"/>
      <c r="D1079" s="74"/>
      <c r="E1079" s="74"/>
      <c r="F1079" s="74"/>
      <c r="G1079" s="74"/>
      <c r="H1079" s="74"/>
      <c r="I1079" s="74"/>
      <c r="J1079" s="74"/>
      <c r="K1079" s="74"/>
    </row>
    <row r="1080" spans="1:11" ht="60">
      <c r="A1080" s="17" t="s">
        <v>13</v>
      </c>
      <c r="B1080" s="18" t="s">
        <v>14</v>
      </c>
      <c r="C1080" s="59" t="s">
        <v>15</v>
      </c>
      <c r="D1080" s="60"/>
      <c r="E1080" s="61"/>
      <c r="F1080" s="19"/>
      <c r="G1080" s="20" t="s">
        <v>16</v>
      </c>
      <c r="H1080" s="21" t="s">
        <v>35</v>
      </c>
      <c r="I1080" s="21"/>
      <c r="J1080" s="31" t="s">
        <v>17</v>
      </c>
      <c r="K1080" s="32" t="s">
        <v>18</v>
      </c>
    </row>
    <row r="1081" spans="1:11">
      <c r="A1081" s="27">
        <v>1</v>
      </c>
      <c r="B1081" s="24"/>
      <c r="C1081" s="28" t="s">
        <v>23</v>
      </c>
      <c r="D1081" s="57"/>
      <c r="E1081" s="26"/>
      <c r="F1081" s="25"/>
      <c r="G1081" s="54" t="s">
        <v>19</v>
      </c>
      <c r="H1081" s="54" t="s">
        <v>19</v>
      </c>
      <c r="I1081" s="54"/>
      <c r="J1081" s="54" t="s">
        <v>19</v>
      </c>
      <c r="K1081" s="54" t="s">
        <v>19</v>
      </c>
    </row>
    <row r="1082" spans="1:11">
      <c r="A1082" s="24"/>
      <c r="B1082" s="55" t="s">
        <v>20</v>
      </c>
      <c r="C1082" s="25" t="s">
        <v>24</v>
      </c>
      <c r="D1082" s="10"/>
      <c r="E1082" s="26"/>
      <c r="F1082" s="25"/>
      <c r="G1082" s="23">
        <v>45000000</v>
      </c>
      <c r="H1082" s="56">
        <f>H1036+J1036</f>
        <v>3425599</v>
      </c>
      <c r="I1082" s="56"/>
      <c r="J1082" s="56">
        <v>0</v>
      </c>
      <c r="K1082" s="58">
        <f t="shared" ref="K1082:K1085" si="43">G1082-H1082-J1082</f>
        <v>41574401</v>
      </c>
    </row>
    <row r="1083" spans="1:11">
      <c r="A1083" s="24"/>
      <c r="B1083" s="55" t="s">
        <v>21</v>
      </c>
      <c r="C1083" s="62" t="s">
        <v>39</v>
      </c>
      <c r="D1083" s="63"/>
      <c r="E1083" s="64"/>
      <c r="F1083" s="25"/>
      <c r="G1083" s="23">
        <v>35000000</v>
      </c>
      <c r="H1083" s="56">
        <f>H1037+J1037</f>
        <v>5775990</v>
      </c>
      <c r="I1083" s="56"/>
      <c r="J1083" s="56">
        <v>0</v>
      </c>
      <c r="K1083" s="58">
        <f t="shared" si="43"/>
        <v>29224010</v>
      </c>
    </row>
    <row r="1084" spans="1:11">
      <c r="A1084" s="24"/>
      <c r="B1084" s="55" t="s">
        <v>22</v>
      </c>
      <c r="C1084" s="65" t="s">
        <v>40</v>
      </c>
      <c r="D1084" s="66"/>
      <c r="E1084" s="67"/>
      <c r="F1084" s="25"/>
      <c r="G1084" s="23">
        <v>30000000</v>
      </c>
      <c r="H1084" s="56">
        <f>H1038+J1038</f>
        <v>4019500</v>
      </c>
      <c r="I1084" s="22"/>
      <c r="J1084" s="22">
        <v>375000</v>
      </c>
      <c r="K1084" s="33">
        <f t="shared" si="43"/>
        <v>25605500</v>
      </c>
    </row>
    <row r="1085" spans="1:11">
      <c r="A1085" s="24"/>
      <c r="B1085" s="55" t="s">
        <v>36</v>
      </c>
      <c r="C1085" s="68" t="s">
        <v>41</v>
      </c>
      <c r="D1085" s="69"/>
      <c r="E1085" s="70"/>
      <c r="F1085" s="25"/>
      <c r="G1085" s="23">
        <v>28125000</v>
      </c>
      <c r="H1085" s="56">
        <f>H1039+J1039</f>
        <v>1440650</v>
      </c>
      <c r="I1085" s="22"/>
      <c r="J1085" s="22">
        <v>0</v>
      </c>
      <c r="K1085" s="33">
        <f t="shared" si="43"/>
        <v>26684350</v>
      </c>
    </row>
    <row r="1086" spans="1:11">
      <c r="A1086" s="34"/>
      <c r="B1086" s="34"/>
      <c r="C1086" s="34" t="s">
        <v>25</v>
      </c>
      <c r="D1086" s="34"/>
      <c r="E1086" s="34"/>
      <c r="F1086" s="35"/>
      <c r="G1086" s="36">
        <f>SUM(G1081:G1085)</f>
        <v>138125000</v>
      </c>
      <c r="H1086" s="37">
        <f>SUM(H1081:H1085)</f>
        <v>14661739</v>
      </c>
      <c r="I1086" s="37"/>
      <c r="J1086" s="37">
        <f>SUM(J1081:J1085)</f>
        <v>375000</v>
      </c>
      <c r="K1086" s="37">
        <f>SUM(K1081:K1085)</f>
        <v>123088261</v>
      </c>
    </row>
    <row r="1087" spans="1:11">
      <c r="A1087" s="38"/>
      <c r="B1087" s="8"/>
      <c r="C1087" s="8"/>
      <c r="D1087" s="8"/>
      <c r="E1087" s="8"/>
      <c r="F1087" s="8"/>
      <c r="G1087" s="39"/>
      <c r="H1087" s="39"/>
      <c r="I1087" s="39"/>
      <c r="J1087" s="39"/>
      <c r="K1087" s="39"/>
    </row>
    <row r="1088" spans="1:11">
      <c r="A1088" s="71" t="s">
        <v>26</v>
      </c>
      <c r="B1088" s="71"/>
      <c r="C1088" s="71"/>
      <c r="D1088" s="11" t="s">
        <v>4</v>
      </c>
      <c r="E1088" s="14">
        <f>J1086</f>
        <v>375000</v>
      </c>
      <c r="F1088" s="40"/>
      <c r="G1088" s="41"/>
      <c r="H1088" s="41"/>
      <c r="I1088" s="41"/>
      <c r="J1088" s="9"/>
      <c r="K1088" s="9"/>
    </row>
    <row r="1089" spans="1:11">
      <c r="A1089" s="10" t="s">
        <v>27</v>
      </c>
      <c r="B1089" s="10"/>
      <c r="C1089" s="10"/>
      <c r="D1089" s="11" t="s">
        <v>4</v>
      </c>
      <c r="E1089" s="42"/>
      <c r="F1089" s="42"/>
      <c r="G1089" s="43"/>
      <c r="H1089" s="12"/>
      <c r="I1089" s="12"/>
      <c r="J1089" s="9"/>
      <c r="K1089" s="9"/>
    </row>
    <row r="1090" spans="1:11">
      <c r="A1090" s="10" t="s">
        <v>28</v>
      </c>
      <c r="B1090" s="10"/>
      <c r="C1090" s="10"/>
      <c r="D1090" s="11" t="s">
        <v>4</v>
      </c>
      <c r="E1090" s="44"/>
      <c r="F1090" s="44"/>
      <c r="G1090" s="43"/>
      <c r="H1090" s="12"/>
      <c r="I1090" s="12"/>
      <c r="J1090" s="9"/>
      <c r="K1090" s="9"/>
    </row>
    <row r="1091" spans="1:11">
      <c r="A1091" s="10" t="s">
        <v>29</v>
      </c>
      <c r="B1091" s="10"/>
      <c r="C1091" s="10"/>
      <c r="D1091" s="11" t="s">
        <v>4</v>
      </c>
      <c r="E1091" s="44">
        <f>E1089+E1090</f>
        <v>0</v>
      </c>
      <c r="F1091" s="44"/>
      <c r="G1091" s="10"/>
      <c r="H1091" s="12"/>
      <c r="I1091" s="12"/>
      <c r="J1091" s="46"/>
      <c r="K1091" s="46"/>
    </row>
    <row r="1092" spans="1:11">
      <c r="A1092" s="13"/>
      <c r="B1092" s="13"/>
      <c r="C1092" s="13"/>
      <c r="D1092" s="11"/>
      <c r="E1092" s="13"/>
      <c r="F1092" s="13"/>
      <c r="G1092" s="10"/>
      <c r="H1092" s="12"/>
      <c r="I1092" s="12"/>
      <c r="J1092" s="46"/>
      <c r="K1092" s="46"/>
    </row>
    <row r="1093" spans="1:11">
      <c r="A1093" s="71" t="s">
        <v>30</v>
      </c>
      <c r="B1093" s="71"/>
      <c r="C1093" s="71"/>
      <c r="D1093" s="11" t="s">
        <v>4</v>
      </c>
      <c r="E1093" s="40">
        <f>E1088-E1091</f>
        <v>375000</v>
      </c>
      <c r="F1093" s="40"/>
      <c r="G1093" s="10"/>
      <c r="H1093" s="12"/>
      <c r="I1093" s="12"/>
      <c r="J1093" s="46"/>
      <c r="K1093" s="46"/>
    </row>
    <row r="1094" spans="1:11" ht="15.75">
      <c r="A1094" s="13"/>
      <c r="B1094" s="13"/>
      <c r="C1094" s="10"/>
      <c r="D1094" s="10"/>
      <c r="E1094" s="16" t="str">
        <f>PROPER(IF(E1093=0,"nol",IF(E1093&lt;0,"minus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1093),"000000000000000"),1,3)=0,"",MID(TEXT(ABS(E1093),"000000000000000"),1,1)&amp;" ratus "&amp;MID(TEXT(ABS(E1093),"000000000000000"),2,1)&amp;" puluh "&amp;MID(TEXT(ABS(E1093),"000000000000000"),3,1)&amp;" trilyun ")&amp;IF(--MID(TEXT(ABS(E1093),"000000000000000"),4,3)=0,"",MID(TEXT(ABS(E1093),"000000000000000"),4,1)&amp;" ratus "&amp;MID(TEXT(ABS(E1093),"000000000000000"),5,1)&amp;" puluh "&amp;MID(TEXT(ABS(E1093),"000000000000000"),6,1)&amp;" milyar ")&amp;IF(--MID(TEXT(ABS(E1093),"000000000000000"),7,3)=0,"",MID(TEXT(ABS(E1093),"000000000000000"),7,1)&amp;" ratus "&amp;MID(TEXT(ABS(E1093),"000000000000000"),8,1)&amp;" puluh "&amp;MID(TEXT(ABS(E1093),"000000000000000"),9,1)&amp;" juta ")&amp;IF(--MID(TEXT(ABS(E1093),"000000000000000"),10,3)=0,"",IF(--MID(TEXT(ABS(E1093),"000000000000000"),10,3)=1,"*",MID(TEXT(ABS(E1093),"000000000000000"),10,1)&amp;" ratus "&amp;MID(TEXT(ABS(E1093),"000000000000000"),11,1)&amp;" puluh ")&amp;MID(TEXT(ABS(E1093),"000000000000000"),12,1)&amp;" ribu ")&amp;IF(--MID(TEXT(ABS(E1093),"000000000000000"),13,3)=0,"",MID(TEXT(ABS(E1093),"000000000000000"),13,1)&amp;" ratus "&amp;MID(TEXT(ABS(E1093),"000000000000000"),14,1)&amp;" puluh "&amp;MID(TEXT(ABS(E1093),"000000000000000"),15,1)),1,"satu"),2,"dua"),3,"tiga"),4,"empat"),5,"lima"),6,"enam"),7,"tujuh"),8,"delapan"),9,"sembilan"),"0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Tujuh Puluh Lima Ribu Rupiah</v>
      </c>
      <c r="F1094" s="10"/>
      <c r="G1094" s="10"/>
      <c r="H1094" s="10"/>
      <c r="I1094" s="10"/>
      <c r="J1094" s="46"/>
      <c r="K1094" s="46"/>
    </row>
    <row r="1095" spans="1:11">
      <c r="A1095" s="45"/>
      <c r="B1095" s="45"/>
      <c r="C1095" s="45"/>
      <c r="D1095" s="45"/>
      <c r="E1095" s="45"/>
      <c r="F1095" s="45"/>
      <c r="G1095" s="29"/>
      <c r="H1095" s="46"/>
      <c r="I1095" s="46"/>
      <c r="J1095" s="46"/>
      <c r="K1095" s="46"/>
    </row>
    <row r="1096" spans="1:11">
      <c r="A1096" s="29"/>
      <c r="B1096" s="29"/>
      <c r="C1096" s="29"/>
      <c r="D1096" s="29"/>
      <c r="E1096" s="29"/>
      <c r="F1096" s="29"/>
      <c r="G1096" s="29"/>
      <c r="H1096"/>
      <c r="I1096"/>
      <c r="J1096" s="46"/>
      <c r="K1096" s="46"/>
    </row>
    <row r="1097" spans="1:11">
      <c r="A1097" s="13"/>
      <c r="B1097" s="13"/>
      <c r="C1097" s="10"/>
      <c r="D1097" s="10"/>
      <c r="E1097" s="10"/>
      <c r="F1097" s="10"/>
      <c r="G1097" s="10"/>
      <c r="I1097" s="47"/>
      <c r="J1097" s="47" t="s">
        <v>110</v>
      </c>
      <c r="K1097" s="46"/>
    </row>
    <row r="1098" spans="1:11">
      <c r="A1098" s="12" t="s">
        <v>31</v>
      </c>
      <c r="B1098" s="10"/>
      <c r="C1098" s="10"/>
      <c r="D1098" s="10"/>
      <c r="E1098" s="10"/>
      <c r="F1098" s="10"/>
      <c r="G1098" s="10"/>
      <c r="I1098" s="12"/>
      <c r="J1098" s="12" t="s">
        <v>32</v>
      </c>
      <c r="K1098" s="46"/>
    </row>
    <row r="1099" spans="1:11">
      <c r="A1099" s="10"/>
      <c r="B1099" s="10"/>
      <c r="C1099" s="10"/>
      <c r="D1099" s="10"/>
      <c r="E1099" s="10"/>
      <c r="F1099" s="10"/>
      <c r="G1099" s="10"/>
      <c r="I1099" s="12"/>
      <c r="J1099" s="12"/>
      <c r="K1099" s="46"/>
    </row>
    <row r="1100" spans="1:11">
      <c r="A1100" s="10"/>
      <c r="B1100" s="10"/>
      <c r="C1100" s="10"/>
      <c r="D1100" s="10"/>
      <c r="E1100" s="10"/>
      <c r="F1100" s="10"/>
      <c r="G1100" s="10"/>
      <c r="I1100" s="12"/>
      <c r="J1100" s="12"/>
      <c r="K1100" s="46"/>
    </row>
    <row r="1101" spans="1:11">
      <c r="A1101" s="10"/>
      <c r="B1101" s="10"/>
      <c r="C1101" s="10"/>
      <c r="D1101" s="10"/>
      <c r="E1101" s="10"/>
      <c r="F1101" s="10"/>
      <c r="G1101" s="10"/>
      <c r="I1101" s="12"/>
      <c r="J1101" s="12"/>
      <c r="K1101" s="46"/>
    </row>
    <row r="1102" spans="1:11">
      <c r="A1102" s="10"/>
      <c r="B1102" s="10"/>
      <c r="C1102" s="10"/>
      <c r="D1102" s="10"/>
      <c r="E1102" s="10"/>
      <c r="F1102" s="10"/>
      <c r="G1102" s="10"/>
      <c r="I1102" s="12"/>
      <c r="J1102" s="12"/>
      <c r="K1102" s="46"/>
    </row>
    <row r="1103" spans="1:11">
      <c r="A1103" s="48" t="s">
        <v>37</v>
      </c>
      <c r="B1103" s="48"/>
      <c r="C1103" s="49"/>
      <c r="D1103" s="49"/>
      <c r="E1103" s="49"/>
      <c r="F1103" s="49"/>
      <c r="G1103" s="10" t="s">
        <v>33</v>
      </c>
      <c r="I1103" s="48"/>
      <c r="J1103" s="48" t="s">
        <v>34</v>
      </c>
      <c r="K1103" s="46"/>
    </row>
  </sheetData>
  <mergeCells count="288">
    <mergeCell ref="C1085:E1085"/>
    <mergeCell ref="A1088:C1088"/>
    <mergeCell ref="A1093:C1093"/>
    <mergeCell ref="A1066:K1066"/>
    <mergeCell ref="A1067:K1067"/>
    <mergeCell ref="A1068:K1068"/>
    <mergeCell ref="A1069:K1069"/>
    <mergeCell ref="A1070:K1070"/>
    <mergeCell ref="A1079:K1079"/>
    <mergeCell ref="C1080:E1080"/>
    <mergeCell ref="C1083:E1083"/>
    <mergeCell ref="C1084:E1084"/>
    <mergeCell ref="C1039:E1039"/>
    <mergeCell ref="A1042:C1042"/>
    <mergeCell ref="A1047:C1047"/>
    <mergeCell ref="A1020:K1020"/>
    <mergeCell ref="A1021:K1021"/>
    <mergeCell ref="A1022:K1022"/>
    <mergeCell ref="A1023:K1023"/>
    <mergeCell ref="A1024:K1024"/>
    <mergeCell ref="A1033:K1033"/>
    <mergeCell ref="C1034:E1034"/>
    <mergeCell ref="C1037:E1037"/>
    <mergeCell ref="C1038:E1038"/>
    <mergeCell ref="C896:E896"/>
    <mergeCell ref="C899:E899"/>
    <mergeCell ref="C900:E900"/>
    <mergeCell ref="C901:E901"/>
    <mergeCell ref="A904:C904"/>
    <mergeCell ref="A909:C909"/>
    <mergeCell ref="A882:K882"/>
    <mergeCell ref="A883:K883"/>
    <mergeCell ref="A884:K884"/>
    <mergeCell ref="A885:K885"/>
    <mergeCell ref="A886:K886"/>
    <mergeCell ref="A895:K895"/>
    <mergeCell ref="C850:E850"/>
    <mergeCell ref="C853:E853"/>
    <mergeCell ref="C854:E854"/>
    <mergeCell ref="C855:E855"/>
    <mergeCell ref="A858:C858"/>
    <mergeCell ref="A863:C863"/>
    <mergeCell ref="A836:K836"/>
    <mergeCell ref="A837:K837"/>
    <mergeCell ref="A838:K838"/>
    <mergeCell ref="A839:K839"/>
    <mergeCell ref="A840:K840"/>
    <mergeCell ref="A849:K849"/>
    <mergeCell ref="C804:E804"/>
    <mergeCell ref="C807:E807"/>
    <mergeCell ref="C808:E808"/>
    <mergeCell ref="C809:E809"/>
    <mergeCell ref="A812:C812"/>
    <mergeCell ref="A817:C817"/>
    <mergeCell ref="A790:K790"/>
    <mergeCell ref="A791:K791"/>
    <mergeCell ref="A792:K792"/>
    <mergeCell ref="A793:K793"/>
    <mergeCell ref="A794:K794"/>
    <mergeCell ref="A803:K803"/>
    <mergeCell ref="C758:E758"/>
    <mergeCell ref="C761:E761"/>
    <mergeCell ref="C762:E762"/>
    <mergeCell ref="C763:E763"/>
    <mergeCell ref="A766:C766"/>
    <mergeCell ref="A771:C771"/>
    <mergeCell ref="A744:K744"/>
    <mergeCell ref="A745:K745"/>
    <mergeCell ref="A746:K746"/>
    <mergeCell ref="A747:K747"/>
    <mergeCell ref="A748:K748"/>
    <mergeCell ref="A757:K757"/>
    <mergeCell ref="C712:E712"/>
    <mergeCell ref="C715:E715"/>
    <mergeCell ref="C716:E716"/>
    <mergeCell ref="C717:E717"/>
    <mergeCell ref="A720:C720"/>
    <mergeCell ref="A725:C725"/>
    <mergeCell ref="A698:K698"/>
    <mergeCell ref="A699:K699"/>
    <mergeCell ref="A700:K700"/>
    <mergeCell ref="A701:K701"/>
    <mergeCell ref="A702:K702"/>
    <mergeCell ref="A711:K711"/>
    <mergeCell ref="C666:E666"/>
    <mergeCell ref="C669:E669"/>
    <mergeCell ref="C670:E670"/>
    <mergeCell ref="C671:E671"/>
    <mergeCell ref="A674:C674"/>
    <mergeCell ref="A679:C679"/>
    <mergeCell ref="A652:K652"/>
    <mergeCell ref="A653:K653"/>
    <mergeCell ref="A654:K654"/>
    <mergeCell ref="A655:K655"/>
    <mergeCell ref="A656:K656"/>
    <mergeCell ref="A665:K665"/>
    <mergeCell ref="C620:E620"/>
    <mergeCell ref="C623:E623"/>
    <mergeCell ref="C624:E624"/>
    <mergeCell ref="C625:E625"/>
    <mergeCell ref="A628:C628"/>
    <mergeCell ref="A633:C633"/>
    <mergeCell ref="A606:K606"/>
    <mergeCell ref="A607:K607"/>
    <mergeCell ref="A608:K608"/>
    <mergeCell ref="A609:K609"/>
    <mergeCell ref="A610:K610"/>
    <mergeCell ref="A619:K619"/>
    <mergeCell ref="C574:E574"/>
    <mergeCell ref="C577:E577"/>
    <mergeCell ref="C578:E578"/>
    <mergeCell ref="C579:E579"/>
    <mergeCell ref="A582:C582"/>
    <mergeCell ref="A587:C587"/>
    <mergeCell ref="A560:K560"/>
    <mergeCell ref="A561:K561"/>
    <mergeCell ref="A562:K562"/>
    <mergeCell ref="A563:K563"/>
    <mergeCell ref="A564:K564"/>
    <mergeCell ref="A573:K573"/>
    <mergeCell ref="C528:E528"/>
    <mergeCell ref="C531:E531"/>
    <mergeCell ref="C532:E532"/>
    <mergeCell ref="C533:E533"/>
    <mergeCell ref="A536:C536"/>
    <mergeCell ref="A541:C541"/>
    <mergeCell ref="A514:K514"/>
    <mergeCell ref="A515:K515"/>
    <mergeCell ref="A516:K516"/>
    <mergeCell ref="A517:K517"/>
    <mergeCell ref="A518:K518"/>
    <mergeCell ref="A527:K527"/>
    <mergeCell ref="C482:E482"/>
    <mergeCell ref="C485:E485"/>
    <mergeCell ref="C486:E486"/>
    <mergeCell ref="C487:E487"/>
    <mergeCell ref="A490:C490"/>
    <mergeCell ref="A495:C495"/>
    <mergeCell ref="A468:K468"/>
    <mergeCell ref="A469:K469"/>
    <mergeCell ref="A470:K470"/>
    <mergeCell ref="A471:K471"/>
    <mergeCell ref="A472:K472"/>
    <mergeCell ref="A481:K481"/>
    <mergeCell ref="C436:E436"/>
    <mergeCell ref="C439:E439"/>
    <mergeCell ref="C440:E440"/>
    <mergeCell ref="C441:E441"/>
    <mergeCell ref="A444:C444"/>
    <mergeCell ref="A449:C449"/>
    <mergeCell ref="A422:K422"/>
    <mergeCell ref="A423:K423"/>
    <mergeCell ref="A424:K424"/>
    <mergeCell ref="A425:K425"/>
    <mergeCell ref="A426:K426"/>
    <mergeCell ref="A435:K435"/>
    <mergeCell ref="C390:E390"/>
    <mergeCell ref="C393:E393"/>
    <mergeCell ref="C394:E394"/>
    <mergeCell ref="C395:E395"/>
    <mergeCell ref="A398:C398"/>
    <mergeCell ref="A403:C403"/>
    <mergeCell ref="A376:K376"/>
    <mergeCell ref="A377:K377"/>
    <mergeCell ref="A378:K378"/>
    <mergeCell ref="A379:K379"/>
    <mergeCell ref="A380:K380"/>
    <mergeCell ref="A389:K389"/>
    <mergeCell ref="C344:E344"/>
    <mergeCell ref="C347:E347"/>
    <mergeCell ref="C348:E348"/>
    <mergeCell ref="C349:E349"/>
    <mergeCell ref="A352:C352"/>
    <mergeCell ref="A357:C357"/>
    <mergeCell ref="A330:K330"/>
    <mergeCell ref="A331:K331"/>
    <mergeCell ref="A332:K332"/>
    <mergeCell ref="A333:K333"/>
    <mergeCell ref="A334:K334"/>
    <mergeCell ref="A343:K343"/>
    <mergeCell ref="C298:E298"/>
    <mergeCell ref="C301:E301"/>
    <mergeCell ref="C302:E302"/>
    <mergeCell ref="C303:E303"/>
    <mergeCell ref="A306:C306"/>
    <mergeCell ref="A311:C311"/>
    <mergeCell ref="A284:K284"/>
    <mergeCell ref="A285:K285"/>
    <mergeCell ref="A286:K286"/>
    <mergeCell ref="A287:K287"/>
    <mergeCell ref="A288:K288"/>
    <mergeCell ref="A297:K297"/>
    <mergeCell ref="C252:E252"/>
    <mergeCell ref="C255:E255"/>
    <mergeCell ref="C256:E256"/>
    <mergeCell ref="C257:E257"/>
    <mergeCell ref="A260:C260"/>
    <mergeCell ref="A265:C265"/>
    <mergeCell ref="A238:K238"/>
    <mergeCell ref="A239:K239"/>
    <mergeCell ref="A240:K240"/>
    <mergeCell ref="A241:K241"/>
    <mergeCell ref="A242:K242"/>
    <mergeCell ref="A251:K251"/>
    <mergeCell ref="C206:E206"/>
    <mergeCell ref="C209:E209"/>
    <mergeCell ref="C210:E210"/>
    <mergeCell ref="C211:E211"/>
    <mergeCell ref="A214:C214"/>
    <mergeCell ref="A219:C219"/>
    <mergeCell ref="A192:K192"/>
    <mergeCell ref="A193:K193"/>
    <mergeCell ref="A194:K194"/>
    <mergeCell ref="A195:K195"/>
    <mergeCell ref="A196:K196"/>
    <mergeCell ref="A205:K205"/>
    <mergeCell ref="C160:E160"/>
    <mergeCell ref="C163:E163"/>
    <mergeCell ref="C164:E164"/>
    <mergeCell ref="C165:E165"/>
    <mergeCell ref="A168:C168"/>
    <mergeCell ref="A173:C173"/>
    <mergeCell ref="A146:K146"/>
    <mergeCell ref="A147:K147"/>
    <mergeCell ref="A148:K148"/>
    <mergeCell ref="A149:K149"/>
    <mergeCell ref="A150:K150"/>
    <mergeCell ref="A159:K159"/>
    <mergeCell ref="C114:E114"/>
    <mergeCell ref="C117:E117"/>
    <mergeCell ref="C118:E118"/>
    <mergeCell ref="C119:E119"/>
    <mergeCell ref="A122:C122"/>
    <mergeCell ref="A127:C127"/>
    <mergeCell ref="A100:K100"/>
    <mergeCell ref="A101:K101"/>
    <mergeCell ref="A102:K102"/>
    <mergeCell ref="A103:K103"/>
    <mergeCell ref="A104:K104"/>
    <mergeCell ref="A113:K113"/>
    <mergeCell ref="C68:E68"/>
    <mergeCell ref="C71:E71"/>
    <mergeCell ref="C72:E72"/>
    <mergeCell ref="C73:E73"/>
    <mergeCell ref="A76:C76"/>
    <mergeCell ref="A81:C81"/>
    <mergeCell ref="A54:K54"/>
    <mergeCell ref="A55:K55"/>
    <mergeCell ref="A56:K56"/>
    <mergeCell ref="A57:K57"/>
    <mergeCell ref="A58:K58"/>
    <mergeCell ref="A67:K67"/>
    <mergeCell ref="C22:E22"/>
    <mergeCell ref="C25:E25"/>
    <mergeCell ref="C26:E26"/>
    <mergeCell ref="C27:E27"/>
    <mergeCell ref="A30:C30"/>
    <mergeCell ref="A35:C35"/>
    <mergeCell ref="A8:K8"/>
    <mergeCell ref="A9:K9"/>
    <mergeCell ref="A10:K10"/>
    <mergeCell ref="A11:K11"/>
    <mergeCell ref="A12:K12"/>
    <mergeCell ref="A21:K21"/>
    <mergeCell ref="A974:K974"/>
    <mergeCell ref="A975:K975"/>
    <mergeCell ref="A976:K976"/>
    <mergeCell ref="C947:E947"/>
    <mergeCell ref="A950:C950"/>
    <mergeCell ref="A955:C955"/>
    <mergeCell ref="A928:K928"/>
    <mergeCell ref="A929:K929"/>
    <mergeCell ref="A930:K930"/>
    <mergeCell ref="A931:K931"/>
    <mergeCell ref="A932:K932"/>
    <mergeCell ref="A941:K941"/>
    <mergeCell ref="C942:E942"/>
    <mergeCell ref="C945:E945"/>
    <mergeCell ref="C946:E946"/>
    <mergeCell ref="A977:K977"/>
    <mergeCell ref="A978:K978"/>
    <mergeCell ref="A987:K987"/>
    <mergeCell ref="C988:E988"/>
    <mergeCell ref="C991:E991"/>
    <mergeCell ref="C992:E992"/>
    <mergeCell ref="C993:E993"/>
    <mergeCell ref="A996:C996"/>
    <mergeCell ref="A1001:C1001"/>
  </mergeCells>
  <pageMargins left="0.23622047244094491" right="0.23622047244094491" top="0.15748031496062992" bottom="0.74803149606299213" header="0.31496062992125984" footer="0.31496062992125984"/>
  <pageSetup paperSize="9" scale="79" orientation="portrait" horizontalDpi="4294967293" r:id="rId1"/>
  <rowBreaks count="23" manualBreakCount="23">
    <brk id="46" max="10" man="1"/>
    <brk id="92" max="10" man="1"/>
    <brk id="138" max="10" man="1"/>
    <brk id="184" max="10" man="1"/>
    <brk id="230" max="10" man="1"/>
    <brk id="276" max="10" man="1"/>
    <brk id="322" max="10" man="1"/>
    <brk id="368" max="10" man="1"/>
    <brk id="414" max="10" man="1"/>
    <brk id="460" max="10" man="1"/>
    <brk id="506" max="10" man="1"/>
    <brk id="552" max="10" man="1"/>
    <brk id="598" max="10" man="1"/>
    <brk id="644" max="10" man="1"/>
    <brk id="690" max="10" man="1"/>
    <brk id="736" max="10" man="1"/>
    <brk id="782" max="10" man="1"/>
    <brk id="828" max="10" man="1"/>
    <brk id="874" max="10" man="1"/>
    <brk id="920" max="10" man="1"/>
    <brk id="966" max="10" man="1"/>
    <brk id="1012" max="10" man="1"/>
    <brk id="1058" max="1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DD72E-8211-4C3D-99B6-5818BB4DF961}">
  <dimension ref="A1:W1103"/>
  <sheetViews>
    <sheetView tabSelected="1" view="pageBreakPreview" topLeftCell="A221" zoomScaleNormal="100" workbookViewId="0">
      <selection activeCell="K275" sqref="A231:K275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31.7109375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1" spans="1:23">
      <c r="L1" s="29"/>
      <c r="M1" s="30"/>
      <c r="N1" s="30"/>
      <c r="O1" s="30"/>
      <c r="P1" s="30"/>
      <c r="Q1" s="30"/>
      <c r="R1" s="30"/>
      <c r="S1" s="30"/>
      <c r="T1" s="30"/>
      <c r="U1" s="30"/>
      <c r="V1" s="30"/>
      <c r="W1" s="29"/>
    </row>
    <row r="2" spans="1:23">
      <c r="L2" s="29"/>
      <c r="M2" s="30"/>
      <c r="N2" s="30"/>
      <c r="O2" s="30"/>
      <c r="P2" s="30"/>
      <c r="Q2" s="30"/>
      <c r="R2" s="30"/>
      <c r="S2" s="30"/>
      <c r="T2" s="30"/>
      <c r="U2" s="30"/>
      <c r="V2" s="30"/>
      <c r="W2" s="29"/>
    </row>
    <row r="3" spans="1:23">
      <c r="L3" s="29"/>
      <c r="M3" s="30"/>
      <c r="N3" s="30"/>
      <c r="O3" s="30"/>
      <c r="P3" s="30"/>
      <c r="Q3" s="30"/>
      <c r="R3" s="30"/>
      <c r="S3" s="30"/>
      <c r="T3" s="30"/>
      <c r="U3" s="30"/>
      <c r="V3" s="30"/>
      <c r="W3" s="29"/>
    </row>
    <row r="4" spans="1:23" ht="15.75">
      <c r="C4" s="2"/>
      <c r="D4" s="2"/>
      <c r="E4" s="2"/>
      <c r="F4" s="2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29"/>
    </row>
    <row r="5" spans="1:23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  <c r="L5" s="29"/>
      <c r="M5" s="30"/>
      <c r="N5" s="30"/>
      <c r="O5" s="30"/>
      <c r="P5" s="30"/>
      <c r="Q5" s="30"/>
      <c r="R5" s="30"/>
      <c r="S5" s="30"/>
      <c r="T5" s="30"/>
      <c r="U5" s="30"/>
      <c r="V5" s="30"/>
      <c r="W5" s="29"/>
    </row>
    <row r="6" spans="1:23">
      <c r="H6" s="5"/>
      <c r="I6" s="5"/>
      <c r="J6" s="5"/>
      <c r="K6" s="5"/>
      <c r="L6" s="29"/>
      <c r="M6" s="30"/>
      <c r="N6" s="30"/>
      <c r="O6" s="30"/>
      <c r="P6" s="30"/>
      <c r="Q6" s="30"/>
      <c r="R6" s="30"/>
      <c r="S6" s="30"/>
      <c r="T6" s="30"/>
      <c r="U6" s="30"/>
      <c r="V6" s="30"/>
      <c r="W6" s="29"/>
    </row>
    <row r="7" spans="1:23">
      <c r="H7" s="5"/>
      <c r="I7" s="5"/>
      <c r="J7" s="5"/>
      <c r="K7" s="5"/>
      <c r="L7" s="29"/>
      <c r="M7" s="30"/>
      <c r="N7" s="30"/>
      <c r="O7" s="30"/>
      <c r="P7" s="30"/>
      <c r="Q7" s="30"/>
      <c r="R7" s="30"/>
      <c r="S7" s="30"/>
      <c r="T7" s="30"/>
      <c r="U7" s="30"/>
      <c r="V7" s="30"/>
      <c r="W7" s="29"/>
    </row>
    <row r="8" spans="1:23" ht="15" customHeight="1">
      <c r="A8" s="72" t="s">
        <v>0</v>
      </c>
      <c r="B8" s="72"/>
      <c r="C8" s="73"/>
      <c r="D8" s="73"/>
      <c r="E8" s="73"/>
      <c r="F8" s="73"/>
      <c r="G8" s="73"/>
      <c r="H8" s="73"/>
      <c r="I8" s="73"/>
      <c r="J8" s="73"/>
      <c r="K8" s="73"/>
      <c r="L8" s="29"/>
      <c r="M8" s="30"/>
      <c r="N8" s="30"/>
      <c r="O8" s="30"/>
      <c r="P8" s="30"/>
      <c r="Q8" s="30"/>
      <c r="R8" s="30"/>
      <c r="S8" s="30"/>
      <c r="T8" s="30"/>
      <c r="U8" s="30"/>
      <c r="V8" s="30"/>
      <c r="W8" s="29"/>
    </row>
    <row r="9" spans="1:23" ht="15" customHeight="1">
      <c r="A9" s="73" t="s">
        <v>111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29"/>
      <c r="M9" s="30"/>
      <c r="N9" s="30"/>
      <c r="O9" s="30"/>
      <c r="P9" s="30"/>
      <c r="Q9" s="30"/>
      <c r="R9" s="30"/>
      <c r="S9" s="30"/>
      <c r="T9" s="30"/>
      <c r="U9" s="30"/>
      <c r="V9" s="30"/>
      <c r="W9" s="29"/>
    </row>
    <row r="10" spans="1:23" ht="15" customHeight="1">
      <c r="A10" s="73" t="s">
        <v>1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29"/>
    </row>
    <row r="11" spans="1:23" ht="15" customHeight="1">
      <c r="A11" s="73" t="s">
        <v>38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29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29"/>
    </row>
    <row r="12" spans="1:23" ht="15" customHeight="1">
      <c r="A12" s="73" t="s">
        <v>2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29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29"/>
    </row>
    <row r="13" spans="1:23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  <c r="L13" s="29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29"/>
    </row>
    <row r="14" spans="1:23">
      <c r="A14" s="52" t="s">
        <v>3</v>
      </c>
      <c r="B14" s="10"/>
      <c r="C14" s="10"/>
      <c r="D14" s="53" t="s">
        <v>4</v>
      </c>
      <c r="E14" s="10" t="s">
        <v>5</v>
      </c>
      <c r="F14" s="11"/>
      <c r="G14" s="10"/>
      <c r="H14" s="12"/>
      <c r="I14" s="12"/>
      <c r="J14" s="12"/>
      <c r="K14" s="9"/>
      <c r="L14" s="29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29"/>
    </row>
    <row r="15" spans="1:23">
      <c r="A15" s="52" t="s">
        <v>6</v>
      </c>
      <c r="B15" s="10"/>
      <c r="C15" s="10"/>
      <c r="D15" s="53" t="s">
        <v>4</v>
      </c>
      <c r="E15" s="10" t="s">
        <v>7</v>
      </c>
      <c r="F15" s="11"/>
      <c r="G15" s="10"/>
      <c r="H15" s="12"/>
      <c r="I15" s="12"/>
      <c r="J15" s="12"/>
      <c r="K15" s="9"/>
      <c r="L15" s="29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29"/>
    </row>
    <row r="16" spans="1:23">
      <c r="A16" s="52" t="s">
        <v>8</v>
      </c>
      <c r="B16" s="10"/>
      <c r="C16" s="10"/>
      <c r="D16" s="53" t="s">
        <v>4</v>
      </c>
      <c r="E16" s="13">
        <v>2026</v>
      </c>
      <c r="F16" s="11"/>
      <c r="G16" s="13"/>
      <c r="H16" s="12"/>
      <c r="I16" s="12"/>
      <c r="J16" s="12"/>
      <c r="K16" s="9"/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29"/>
    </row>
    <row r="17" spans="1:23">
      <c r="A17" s="52" t="s">
        <v>9</v>
      </c>
      <c r="B17" s="10"/>
      <c r="C17" s="10"/>
      <c r="D17" s="53" t="s">
        <v>4</v>
      </c>
      <c r="E17" s="14">
        <f>J28</f>
        <v>1823000</v>
      </c>
      <c r="F17" s="11"/>
      <c r="G17" s="14"/>
      <c r="H17" s="12"/>
      <c r="I17" s="12"/>
      <c r="J17" s="12"/>
      <c r="K17" s="9"/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29"/>
    </row>
    <row r="18" spans="1:23" ht="15.75">
      <c r="A18" s="10"/>
      <c r="B18" s="10"/>
      <c r="C18" s="15" t="s">
        <v>10</v>
      </c>
      <c r="D18" s="53" t="s">
        <v>4</v>
      </c>
      <c r="E18" s="1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Delapan Ratus Dua Puluh Tiga Ribu Rupiah</v>
      </c>
      <c r="F18" s="11"/>
      <c r="G18" s="16"/>
      <c r="H18" s="12"/>
      <c r="I18" s="12"/>
      <c r="J18" s="12"/>
      <c r="K18" s="9"/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9"/>
    </row>
    <row r="19" spans="1:23" ht="15.75">
      <c r="A19" s="10"/>
      <c r="B19" s="10"/>
      <c r="C19" s="15"/>
      <c r="D19" s="15"/>
      <c r="E19" s="15"/>
      <c r="F19" s="11"/>
      <c r="G19" s="16"/>
      <c r="H19" s="12"/>
      <c r="I19" s="12"/>
      <c r="J19" s="12"/>
      <c r="K19" s="9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9"/>
    </row>
    <row r="20" spans="1:23">
      <c r="A20" s="10" t="s">
        <v>11</v>
      </c>
      <c r="B20" s="10"/>
      <c r="C20" s="10"/>
      <c r="D20" s="10"/>
      <c r="E20" s="10"/>
      <c r="F20" s="10"/>
      <c r="G20" s="10"/>
      <c r="H20" s="12"/>
      <c r="I20" s="12"/>
      <c r="J20" s="12"/>
      <c r="K20" s="9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9"/>
    </row>
    <row r="21" spans="1:23">
      <c r="A21" s="74" t="s">
        <v>12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9"/>
    </row>
    <row r="22" spans="1:23" ht="61.5" customHeight="1">
      <c r="A22" s="17" t="s">
        <v>13</v>
      </c>
      <c r="B22" s="18" t="s">
        <v>14</v>
      </c>
      <c r="C22" s="59" t="s">
        <v>15</v>
      </c>
      <c r="D22" s="60"/>
      <c r="E22" s="61"/>
      <c r="F22" s="19"/>
      <c r="G22" s="20" t="s">
        <v>16</v>
      </c>
      <c r="H22" s="21" t="s">
        <v>35</v>
      </c>
      <c r="I22" s="21"/>
      <c r="J22" s="31" t="s">
        <v>17</v>
      </c>
      <c r="K22" s="32" t="s">
        <v>18</v>
      </c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9"/>
    </row>
    <row r="23" spans="1:23">
      <c r="A23" s="27">
        <v>1</v>
      </c>
      <c r="B23" s="24"/>
      <c r="C23" s="28" t="s">
        <v>23</v>
      </c>
      <c r="D23" s="57"/>
      <c r="E23" s="26"/>
      <c r="F23" s="25"/>
      <c r="G23" s="54" t="s">
        <v>19</v>
      </c>
      <c r="H23" s="54" t="s">
        <v>19</v>
      </c>
      <c r="I23" s="54"/>
      <c r="J23" s="54" t="s">
        <v>19</v>
      </c>
      <c r="K23" s="54" t="s">
        <v>19</v>
      </c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9"/>
    </row>
    <row r="24" spans="1:23">
      <c r="A24" s="24"/>
      <c r="B24" s="55" t="s">
        <v>20</v>
      </c>
      <c r="C24" s="25" t="s">
        <v>24</v>
      </c>
      <c r="D24" s="10"/>
      <c r="E24" s="26"/>
      <c r="F24" s="25"/>
      <c r="G24" s="23">
        <v>45000000</v>
      </c>
      <c r="H24" s="56">
        <f>FEBRUARI!H1082+FEBRUARI!J1082</f>
        <v>3425599</v>
      </c>
      <c r="I24" s="56"/>
      <c r="J24" s="56">
        <v>0</v>
      </c>
      <c r="K24" s="58">
        <f t="shared" ref="K24:K27" si="0">G24-H24-J24</f>
        <v>41574401</v>
      </c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29"/>
    </row>
    <row r="25" spans="1:23" ht="28.5" customHeight="1">
      <c r="A25" s="24"/>
      <c r="B25" s="55" t="s">
        <v>21</v>
      </c>
      <c r="C25" s="62" t="s">
        <v>39</v>
      </c>
      <c r="D25" s="63"/>
      <c r="E25" s="64"/>
      <c r="F25" s="25"/>
      <c r="G25" s="23">
        <v>35000000</v>
      </c>
      <c r="H25" s="56">
        <f>FEBRUARI!H1083+FEBRUARI!J1083</f>
        <v>5775990</v>
      </c>
      <c r="I25" s="56"/>
      <c r="J25" s="56">
        <v>0</v>
      </c>
      <c r="K25" s="58">
        <f t="shared" si="0"/>
        <v>29224010</v>
      </c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9"/>
    </row>
    <row r="26" spans="1:23">
      <c r="A26" s="24"/>
      <c r="B26" s="55" t="s">
        <v>22</v>
      </c>
      <c r="C26" s="65" t="s">
        <v>40</v>
      </c>
      <c r="D26" s="66"/>
      <c r="E26" s="67"/>
      <c r="F26" s="25"/>
      <c r="G26" s="23">
        <v>30000000</v>
      </c>
      <c r="H26" s="56">
        <f>FEBRUARI!H1084+FEBRUARI!J1084</f>
        <v>4394500</v>
      </c>
      <c r="I26" s="22"/>
      <c r="J26" s="22">
        <v>1823000</v>
      </c>
      <c r="K26" s="33">
        <f t="shared" si="0"/>
        <v>23782500</v>
      </c>
      <c r="L26" s="29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9"/>
    </row>
    <row r="27" spans="1:23">
      <c r="A27" s="24"/>
      <c r="B27" s="55" t="s">
        <v>36</v>
      </c>
      <c r="C27" s="68" t="s">
        <v>41</v>
      </c>
      <c r="D27" s="69"/>
      <c r="E27" s="70"/>
      <c r="F27" s="25"/>
      <c r="G27" s="23">
        <v>28125000</v>
      </c>
      <c r="H27" s="56">
        <f>FEBRUARI!H1085+FEBRUARI!J1085</f>
        <v>1440650</v>
      </c>
      <c r="I27" s="22"/>
      <c r="J27" s="22">
        <v>0</v>
      </c>
      <c r="K27" s="33">
        <f t="shared" si="0"/>
        <v>26684350</v>
      </c>
      <c r="L27" s="29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9"/>
    </row>
    <row r="28" spans="1:23" ht="14.25" customHeight="1">
      <c r="A28" s="34"/>
      <c r="B28" s="34"/>
      <c r="C28" s="34" t="s">
        <v>25</v>
      </c>
      <c r="D28" s="34"/>
      <c r="E28" s="34"/>
      <c r="F28" s="35"/>
      <c r="G28" s="36">
        <f>SUM(G23:G27)</f>
        <v>138125000</v>
      </c>
      <c r="H28" s="37">
        <f>SUM(H23:H27)</f>
        <v>15036739</v>
      </c>
      <c r="I28" s="37"/>
      <c r="J28" s="37">
        <f>SUM(J23:J27)</f>
        <v>1823000</v>
      </c>
      <c r="K28" s="37">
        <f>SUM(K23:K27)</f>
        <v>121265261</v>
      </c>
      <c r="L28" s="2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9"/>
    </row>
    <row r="29" spans="1:23">
      <c r="A29" s="38"/>
      <c r="B29" s="8"/>
      <c r="C29" s="8"/>
      <c r="D29" s="8"/>
      <c r="E29" s="8"/>
      <c r="F29" s="8"/>
      <c r="G29" s="39"/>
      <c r="H29" s="39"/>
      <c r="I29" s="39"/>
      <c r="J29" s="39"/>
      <c r="K29" s="39"/>
      <c r="L29" s="29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9"/>
    </row>
    <row r="30" spans="1:23">
      <c r="A30" s="71" t="s">
        <v>26</v>
      </c>
      <c r="B30" s="71"/>
      <c r="C30" s="71"/>
      <c r="D30" s="11" t="s">
        <v>4</v>
      </c>
      <c r="E30" s="14">
        <f>J28</f>
        <v>1823000</v>
      </c>
      <c r="F30" s="40"/>
      <c r="G30" s="41"/>
      <c r="H30" s="41"/>
      <c r="I30" s="41"/>
      <c r="J30" s="9"/>
      <c r="K30" s="9"/>
      <c r="L30" s="29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29"/>
    </row>
    <row r="31" spans="1:23">
      <c r="A31" s="10" t="s">
        <v>27</v>
      </c>
      <c r="B31" s="10"/>
      <c r="C31" s="10"/>
      <c r="D31" s="11" t="s">
        <v>4</v>
      </c>
      <c r="E31" s="42"/>
      <c r="F31" s="42"/>
      <c r="G31" s="43"/>
      <c r="H31" s="12"/>
      <c r="I31" s="12"/>
      <c r="J31" s="9"/>
      <c r="K31" s="9"/>
      <c r="L31" s="29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29"/>
    </row>
    <row r="32" spans="1:23">
      <c r="A32" s="10" t="s">
        <v>28</v>
      </c>
      <c r="B32" s="10"/>
      <c r="C32" s="10"/>
      <c r="D32" s="11" t="s">
        <v>4</v>
      </c>
      <c r="E32" s="44"/>
      <c r="F32" s="44"/>
      <c r="G32" s="43"/>
      <c r="H32" s="12"/>
      <c r="I32" s="12"/>
      <c r="J32" s="9"/>
      <c r="K32" s="9"/>
      <c r="L32" s="29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9"/>
    </row>
    <row r="33" spans="1:23">
      <c r="A33" s="10" t="s">
        <v>29</v>
      </c>
      <c r="B33" s="10"/>
      <c r="C33" s="10"/>
      <c r="D33" s="11" t="s">
        <v>4</v>
      </c>
      <c r="E33" s="44">
        <f>E31+E32</f>
        <v>0</v>
      </c>
      <c r="F33" s="44"/>
      <c r="G33" s="10"/>
      <c r="H33" s="12"/>
      <c r="I33" s="12"/>
      <c r="J33" s="46"/>
      <c r="K33" s="46"/>
      <c r="L33" s="29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9"/>
    </row>
    <row r="34" spans="1:23">
      <c r="A34" s="13"/>
      <c r="B34" s="13"/>
      <c r="C34" s="13"/>
      <c r="D34" s="11"/>
      <c r="E34" s="13"/>
      <c r="F34" s="13"/>
      <c r="G34" s="10"/>
      <c r="H34" s="12"/>
      <c r="I34" s="12"/>
      <c r="J34" s="46"/>
      <c r="K34" s="46"/>
      <c r="L34" s="2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9"/>
    </row>
    <row r="35" spans="1:23">
      <c r="A35" s="71" t="s">
        <v>30</v>
      </c>
      <c r="B35" s="71"/>
      <c r="C35" s="71"/>
      <c r="D35" s="11" t="s">
        <v>4</v>
      </c>
      <c r="E35" s="40">
        <f>E30-E33</f>
        <v>1823000</v>
      </c>
      <c r="F35" s="40"/>
      <c r="G35" s="10"/>
      <c r="H35" s="12"/>
      <c r="I35" s="12"/>
      <c r="J35" s="46"/>
      <c r="K35" s="46"/>
      <c r="L35" s="29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29"/>
    </row>
    <row r="36" spans="1:23" ht="15.75">
      <c r="A36" s="13"/>
      <c r="B36" s="13"/>
      <c r="C36" s="10"/>
      <c r="D36" s="10"/>
      <c r="E36" s="16" t="str">
        <f>PROPER(IF(E35=0,"nol",IF(E35&lt;0,"minus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35),"000000000000000"),1,3)=0,"",MID(TEXT(ABS(E35),"000000000000000"),1,1)&amp;" ratus "&amp;MID(TEXT(ABS(E35),"000000000000000"),2,1)&amp;" puluh "&amp;MID(TEXT(ABS(E35),"000000000000000"),3,1)&amp;" trilyun ")&amp;IF(--MID(TEXT(ABS(E35),"000000000000000"),4,3)=0,"",MID(TEXT(ABS(E35),"000000000000000"),4,1)&amp;" ratus "&amp;MID(TEXT(ABS(E35),"000000000000000"),5,1)&amp;" puluh "&amp;MID(TEXT(ABS(E35),"000000000000000"),6,1)&amp;" milyar ")&amp;IF(--MID(TEXT(ABS(E35),"000000000000000"),7,3)=0,"",MID(TEXT(ABS(E35),"000000000000000"),7,1)&amp;" ratus "&amp;MID(TEXT(ABS(E35),"000000000000000"),8,1)&amp;" puluh "&amp;MID(TEXT(ABS(E35),"000000000000000"),9,1)&amp;" juta ")&amp;IF(--MID(TEXT(ABS(E35),"000000000000000"),10,3)=0,"",IF(--MID(TEXT(ABS(E35),"000000000000000"),10,3)=1,"*",MID(TEXT(ABS(E35),"000000000000000"),10,1)&amp;" ratus "&amp;MID(TEXT(ABS(E35),"000000000000000"),11,1)&amp;" puluh ")&amp;MID(TEXT(ABS(E35),"000000000000000"),12,1)&amp;" ribu ")&amp;IF(--MID(TEXT(ABS(E35),"000000000000000"),13,3)=0,"",MID(TEXT(ABS(E35),"000000000000000"),13,1)&amp;" ratus "&amp;MID(TEXT(ABS(E35),"000000000000000"),14,1)&amp;" puluh "&amp;MID(TEXT(ABS(E35),"000000000000000"),15,1)),1,"satu"),2,"dua"),3,"tiga"),4,"empat"),5,"lima"),6,"enam"),7,"tujuh"),8,"delapan"),9,"sembilan"),"0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Delapan Ratus Dua Puluh Tiga Ribu Rupiah</v>
      </c>
      <c r="F36" s="10"/>
      <c r="G36" s="10"/>
      <c r="H36" s="10"/>
      <c r="I36" s="10"/>
      <c r="J36" s="46"/>
      <c r="K36" s="46"/>
      <c r="L36" s="29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29"/>
    </row>
    <row r="37" spans="1:23">
      <c r="A37" s="45"/>
      <c r="B37" s="45"/>
      <c r="C37" s="45"/>
      <c r="D37" s="45"/>
      <c r="E37" s="45"/>
      <c r="F37" s="45"/>
      <c r="G37" s="29"/>
      <c r="H37" s="46"/>
      <c r="I37" s="46"/>
      <c r="J37" s="46"/>
      <c r="K37" s="46"/>
      <c r="L37" s="29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29"/>
    </row>
    <row r="38" spans="1:23">
      <c r="A38" s="29"/>
      <c r="B38" s="29"/>
      <c r="C38" s="29"/>
      <c r="D38" s="29"/>
      <c r="E38" s="29"/>
      <c r="F38" s="29"/>
      <c r="G38" s="29"/>
      <c r="H38"/>
      <c r="I38"/>
      <c r="J38" s="46"/>
      <c r="K38" s="46"/>
      <c r="L38" s="29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29"/>
    </row>
    <row r="39" spans="1:23">
      <c r="A39" s="13"/>
      <c r="B39" s="13"/>
      <c r="C39" s="10"/>
      <c r="D39" s="10"/>
      <c r="E39" s="10"/>
      <c r="F39" s="10"/>
      <c r="G39" s="10"/>
      <c r="I39" s="47"/>
      <c r="J39" s="47" t="s">
        <v>112</v>
      </c>
      <c r="K39" s="46"/>
      <c r="L39" s="29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29"/>
    </row>
    <row r="40" spans="1:23">
      <c r="A40" s="12" t="s">
        <v>31</v>
      </c>
      <c r="B40" s="10"/>
      <c r="C40" s="10"/>
      <c r="D40" s="10"/>
      <c r="E40" s="10"/>
      <c r="F40" s="10"/>
      <c r="G40" s="10"/>
      <c r="I40" s="12"/>
      <c r="J40" s="12" t="s">
        <v>32</v>
      </c>
      <c r="K40" s="46"/>
      <c r="L40" s="29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29"/>
    </row>
    <row r="41" spans="1:23">
      <c r="A41" s="10"/>
      <c r="B41" s="10"/>
      <c r="C41" s="10"/>
      <c r="D41" s="10"/>
      <c r="E41" s="10"/>
      <c r="F41" s="10"/>
      <c r="G41" s="10"/>
      <c r="I41" s="12"/>
      <c r="J41" s="12"/>
      <c r="K41" s="46"/>
      <c r="L41" s="29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29"/>
    </row>
    <row r="42" spans="1:23">
      <c r="A42" s="10"/>
      <c r="B42" s="10"/>
      <c r="C42" s="10"/>
      <c r="D42" s="10"/>
      <c r="E42" s="10"/>
      <c r="F42" s="10"/>
      <c r="G42" s="10"/>
      <c r="I42" s="12"/>
      <c r="J42" s="12"/>
      <c r="K42" s="46"/>
      <c r="L42" s="29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29"/>
    </row>
    <row r="43" spans="1:23">
      <c r="A43" s="10"/>
      <c r="B43" s="10"/>
      <c r="C43" s="10"/>
      <c r="D43" s="10"/>
      <c r="E43" s="10"/>
      <c r="F43" s="10"/>
      <c r="G43" s="10"/>
      <c r="I43" s="12"/>
      <c r="J43" s="12"/>
      <c r="K43" s="46"/>
      <c r="L43" s="29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29"/>
    </row>
    <row r="44" spans="1:23">
      <c r="A44" s="10"/>
      <c r="B44" s="10"/>
      <c r="C44" s="10"/>
      <c r="D44" s="10"/>
      <c r="E44" s="10"/>
      <c r="F44" s="10"/>
      <c r="G44" s="10"/>
      <c r="I44" s="12"/>
      <c r="J44" s="12"/>
      <c r="K44" s="46"/>
      <c r="L44" s="29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29"/>
    </row>
    <row r="45" spans="1:23">
      <c r="A45" s="48" t="s">
        <v>37</v>
      </c>
      <c r="B45" s="48"/>
      <c r="C45" s="49"/>
      <c r="D45" s="49"/>
      <c r="E45" s="49"/>
      <c r="F45" s="49"/>
      <c r="G45" s="10" t="s">
        <v>33</v>
      </c>
      <c r="I45" s="48"/>
      <c r="J45" s="48" t="s">
        <v>34</v>
      </c>
      <c r="K45" s="46"/>
      <c r="L45" s="29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29"/>
    </row>
    <row r="46" spans="1:23">
      <c r="A46" s="50"/>
      <c r="B46" s="50"/>
      <c r="C46" s="51"/>
      <c r="D46" s="51"/>
      <c r="E46" s="51"/>
      <c r="F46" s="51"/>
      <c r="G46" s="51"/>
      <c r="H46" s="50"/>
      <c r="I46" s="50"/>
      <c r="J46" s="50"/>
      <c r="K46" s="46"/>
      <c r="L46" s="29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29"/>
    </row>
    <row r="50" spans="1:11" ht="15.75">
      <c r="C50" s="2"/>
      <c r="D50" s="2"/>
      <c r="E50" s="2"/>
      <c r="F50" s="2"/>
    </row>
    <row r="51" spans="1:11" ht="15.75">
      <c r="A51" s="3"/>
      <c r="B51" s="3"/>
      <c r="C51" s="2"/>
      <c r="D51" s="2"/>
      <c r="E51" s="2"/>
      <c r="F51" s="2"/>
      <c r="G51" s="3"/>
      <c r="H51" s="4"/>
      <c r="I51" s="4"/>
      <c r="J51" s="4"/>
      <c r="K51" s="5"/>
    </row>
    <row r="52" spans="1:11">
      <c r="H52" s="5"/>
      <c r="I52" s="5"/>
      <c r="J52" s="5"/>
      <c r="K52" s="5"/>
    </row>
    <row r="53" spans="1:11">
      <c r="H53" s="5"/>
      <c r="I53" s="5"/>
      <c r="J53" s="5"/>
      <c r="K53" s="5"/>
    </row>
    <row r="54" spans="1:11">
      <c r="A54" s="72" t="s">
        <v>0</v>
      </c>
      <c r="B54" s="72"/>
      <c r="C54" s="73"/>
      <c r="D54" s="73"/>
      <c r="E54" s="73"/>
      <c r="F54" s="73"/>
      <c r="G54" s="73"/>
      <c r="H54" s="73"/>
      <c r="I54" s="73"/>
      <c r="J54" s="73"/>
      <c r="K54" s="73"/>
    </row>
    <row r="55" spans="1:11">
      <c r="A55" s="73" t="s">
        <v>113</v>
      </c>
      <c r="B55" s="73"/>
      <c r="C55" s="73"/>
      <c r="D55" s="73"/>
      <c r="E55" s="73"/>
      <c r="F55" s="73"/>
      <c r="G55" s="73"/>
      <c r="H55" s="73"/>
      <c r="I55" s="73"/>
      <c r="J55" s="73"/>
      <c r="K55" s="73"/>
    </row>
    <row r="56" spans="1:11">
      <c r="A56" s="73" t="s">
        <v>1</v>
      </c>
      <c r="B56" s="73"/>
      <c r="C56" s="73"/>
      <c r="D56" s="73"/>
      <c r="E56" s="73"/>
      <c r="F56" s="73"/>
      <c r="G56" s="73"/>
      <c r="H56" s="73"/>
      <c r="I56" s="73"/>
      <c r="J56" s="73"/>
      <c r="K56" s="73"/>
    </row>
    <row r="57" spans="1:11">
      <c r="A57" s="73" t="s">
        <v>38</v>
      </c>
      <c r="B57" s="73"/>
      <c r="C57" s="73"/>
      <c r="D57" s="73"/>
      <c r="E57" s="73"/>
      <c r="F57" s="73"/>
      <c r="G57" s="73"/>
      <c r="H57" s="73"/>
      <c r="I57" s="73"/>
      <c r="J57" s="73"/>
      <c r="K57" s="73"/>
    </row>
    <row r="58" spans="1:11">
      <c r="A58" s="73" t="s">
        <v>2</v>
      </c>
      <c r="B58" s="73"/>
      <c r="C58" s="73"/>
      <c r="D58" s="73"/>
      <c r="E58" s="73"/>
      <c r="F58" s="73"/>
      <c r="G58" s="73"/>
      <c r="H58" s="73"/>
      <c r="I58" s="73"/>
      <c r="J58" s="73"/>
      <c r="K58" s="73"/>
    </row>
    <row r="59" spans="1:11">
      <c r="A59" s="6"/>
      <c r="B59" s="6"/>
      <c r="C59" s="7"/>
      <c r="D59" s="7"/>
      <c r="E59" s="7"/>
      <c r="F59" s="7"/>
      <c r="G59" s="8"/>
      <c r="H59" s="9"/>
      <c r="I59" s="9"/>
      <c r="J59" s="9"/>
      <c r="K59" s="9"/>
    </row>
    <row r="60" spans="1:11">
      <c r="A60" s="52" t="s">
        <v>3</v>
      </c>
      <c r="B60" s="10"/>
      <c r="C60" s="10"/>
      <c r="D60" s="53" t="s">
        <v>4</v>
      </c>
      <c r="E60" s="10" t="s">
        <v>5</v>
      </c>
      <c r="F60" s="11"/>
      <c r="G60" s="10"/>
      <c r="H60" s="12"/>
      <c r="I60" s="12"/>
      <c r="J60" s="12"/>
      <c r="K60" s="9"/>
    </row>
    <row r="61" spans="1:11">
      <c r="A61" s="52" t="s">
        <v>6</v>
      </c>
      <c r="B61" s="10"/>
      <c r="C61" s="10"/>
      <c r="D61" s="53" t="s">
        <v>4</v>
      </c>
      <c r="E61" s="10" t="s">
        <v>7</v>
      </c>
      <c r="F61" s="11"/>
      <c r="G61" s="10"/>
      <c r="H61" s="12"/>
      <c r="I61" s="12"/>
      <c r="J61" s="12"/>
      <c r="K61" s="9"/>
    </row>
    <row r="62" spans="1:11">
      <c r="A62" s="52" t="s">
        <v>8</v>
      </c>
      <c r="B62" s="10"/>
      <c r="C62" s="10"/>
      <c r="D62" s="53" t="s">
        <v>4</v>
      </c>
      <c r="E62" s="13">
        <v>2026</v>
      </c>
      <c r="F62" s="11"/>
      <c r="G62" s="13"/>
      <c r="H62" s="12"/>
      <c r="I62" s="12"/>
      <c r="J62" s="12"/>
      <c r="K62" s="9"/>
    </row>
    <row r="63" spans="1:11">
      <c r="A63" s="52" t="s">
        <v>9</v>
      </c>
      <c r="B63" s="10"/>
      <c r="C63" s="10"/>
      <c r="D63" s="53" t="s">
        <v>4</v>
      </c>
      <c r="E63" s="14">
        <f>J74</f>
        <v>3150000</v>
      </c>
      <c r="F63" s="11"/>
      <c r="G63" s="14"/>
      <c r="H63" s="12"/>
      <c r="I63" s="12"/>
      <c r="J63" s="12"/>
      <c r="K63" s="9"/>
    </row>
    <row r="64" spans="1:11" ht="15.75">
      <c r="A64" s="10"/>
      <c r="B64" s="10"/>
      <c r="C64" s="15" t="s">
        <v>10</v>
      </c>
      <c r="D64" s="53" t="s">
        <v>4</v>
      </c>
      <c r="E64" s="16" t="str">
        <f>PROPER(IF(E63=0,"nol",IF(E63&lt;0,"minus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63),"000000000000000"),1,3)=0,"",MID(TEXT(ABS(E63),"000000000000000"),1,1)&amp;" ratus "&amp;MID(TEXT(ABS(E63),"000000000000000"),2,1)&amp;" puluh "&amp;MID(TEXT(ABS(E63),"000000000000000"),3,1)&amp;" trilyun ")&amp;IF(--MID(TEXT(ABS(E63),"000000000000000"),4,3)=0,"",MID(TEXT(ABS(E63),"000000000000000"),4,1)&amp;" ratus "&amp;MID(TEXT(ABS(E63),"000000000000000"),5,1)&amp;" puluh "&amp;MID(TEXT(ABS(E63),"000000000000000"),6,1)&amp;" milyar ")&amp;IF(--MID(TEXT(ABS(E63),"000000000000000"),7,3)=0,"",MID(TEXT(ABS(E63),"000000000000000"),7,1)&amp;" ratus "&amp;MID(TEXT(ABS(E63),"000000000000000"),8,1)&amp;" puluh "&amp;MID(TEXT(ABS(E63),"000000000000000"),9,1)&amp;" juta ")&amp;IF(--MID(TEXT(ABS(E63),"000000000000000"),10,3)=0,"",IF(--MID(TEXT(ABS(E63),"000000000000000"),10,3)=1,"*",MID(TEXT(ABS(E63),"000000000000000"),10,1)&amp;" ratus "&amp;MID(TEXT(ABS(E63),"000000000000000"),11,1)&amp;" puluh ")&amp;MID(TEXT(ABS(E63),"000000000000000"),12,1)&amp;" ribu ")&amp;IF(--MID(TEXT(ABS(E63),"000000000000000"),13,3)=0,"",MID(TEXT(ABS(E63),"000000000000000"),13,1)&amp;" ratus "&amp;MID(TEXT(ABS(E63),"000000000000000"),14,1)&amp;" puluh "&amp;MID(TEXT(ABS(E63),"000000000000000"),15,1)),1,"satu"),2,"dua"),3,"tiga"),4,"empat"),5,"lima"),6,"enam"),7,"tujuh"),8,"delapan"),9,"sembilan"),"0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Seratus Lima Puluh Ribu Rupiah</v>
      </c>
      <c r="F64" s="11"/>
      <c r="G64" s="16"/>
      <c r="H64" s="12"/>
      <c r="I64" s="12"/>
      <c r="J64" s="12"/>
      <c r="K64" s="9"/>
    </row>
    <row r="65" spans="1:11" ht="15.75">
      <c r="A65" s="10"/>
      <c r="B65" s="10"/>
      <c r="C65" s="15"/>
      <c r="D65" s="15"/>
      <c r="E65" s="15"/>
      <c r="F65" s="11"/>
      <c r="G65" s="16"/>
      <c r="H65" s="12"/>
      <c r="I65" s="12"/>
      <c r="J65" s="12"/>
      <c r="K65" s="9"/>
    </row>
    <row r="66" spans="1:11">
      <c r="A66" s="10" t="s">
        <v>11</v>
      </c>
      <c r="B66" s="10"/>
      <c r="C66" s="10"/>
      <c r="D66" s="10"/>
      <c r="E66" s="10"/>
      <c r="F66" s="10"/>
      <c r="G66" s="10"/>
      <c r="H66" s="12"/>
      <c r="I66" s="12"/>
      <c r="J66" s="12"/>
      <c r="K66" s="9"/>
    </row>
    <row r="67" spans="1:11">
      <c r="A67" s="74" t="s">
        <v>12</v>
      </c>
      <c r="B67" s="74"/>
      <c r="C67" s="74"/>
      <c r="D67" s="74"/>
      <c r="E67" s="74"/>
      <c r="F67" s="74"/>
      <c r="G67" s="74"/>
      <c r="H67" s="74"/>
      <c r="I67" s="74"/>
      <c r="J67" s="74"/>
      <c r="K67" s="74"/>
    </row>
    <row r="68" spans="1:11" ht="60">
      <c r="A68" s="17" t="s">
        <v>13</v>
      </c>
      <c r="B68" s="18" t="s">
        <v>14</v>
      </c>
      <c r="C68" s="59" t="s">
        <v>15</v>
      </c>
      <c r="D68" s="60"/>
      <c r="E68" s="61"/>
      <c r="F68" s="19"/>
      <c r="G68" s="20" t="s">
        <v>16</v>
      </c>
      <c r="H68" s="21" t="s">
        <v>35</v>
      </c>
      <c r="I68" s="21"/>
      <c r="J68" s="31" t="s">
        <v>17</v>
      </c>
      <c r="K68" s="32" t="s">
        <v>18</v>
      </c>
    </row>
    <row r="69" spans="1:11">
      <c r="A69" s="27">
        <v>1</v>
      </c>
      <c r="B69" s="24"/>
      <c r="C69" s="28" t="s">
        <v>23</v>
      </c>
      <c r="D69" s="57"/>
      <c r="E69" s="26"/>
      <c r="F69" s="25"/>
      <c r="G69" s="54" t="s">
        <v>19</v>
      </c>
      <c r="H69" s="54" t="s">
        <v>19</v>
      </c>
      <c r="I69" s="54"/>
      <c r="J69" s="54" t="s">
        <v>19</v>
      </c>
      <c r="K69" s="54" t="s">
        <v>19</v>
      </c>
    </row>
    <row r="70" spans="1:11">
      <c r="A70" s="24"/>
      <c r="B70" s="55" t="s">
        <v>20</v>
      </c>
      <c r="C70" s="25" t="s">
        <v>24</v>
      </c>
      <c r="D70" s="10"/>
      <c r="E70" s="26"/>
      <c r="F70" s="25"/>
      <c r="G70" s="23">
        <v>45000000</v>
      </c>
      <c r="H70" s="56">
        <f>H24+J24</f>
        <v>3425599</v>
      </c>
      <c r="I70" s="56"/>
      <c r="J70" s="56">
        <v>0</v>
      </c>
      <c r="K70" s="58">
        <f t="shared" ref="K70:K73" si="1">G70-H70-J70</f>
        <v>41574401</v>
      </c>
    </row>
    <row r="71" spans="1:11" ht="27.75" customHeight="1">
      <c r="A71" s="24"/>
      <c r="B71" s="55" t="s">
        <v>21</v>
      </c>
      <c r="C71" s="62" t="s">
        <v>39</v>
      </c>
      <c r="D71" s="63"/>
      <c r="E71" s="64"/>
      <c r="F71" s="25"/>
      <c r="G71" s="23">
        <v>35000000</v>
      </c>
      <c r="H71" s="56">
        <f>H25+J25</f>
        <v>5775990</v>
      </c>
      <c r="I71" s="56"/>
      <c r="J71" s="56">
        <v>0</v>
      </c>
      <c r="K71" s="58">
        <f t="shared" si="1"/>
        <v>29224010</v>
      </c>
    </row>
    <row r="72" spans="1:11">
      <c r="A72" s="24"/>
      <c r="B72" s="55" t="s">
        <v>22</v>
      </c>
      <c r="C72" s="65" t="s">
        <v>40</v>
      </c>
      <c r="D72" s="66"/>
      <c r="E72" s="67"/>
      <c r="F72" s="25"/>
      <c r="G72" s="23">
        <v>30000000</v>
      </c>
      <c r="H72" s="56">
        <f t="shared" ref="H72:H73" si="2">H26+J26</f>
        <v>6217500</v>
      </c>
      <c r="I72" s="22"/>
      <c r="J72" s="22">
        <v>0</v>
      </c>
      <c r="K72" s="33">
        <f t="shared" si="1"/>
        <v>23782500</v>
      </c>
    </row>
    <row r="73" spans="1:11">
      <c r="A73" s="24"/>
      <c r="B73" s="55" t="s">
        <v>36</v>
      </c>
      <c r="C73" s="68" t="s">
        <v>41</v>
      </c>
      <c r="D73" s="69"/>
      <c r="E73" s="70"/>
      <c r="F73" s="25"/>
      <c r="G73" s="23">
        <v>28125000</v>
      </c>
      <c r="H73" s="56">
        <f t="shared" si="2"/>
        <v>1440650</v>
      </c>
      <c r="I73" s="22"/>
      <c r="J73" s="22">
        <v>3150000</v>
      </c>
      <c r="K73" s="33">
        <f t="shared" si="1"/>
        <v>23534350</v>
      </c>
    </row>
    <row r="74" spans="1:11">
      <c r="A74" s="34"/>
      <c r="B74" s="34"/>
      <c r="C74" s="34" t="s">
        <v>25</v>
      </c>
      <c r="D74" s="34"/>
      <c r="E74" s="34"/>
      <c r="F74" s="35"/>
      <c r="G74" s="36">
        <f>SUM(G69:G73)</f>
        <v>138125000</v>
      </c>
      <c r="H74" s="37">
        <f>SUM(H69:H73)</f>
        <v>16859739</v>
      </c>
      <c r="I74" s="37"/>
      <c r="J74" s="37">
        <f>SUM(J69:J73)</f>
        <v>3150000</v>
      </c>
      <c r="K74" s="37">
        <f>SUM(K69:K73)</f>
        <v>118115261</v>
      </c>
    </row>
    <row r="75" spans="1:11">
      <c r="A75" s="38"/>
      <c r="B75" s="8"/>
      <c r="C75" s="8"/>
      <c r="D75" s="8"/>
      <c r="E75" s="8"/>
      <c r="F75" s="8"/>
      <c r="G75" s="39"/>
      <c r="H75" s="39"/>
      <c r="I75" s="39"/>
      <c r="J75" s="39"/>
      <c r="K75" s="39"/>
    </row>
    <row r="76" spans="1:11">
      <c r="A76" s="71" t="s">
        <v>26</v>
      </c>
      <c r="B76" s="71"/>
      <c r="C76" s="71"/>
      <c r="D76" s="11" t="s">
        <v>4</v>
      </c>
      <c r="E76" s="14">
        <f>J74</f>
        <v>3150000</v>
      </c>
      <c r="F76" s="40"/>
      <c r="G76" s="41"/>
      <c r="H76" s="41"/>
      <c r="I76" s="41"/>
      <c r="J76" s="9"/>
      <c r="K76" s="9"/>
    </row>
    <row r="77" spans="1:11">
      <c r="A77" s="10" t="s">
        <v>27</v>
      </c>
      <c r="B77" s="10"/>
      <c r="C77" s="10"/>
      <c r="D77" s="11" t="s">
        <v>4</v>
      </c>
      <c r="E77" s="42"/>
      <c r="F77" s="42"/>
      <c r="G77" s="43"/>
      <c r="H77" s="12"/>
      <c r="I77" s="12"/>
      <c r="J77" s="9"/>
      <c r="K77" s="9"/>
    </row>
    <row r="78" spans="1:11">
      <c r="A78" s="10" t="s">
        <v>28</v>
      </c>
      <c r="B78" s="10"/>
      <c r="C78" s="10"/>
      <c r="D78" s="11" t="s">
        <v>4</v>
      </c>
      <c r="E78" s="44"/>
      <c r="F78" s="44"/>
      <c r="G78" s="43"/>
      <c r="H78" s="12"/>
      <c r="I78" s="12"/>
      <c r="J78" s="9"/>
      <c r="K78" s="9"/>
    </row>
    <row r="79" spans="1:11">
      <c r="A79" s="10" t="s">
        <v>29</v>
      </c>
      <c r="B79" s="10"/>
      <c r="C79" s="10"/>
      <c r="D79" s="11" t="s">
        <v>4</v>
      </c>
      <c r="E79" s="44">
        <f>E77+E78</f>
        <v>0</v>
      </c>
      <c r="F79" s="44"/>
      <c r="G79" s="10"/>
      <c r="H79" s="12"/>
      <c r="I79" s="12"/>
      <c r="J79" s="46"/>
      <c r="K79" s="46"/>
    </row>
    <row r="80" spans="1:11">
      <c r="A80" s="13"/>
      <c r="B80" s="13"/>
      <c r="C80" s="13"/>
      <c r="D80" s="11"/>
      <c r="E80" s="13"/>
      <c r="F80" s="13"/>
      <c r="G80" s="10"/>
      <c r="H80" s="12"/>
      <c r="I80" s="12"/>
      <c r="J80" s="46"/>
      <c r="K80" s="46"/>
    </row>
    <row r="81" spans="1:11">
      <c r="A81" s="71" t="s">
        <v>30</v>
      </c>
      <c r="B81" s="71"/>
      <c r="C81" s="71"/>
      <c r="D81" s="11" t="s">
        <v>4</v>
      </c>
      <c r="E81" s="40">
        <f>E76-E79</f>
        <v>3150000</v>
      </c>
      <c r="F81" s="40"/>
      <c r="G81" s="10"/>
      <c r="H81" s="12"/>
      <c r="I81" s="12"/>
      <c r="J81" s="46"/>
      <c r="K81" s="46"/>
    </row>
    <row r="82" spans="1:11" ht="15.75">
      <c r="A82" s="13"/>
      <c r="B82" s="13"/>
      <c r="C82" s="10"/>
      <c r="D82" s="10"/>
      <c r="E82" s="16" t="str">
        <f>PROPER(IF(E81=0,"nol",IF(E81&lt;0,"minus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81),"000000000000000"),1,3)=0,"",MID(TEXT(ABS(E81),"000000000000000"),1,1)&amp;" ratus "&amp;MID(TEXT(ABS(E81),"000000000000000"),2,1)&amp;" puluh "&amp;MID(TEXT(ABS(E81),"000000000000000"),3,1)&amp;" trilyun ")&amp;IF(--MID(TEXT(ABS(E81),"000000000000000"),4,3)=0,"",MID(TEXT(ABS(E81),"000000000000000"),4,1)&amp;" ratus "&amp;MID(TEXT(ABS(E81),"000000000000000"),5,1)&amp;" puluh "&amp;MID(TEXT(ABS(E81),"000000000000000"),6,1)&amp;" milyar ")&amp;IF(--MID(TEXT(ABS(E81),"000000000000000"),7,3)=0,"",MID(TEXT(ABS(E81),"000000000000000"),7,1)&amp;" ratus "&amp;MID(TEXT(ABS(E81),"000000000000000"),8,1)&amp;" puluh "&amp;MID(TEXT(ABS(E81),"000000000000000"),9,1)&amp;" juta ")&amp;IF(--MID(TEXT(ABS(E81),"000000000000000"),10,3)=0,"",IF(--MID(TEXT(ABS(E81),"000000000000000"),10,3)=1,"*",MID(TEXT(ABS(E81),"000000000000000"),10,1)&amp;" ratus "&amp;MID(TEXT(ABS(E81),"000000000000000"),11,1)&amp;" puluh ")&amp;MID(TEXT(ABS(E81),"000000000000000"),12,1)&amp;" ribu ")&amp;IF(--MID(TEXT(ABS(E81),"000000000000000"),13,3)=0,"",MID(TEXT(ABS(E81),"000000000000000"),13,1)&amp;" ratus "&amp;MID(TEXT(ABS(E81),"000000000000000"),14,1)&amp;" puluh "&amp;MID(TEXT(ABS(E81),"000000000000000"),15,1)),1,"satu"),2,"dua"),3,"tiga"),4,"empat"),5,"lima"),6,"enam"),7,"tujuh"),8,"delapan"),9,"sembilan"),"0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Seratus Lima Puluh Ribu Rupiah</v>
      </c>
      <c r="F82" s="10"/>
      <c r="G82" s="10"/>
      <c r="H82" s="10"/>
      <c r="I82" s="10"/>
      <c r="J82" s="46"/>
      <c r="K82" s="46"/>
    </row>
    <row r="83" spans="1:11">
      <c r="A83" s="45"/>
      <c r="B83" s="45"/>
      <c r="C83" s="45"/>
      <c r="D83" s="45"/>
      <c r="E83" s="45"/>
      <c r="F83" s="45"/>
      <c r="G83" s="29"/>
      <c r="H83" s="46"/>
      <c r="I83" s="46"/>
      <c r="J83" s="46"/>
      <c r="K83" s="46"/>
    </row>
    <row r="84" spans="1:11">
      <c r="A84" s="29"/>
      <c r="B84" s="29"/>
      <c r="C84" s="29"/>
      <c r="D84" s="29"/>
      <c r="E84" s="29"/>
      <c r="F84" s="29"/>
      <c r="G84" s="29"/>
      <c r="H84"/>
      <c r="I84"/>
      <c r="J84" s="46"/>
      <c r="K84" s="46"/>
    </row>
    <row r="85" spans="1:11">
      <c r="A85" s="13"/>
      <c r="B85" s="13"/>
      <c r="C85" s="10"/>
      <c r="D85" s="10"/>
      <c r="E85" s="10"/>
      <c r="F85" s="10"/>
      <c r="G85" s="10"/>
      <c r="I85" s="47"/>
      <c r="J85" s="47" t="s">
        <v>112</v>
      </c>
      <c r="K85" s="46"/>
    </row>
    <row r="86" spans="1:11">
      <c r="A86" s="12" t="s">
        <v>31</v>
      </c>
      <c r="B86" s="10"/>
      <c r="C86" s="10"/>
      <c r="D86" s="10"/>
      <c r="E86" s="10"/>
      <c r="F86" s="10"/>
      <c r="G86" s="10"/>
      <c r="I86" s="12"/>
      <c r="J86" s="12" t="s">
        <v>32</v>
      </c>
      <c r="K86" s="46"/>
    </row>
    <row r="87" spans="1:11">
      <c r="A87" s="10"/>
      <c r="B87" s="10"/>
      <c r="C87" s="10"/>
      <c r="D87" s="10"/>
      <c r="E87" s="10"/>
      <c r="F87" s="10"/>
      <c r="G87" s="10"/>
      <c r="I87" s="12"/>
      <c r="J87" s="12"/>
      <c r="K87" s="46"/>
    </row>
    <row r="88" spans="1:11">
      <c r="A88" s="10"/>
      <c r="B88" s="10"/>
      <c r="C88" s="10"/>
      <c r="D88" s="10"/>
      <c r="E88" s="10"/>
      <c r="F88" s="10"/>
      <c r="G88" s="10"/>
      <c r="I88" s="12"/>
      <c r="J88" s="12"/>
      <c r="K88" s="46"/>
    </row>
    <row r="89" spans="1:11">
      <c r="A89" s="10"/>
      <c r="B89" s="10"/>
      <c r="C89" s="10"/>
      <c r="D89" s="10"/>
      <c r="E89" s="10"/>
      <c r="F89" s="10"/>
      <c r="G89" s="10"/>
      <c r="I89" s="12"/>
      <c r="J89" s="12"/>
      <c r="K89" s="46"/>
    </row>
    <row r="90" spans="1:11">
      <c r="A90" s="10"/>
      <c r="B90" s="10"/>
      <c r="C90" s="10"/>
      <c r="D90" s="10"/>
      <c r="E90" s="10"/>
      <c r="F90" s="10"/>
      <c r="G90" s="10"/>
      <c r="I90" s="12"/>
      <c r="J90" s="12"/>
      <c r="K90" s="46"/>
    </row>
    <row r="91" spans="1:11">
      <c r="A91" s="48" t="s">
        <v>37</v>
      </c>
      <c r="B91" s="48"/>
      <c r="C91" s="49"/>
      <c r="D91" s="49"/>
      <c r="E91" s="49"/>
      <c r="F91" s="49"/>
      <c r="G91" s="10" t="s">
        <v>33</v>
      </c>
      <c r="I91" s="48"/>
      <c r="J91" s="48" t="s">
        <v>34</v>
      </c>
      <c r="K91" s="46"/>
    </row>
    <row r="96" spans="1:11" ht="15.75">
      <c r="C96" s="2"/>
      <c r="D96" s="2"/>
      <c r="E96" s="2"/>
      <c r="F96" s="2"/>
    </row>
    <row r="97" spans="1:11" ht="15.75">
      <c r="A97" s="3"/>
      <c r="B97" s="3"/>
      <c r="C97" s="2"/>
      <c r="D97" s="2"/>
      <c r="E97" s="2"/>
      <c r="F97" s="2"/>
      <c r="G97" s="3"/>
      <c r="H97" s="4"/>
      <c r="I97" s="4"/>
      <c r="J97" s="4"/>
      <c r="K97" s="5"/>
    </row>
    <row r="98" spans="1:11">
      <c r="H98" s="5"/>
      <c r="I98" s="5"/>
      <c r="J98" s="5"/>
      <c r="K98" s="5"/>
    </row>
    <row r="99" spans="1:11">
      <c r="H99" s="5"/>
      <c r="I99" s="5"/>
      <c r="J99" s="5"/>
      <c r="K99" s="5"/>
    </row>
    <row r="100" spans="1:11">
      <c r="A100" s="72" t="s">
        <v>0</v>
      </c>
      <c r="B100" s="72"/>
      <c r="C100" s="73"/>
      <c r="D100" s="73"/>
      <c r="E100" s="73"/>
      <c r="F100" s="73"/>
      <c r="G100" s="73"/>
      <c r="H100" s="73"/>
      <c r="I100" s="73"/>
      <c r="J100" s="73"/>
      <c r="K100" s="73"/>
    </row>
    <row r="101" spans="1:11">
      <c r="A101" s="73" t="s">
        <v>115</v>
      </c>
      <c r="B101" s="73"/>
      <c r="C101" s="73"/>
      <c r="D101" s="73"/>
      <c r="E101" s="73"/>
      <c r="F101" s="73"/>
      <c r="G101" s="73"/>
      <c r="H101" s="73"/>
      <c r="I101" s="73"/>
      <c r="J101" s="73"/>
      <c r="K101" s="73"/>
    </row>
    <row r="102" spans="1:11">
      <c r="A102" s="73" t="s">
        <v>1</v>
      </c>
      <c r="B102" s="73"/>
      <c r="C102" s="73"/>
      <c r="D102" s="73"/>
      <c r="E102" s="73"/>
      <c r="F102" s="73"/>
      <c r="G102" s="73"/>
      <c r="H102" s="73"/>
      <c r="I102" s="73"/>
      <c r="J102" s="73"/>
      <c r="K102" s="73"/>
    </row>
    <row r="103" spans="1:11">
      <c r="A103" s="73" t="s">
        <v>38</v>
      </c>
      <c r="B103" s="73"/>
      <c r="C103" s="73"/>
      <c r="D103" s="73"/>
      <c r="E103" s="73"/>
      <c r="F103" s="73"/>
      <c r="G103" s="73"/>
      <c r="H103" s="73"/>
      <c r="I103" s="73"/>
      <c r="J103" s="73"/>
      <c r="K103" s="73"/>
    </row>
    <row r="104" spans="1:11">
      <c r="A104" s="73" t="s">
        <v>2</v>
      </c>
      <c r="B104" s="73"/>
      <c r="C104" s="73"/>
      <c r="D104" s="73"/>
      <c r="E104" s="73"/>
      <c r="F104" s="73"/>
      <c r="G104" s="73"/>
      <c r="H104" s="73"/>
      <c r="I104" s="73"/>
      <c r="J104" s="73"/>
      <c r="K104" s="73"/>
    </row>
    <row r="105" spans="1:11">
      <c r="A105" s="6"/>
      <c r="B105" s="6"/>
      <c r="C105" s="7"/>
      <c r="D105" s="7"/>
      <c r="E105" s="7"/>
      <c r="F105" s="7"/>
      <c r="G105" s="8"/>
      <c r="H105" s="9"/>
      <c r="I105" s="9"/>
      <c r="J105" s="9"/>
      <c r="K105" s="9"/>
    </row>
    <row r="106" spans="1:11">
      <c r="A106" s="52" t="s">
        <v>3</v>
      </c>
      <c r="B106" s="10"/>
      <c r="C106" s="10"/>
      <c r="D106" s="53" t="s">
        <v>4</v>
      </c>
      <c r="E106" s="10" t="s">
        <v>5</v>
      </c>
      <c r="F106" s="11"/>
      <c r="G106" s="10"/>
      <c r="H106" s="12"/>
      <c r="I106" s="12"/>
      <c r="J106" s="12"/>
      <c r="K106" s="9"/>
    </row>
    <row r="107" spans="1:11">
      <c r="A107" s="52" t="s">
        <v>6</v>
      </c>
      <c r="B107" s="10"/>
      <c r="C107" s="10"/>
      <c r="D107" s="53" t="s">
        <v>4</v>
      </c>
      <c r="E107" s="10" t="s">
        <v>7</v>
      </c>
      <c r="F107" s="11"/>
      <c r="G107" s="10"/>
      <c r="H107" s="12"/>
      <c r="I107" s="12"/>
      <c r="J107" s="12"/>
      <c r="K107" s="9"/>
    </row>
    <row r="108" spans="1:11">
      <c r="A108" s="52" t="s">
        <v>8</v>
      </c>
      <c r="B108" s="10"/>
      <c r="C108" s="10"/>
      <c r="D108" s="53" t="s">
        <v>4</v>
      </c>
      <c r="E108" s="13">
        <v>2026</v>
      </c>
      <c r="F108" s="11"/>
      <c r="G108" s="13"/>
      <c r="H108" s="12"/>
      <c r="I108" s="12"/>
      <c r="J108" s="12"/>
      <c r="K108" s="9"/>
    </row>
    <row r="109" spans="1:11">
      <c r="A109" s="52" t="s">
        <v>9</v>
      </c>
      <c r="B109" s="10"/>
      <c r="C109" s="10"/>
      <c r="D109" s="53" t="s">
        <v>4</v>
      </c>
      <c r="E109" s="14">
        <f>J120</f>
        <v>1100000</v>
      </c>
      <c r="F109" s="11"/>
      <c r="G109" s="14"/>
      <c r="H109" s="12"/>
      <c r="I109" s="12"/>
      <c r="J109" s="12"/>
      <c r="K109" s="9"/>
    </row>
    <row r="110" spans="1:11" ht="15.75">
      <c r="A110" s="10"/>
      <c r="B110" s="10"/>
      <c r="C110" s="15" t="s">
        <v>10</v>
      </c>
      <c r="D110" s="53" t="s">
        <v>4</v>
      </c>
      <c r="E110" s="16" t="str">
        <f>PROPER(IF(E109=0,"nol",IF(E109&lt;0,"minus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109),"000000000000000"),1,3)=0,"",MID(TEXT(ABS(E109),"000000000000000"),1,1)&amp;" ratus "&amp;MID(TEXT(ABS(E109),"000000000000000"),2,1)&amp;" puluh "&amp;MID(TEXT(ABS(E109),"000000000000000"),3,1)&amp;" trilyun ")&amp;IF(--MID(TEXT(ABS(E109),"000000000000000"),4,3)=0,"",MID(TEXT(ABS(E109),"000000000000000"),4,1)&amp;" ratus "&amp;MID(TEXT(ABS(E109),"000000000000000"),5,1)&amp;" puluh "&amp;MID(TEXT(ABS(E109),"000000000000000"),6,1)&amp;" milyar ")&amp;IF(--MID(TEXT(ABS(E109),"000000000000000"),7,3)=0,"",MID(TEXT(ABS(E109),"000000000000000"),7,1)&amp;" ratus "&amp;MID(TEXT(ABS(E109),"000000000000000"),8,1)&amp;" puluh "&amp;MID(TEXT(ABS(E109),"000000000000000"),9,1)&amp;" juta ")&amp;IF(--MID(TEXT(ABS(E109),"000000000000000"),10,3)=0,"",IF(--MID(TEXT(ABS(E109),"000000000000000"),10,3)=1,"*",MID(TEXT(ABS(E109),"000000000000000"),10,1)&amp;" ratus "&amp;MID(TEXT(ABS(E109),"000000000000000"),11,1)&amp;" puluh ")&amp;MID(TEXT(ABS(E109),"000000000000000"),12,1)&amp;" ribu ")&amp;IF(--MID(TEXT(ABS(E109),"000000000000000"),13,3)=0,"",MID(TEXT(ABS(E109),"000000000000000"),13,1)&amp;" ratus "&amp;MID(TEXT(ABS(E109),"000000000000000"),14,1)&amp;" puluh "&amp;MID(TEXT(ABS(E109),"000000000000000"),15,1)),1,"satu"),2,"dua"),3,"tiga"),4,"empat"),5,"lima"),6,"enam"),7,"tujuh"),8,"delapan"),9,"sembilan"),"0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Seratus Ribu Rupiah</v>
      </c>
      <c r="F110" s="11"/>
      <c r="G110" s="16"/>
      <c r="H110" s="12"/>
      <c r="I110" s="12"/>
      <c r="J110" s="12"/>
      <c r="K110" s="9"/>
    </row>
    <row r="111" spans="1:11" ht="15.75">
      <c r="A111" s="10"/>
      <c r="B111" s="10"/>
      <c r="C111" s="15"/>
      <c r="D111" s="15"/>
      <c r="E111" s="15"/>
      <c r="F111" s="11"/>
      <c r="G111" s="16"/>
      <c r="H111" s="12"/>
      <c r="I111" s="12"/>
      <c r="J111" s="12"/>
      <c r="K111" s="9"/>
    </row>
    <row r="112" spans="1:11">
      <c r="A112" s="10" t="s">
        <v>11</v>
      </c>
      <c r="B112" s="10"/>
      <c r="C112" s="10"/>
      <c r="D112" s="10"/>
      <c r="E112" s="10"/>
      <c r="F112" s="10"/>
      <c r="G112" s="10"/>
      <c r="H112" s="12"/>
      <c r="I112" s="12"/>
      <c r="J112" s="12"/>
      <c r="K112" s="9"/>
    </row>
    <row r="113" spans="1:11">
      <c r="A113" s="74" t="s">
        <v>12</v>
      </c>
      <c r="B113" s="74"/>
      <c r="C113" s="74"/>
      <c r="D113" s="74"/>
      <c r="E113" s="74"/>
      <c r="F113" s="74"/>
      <c r="G113" s="74"/>
      <c r="H113" s="74"/>
      <c r="I113" s="74"/>
      <c r="J113" s="74"/>
      <c r="K113" s="74"/>
    </row>
    <row r="114" spans="1:11" ht="60">
      <c r="A114" s="17" t="s">
        <v>13</v>
      </c>
      <c r="B114" s="18" t="s">
        <v>14</v>
      </c>
      <c r="C114" s="59" t="s">
        <v>15</v>
      </c>
      <c r="D114" s="60"/>
      <c r="E114" s="61"/>
      <c r="F114" s="19"/>
      <c r="G114" s="20" t="s">
        <v>16</v>
      </c>
      <c r="H114" s="21" t="s">
        <v>35</v>
      </c>
      <c r="I114" s="21"/>
      <c r="J114" s="31" t="s">
        <v>17</v>
      </c>
      <c r="K114" s="32" t="s">
        <v>18</v>
      </c>
    </row>
    <row r="115" spans="1:11">
      <c r="A115" s="27">
        <v>1</v>
      </c>
      <c r="B115" s="24"/>
      <c r="C115" s="28" t="s">
        <v>23</v>
      </c>
      <c r="D115" s="57"/>
      <c r="E115" s="26"/>
      <c r="F115" s="25"/>
      <c r="G115" s="54" t="s">
        <v>19</v>
      </c>
      <c r="H115" s="54" t="s">
        <v>19</v>
      </c>
      <c r="I115" s="54"/>
      <c r="J115" s="54" t="s">
        <v>19</v>
      </c>
      <c r="K115" s="54" t="s">
        <v>19</v>
      </c>
    </row>
    <row r="116" spans="1:11">
      <c r="A116" s="24"/>
      <c r="B116" s="55" t="s">
        <v>20</v>
      </c>
      <c r="C116" s="25" t="s">
        <v>24</v>
      </c>
      <c r="D116" s="10"/>
      <c r="E116" s="26"/>
      <c r="F116" s="25"/>
      <c r="G116" s="23">
        <v>45000000</v>
      </c>
      <c r="H116" s="56">
        <f>H70+J70</f>
        <v>3425599</v>
      </c>
      <c r="I116" s="56"/>
      <c r="J116" s="56">
        <v>0</v>
      </c>
      <c r="K116" s="58">
        <f t="shared" ref="K116:K119" si="3">G116-H116-J116</f>
        <v>41574401</v>
      </c>
    </row>
    <row r="117" spans="1:11" ht="28.5" customHeight="1">
      <c r="A117" s="24"/>
      <c r="B117" s="55" t="s">
        <v>21</v>
      </c>
      <c r="C117" s="62" t="s">
        <v>39</v>
      </c>
      <c r="D117" s="63"/>
      <c r="E117" s="64"/>
      <c r="F117" s="25"/>
      <c r="G117" s="23">
        <v>35000000</v>
      </c>
      <c r="H117" s="56">
        <f t="shared" ref="H117:H119" si="4">H71+J71</f>
        <v>5775990</v>
      </c>
      <c r="I117" s="56"/>
      <c r="J117" s="56">
        <v>0</v>
      </c>
      <c r="K117" s="58">
        <f t="shared" si="3"/>
        <v>29224010</v>
      </c>
    </row>
    <row r="118" spans="1:11">
      <c r="A118" s="24"/>
      <c r="B118" s="55" t="s">
        <v>22</v>
      </c>
      <c r="C118" s="65" t="s">
        <v>40</v>
      </c>
      <c r="D118" s="66"/>
      <c r="E118" s="67"/>
      <c r="F118" s="25"/>
      <c r="G118" s="23">
        <v>30000000</v>
      </c>
      <c r="H118" s="56">
        <f t="shared" si="4"/>
        <v>6217500</v>
      </c>
      <c r="I118" s="22"/>
      <c r="J118" s="22">
        <v>1100000</v>
      </c>
      <c r="K118" s="33">
        <f t="shared" si="3"/>
        <v>22682500</v>
      </c>
    </row>
    <row r="119" spans="1:11">
      <c r="A119" s="24"/>
      <c r="B119" s="55" t="s">
        <v>36</v>
      </c>
      <c r="C119" s="68" t="s">
        <v>41</v>
      </c>
      <c r="D119" s="69"/>
      <c r="E119" s="70"/>
      <c r="F119" s="25"/>
      <c r="G119" s="23">
        <v>28125000</v>
      </c>
      <c r="H119" s="56">
        <f t="shared" si="4"/>
        <v>4590650</v>
      </c>
      <c r="I119" s="22"/>
      <c r="J119" s="22">
        <v>0</v>
      </c>
      <c r="K119" s="33">
        <f t="shared" si="3"/>
        <v>23534350</v>
      </c>
    </row>
    <row r="120" spans="1:11">
      <c r="A120" s="34"/>
      <c r="B120" s="34"/>
      <c r="C120" s="34" t="s">
        <v>25</v>
      </c>
      <c r="D120" s="34"/>
      <c r="E120" s="34"/>
      <c r="F120" s="35"/>
      <c r="G120" s="36">
        <f>SUM(G115:G119)</f>
        <v>138125000</v>
      </c>
      <c r="H120" s="37">
        <f>SUM(H115:H119)</f>
        <v>20009739</v>
      </c>
      <c r="I120" s="37"/>
      <c r="J120" s="37">
        <f>SUM(J115:J119)</f>
        <v>1100000</v>
      </c>
      <c r="K120" s="37">
        <f>SUM(K115:K119)</f>
        <v>117015261</v>
      </c>
    </row>
    <row r="121" spans="1:11">
      <c r="A121" s="38"/>
      <c r="B121" s="8"/>
      <c r="C121" s="8"/>
      <c r="D121" s="8"/>
      <c r="E121" s="8"/>
      <c r="F121" s="8"/>
      <c r="G121" s="39"/>
      <c r="H121" s="39"/>
      <c r="I121" s="39"/>
      <c r="J121" s="39"/>
      <c r="K121" s="39"/>
    </row>
    <row r="122" spans="1:11">
      <c r="A122" s="71" t="s">
        <v>26</v>
      </c>
      <c r="B122" s="71"/>
      <c r="C122" s="71"/>
      <c r="D122" s="11" t="s">
        <v>4</v>
      </c>
      <c r="E122" s="14">
        <f>J120</f>
        <v>1100000</v>
      </c>
      <c r="F122" s="40"/>
      <c r="G122" s="41"/>
      <c r="H122" s="41"/>
      <c r="I122" s="41"/>
      <c r="J122" s="9"/>
      <c r="K122" s="9"/>
    </row>
    <row r="123" spans="1:11">
      <c r="A123" s="10" t="s">
        <v>27</v>
      </c>
      <c r="B123" s="10"/>
      <c r="C123" s="10"/>
      <c r="D123" s="11" t="s">
        <v>4</v>
      </c>
      <c r="E123" s="42"/>
      <c r="F123" s="42"/>
      <c r="G123" s="43"/>
      <c r="H123" s="12"/>
      <c r="I123" s="12"/>
      <c r="J123" s="9"/>
      <c r="K123" s="9"/>
    </row>
    <row r="124" spans="1:11">
      <c r="A124" s="10" t="s">
        <v>28</v>
      </c>
      <c r="B124" s="10"/>
      <c r="C124" s="10"/>
      <c r="D124" s="11" t="s">
        <v>4</v>
      </c>
      <c r="E124" s="44"/>
      <c r="F124" s="44"/>
      <c r="G124" s="43"/>
      <c r="H124" s="12"/>
      <c r="I124" s="12"/>
      <c r="J124" s="9"/>
      <c r="K124" s="9"/>
    </row>
    <row r="125" spans="1:11">
      <c r="A125" s="10" t="s">
        <v>29</v>
      </c>
      <c r="B125" s="10"/>
      <c r="C125" s="10"/>
      <c r="D125" s="11" t="s">
        <v>4</v>
      </c>
      <c r="E125" s="44">
        <f>E123+E124</f>
        <v>0</v>
      </c>
      <c r="F125" s="44"/>
      <c r="G125" s="10"/>
      <c r="H125" s="12"/>
      <c r="I125" s="12"/>
      <c r="J125" s="46"/>
      <c r="K125" s="46"/>
    </row>
    <row r="126" spans="1:11">
      <c r="A126" s="13"/>
      <c r="B126" s="13"/>
      <c r="C126" s="13"/>
      <c r="D126" s="11"/>
      <c r="E126" s="13"/>
      <c r="F126" s="13"/>
      <c r="G126" s="10"/>
      <c r="H126" s="12"/>
      <c r="I126" s="12"/>
      <c r="J126" s="46"/>
      <c r="K126" s="46"/>
    </row>
    <row r="127" spans="1:11">
      <c r="A127" s="71" t="s">
        <v>30</v>
      </c>
      <c r="B127" s="71"/>
      <c r="C127" s="71"/>
      <c r="D127" s="11" t="s">
        <v>4</v>
      </c>
      <c r="E127" s="40">
        <f>E122-E125</f>
        <v>1100000</v>
      </c>
      <c r="F127" s="40"/>
      <c r="G127" s="10"/>
      <c r="H127" s="12"/>
      <c r="I127" s="12"/>
      <c r="J127" s="46"/>
      <c r="K127" s="46"/>
    </row>
    <row r="128" spans="1:11" ht="15.75">
      <c r="A128" s="13"/>
      <c r="B128" s="13"/>
      <c r="C128" s="10"/>
      <c r="D128" s="10"/>
      <c r="E128" s="16" t="str">
        <f>PROPER(IF(E127=0,"nol",IF(E127&lt;0,"minus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127),"000000000000000"),1,3)=0,"",MID(TEXT(ABS(E127),"000000000000000"),1,1)&amp;" ratus "&amp;MID(TEXT(ABS(E127),"000000000000000"),2,1)&amp;" puluh "&amp;MID(TEXT(ABS(E127),"000000000000000"),3,1)&amp;" trilyun ")&amp;IF(--MID(TEXT(ABS(E127),"000000000000000"),4,3)=0,"",MID(TEXT(ABS(E127),"000000000000000"),4,1)&amp;" ratus "&amp;MID(TEXT(ABS(E127),"000000000000000"),5,1)&amp;" puluh "&amp;MID(TEXT(ABS(E127),"000000000000000"),6,1)&amp;" milyar ")&amp;IF(--MID(TEXT(ABS(E127),"000000000000000"),7,3)=0,"",MID(TEXT(ABS(E127),"000000000000000"),7,1)&amp;" ratus "&amp;MID(TEXT(ABS(E127),"000000000000000"),8,1)&amp;" puluh "&amp;MID(TEXT(ABS(E127),"000000000000000"),9,1)&amp;" juta ")&amp;IF(--MID(TEXT(ABS(E127),"000000000000000"),10,3)=0,"",IF(--MID(TEXT(ABS(E127),"000000000000000"),10,3)=1,"*",MID(TEXT(ABS(E127),"000000000000000"),10,1)&amp;" ratus "&amp;MID(TEXT(ABS(E127),"000000000000000"),11,1)&amp;" puluh ")&amp;MID(TEXT(ABS(E127),"000000000000000"),12,1)&amp;" ribu ")&amp;IF(--MID(TEXT(ABS(E127),"000000000000000"),13,3)=0,"",MID(TEXT(ABS(E127),"000000000000000"),13,1)&amp;" ratus "&amp;MID(TEXT(ABS(E127),"000000000000000"),14,1)&amp;" puluh "&amp;MID(TEXT(ABS(E127),"000000000000000"),15,1)),1,"satu"),2,"dua"),3,"tiga"),4,"empat"),5,"lima"),6,"enam"),7,"tujuh"),8,"delapan"),9,"sembilan"),"0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Seratus Ribu Rupiah</v>
      </c>
      <c r="F128" s="10"/>
      <c r="G128" s="10"/>
      <c r="H128" s="10"/>
      <c r="I128" s="10"/>
      <c r="J128" s="46"/>
      <c r="K128" s="46"/>
    </row>
    <row r="129" spans="1:11">
      <c r="A129" s="45"/>
      <c r="B129" s="45"/>
      <c r="C129" s="45"/>
      <c r="D129" s="45"/>
      <c r="E129" s="45"/>
      <c r="F129" s="45"/>
      <c r="G129" s="29"/>
      <c r="H129" s="46"/>
      <c r="I129" s="46"/>
      <c r="J129" s="46"/>
      <c r="K129" s="46"/>
    </row>
    <row r="130" spans="1:11">
      <c r="A130" s="29"/>
      <c r="B130" s="29"/>
      <c r="C130" s="29"/>
      <c r="D130" s="29"/>
      <c r="E130" s="29"/>
      <c r="F130" s="29"/>
      <c r="G130" s="29"/>
      <c r="H130"/>
      <c r="I130"/>
      <c r="J130" s="46"/>
      <c r="K130" s="46"/>
    </row>
    <row r="131" spans="1:11">
      <c r="A131" s="13"/>
      <c r="B131" s="13"/>
      <c r="C131" s="10"/>
      <c r="D131" s="10"/>
      <c r="E131" s="10"/>
      <c r="F131" s="10"/>
      <c r="G131" s="10"/>
      <c r="I131" s="47"/>
      <c r="J131" s="47" t="s">
        <v>114</v>
      </c>
      <c r="K131" s="46"/>
    </row>
    <row r="132" spans="1:11">
      <c r="A132" s="12" t="s">
        <v>31</v>
      </c>
      <c r="B132" s="10"/>
      <c r="C132" s="10"/>
      <c r="D132" s="10"/>
      <c r="E132" s="10"/>
      <c r="F132" s="10"/>
      <c r="G132" s="10"/>
      <c r="I132" s="12"/>
      <c r="J132" s="12" t="s">
        <v>32</v>
      </c>
      <c r="K132" s="46"/>
    </row>
    <row r="133" spans="1:11">
      <c r="A133" s="10"/>
      <c r="B133" s="10"/>
      <c r="C133" s="10"/>
      <c r="D133" s="10"/>
      <c r="E133" s="10"/>
      <c r="F133" s="10"/>
      <c r="G133" s="10"/>
      <c r="I133" s="12"/>
      <c r="J133" s="12"/>
      <c r="K133" s="46"/>
    </row>
    <row r="134" spans="1:11">
      <c r="A134" s="10"/>
      <c r="B134" s="10"/>
      <c r="C134" s="10"/>
      <c r="D134" s="10"/>
      <c r="E134" s="10"/>
      <c r="F134" s="10"/>
      <c r="G134" s="10"/>
      <c r="I134" s="12"/>
      <c r="J134" s="12"/>
      <c r="K134" s="46"/>
    </row>
    <row r="135" spans="1:11">
      <c r="A135" s="10"/>
      <c r="B135" s="10"/>
      <c r="C135" s="10"/>
      <c r="D135" s="10"/>
      <c r="E135" s="10"/>
      <c r="F135" s="10"/>
      <c r="G135" s="10"/>
      <c r="I135" s="12"/>
      <c r="J135" s="12"/>
      <c r="K135" s="46"/>
    </row>
    <row r="136" spans="1:11">
      <c r="A136" s="10"/>
      <c r="B136" s="10"/>
      <c r="C136" s="10"/>
      <c r="D136" s="10"/>
      <c r="E136" s="10"/>
      <c r="F136" s="10"/>
      <c r="G136" s="10"/>
      <c r="I136" s="12"/>
      <c r="J136" s="12"/>
      <c r="K136" s="46"/>
    </row>
    <row r="137" spans="1:11">
      <c r="A137" s="48" t="s">
        <v>37</v>
      </c>
      <c r="B137" s="48"/>
      <c r="C137" s="49"/>
      <c r="D137" s="49"/>
      <c r="E137" s="49"/>
      <c r="F137" s="49"/>
      <c r="G137" s="10" t="s">
        <v>33</v>
      </c>
      <c r="I137" s="48"/>
      <c r="J137" s="48" t="s">
        <v>34</v>
      </c>
      <c r="K137" s="46"/>
    </row>
    <row r="142" spans="1:11" ht="15.75">
      <c r="C142" s="2"/>
      <c r="D142" s="2"/>
      <c r="E142" s="2"/>
      <c r="F142" s="2"/>
    </row>
    <row r="143" spans="1:11" ht="15.75">
      <c r="A143" s="3"/>
      <c r="B143" s="3"/>
      <c r="C143" s="2"/>
      <c r="D143" s="2"/>
      <c r="E143" s="2"/>
      <c r="F143" s="2"/>
      <c r="G143" s="3"/>
      <c r="H143" s="4"/>
      <c r="I143" s="4"/>
      <c r="J143" s="4"/>
      <c r="K143" s="5"/>
    </row>
    <row r="144" spans="1:11">
      <c r="H144" s="5"/>
      <c r="I144" s="5"/>
      <c r="J144" s="5"/>
      <c r="K144" s="5"/>
    </row>
    <row r="145" spans="1:11">
      <c r="H145" s="5"/>
      <c r="I145" s="5"/>
      <c r="J145" s="5"/>
      <c r="K145" s="5"/>
    </row>
    <row r="146" spans="1:11">
      <c r="A146" s="72" t="s">
        <v>0</v>
      </c>
      <c r="B146" s="72"/>
      <c r="C146" s="73"/>
      <c r="D146" s="73"/>
      <c r="E146" s="73"/>
      <c r="F146" s="73"/>
      <c r="G146" s="73"/>
      <c r="H146" s="73"/>
      <c r="I146" s="73"/>
      <c r="J146" s="73"/>
      <c r="K146" s="73"/>
    </row>
    <row r="147" spans="1:11">
      <c r="A147" s="73" t="s">
        <v>116</v>
      </c>
      <c r="B147" s="73"/>
      <c r="C147" s="73"/>
      <c r="D147" s="73"/>
      <c r="E147" s="73"/>
      <c r="F147" s="73"/>
      <c r="G147" s="73"/>
      <c r="H147" s="73"/>
      <c r="I147" s="73"/>
      <c r="J147" s="73"/>
      <c r="K147" s="73"/>
    </row>
    <row r="148" spans="1:11">
      <c r="A148" s="73" t="s">
        <v>1</v>
      </c>
      <c r="B148" s="73"/>
      <c r="C148" s="73"/>
      <c r="D148" s="73"/>
      <c r="E148" s="73"/>
      <c r="F148" s="73"/>
      <c r="G148" s="73"/>
      <c r="H148" s="73"/>
      <c r="I148" s="73"/>
      <c r="J148" s="73"/>
      <c r="K148" s="73"/>
    </row>
    <row r="149" spans="1:11">
      <c r="A149" s="73" t="s">
        <v>38</v>
      </c>
      <c r="B149" s="73"/>
      <c r="C149" s="73"/>
      <c r="D149" s="73"/>
      <c r="E149" s="73"/>
      <c r="F149" s="73"/>
      <c r="G149" s="73"/>
      <c r="H149" s="73"/>
      <c r="I149" s="73"/>
      <c r="J149" s="73"/>
      <c r="K149" s="73"/>
    </row>
    <row r="150" spans="1:11">
      <c r="A150" s="73" t="s">
        <v>2</v>
      </c>
      <c r="B150" s="73"/>
      <c r="C150" s="73"/>
      <c r="D150" s="73"/>
      <c r="E150" s="73"/>
      <c r="F150" s="73"/>
      <c r="G150" s="73"/>
      <c r="H150" s="73"/>
      <c r="I150" s="73"/>
      <c r="J150" s="73"/>
      <c r="K150" s="73"/>
    </row>
    <row r="151" spans="1:11">
      <c r="A151" s="6"/>
      <c r="B151" s="6"/>
      <c r="C151" s="7"/>
      <c r="D151" s="7"/>
      <c r="E151" s="7"/>
      <c r="F151" s="7"/>
      <c r="G151" s="8"/>
      <c r="H151" s="9"/>
      <c r="I151" s="9"/>
      <c r="J151" s="9"/>
      <c r="K151" s="9"/>
    </row>
    <row r="152" spans="1:11">
      <c r="A152" s="52" t="s">
        <v>3</v>
      </c>
      <c r="B152" s="10"/>
      <c r="C152" s="10"/>
      <c r="D152" s="53" t="s">
        <v>4</v>
      </c>
      <c r="E152" s="10" t="s">
        <v>5</v>
      </c>
      <c r="F152" s="11"/>
      <c r="G152" s="10"/>
      <c r="H152" s="12"/>
      <c r="I152" s="12"/>
      <c r="J152" s="12"/>
      <c r="K152" s="9"/>
    </row>
    <row r="153" spans="1:11">
      <c r="A153" s="52" t="s">
        <v>6</v>
      </c>
      <c r="B153" s="10"/>
      <c r="C153" s="10"/>
      <c r="D153" s="53" t="s">
        <v>4</v>
      </c>
      <c r="E153" s="10" t="s">
        <v>7</v>
      </c>
      <c r="F153" s="11"/>
      <c r="G153" s="10"/>
      <c r="H153" s="12"/>
      <c r="I153" s="12"/>
      <c r="J153" s="12"/>
      <c r="K153" s="9"/>
    </row>
    <row r="154" spans="1:11">
      <c r="A154" s="52" t="s">
        <v>8</v>
      </c>
      <c r="B154" s="10"/>
      <c r="C154" s="10"/>
      <c r="D154" s="53" t="s">
        <v>4</v>
      </c>
      <c r="E154" s="13">
        <v>2026</v>
      </c>
      <c r="F154" s="11"/>
      <c r="G154" s="13"/>
      <c r="H154" s="12"/>
      <c r="I154" s="12"/>
      <c r="J154" s="12"/>
      <c r="K154" s="9"/>
    </row>
    <row r="155" spans="1:11">
      <c r="A155" s="52" t="s">
        <v>9</v>
      </c>
      <c r="B155" s="10"/>
      <c r="C155" s="10"/>
      <c r="D155" s="53" t="s">
        <v>4</v>
      </c>
      <c r="E155" s="14">
        <f>J166</f>
        <v>125800</v>
      </c>
      <c r="F155" s="11"/>
      <c r="G155" s="14"/>
      <c r="H155" s="12"/>
      <c r="I155" s="12"/>
      <c r="J155" s="12"/>
      <c r="K155" s="9"/>
    </row>
    <row r="156" spans="1:11" ht="15.75">
      <c r="A156" s="10"/>
      <c r="B156" s="10"/>
      <c r="C156" s="15" t="s">
        <v>10</v>
      </c>
      <c r="D156" s="53" t="s">
        <v>4</v>
      </c>
      <c r="E156" s="16" t="str">
        <f>PROPER(IF(E155=0,"nol",IF(E155&lt;0,"minus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155),"000000000000000"),1,3)=0,"",MID(TEXT(ABS(E155),"000000000000000"),1,1)&amp;" ratus "&amp;MID(TEXT(ABS(E155),"000000000000000"),2,1)&amp;" puluh "&amp;MID(TEXT(ABS(E155),"000000000000000"),3,1)&amp;" trilyun ")&amp;IF(--MID(TEXT(ABS(E155),"000000000000000"),4,3)=0,"",MID(TEXT(ABS(E155),"000000000000000"),4,1)&amp;" ratus "&amp;MID(TEXT(ABS(E155),"000000000000000"),5,1)&amp;" puluh "&amp;MID(TEXT(ABS(E155),"000000000000000"),6,1)&amp;" milyar ")&amp;IF(--MID(TEXT(ABS(E155),"000000000000000"),7,3)=0,"",MID(TEXT(ABS(E155),"000000000000000"),7,1)&amp;" ratus "&amp;MID(TEXT(ABS(E155),"000000000000000"),8,1)&amp;" puluh "&amp;MID(TEXT(ABS(E155),"000000000000000"),9,1)&amp;" juta ")&amp;IF(--MID(TEXT(ABS(E155),"000000000000000"),10,3)=0,"",IF(--MID(TEXT(ABS(E155),"000000000000000"),10,3)=1,"*",MID(TEXT(ABS(E155),"000000000000000"),10,1)&amp;" ratus "&amp;MID(TEXT(ABS(E155),"000000000000000"),11,1)&amp;" puluh ")&amp;MID(TEXT(ABS(E155),"000000000000000"),12,1)&amp;" ribu ")&amp;IF(--MID(TEXT(ABS(E155),"000000000000000"),13,3)=0,"",MID(TEXT(ABS(E155),"000000000000000"),13,1)&amp;" ratus "&amp;MID(TEXT(ABS(E155),"000000000000000"),14,1)&amp;" puluh "&amp;MID(TEXT(ABS(E155),"000000000000000"),15,1)),1,"satu"),2,"dua"),3,"tiga"),4,"empat"),5,"lima"),6,"enam"),7,"tujuh"),8,"delapan"),9,"sembilan"),"0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Dua Puluh Lima Ribu Delapan Ratus Rupiah</v>
      </c>
      <c r="F156" s="11"/>
      <c r="G156" s="16"/>
      <c r="H156" s="12"/>
      <c r="I156" s="12"/>
      <c r="J156" s="12"/>
      <c r="K156" s="9"/>
    </row>
    <row r="157" spans="1:11" ht="15.75">
      <c r="A157" s="10"/>
      <c r="B157" s="10"/>
      <c r="C157" s="15"/>
      <c r="D157" s="15"/>
      <c r="E157" s="15"/>
      <c r="F157" s="11"/>
      <c r="G157" s="16"/>
      <c r="H157" s="12"/>
      <c r="I157" s="12"/>
      <c r="J157" s="12"/>
      <c r="K157" s="9"/>
    </row>
    <row r="158" spans="1:11">
      <c r="A158" s="10" t="s">
        <v>11</v>
      </c>
      <c r="B158" s="10"/>
      <c r="C158" s="10"/>
      <c r="D158" s="10"/>
      <c r="E158" s="10"/>
      <c r="F158" s="10"/>
      <c r="G158" s="10"/>
      <c r="H158" s="12"/>
      <c r="I158" s="12"/>
      <c r="J158" s="12"/>
      <c r="K158" s="9"/>
    </row>
    <row r="159" spans="1:11">
      <c r="A159" s="74" t="s">
        <v>12</v>
      </c>
      <c r="B159" s="74"/>
      <c r="C159" s="74"/>
      <c r="D159" s="74"/>
      <c r="E159" s="74"/>
      <c r="F159" s="74"/>
      <c r="G159" s="74"/>
      <c r="H159" s="74"/>
      <c r="I159" s="74"/>
      <c r="J159" s="74"/>
      <c r="K159" s="74"/>
    </row>
    <row r="160" spans="1:11" ht="60">
      <c r="A160" s="17" t="s">
        <v>13</v>
      </c>
      <c r="B160" s="18" t="s">
        <v>14</v>
      </c>
      <c r="C160" s="59" t="s">
        <v>15</v>
      </c>
      <c r="D160" s="60"/>
      <c r="E160" s="61"/>
      <c r="F160" s="19"/>
      <c r="G160" s="20" t="s">
        <v>16</v>
      </c>
      <c r="H160" s="21" t="s">
        <v>35</v>
      </c>
      <c r="I160" s="21"/>
      <c r="J160" s="31" t="s">
        <v>17</v>
      </c>
      <c r="K160" s="32" t="s">
        <v>18</v>
      </c>
    </row>
    <row r="161" spans="1:11">
      <c r="A161" s="27">
        <v>1</v>
      </c>
      <c r="B161" s="24"/>
      <c r="C161" s="28" t="s">
        <v>23</v>
      </c>
      <c r="D161" s="57"/>
      <c r="E161" s="26"/>
      <c r="F161" s="25"/>
      <c r="G161" s="54" t="s">
        <v>19</v>
      </c>
      <c r="H161" s="54" t="s">
        <v>19</v>
      </c>
      <c r="I161" s="54"/>
      <c r="J161" s="54" t="s">
        <v>19</v>
      </c>
      <c r="K161" s="54" t="s">
        <v>19</v>
      </c>
    </row>
    <row r="162" spans="1:11">
      <c r="A162" s="24"/>
      <c r="B162" s="55" t="s">
        <v>20</v>
      </c>
      <c r="C162" s="25" t="s">
        <v>24</v>
      </c>
      <c r="D162" s="10"/>
      <c r="E162" s="26"/>
      <c r="F162" s="25"/>
      <c r="G162" s="23">
        <v>45000000</v>
      </c>
      <c r="H162" s="56">
        <f>H116+J116</f>
        <v>3425599</v>
      </c>
      <c r="I162" s="56"/>
      <c r="J162" s="56">
        <v>125800</v>
      </c>
      <c r="K162" s="58">
        <f t="shared" ref="K162:K165" si="5">G162-H162-J162</f>
        <v>41448601</v>
      </c>
    </row>
    <row r="163" spans="1:11" ht="29.25" customHeight="1">
      <c r="A163" s="24"/>
      <c r="B163" s="55" t="s">
        <v>21</v>
      </c>
      <c r="C163" s="62" t="s">
        <v>39</v>
      </c>
      <c r="D163" s="63"/>
      <c r="E163" s="64"/>
      <c r="F163" s="25"/>
      <c r="G163" s="23">
        <v>35000000</v>
      </c>
      <c r="H163" s="56">
        <f t="shared" ref="H163:H165" si="6">H117+J117</f>
        <v>5775990</v>
      </c>
      <c r="I163" s="56"/>
      <c r="J163" s="56">
        <v>0</v>
      </c>
      <c r="K163" s="58">
        <f t="shared" si="5"/>
        <v>29224010</v>
      </c>
    </row>
    <row r="164" spans="1:11">
      <c r="A164" s="24"/>
      <c r="B164" s="55" t="s">
        <v>22</v>
      </c>
      <c r="C164" s="65" t="s">
        <v>40</v>
      </c>
      <c r="D164" s="66"/>
      <c r="E164" s="67"/>
      <c r="F164" s="25"/>
      <c r="G164" s="23">
        <v>30000000</v>
      </c>
      <c r="H164" s="56">
        <f t="shared" si="6"/>
        <v>7317500</v>
      </c>
      <c r="I164" s="22"/>
      <c r="J164" s="22">
        <v>0</v>
      </c>
      <c r="K164" s="33">
        <f t="shared" si="5"/>
        <v>22682500</v>
      </c>
    </row>
    <row r="165" spans="1:11">
      <c r="A165" s="24"/>
      <c r="B165" s="55" t="s">
        <v>36</v>
      </c>
      <c r="C165" s="68" t="s">
        <v>41</v>
      </c>
      <c r="D165" s="69"/>
      <c r="E165" s="70"/>
      <c r="F165" s="25"/>
      <c r="G165" s="23">
        <v>28125000</v>
      </c>
      <c r="H165" s="56">
        <f t="shared" si="6"/>
        <v>4590650</v>
      </c>
      <c r="I165" s="22"/>
      <c r="J165" s="22">
        <v>0</v>
      </c>
      <c r="K165" s="33">
        <f t="shared" si="5"/>
        <v>23534350</v>
      </c>
    </row>
    <row r="166" spans="1:11">
      <c r="A166" s="34"/>
      <c r="B166" s="34"/>
      <c r="C166" s="34" t="s">
        <v>25</v>
      </c>
      <c r="D166" s="34"/>
      <c r="E166" s="34"/>
      <c r="F166" s="35"/>
      <c r="G166" s="36">
        <f>SUM(G161:G165)</f>
        <v>138125000</v>
      </c>
      <c r="H166" s="37">
        <f>SUM(H161:H165)</f>
        <v>21109739</v>
      </c>
      <c r="I166" s="37"/>
      <c r="J166" s="37">
        <f>SUM(J161:J165)</f>
        <v>125800</v>
      </c>
      <c r="K166" s="37">
        <f>SUM(K161:K165)</f>
        <v>116889461</v>
      </c>
    </row>
    <row r="167" spans="1:11">
      <c r="A167" s="38"/>
      <c r="B167" s="8"/>
      <c r="C167" s="8"/>
      <c r="D167" s="8"/>
      <c r="E167" s="8"/>
      <c r="F167" s="8"/>
      <c r="G167" s="39"/>
      <c r="H167" s="39"/>
      <c r="I167" s="39"/>
      <c r="J167" s="39"/>
      <c r="K167" s="39"/>
    </row>
    <row r="168" spans="1:11">
      <c r="A168" s="71" t="s">
        <v>26</v>
      </c>
      <c r="B168" s="71"/>
      <c r="C168" s="71"/>
      <c r="D168" s="11" t="s">
        <v>4</v>
      </c>
      <c r="E168" s="14">
        <f>J166</f>
        <v>125800</v>
      </c>
      <c r="F168" s="40"/>
      <c r="G168" s="41"/>
      <c r="H168" s="41"/>
      <c r="I168" s="41"/>
      <c r="J168" s="9"/>
      <c r="K168" s="9"/>
    </row>
    <row r="169" spans="1:11">
      <c r="A169" s="10" t="s">
        <v>27</v>
      </c>
      <c r="B169" s="10"/>
      <c r="C169" s="10"/>
      <c r="D169" s="11" t="s">
        <v>4</v>
      </c>
      <c r="E169" s="42"/>
      <c r="F169" s="42"/>
      <c r="G169" s="43"/>
      <c r="H169" s="12"/>
      <c r="I169" s="12"/>
      <c r="J169" s="9"/>
      <c r="K169" s="9"/>
    </row>
    <row r="170" spans="1:11">
      <c r="A170" s="10" t="s">
        <v>28</v>
      </c>
      <c r="B170" s="10"/>
      <c r="C170" s="10"/>
      <c r="D170" s="11" t="s">
        <v>4</v>
      </c>
      <c r="E170" s="44"/>
      <c r="F170" s="44"/>
      <c r="G170" s="43"/>
      <c r="H170" s="12"/>
      <c r="I170" s="12"/>
      <c r="J170" s="9"/>
      <c r="K170" s="9"/>
    </row>
    <row r="171" spans="1:11">
      <c r="A171" s="10" t="s">
        <v>29</v>
      </c>
      <c r="B171" s="10"/>
      <c r="C171" s="10"/>
      <c r="D171" s="11" t="s">
        <v>4</v>
      </c>
      <c r="E171" s="44">
        <f>E169+E170</f>
        <v>0</v>
      </c>
      <c r="F171" s="44"/>
      <c r="G171" s="10"/>
      <c r="H171" s="12"/>
      <c r="I171" s="12"/>
      <c r="J171" s="46"/>
      <c r="K171" s="46"/>
    </row>
    <row r="172" spans="1:11">
      <c r="A172" s="13"/>
      <c r="B172" s="13"/>
      <c r="C172" s="13"/>
      <c r="D172" s="11"/>
      <c r="E172" s="13"/>
      <c r="F172" s="13"/>
      <c r="G172" s="10"/>
      <c r="H172" s="12"/>
      <c r="I172" s="12"/>
      <c r="J172" s="46"/>
      <c r="K172" s="46"/>
    </row>
    <row r="173" spans="1:11">
      <c r="A173" s="71" t="s">
        <v>30</v>
      </c>
      <c r="B173" s="71"/>
      <c r="C173" s="71"/>
      <c r="D173" s="11" t="s">
        <v>4</v>
      </c>
      <c r="E173" s="40">
        <f>E168-E171</f>
        <v>125800</v>
      </c>
      <c r="F173" s="40"/>
      <c r="G173" s="10"/>
      <c r="H173" s="12"/>
      <c r="I173" s="12"/>
      <c r="J173" s="46"/>
      <c r="K173" s="46"/>
    </row>
    <row r="174" spans="1:11" ht="15.75">
      <c r="A174" s="13"/>
      <c r="B174" s="13"/>
      <c r="C174" s="10"/>
      <c r="D174" s="10"/>
      <c r="E174" s="16" t="str">
        <f>PROPER(IF(E173=0,"nol",IF(E173&lt;0,"minus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173),"000000000000000"),1,3)=0,"",MID(TEXT(ABS(E173),"000000000000000"),1,1)&amp;" ratus "&amp;MID(TEXT(ABS(E173),"000000000000000"),2,1)&amp;" puluh "&amp;MID(TEXT(ABS(E173),"000000000000000"),3,1)&amp;" trilyun ")&amp;IF(--MID(TEXT(ABS(E173),"000000000000000"),4,3)=0,"",MID(TEXT(ABS(E173),"000000000000000"),4,1)&amp;" ratus "&amp;MID(TEXT(ABS(E173),"000000000000000"),5,1)&amp;" puluh "&amp;MID(TEXT(ABS(E173),"000000000000000"),6,1)&amp;" milyar ")&amp;IF(--MID(TEXT(ABS(E173),"000000000000000"),7,3)=0,"",MID(TEXT(ABS(E173),"000000000000000"),7,1)&amp;" ratus "&amp;MID(TEXT(ABS(E173),"000000000000000"),8,1)&amp;" puluh "&amp;MID(TEXT(ABS(E173),"000000000000000"),9,1)&amp;" juta ")&amp;IF(--MID(TEXT(ABS(E173),"000000000000000"),10,3)=0,"",IF(--MID(TEXT(ABS(E173),"000000000000000"),10,3)=1,"*",MID(TEXT(ABS(E173),"000000000000000"),10,1)&amp;" ratus "&amp;MID(TEXT(ABS(E173),"000000000000000"),11,1)&amp;" puluh ")&amp;MID(TEXT(ABS(E173),"000000000000000"),12,1)&amp;" ribu ")&amp;IF(--MID(TEXT(ABS(E173),"000000000000000"),13,3)=0,"",MID(TEXT(ABS(E173),"000000000000000"),13,1)&amp;" ratus "&amp;MID(TEXT(ABS(E173),"000000000000000"),14,1)&amp;" puluh "&amp;MID(TEXT(ABS(E173),"000000000000000"),15,1)),1,"satu"),2,"dua"),3,"tiga"),4,"empat"),5,"lima"),6,"enam"),7,"tujuh"),8,"delapan"),9,"sembilan"),"0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Dua Puluh Lima Ribu Delapan Ratus Rupiah</v>
      </c>
      <c r="F174" s="10"/>
      <c r="G174" s="10"/>
      <c r="H174" s="10"/>
      <c r="I174" s="10"/>
      <c r="J174" s="46"/>
      <c r="K174" s="46"/>
    </row>
    <row r="175" spans="1:11">
      <c r="A175" s="45"/>
      <c r="B175" s="45"/>
      <c r="C175" s="45"/>
      <c r="D175" s="45"/>
      <c r="E175" s="45"/>
      <c r="F175" s="45"/>
      <c r="G175" s="29"/>
      <c r="H175" s="46"/>
      <c r="I175" s="46"/>
      <c r="J175" s="46"/>
      <c r="K175" s="46"/>
    </row>
    <row r="176" spans="1:11">
      <c r="A176" s="29"/>
      <c r="B176" s="29"/>
      <c r="C176" s="29"/>
      <c r="D176" s="29"/>
      <c r="E176" s="29"/>
      <c r="F176" s="29"/>
      <c r="G176" s="29"/>
      <c r="H176"/>
      <c r="I176"/>
      <c r="J176" s="46"/>
      <c r="K176" s="46"/>
    </row>
    <row r="177" spans="1:11">
      <c r="A177" s="13"/>
      <c r="B177" s="13"/>
      <c r="C177" s="10"/>
      <c r="D177" s="10"/>
      <c r="E177" s="10"/>
      <c r="F177" s="10"/>
      <c r="G177" s="10"/>
      <c r="I177" s="47"/>
      <c r="J177" s="47" t="s">
        <v>117</v>
      </c>
      <c r="K177" s="46"/>
    </row>
    <row r="178" spans="1:11">
      <c r="A178" s="12" t="s">
        <v>31</v>
      </c>
      <c r="B178" s="10"/>
      <c r="C178" s="10"/>
      <c r="D178" s="10"/>
      <c r="E178" s="10"/>
      <c r="F178" s="10"/>
      <c r="G178" s="10"/>
      <c r="I178" s="12"/>
      <c r="J178" s="12" t="s">
        <v>32</v>
      </c>
      <c r="K178" s="46"/>
    </row>
    <row r="179" spans="1:11">
      <c r="A179" s="10"/>
      <c r="B179" s="10"/>
      <c r="C179" s="10"/>
      <c r="D179" s="10"/>
      <c r="E179" s="10"/>
      <c r="F179" s="10"/>
      <c r="G179" s="10"/>
      <c r="I179" s="12"/>
      <c r="J179" s="12"/>
      <c r="K179" s="46"/>
    </row>
    <row r="180" spans="1:11">
      <c r="A180" s="10"/>
      <c r="B180" s="10"/>
      <c r="C180" s="10"/>
      <c r="D180" s="10"/>
      <c r="E180" s="10"/>
      <c r="F180" s="10"/>
      <c r="G180" s="10"/>
      <c r="I180" s="12"/>
      <c r="J180" s="12"/>
      <c r="K180" s="46"/>
    </row>
    <row r="181" spans="1:11">
      <c r="A181" s="10"/>
      <c r="B181" s="10"/>
      <c r="C181" s="10"/>
      <c r="D181" s="10"/>
      <c r="E181" s="10"/>
      <c r="F181" s="10"/>
      <c r="G181" s="10"/>
      <c r="I181" s="12"/>
      <c r="J181" s="12"/>
      <c r="K181" s="46"/>
    </row>
    <row r="182" spans="1:11">
      <c r="A182" s="10"/>
      <c r="B182" s="10"/>
      <c r="C182" s="10"/>
      <c r="D182" s="10"/>
      <c r="E182" s="10"/>
      <c r="F182" s="10"/>
      <c r="G182" s="10"/>
      <c r="I182" s="12"/>
      <c r="J182" s="12"/>
      <c r="K182" s="46"/>
    </row>
    <row r="183" spans="1:11">
      <c r="A183" s="48" t="s">
        <v>37</v>
      </c>
      <c r="B183" s="48"/>
      <c r="C183" s="49"/>
      <c r="D183" s="49"/>
      <c r="E183" s="49"/>
      <c r="F183" s="49"/>
      <c r="G183" s="10" t="s">
        <v>33</v>
      </c>
      <c r="I183" s="48"/>
      <c r="J183" s="48" t="s">
        <v>34</v>
      </c>
      <c r="K183" s="46"/>
    </row>
    <row r="188" spans="1:11" ht="15.75">
      <c r="C188" s="2"/>
      <c r="D188" s="2"/>
      <c r="E188" s="2"/>
      <c r="F188" s="2"/>
    </row>
    <row r="189" spans="1:11" ht="15.75">
      <c r="A189" s="3"/>
      <c r="B189" s="3"/>
      <c r="C189" s="2"/>
      <c r="D189" s="2"/>
      <c r="E189" s="2"/>
      <c r="F189" s="2"/>
      <c r="G189" s="3"/>
      <c r="H189" s="4"/>
      <c r="I189" s="4"/>
      <c r="J189" s="4"/>
      <c r="K189" s="5"/>
    </row>
    <row r="190" spans="1:11">
      <c r="H190" s="5"/>
      <c r="I190" s="5"/>
      <c r="J190" s="5"/>
      <c r="K190" s="5"/>
    </row>
    <row r="191" spans="1:11">
      <c r="H191" s="5"/>
      <c r="I191" s="5"/>
      <c r="J191" s="5"/>
      <c r="K191" s="5"/>
    </row>
    <row r="192" spans="1:11">
      <c r="A192" s="72" t="s">
        <v>0</v>
      </c>
      <c r="B192" s="72"/>
      <c r="C192" s="73"/>
      <c r="D192" s="73"/>
      <c r="E192" s="73"/>
      <c r="F192" s="73"/>
      <c r="G192" s="73"/>
      <c r="H192" s="73"/>
      <c r="I192" s="73"/>
      <c r="J192" s="73"/>
      <c r="K192" s="73"/>
    </row>
    <row r="193" spans="1:11">
      <c r="A193" s="73" t="s">
        <v>118</v>
      </c>
      <c r="B193" s="73"/>
      <c r="C193" s="73"/>
      <c r="D193" s="73"/>
      <c r="E193" s="73"/>
      <c r="F193" s="73"/>
      <c r="G193" s="73"/>
      <c r="H193" s="73"/>
      <c r="I193" s="73"/>
      <c r="J193" s="73"/>
      <c r="K193" s="73"/>
    </row>
    <row r="194" spans="1:11">
      <c r="A194" s="73" t="s">
        <v>1</v>
      </c>
      <c r="B194" s="73"/>
      <c r="C194" s="73"/>
      <c r="D194" s="73"/>
      <c r="E194" s="73"/>
      <c r="F194" s="73"/>
      <c r="G194" s="73"/>
      <c r="H194" s="73"/>
      <c r="I194" s="73"/>
      <c r="J194" s="73"/>
      <c r="K194" s="73"/>
    </row>
    <row r="195" spans="1:11">
      <c r="A195" s="73" t="s">
        <v>38</v>
      </c>
      <c r="B195" s="73"/>
      <c r="C195" s="73"/>
      <c r="D195" s="73"/>
      <c r="E195" s="73"/>
      <c r="F195" s="73"/>
      <c r="G195" s="73"/>
      <c r="H195" s="73"/>
      <c r="I195" s="73"/>
      <c r="J195" s="73"/>
      <c r="K195" s="73"/>
    </row>
    <row r="196" spans="1:11">
      <c r="A196" s="73" t="s">
        <v>2</v>
      </c>
      <c r="B196" s="73"/>
      <c r="C196" s="73"/>
      <c r="D196" s="73"/>
      <c r="E196" s="73"/>
      <c r="F196" s="73"/>
      <c r="G196" s="73"/>
      <c r="H196" s="73"/>
      <c r="I196" s="73"/>
      <c r="J196" s="73"/>
      <c r="K196" s="73"/>
    </row>
    <row r="197" spans="1:11">
      <c r="A197" s="6"/>
      <c r="B197" s="6"/>
      <c r="C197" s="7"/>
      <c r="D197" s="7"/>
      <c r="E197" s="7"/>
      <c r="F197" s="7"/>
      <c r="G197" s="8"/>
      <c r="H197" s="9"/>
      <c r="I197" s="9"/>
      <c r="J197" s="9"/>
      <c r="K197" s="9"/>
    </row>
    <row r="198" spans="1:11">
      <c r="A198" s="52" t="s">
        <v>3</v>
      </c>
      <c r="B198" s="10"/>
      <c r="C198" s="10"/>
      <c r="D198" s="53" t="s">
        <v>4</v>
      </c>
      <c r="E198" s="10" t="s">
        <v>5</v>
      </c>
      <c r="F198" s="11"/>
      <c r="G198" s="10"/>
      <c r="H198" s="12"/>
      <c r="I198" s="12"/>
      <c r="J198" s="12"/>
      <c r="K198" s="9"/>
    </row>
    <row r="199" spans="1:11">
      <c r="A199" s="52" t="s">
        <v>6</v>
      </c>
      <c r="B199" s="10"/>
      <c r="C199" s="10"/>
      <c r="D199" s="53" t="s">
        <v>4</v>
      </c>
      <c r="E199" s="10" t="s">
        <v>7</v>
      </c>
      <c r="F199" s="11"/>
      <c r="G199" s="10"/>
      <c r="H199" s="12"/>
      <c r="I199" s="12"/>
      <c r="J199" s="12"/>
      <c r="K199" s="9"/>
    </row>
    <row r="200" spans="1:11">
      <c r="A200" s="52" t="s">
        <v>8</v>
      </c>
      <c r="B200" s="10"/>
      <c r="C200" s="10"/>
      <c r="D200" s="53" t="s">
        <v>4</v>
      </c>
      <c r="E200" s="13">
        <v>2026</v>
      </c>
      <c r="F200" s="11"/>
      <c r="G200" s="13"/>
      <c r="H200" s="12"/>
      <c r="I200" s="12"/>
      <c r="J200" s="12"/>
      <c r="K200" s="9"/>
    </row>
    <row r="201" spans="1:11">
      <c r="A201" s="52" t="s">
        <v>9</v>
      </c>
      <c r="B201" s="10"/>
      <c r="C201" s="10"/>
      <c r="D201" s="53" t="s">
        <v>4</v>
      </c>
      <c r="E201" s="14">
        <f>J212</f>
        <v>375000</v>
      </c>
      <c r="F201" s="11"/>
      <c r="G201" s="14"/>
      <c r="H201" s="12"/>
      <c r="I201" s="12"/>
      <c r="J201" s="12"/>
      <c r="K201" s="9"/>
    </row>
    <row r="202" spans="1:11" ht="15.75">
      <c r="A202" s="10"/>
      <c r="B202" s="10"/>
      <c r="C202" s="15" t="s">
        <v>10</v>
      </c>
      <c r="D202" s="53" t="s">
        <v>4</v>
      </c>
      <c r="E202" s="16" t="str">
        <f>PROPER(IF(E201=0,"nol",IF(E201&lt;0,"minus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201),"000000000000000"),1,3)=0,"",MID(TEXT(ABS(E201),"000000000000000"),1,1)&amp;" ratus "&amp;MID(TEXT(ABS(E201),"000000000000000"),2,1)&amp;" puluh "&amp;MID(TEXT(ABS(E201),"000000000000000"),3,1)&amp;" trilyun ")&amp;IF(--MID(TEXT(ABS(E201),"000000000000000"),4,3)=0,"",MID(TEXT(ABS(E201),"000000000000000"),4,1)&amp;" ratus "&amp;MID(TEXT(ABS(E201),"000000000000000"),5,1)&amp;" puluh "&amp;MID(TEXT(ABS(E201),"000000000000000"),6,1)&amp;" milyar ")&amp;IF(--MID(TEXT(ABS(E201),"000000000000000"),7,3)=0,"",MID(TEXT(ABS(E201),"000000000000000"),7,1)&amp;" ratus "&amp;MID(TEXT(ABS(E201),"000000000000000"),8,1)&amp;" puluh "&amp;MID(TEXT(ABS(E201),"000000000000000"),9,1)&amp;" juta ")&amp;IF(--MID(TEXT(ABS(E201),"000000000000000"),10,3)=0,"",IF(--MID(TEXT(ABS(E201),"000000000000000"),10,3)=1,"*",MID(TEXT(ABS(E201),"000000000000000"),10,1)&amp;" ratus "&amp;MID(TEXT(ABS(E201),"000000000000000"),11,1)&amp;" puluh ")&amp;MID(TEXT(ABS(E201),"000000000000000"),12,1)&amp;" ribu ")&amp;IF(--MID(TEXT(ABS(E201),"000000000000000"),13,3)=0,"",MID(TEXT(ABS(E201),"000000000000000"),13,1)&amp;" ratus "&amp;MID(TEXT(ABS(E201),"000000000000000"),14,1)&amp;" puluh "&amp;MID(TEXT(ABS(E201),"000000000000000"),15,1)),1,"satu"),2,"dua"),3,"tiga"),4,"empat"),5,"lima"),6,"enam"),7,"tujuh"),8,"delapan"),9,"sembilan"),"0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Tujuh Puluh Lima Ribu Rupiah</v>
      </c>
      <c r="F202" s="11"/>
      <c r="G202" s="16"/>
      <c r="H202" s="12"/>
      <c r="I202" s="12"/>
      <c r="J202" s="12"/>
      <c r="K202" s="9"/>
    </row>
    <row r="203" spans="1:11" ht="15.75">
      <c r="A203" s="10"/>
      <c r="B203" s="10"/>
      <c r="C203" s="15"/>
      <c r="D203" s="15"/>
      <c r="E203" s="15"/>
      <c r="F203" s="11"/>
      <c r="G203" s="16"/>
      <c r="H203" s="12"/>
      <c r="I203" s="12"/>
      <c r="J203" s="12"/>
      <c r="K203" s="9"/>
    </row>
    <row r="204" spans="1:11">
      <c r="A204" s="10" t="s">
        <v>11</v>
      </c>
      <c r="B204" s="10"/>
      <c r="C204" s="10"/>
      <c r="D204" s="10"/>
      <c r="E204" s="10"/>
      <c r="F204" s="10"/>
      <c r="G204" s="10"/>
      <c r="H204" s="12"/>
      <c r="I204" s="12"/>
      <c r="J204" s="12"/>
      <c r="K204" s="9"/>
    </row>
    <row r="205" spans="1:11">
      <c r="A205" s="74" t="s">
        <v>12</v>
      </c>
      <c r="B205" s="74"/>
      <c r="C205" s="74"/>
      <c r="D205" s="74"/>
      <c r="E205" s="74"/>
      <c r="F205" s="74"/>
      <c r="G205" s="74"/>
      <c r="H205" s="74"/>
      <c r="I205" s="74"/>
      <c r="J205" s="74"/>
      <c r="K205" s="74"/>
    </row>
    <row r="206" spans="1:11" ht="60">
      <c r="A206" s="17" t="s">
        <v>13</v>
      </c>
      <c r="B206" s="18" t="s">
        <v>14</v>
      </c>
      <c r="C206" s="59" t="s">
        <v>15</v>
      </c>
      <c r="D206" s="60"/>
      <c r="E206" s="61"/>
      <c r="F206" s="19"/>
      <c r="G206" s="20" t="s">
        <v>16</v>
      </c>
      <c r="H206" s="21" t="s">
        <v>35</v>
      </c>
      <c r="I206" s="21"/>
      <c r="J206" s="31" t="s">
        <v>17</v>
      </c>
      <c r="K206" s="32" t="s">
        <v>18</v>
      </c>
    </row>
    <row r="207" spans="1:11">
      <c r="A207" s="27">
        <v>1</v>
      </c>
      <c r="B207" s="24"/>
      <c r="C207" s="28" t="s">
        <v>23</v>
      </c>
      <c r="D207" s="57"/>
      <c r="E207" s="26"/>
      <c r="F207" s="25"/>
      <c r="G207" s="54" t="s">
        <v>19</v>
      </c>
      <c r="H207" s="54" t="s">
        <v>19</v>
      </c>
      <c r="I207" s="54"/>
      <c r="J207" s="54" t="s">
        <v>19</v>
      </c>
      <c r="K207" s="54" t="s">
        <v>19</v>
      </c>
    </row>
    <row r="208" spans="1:11">
      <c r="A208" s="24"/>
      <c r="B208" s="55" t="s">
        <v>20</v>
      </c>
      <c r="C208" s="25" t="s">
        <v>24</v>
      </c>
      <c r="D208" s="10"/>
      <c r="E208" s="26"/>
      <c r="F208" s="25"/>
      <c r="G208" s="23">
        <v>45000000</v>
      </c>
      <c r="H208" s="56">
        <f>H162+J162</f>
        <v>3551399</v>
      </c>
      <c r="I208" s="56"/>
      <c r="J208" s="56">
        <v>0</v>
      </c>
      <c r="K208" s="58">
        <f t="shared" ref="K208:K211" si="7">G208-H208-J208</f>
        <v>41448601</v>
      </c>
    </row>
    <row r="209" spans="1:11" ht="27.75" customHeight="1">
      <c r="A209" s="24"/>
      <c r="B209" s="55" t="s">
        <v>21</v>
      </c>
      <c r="C209" s="62" t="s">
        <v>39</v>
      </c>
      <c r="D209" s="63"/>
      <c r="E209" s="64"/>
      <c r="F209" s="25"/>
      <c r="G209" s="23">
        <v>35000000</v>
      </c>
      <c r="H209" s="56">
        <f>H163+J163</f>
        <v>5775990</v>
      </c>
      <c r="I209" s="56"/>
      <c r="J209" s="56">
        <v>0</v>
      </c>
      <c r="K209" s="58">
        <f t="shared" si="7"/>
        <v>29224010</v>
      </c>
    </row>
    <row r="210" spans="1:11">
      <c r="A210" s="24"/>
      <c r="B210" s="55" t="s">
        <v>22</v>
      </c>
      <c r="C210" s="65" t="s">
        <v>40</v>
      </c>
      <c r="D210" s="66"/>
      <c r="E210" s="67"/>
      <c r="F210" s="25"/>
      <c r="G210" s="23">
        <v>30000000</v>
      </c>
      <c r="H210" s="56">
        <f t="shared" ref="H210:H211" si="8">H164+J164</f>
        <v>7317500</v>
      </c>
      <c r="I210" s="22"/>
      <c r="J210" s="22">
        <v>375000</v>
      </c>
      <c r="K210" s="33">
        <f t="shared" si="7"/>
        <v>22307500</v>
      </c>
    </row>
    <row r="211" spans="1:11">
      <c r="A211" s="24"/>
      <c r="B211" s="55" t="s">
        <v>36</v>
      </c>
      <c r="C211" s="68" t="s">
        <v>41</v>
      </c>
      <c r="D211" s="69"/>
      <c r="E211" s="70"/>
      <c r="F211" s="25"/>
      <c r="G211" s="23">
        <v>28125000</v>
      </c>
      <c r="H211" s="56">
        <f t="shared" si="8"/>
        <v>4590650</v>
      </c>
      <c r="I211" s="22"/>
      <c r="J211" s="22">
        <v>0</v>
      </c>
      <c r="K211" s="33">
        <f t="shared" si="7"/>
        <v>23534350</v>
      </c>
    </row>
    <row r="212" spans="1:11">
      <c r="A212" s="34"/>
      <c r="B212" s="34"/>
      <c r="C212" s="34" t="s">
        <v>25</v>
      </c>
      <c r="D212" s="34"/>
      <c r="E212" s="34"/>
      <c r="F212" s="35"/>
      <c r="G212" s="36">
        <f>SUM(G207:G211)</f>
        <v>138125000</v>
      </c>
      <c r="H212" s="37">
        <f>SUM(H207:H211)</f>
        <v>21235539</v>
      </c>
      <c r="I212" s="37"/>
      <c r="J212" s="37">
        <f>SUM(J207:J211)</f>
        <v>375000</v>
      </c>
      <c r="K212" s="37">
        <f>SUM(K207:K211)</f>
        <v>116514461</v>
      </c>
    </row>
    <row r="213" spans="1:11">
      <c r="A213" s="38"/>
      <c r="B213" s="8"/>
      <c r="C213" s="8"/>
      <c r="D213" s="8"/>
      <c r="E213" s="8"/>
      <c r="F213" s="8"/>
      <c r="G213" s="39"/>
      <c r="H213" s="39"/>
      <c r="I213" s="39"/>
      <c r="J213" s="39"/>
      <c r="K213" s="39"/>
    </row>
    <row r="214" spans="1:11">
      <c r="A214" s="71" t="s">
        <v>26</v>
      </c>
      <c r="B214" s="71"/>
      <c r="C214" s="71"/>
      <c r="D214" s="11" t="s">
        <v>4</v>
      </c>
      <c r="E214" s="14">
        <f>J212</f>
        <v>375000</v>
      </c>
      <c r="F214" s="40"/>
      <c r="G214" s="41"/>
      <c r="H214" s="41"/>
      <c r="I214" s="41"/>
      <c r="J214" s="9"/>
      <c r="K214" s="9"/>
    </row>
    <row r="215" spans="1:11">
      <c r="A215" s="10" t="s">
        <v>27</v>
      </c>
      <c r="B215" s="10"/>
      <c r="C215" s="10"/>
      <c r="D215" s="11" t="s">
        <v>4</v>
      </c>
      <c r="E215" s="42"/>
      <c r="F215" s="42"/>
      <c r="G215" s="43"/>
      <c r="H215" s="12"/>
      <c r="I215" s="12"/>
      <c r="J215" s="9"/>
      <c r="K215" s="9"/>
    </row>
    <row r="216" spans="1:11">
      <c r="A216" s="10" t="s">
        <v>28</v>
      </c>
      <c r="B216" s="10"/>
      <c r="C216" s="10"/>
      <c r="D216" s="11" t="s">
        <v>4</v>
      </c>
      <c r="E216" s="44"/>
      <c r="F216" s="44"/>
      <c r="G216" s="43"/>
      <c r="H216" s="12"/>
      <c r="I216" s="12"/>
      <c r="J216" s="9"/>
      <c r="K216" s="9"/>
    </row>
    <row r="217" spans="1:11">
      <c r="A217" s="10" t="s">
        <v>29</v>
      </c>
      <c r="B217" s="10"/>
      <c r="C217" s="10"/>
      <c r="D217" s="11" t="s">
        <v>4</v>
      </c>
      <c r="E217" s="44">
        <f>E215+E216</f>
        <v>0</v>
      </c>
      <c r="F217" s="44"/>
      <c r="G217" s="10"/>
      <c r="H217" s="12"/>
      <c r="I217" s="12"/>
      <c r="J217" s="46"/>
      <c r="K217" s="46"/>
    </row>
    <row r="218" spans="1:11">
      <c r="A218" s="13"/>
      <c r="B218" s="13"/>
      <c r="C218" s="13"/>
      <c r="D218" s="11"/>
      <c r="E218" s="13"/>
      <c r="F218" s="13"/>
      <c r="G218" s="10"/>
      <c r="H218" s="12"/>
      <c r="I218" s="12"/>
      <c r="J218" s="46"/>
      <c r="K218" s="46"/>
    </row>
    <row r="219" spans="1:11">
      <c r="A219" s="71" t="s">
        <v>30</v>
      </c>
      <c r="B219" s="71"/>
      <c r="C219" s="71"/>
      <c r="D219" s="11" t="s">
        <v>4</v>
      </c>
      <c r="E219" s="40">
        <f>E214-E217</f>
        <v>375000</v>
      </c>
      <c r="F219" s="40"/>
      <c r="G219" s="10"/>
      <c r="H219" s="12"/>
      <c r="I219" s="12"/>
      <c r="J219" s="46"/>
      <c r="K219" s="46"/>
    </row>
    <row r="220" spans="1:11" ht="15.75">
      <c r="A220" s="13"/>
      <c r="B220" s="13"/>
      <c r="C220" s="10"/>
      <c r="D220" s="10"/>
      <c r="E220" s="16" t="str">
        <f>PROPER(IF(E219=0,"nol",IF(E219&lt;0,"minus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219),"000000000000000"),1,3)=0,"",MID(TEXT(ABS(E219),"000000000000000"),1,1)&amp;" ratus "&amp;MID(TEXT(ABS(E219),"000000000000000"),2,1)&amp;" puluh "&amp;MID(TEXT(ABS(E219),"000000000000000"),3,1)&amp;" trilyun ")&amp;IF(--MID(TEXT(ABS(E219),"000000000000000"),4,3)=0,"",MID(TEXT(ABS(E219),"000000000000000"),4,1)&amp;" ratus "&amp;MID(TEXT(ABS(E219),"000000000000000"),5,1)&amp;" puluh "&amp;MID(TEXT(ABS(E219),"000000000000000"),6,1)&amp;" milyar ")&amp;IF(--MID(TEXT(ABS(E219),"000000000000000"),7,3)=0,"",MID(TEXT(ABS(E219),"000000000000000"),7,1)&amp;" ratus "&amp;MID(TEXT(ABS(E219),"000000000000000"),8,1)&amp;" puluh "&amp;MID(TEXT(ABS(E219),"000000000000000"),9,1)&amp;" juta ")&amp;IF(--MID(TEXT(ABS(E219),"000000000000000"),10,3)=0,"",IF(--MID(TEXT(ABS(E219),"000000000000000"),10,3)=1,"*",MID(TEXT(ABS(E219),"000000000000000"),10,1)&amp;" ratus "&amp;MID(TEXT(ABS(E219),"000000000000000"),11,1)&amp;" puluh ")&amp;MID(TEXT(ABS(E219),"000000000000000"),12,1)&amp;" ribu ")&amp;IF(--MID(TEXT(ABS(E219),"000000000000000"),13,3)=0,"",MID(TEXT(ABS(E219),"000000000000000"),13,1)&amp;" ratus "&amp;MID(TEXT(ABS(E219),"000000000000000"),14,1)&amp;" puluh "&amp;MID(TEXT(ABS(E219),"000000000000000"),15,1)),1,"satu"),2,"dua"),3,"tiga"),4,"empat"),5,"lima"),6,"enam"),7,"tujuh"),8,"delapan"),9,"sembilan"),"0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Tujuh Puluh Lima Ribu Rupiah</v>
      </c>
      <c r="F220" s="10"/>
      <c r="G220" s="10"/>
      <c r="H220" s="10"/>
      <c r="I220" s="10"/>
      <c r="J220" s="46"/>
      <c r="K220" s="46"/>
    </row>
    <row r="221" spans="1:11">
      <c r="A221" s="45"/>
      <c r="B221" s="45"/>
      <c r="C221" s="45"/>
      <c r="D221" s="45"/>
      <c r="E221" s="45"/>
      <c r="F221" s="45"/>
      <c r="G221" s="29"/>
      <c r="H221" s="46"/>
      <c r="I221" s="46"/>
      <c r="J221" s="46"/>
      <c r="K221" s="46"/>
    </row>
    <row r="222" spans="1:11">
      <c r="A222" s="29"/>
      <c r="B222" s="29"/>
      <c r="C222" s="29"/>
      <c r="D222" s="29"/>
      <c r="E222" s="29"/>
      <c r="F222" s="29"/>
      <c r="G222" s="29"/>
      <c r="H222"/>
      <c r="I222"/>
      <c r="J222" s="46"/>
      <c r="K222" s="46"/>
    </row>
    <row r="223" spans="1:11">
      <c r="A223" s="13"/>
      <c r="B223" s="13"/>
      <c r="C223" s="10"/>
      <c r="D223" s="10"/>
      <c r="E223" s="10"/>
      <c r="F223" s="10"/>
      <c r="G223" s="10"/>
      <c r="I223" s="47"/>
      <c r="J223" s="47" t="s">
        <v>119</v>
      </c>
      <c r="K223" s="46"/>
    </row>
    <row r="224" spans="1:11">
      <c r="A224" s="12" t="s">
        <v>31</v>
      </c>
      <c r="B224" s="10"/>
      <c r="C224" s="10"/>
      <c r="D224" s="10"/>
      <c r="E224" s="10"/>
      <c r="F224" s="10"/>
      <c r="G224" s="10"/>
      <c r="I224" s="12"/>
      <c r="J224" s="12" t="s">
        <v>32</v>
      </c>
      <c r="K224" s="46"/>
    </row>
    <row r="225" spans="1:11">
      <c r="A225" s="10"/>
      <c r="B225" s="10"/>
      <c r="C225" s="10"/>
      <c r="D225" s="10"/>
      <c r="E225" s="10"/>
      <c r="F225" s="10"/>
      <c r="G225" s="10"/>
      <c r="I225" s="12"/>
      <c r="J225" s="12"/>
      <c r="K225" s="46"/>
    </row>
    <row r="226" spans="1:11">
      <c r="A226" s="10"/>
      <c r="B226" s="10"/>
      <c r="C226" s="10"/>
      <c r="D226" s="10"/>
      <c r="E226" s="10"/>
      <c r="F226" s="10"/>
      <c r="G226" s="10"/>
      <c r="I226" s="12"/>
      <c r="J226" s="12"/>
      <c r="K226" s="46"/>
    </row>
    <row r="227" spans="1:11">
      <c r="A227" s="10"/>
      <c r="B227" s="10"/>
      <c r="C227" s="10"/>
      <c r="D227" s="10"/>
      <c r="E227" s="10"/>
      <c r="F227" s="10"/>
      <c r="G227" s="10"/>
      <c r="I227" s="12"/>
      <c r="J227" s="12"/>
      <c r="K227" s="46"/>
    </row>
    <row r="228" spans="1:11">
      <c r="A228" s="10"/>
      <c r="B228" s="10"/>
      <c r="C228" s="10"/>
      <c r="D228" s="10"/>
      <c r="E228" s="10"/>
      <c r="F228" s="10"/>
      <c r="G228" s="10"/>
      <c r="I228" s="12"/>
      <c r="J228" s="12"/>
      <c r="K228" s="46"/>
    </row>
    <row r="229" spans="1:11">
      <c r="A229" s="48" t="s">
        <v>37</v>
      </c>
      <c r="B229" s="48"/>
      <c r="C229" s="49"/>
      <c r="D229" s="49"/>
      <c r="E229" s="49"/>
      <c r="F229" s="49"/>
      <c r="G229" s="10" t="s">
        <v>33</v>
      </c>
      <c r="I229" s="48"/>
      <c r="J229" s="48" t="s">
        <v>34</v>
      </c>
      <c r="K229" s="46"/>
    </row>
    <row r="234" spans="1:11" ht="15.75">
      <c r="C234" s="2"/>
      <c r="D234" s="2"/>
      <c r="E234" s="2"/>
      <c r="F234" s="2"/>
    </row>
    <row r="235" spans="1:11" ht="15.75">
      <c r="A235" s="3"/>
      <c r="B235" s="3"/>
      <c r="C235" s="2"/>
      <c r="D235" s="2"/>
      <c r="E235" s="2"/>
      <c r="F235" s="2"/>
      <c r="G235" s="3"/>
      <c r="H235" s="4"/>
      <c r="I235" s="4"/>
      <c r="J235" s="4"/>
      <c r="K235" s="5"/>
    </row>
    <row r="236" spans="1:11">
      <c r="H236" s="5"/>
      <c r="I236" s="5"/>
      <c r="J236" s="5"/>
      <c r="K236" s="5"/>
    </row>
    <row r="237" spans="1:11">
      <c r="H237" s="5"/>
      <c r="I237" s="5"/>
      <c r="J237" s="5"/>
      <c r="K237" s="5"/>
    </row>
    <row r="238" spans="1:11">
      <c r="A238" s="72" t="s">
        <v>0</v>
      </c>
      <c r="B238" s="72"/>
      <c r="C238" s="73"/>
      <c r="D238" s="73"/>
      <c r="E238" s="73"/>
      <c r="F238" s="73"/>
      <c r="G238" s="73"/>
      <c r="H238" s="73"/>
      <c r="I238" s="73"/>
      <c r="J238" s="73"/>
      <c r="K238" s="73"/>
    </row>
    <row r="239" spans="1:11">
      <c r="A239" s="73" t="s">
        <v>120</v>
      </c>
      <c r="B239" s="73"/>
      <c r="C239" s="73"/>
      <c r="D239" s="73"/>
      <c r="E239" s="73"/>
      <c r="F239" s="73"/>
      <c r="G239" s="73"/>
      <c r="H239" s="73"/>
      <c r="I239" s="73"/>
      <c r="J239" s="73"/>
      <c r="K239" s="73"/>
    </row>
    <row r="240" spans="1:11">
      <c r="A240" s="73" t="s">
        <v>1</v>
      </c>
      <c r="B240" s="73"/>
      <c r="C240" s="73"/>
      <c r="D240" s="73"/>
      <c r="E240" s="73"/>
      <c r="F240" s="73"/>
      <c r="G240" s="73"/>
      <c r="H240" s="73"/>
      <c r="I240" s="73"/>
      <c r="J240" s="73"/>
      <c r="K240" s="73"/>
    </row>
    <row r="241" spans="1:11">
      <c r="A241" s="73" t="s">
        <v>38</v>
      </c>
      <c r="B241" s="73"/>
      <c r="C241" s="73"/>
      <c r="D241" s="73"/>
      <c r="E241" s="73"/>
      <c r="F241" s="73"/>
      <c r="G241" s="73"/>
      <c r="H241" s="73"/>
      <c r="I241" s="73"/>
      <c r="J241" s="73"/>
      <c r="K241" s="73"/>
    </row>
    <row r="242" spans="1:11">
      <c r="A242" s="73" t="s">
        <v>2</v>
      </c>
      <c r="B242" s="73"/>
      <c r="C242" s="73"/>
      <c r="D242" s="73"/>
      <c r="E242" s="73"/>
      <c r="F242" s="73"/>
      <c r="G242" s="73"/>
      <c r="H242" s="73"/>
      <c r="I242" s="73"/>
      <c r="J242" s="73"/>
      <c r="K242" s="73"/>
    </row>
    <row r="243" spans="1:11">
      <c r="A243" s="6"/>
      <c r="B243" s="6"/>
      <c r="C243" s="7"/>
      <c r="D243" s="7"/>
      <c r="E243" s="7"/>
      <c r="F243" s="7"/>
      <c r="G243" s="8"/>
      <c r="H243" s="9"/>
      <c r="I243" s="9"/>
      <c r="J243" s="9"/>
      <c r="K243" s="9"/>
    </row>
    <row r="244" spans="1:11">
      <c r="A244" s="52" t="s">
        <v>3</v>
      </c>
      <c r="B244" s="10"/>
      <c r="C244" s="10"/>
      <c r="D244" s="53" t="s">
        <v>4</v>
      </c>
      <c r="E244" s="10" t="s">
        <v>5</v>
      </c>
      <c r="F244" s="11"/>
      <c r="G244" s="10"/>
      <c r="H244" s="12"/>
      <c r="I244" s="12"/>
      <c r="J244" s="12"/>
      <c r="K244" s="9"/>
    </row>
    <row r="245" spans="1:11">
      <c r="A245" s="52" t="s">
        <v>6</v>
      </c>
      <c r="B245" s="10"/>
      <c r="C245" s="10"/>
      <c r="D245" s="53" t="s">
        <v>4</v>
      </c>
      <c r="E245" s="10" t="s">
        <v>7</v>
      </c>
      <c r="F245" s="11"/>
      <c r="G245" s="10"/>
      <c r="H245" s="12"/>
      <c r="I245" s="12"/>
      <c r="J245" s="12"/>
      <c r="K245" s="9"/>
    </row>
    <row r="246" spans="1:11">
      <c r="A246" s="52" t="s">
        <v>8</v>
      </c>
      <c r="B246" s="10"/>
      <c r="C246" s="10"/>
      <c r="D246" s="53" t="s">
        <v>4</v>
      </c>
      <c r="E246" s="13">
        <v>2026</v>
      </c>
      <c r="F246" s="11"/>
      <c r="G246" s="13"/>
      <c r="H246" s="12"/>
      <c r="I246" s="12"/>
      <c r="J246" s="12"/>
      <c r="K246" s="9"/>
    </row>
    <row r="247" spans="1:11">
      <c r="A247" s="52" t="s">
        <v>9</v>
      </c>
      <c r="B247" s="10"/>
      <c r="C247" s="10"/>
      <c r="D247" s="53" t="s">
        <v>4</v>
      </c>
      <c r="E247" s="14">
        <f>J258</f>
        <v>480000</v>
      </c>
      <c r="F247" s="11"/>
      <c r="G247" s="14"/>
      <c r="H247" s="12"/>
      <c r="I247" s="12"/>
      <c r="J247" s="12"/>
      <c r="K247" s="9"/>
    </row>
    <row r="248" spans="1:11" ht="15.75">
      <c r="A248" s="10"/>
      <c r="B248" s="10"/>
      <c r="C248" s="15" t="s">
        <v>10</v>
      </c>
      <c r="D248" s="53" t="s">
        <v>4</v>
      </c>
      <c r="E248" s="16" t="str">
        <f>PROPER(IF(E247=0,"nol",IF(E247&lt;0,"minus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247),"000000000000000"),1,3)=0,"",MID(TEXT(ABS(E247),"000000000000000"),1,1)&amp;" ratus "&amp;MID(TEXT(ABS(E247),"000000000000000"),2,1)&amp;" puluh "&amp;MID(TEXT(ABS(E247),"000000000000000"),3,1)&amp;" trilyun ")&amp;IF(--MID(TEXT(ABS(E247),"000000000000000"),4,3)=0,"",MID(TEXT(ABS(E247),"000000000000000"),4,1)&amp;" ratus "&amp;MID(TEXT(ABS(E247),"000000000000000"),5,1)&amp;" puluh "&amp;MID(TEXT(ABS(E247),"000000000000000"),6,1)&amp;" milyar ")&amp;IF(--MID(TEXT(ABS(E247),"000000000000000"),7,3)=0,"",MID(TEXT(ABS(E247),"000000000000000"),7,1)&amp;" ratus "&amp;MID(TEXT(ABS(E247),"000000000000000"),8,1)&amp;" puluh "&amp;MID(TEXT(ABS(E247),"000000000000000"),9,1)&amp;" juta ")&amp;IF(--MID(TEXT(ABS(E247),"000000000000000"),10,3)=0,"",IF(--MID(TEXT(ABS(E247),"000000000000000"),10,3)=1,"*",MID(TEXT(ABS(E247),"000000000000000"),10,1)&amp;" ratus "&amp;MID(TEXT(ABS(E247),"000000000000000"),11,1)&amp;" puluh ")&amp;MID(TEXT(ABS(E247),"000000000000000"),12,1)&amp;" ribu ")&amp;IF(--MID(TEXT(ABS(E247),"000000000000000"),13,3)=0,"",MID(TEXT(ABS(E247),"000000000000000"),13,1)&amp;" ratus "&amp;MID(TEXT(ABS(E247),"000000000000000"),14,1)&amp;" puluh "&amp;MID(TEXT(ABS(E247),"000000000000000"),15,1)),1,"satu"),2,"dua"),3,"tiga"),4,"empat"),5,"lima"),6,"enam"),7,"tujuh"),8,"delapan"),9,"sembilan"),"0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Delapan Puluh Ribu Rupiah</v>
      </c>
      <c r="F248" s="11"/>
      <c r="G248" s="16"/>
      <c r="H248" s="12"/>
      <c r="I248" s="12"/>
      <c r="J248" s="12"/>
      <c r="K248" s="9"/>
    </row>
    <row r="249" spans="1:11" ht="15.75">
      <c r="A249" s="10"/>
      <c r="B249" s="10"/>
      <c r="C249" s="15"/>
      <c r="D249" s="15"/>
      <c r="E249" s="15"/>
      <c r="F249" s="11"/>
      <c r="G249" s="16"/>
      <c r="H249" s="12"/>
      <c r="I249" s="12"/>
      <c r="J249" s="12"/>
      <c r="K249" s="9"/>
    </row>
    <row r="250" spans="1:11">
      <c r="A250" s="10" t="s">
        <v>11</v>
      </c>
      <c r="B250" s="10"/>
      <c r="C250" s="10"/>
      <c r="D250" s="10"/>
      <c r="E250" s="10"/>
      <c r="F250" s="10"/>
      <c r="G250" s="10"/>
      <c r="H250" s="12"/>
      <c r="I250" s="12"/>
      <c r="J250" s="12"/>
      <c r="K250" s="9"/>
    </row>
    <row r="251" spans="1:11">
      <c r="A251" s="74" t="s">
        <v>12</v>
      </c>
      <c r="B251" s="74"/>
      <c r="C251" s="74"/>
      <c r="D251" s="74"/>
      <c r="E251" s="74"/>
      <c r="F251" s="74"/>
      <c r="G251" s="74"/>
      <c r="H251" s="74"/>
      <c r="I251" s="74"/>
      <c r="J251" s="74"/>
      <c r="K251" s="74"/>
    </row>
    <row r="252" spans="1:11" ht="60">
      <c r="A252" s="17" t="s">
        <v>13</v>
      </c>
      <c r="B252" s="18" t="s">
        <v>14</v>
      </c>
      <c r="C252" s="59" t="s">
        <v>15</v>
      </c>
      <c r="D252" s="60"/>
      <c r="E252" s="61"/>
      <c r="F252" s="19"/>
      <c r="G252" s="20" t="s">
        <v>16</v>
      </c>
      <c r="H252" s="21" t="s">
        <v>35</v>
      </c>
      <c r="I252" s="21"/>
      <c r="J252" s="31" t="s">
        <v>17</v>
      </c>
      <c r="K252" s="32" t="s">
        <v>18</v>
      </c>
    </row>
    <row r="253" spans="1:11">
      <c r="A253" s="27">
        <v>1</v>
      </c>
      <c r="B253" s="24"/>
      <c r="C253" s="28" t="s">
        <v>23</v>
      </c>
      <c r="D253" s="57"/>
      <c r="E253" s="26"/>
      <c r="F253" s="25"/>
      <c r="G253" s="54" t="s">
        <v>19</v>
      </c>
      <c r="H253" s="54" t="s">
        <v>19</v>
      </c>
      <c r="I253" s="54"/>
      <c r="J253" s="54" t="s">
        <v>19</v>
      </c>
      <c r="K253" s="54" t="s">
        <v>19</v>
      </c>
    </row>
    <row r="254" spans="1:11">
      <c r="A254" s="24"/>
      <c r="B254" s="55" t="s">
        <v>20</v>
      </c>
      <c r="C254" s="25" t="s">
        <v>24</v>
      </c>
      <c r="D254" s="10"/>
      <c r="E254" s="26"/>
      <c r="F254" s="25"/>
      <c r="G254" s="23">
        <v>45000000</v>
      </c>
      <c r="H254" s="56">
        <f>H208+J208</f>
        <v>3551399</v>
      </c>
      <c r="I254" s="56"/>
      <c r="J254" s="56">
        <v>480000</v>
      </c>
      <c r="K254" s="58">
        <f t="shared" ref="K254:K257" si="9">G254-H254-J254</f>
        <v>40968601</v>
      </c>
    </row>
    <row r="255" spans="1:11" ht="27" customHeight="1">
      <c r="A255" s="24"/>
      <c r="B255" s="55" t="s">
        <v>21</v>
      </c>
      <c r="C255" s="62" t="s">
        <v>39</v>
      </c>
      <c r="D255" s="63"/>
      <c r="E255" s="64"/>
      <c r="F255" s="25"/>
      <c r="G255" s="23">
        <v>35000000</v>
      </c>
      <c r="H255" s="56">
        <f t="shared" ref="H255:H257" si="10">H209+J209</f>
        <v>5775990</v>
      </c>
      <c r="I255" s="56"/>
      <c r="J255" s="56">
        <v>0</v>
      </c>
      <c r="K255" s="58">
        <f t="shared" si="9"/>
        <v>29224010</v>
      </c>
    </row>
    <row r="256" spans="1:11">
      <c r="A256" s="24"/>
      <c r="B256" s="55" t="s">
        <v>22</v>
      </c>
      <c r="C256" s="65" t="s">
        <v>40</v>
      </c>
      <c r="D256" s="66"/>
      <c r="E256" s="67"/>
      <c r="F256" s="25"/>
      <c r="G256" s="23">
        <v>30000000</v>
      </c>
      <c r="H256" s="56">
        <f t="shared" si="10"/>
        <v>7692500</v>
      </c>
      <c r="I256" s="22"/>
      <c r="J256" s="22">
        <v>0</v>
      </c>
      <c r="K256" s="33">
        <f t="shared" si="9"/>
        <v>22307500</v>
      </c>
    </row>
    <row r="257" spans="1:11">
      <c r="A257" s="24"/>
      <c r="B257" s="55" t="s">
        <v>36</v>
      </c>
      <c r="C257" s="68" t="s">
        <v>41</v>
      </c>
      <c r="D257" s="69"/>
      <c r="E257" s="70"/>
      <c r="F257" s="25"/>
      <c r="G257" s="23">
        <v>28125000</v>
      </c>
      <c r="H257" s="56">
        <f t="shared" si="10"/>
        <v>4590650</v>
      </c>
      <c r="I257" s="22"/>
      <c r="J257" s="22">
        <v>0</v>
      </c>
      <c r="K257" s="33">
        <f t="shared" si="9"/>
        <v>23534350</v>
      </c>
    </row>
    <row r="258" spans="1:11">
      <c r="A258" s="34"/>
      <c r="B258" s="34"/>
      <c r="C258" s="34" t="s">
        <v>25</v>
      </c>
      <c r="D258" s="34"/>
      <c r="E258" s="34"/>
      <c r="F258" s="35"/>
      <c r="G258" s="36">
        <f>SUM(G253:G257)</f>
        <v>138125000</v>
      </c>
      <c r="H258" s="37">
        <f>SUM(H253:H257)</f>
        <v>21610539</v>
      </c>
      <c r="I258" s="37"/>
      <c r="J258" s="37">
        <f>SUM(J253:J257)</f>
        <v>480000</v>
      </c>
      <c r="K258" s="37">
        <f>SUM(K253:K257)</f>
        <v>116034461</v>
      </c>
    </row>
    <row r="259" spans="1:11">
      <c r="A259" s="38"/>
      <c r="B259" s="8"/>
      <c r="C259" s="8"/>
      <c r="D259" s="8"/>
      <c r="E259" s="8"/>
      <c r="F259" s="8"/>
      <c r="G259" s="39"/>
      <c r="H259" s="39"/>
      <c r="I259" s="39"/>
      <c r="J259" s="39"/>
      <c r="K259" s="39"/>
    </row>
    <row r="260" spans="1:11">
      <c r="A260" s="71" t="s">
        <v>26</v>
      </c>
      <c r="B260" s="71"/>
      <c r="C260" s="71"/>
      <c r="D260" s="11" t="s">
        <v>4</v>
      </c>
      <c r="E260" s="14">
        <f>J258</f>
        <v>480000</v>
      </c>
      <c r="F260" s="40"/>
      <c r="G260" s="41"/>
      <c r="H260" s="41"/>
      <c r="I260" s="41"/>
      <c r="J260" s="9"/>
      <c r="K260" s="9"/>
    </row>
    <row r="261" spans="1:11">
      <c r="A261" s="10" t="s">
        <v>27</v>
      </c>
      <c r="B261" s="10"/>
      <c r="C261" s="10"/>
      <c r="D261" s="11" t="s">
        <v>4</v>
      </c>
      <c r="E261" s="42"/>
      <c r="F261" s="42"/>
      <c r="G261" s="43"/>
      <c r="H261" s="12"/>
      <c r="I261" s="12"/>
      <c r="J261" s="9"/>
      <c r="K261" s="9"/>
    </row>
    <row r="262" spans="1:11">
      <c r="A262" s="10" t="s">
        <v>28</v>
      </c>
      <c r="B262" s="10"/>
      <c r="C262" s="10"/>
      <c r="D262" s="11" t="s">
        <v>4</v>
      </c>
      <c r="E262" s="44"/>
      <c r="F262" s="44"/>
      <c r="G262" s="43"/>
      <c r="H262" s="12"/>
      <c r="I262" s="12"/>
      <c r="J262" s="9"/>
      <c r="K262" s="9"/>
    </row>
    <row r="263" spans="1:11">
      <c r="A263" s="10" t="s">
        <v>29</v>
      </c>
      <c r="B263" s="10"/>
      <c r="C263" s="10"/>
      <c r="D263" s="11" t="s">
        <v>4</v>
      </c>
      <c r="E263" s="44">
        <f>E261+E262</f>
        <v>0</v>
      </c>
      <c r="F263" s="44"/>
      <c r="G263" s="10"/>
      <c r="H263" s="12"/>
      <c r="I263" s="12"/>
      <c r="J263" s="46"/>
      <c r="K263" s="46"/>
    </row>
    <row r="264" spans="1:11">
      <c r="A264" s="13"/>
      <c r="B264" s="13"/>
      <c r="C264" s="13"/>
      <c r="D264" s="11"/>
      <c r="E264" s="13"/>
      <c r="F264" s="13"/>
      <c r="G264" s="10"/>
      <c r="H264" s="12"/>
      <c r="I264" s="12"/>
      <c r="J264" s="46"/>
      <c r="K264" s="46"/>
    </row>
    <row r="265" spans="1:11">
      <c r="A265" s="71" t="s">
        <v>30</v>
      </c>
      <c r="B265" s="71"/>
      <c r="C265" s="71"/>
      <c r="D265" s="11" t="s">
        <v>4</v>
      </c>
      <c r="E265" s="40">
        <f>E260-E263</f>
        <v>480000</v>
      </c>
      <c r="F265" s="40"/>
      <c r="G265" s="10"/>
      <c r="H265" s="12"/>
      <c r="I265" s="12"/>
      <c r="J265" s="46"/>
      <c r="K265" s="46"/>
    </row>
    <row r="266" spans="1:11" ht="15.75">
      <c r="A266" s="13"/>
      <c r="B266" s="13"/>
      <c r="C266" s="10"/>
      <c r="D266" s="10"/>
      <c r="E266" s="16" t="str">
        <f>PROPER(IF(E265=0,"nol",IF(E265&lt;0,"minus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265),"000000000000000"),1,3)=0,"",MID(TEXT(ABS(E265),"000000000000000"),1,1)&amp;" ratus "&amp;MID(TEXT(ABS(E265),"000000000000000"),2,1)&amp;" puluh "&amp;MID(TEXT(ABS(E265),"000000000000000"),3,1)&amp;" trilyun ")&amp;IF(--MID(TEXT(ABS(E265),"000000000000000"),4,3)=0,"",MID(TEXT(ABS(E265),"000000000000000"),4,1)&amp;" ratus "&amp;MID(TEXT(ABS(E265),"000000000000000"),5,1)&amp;" puluh "&amp;MID(TEXT(ABS(E265),"000000000000000"),6,1)&amp;" milyar ")&amp;IF(--MID(TEXT(ABS(E265),"000000000000000"),7,3)=0,"",MID(TEXT(ABS(E265),"000000000000000"),7,1)&amp;" ratus "&amp;MID(TEXT(ABS(E265),"000000000000000"),8,1)&amp;" puluh "&amp;MID(TEXT(ABS(E265),"000000000000000"),9,1)&amp;" juta ")&amp;IF(--MID(TEXT(ABS(E265),"000000000000000"),10,3)=0,"",IF(--MID(TEXT(ABS(E265),"000000000000000"),10,3)=1,"*",MID(TEXT(ABS(E265),"000000000000000"),10,1)&amp;" ratus "&amp;MID(TEXT(ABS(E265),"000000000000000"),11,1)&amp;" puluh ")&amp;MID(TEXT(ABS(E265),"000000000000000"),12,1)&amp;" ribu ")&amp;IF(--MID(TEXT(ABS(E265),"000000000000000"),13,3)=0,"",MID(TEXT(ABS(E265),"000000000000000"),13,1)&amp;" ratus "&amp;MID(TEXT(ABS(E265),"000000000000000"),14,1)&amp;" puluh "&amp;MID(TEXT(ABS(E265),"000000000000000"),15,1)),1,"satu"),2,"dua"),3,"tiga"),4,"empat"),5,"lima"),6,"enam"),7,"tujuh"),8,"delapan"),9,"sembilan"),"0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Delapan Puluh Ribu Rupiah</v>
      </c>
      <c r="F266" s="10"/>
      <c r="G266" s="10"/>
      <c r="H266" s="10"/>
      <c r="I266" s="10"/>
      <c r="J266" s="46"/>
      <c r="K266" s="46"/>
    </row>
    <row r="267" spans="1:11">
      <c r="A267" s="45"/>
      <c r="B267" s="45"/>
      <c r="C267" s="45"/>
      <c r="D267" s="45"/>
      <c r="E267" s="45"/>
      <c r="F267" s="45"/>
      <c r="G267" s="29"/>
      <c r="H267" s="46"/>
      <c r="I267" s="46"/>
      <c r="J267" s="46"/>
      <c r="K267" s="46"/>
    </row>
    <row r="268" spans="1:11">
      <c r="A268" s="29"/>
      <c r="B268" s="29"/>
      <c r="C268" s="29"/>
      <c r="D268" s="29"/>
      <c r="E268" s="29"/>
      <c r="F268" s="29"/>
      <c r="G268" s="29"/>
      <c r="H268"/>
      <c r="I268"/>
      <c r="J268" s="46"/>
      <c r="K268" s="46"/>
    </row>
    <row r="269" spans="1:11">
      <c r="A269" s="13"/>
      <c r="B269" s="13"/>
      <c r="C269" s="10"/>
      <c r="D269" s="10"/>
      <c r="E269" s="10"/>
      <c r="F269" s="10"/>
      <c r="G269" s="10"/>
      <c r="I269" s="47"/>
      <c r="J269" s="47" t="s">
        <v>119</v>
      </c>
      <c r="K269" s="46"/>
    </row>
    <row r="270" spans="1:11">
      <c r="A270" s="12" t="s">
        <v>31</v>
      </c>
      <c r="B270" s="10"/>
      <c r="C270" s="10"/>
      <c r="D270" s="10"/>
      <c r="E270" s="10"/>
      <c r="F270" s="10"/>
      <c r="G270" s="10"/>
      <c r="I270" s="12"/>
      <c r="J270" s="12" t="s">
        <v>32</v>
      </c>
      <c r="K270" s="46"/>
    </row>
    <row r="271" spans="1:11">
      <c r="A271" s="10"/>
      <c r="B271" s="10"/>
      <c r="C271" s="10"/>
      <c r="D271" s="10"/>
      <c r="E271" s="10"/>
      <c r="F271" s="10"/>
      <c r="G271" s="10"/>
      <c r="I271" s="12"/>
      <c r="J271" s="12"/>
      <c r="K271" s="46"/>
    </row>
    <row r="272" spans="1:11">
      <c r="A272" s="10"/>
      <c r="B272" s="10"/>
      <c r="C272" s="10"/>
      <c r="D272" s="10"/>
      <c r="E272" s="10"/>
      <c r="F272" s="10"/>
      <c r="G272" s="10"/>
      <c r="I272" s="12"/>
      <c r="J272" s="12"/>
      <c r="K272" s="46"/>
    </row>
    <row r="273" spans="1:11">
      <c r="A273" s="10"/>
      <c r="B273" s="10"/>
      <c r="C273" s="10"/>
      <c r="D273" s="10"/>
      <c r="E273" s="10"/>
      <c r="F273" s="10"/>
      <c r="G273" s="10"/>
      <c r="I273" s="12"/>
      <c r="J273" s="12"/>
      <c r="K273" s="46"/>
    </row>
    <row r="274" spans="1:11">
      <c r="A274" s="10"/>
      <c r="B274" s="10"/>
      <c r="C274" s="10"/>
      <c r="D274" s="10"/>
      <c r="E274" s="10"/>
      <c r="F274" s="10"/>
      <c r="G274" s="10"/>
      <c r="I274" s="12"/>
      <c r="J274" s="12"/>
      <c r="K274" s="46"/>
    </row>
    <row r="275" spans="1:11">
      <c r="A275" s="48" t="s">
        <v>37</v>
      </c>
      <c r="B275" s="48"/>
      <c r="C275" s="49"/>
      <c r="D275" s="49"/>
      <c r="E275" s="49"/>
      <c r="F275" s="49"/>
      <c r="G275" s="10" t="s">
        <v>33</v>
      </c>
      <c r="I275" s="48"/>
      <c r="J275" s="48" t="s">
        <v>34</v>
      </c>
      <c r="K275" s="46"/>
    </row>
    <row r="280" spans="1:11" ht="15.75">
      <c r="C280" s="2"/>
      <c r="D280" s="2"/>
      <c r="E280" s="2"/>
      <c r="F280" s="2"/>
    </row>
    <row r="281" spans="1:11" ht="15.75">
      <c r="A281" s="3"/>
      <c r="B281" s="3"/>
      <c r="C281" s="2"/>
      <c r="D281" s="2"/>
      <c r="E281" s="2"/>
      <c r="F281" s="2"/>
      <c r="G281" s="3"/>
      <c r="H281" s="4"/>
      <c r="I281" s="4"/>
      <c r="J281" s="4"/>
      <c r="K281" s="5"/>
    </row>
    <row r="282" spans="1:11">
      <c r="H282" s="5"/>
      <c r="I282" s="5"/>
      <c r="J282" s="5"/>
      <c r="K282" s="5"/>
    </row>
    <row r="283" spans="1:11">
      <c r="H283" s="5"/>
      <c r="I283" s="5"/>
      <c r="J283" s="5"/>
      <c r="K283" s="5"/>
    </row>
    <row r="284" spans="1:11">
      <c r="A284" s="72" t="s">
        <v>0</v>
      </c>
      <c r="B284" s="72"/>
      <c r="C284" s="73"/>
      <c r="D284" s="73"/>
      <c r="E284" s="73"/>
      <c r="F284" s="73"/>
      <c r="G284" s="73"/>
      <c r="H284" s="73"/>
      <c r="I284" s="73"/>
      <c r="J284" s="73"/>
      <c r="K284" s="73"/>
    </row>
    <row r="285" spans="1:11">
      <c r="A285" s="73" t="s">
        <v>83</v>
      </c>
      <c r="B285" s="73"/>
      <c r="C285" s="73"/>
      <c r="D285" s="73"/>
      <c r="E285" s="73"/>
      <c r="F285" s="73"/>
      <c r="G285" s="73"/>
      <c r="H285" s="73"/>
      <c r="I285" s="73"/>
      <c r="J285" s="73"/>
      <c r="K285" s="73"/>
    </row>
    <row r="286" spans="1:11">
      <c r="A286" s="73" t="s">
        <v>1</v>
      </c>
      <c r="B286" s="73"/>
      <c r="C286" s="73"/>
      <c r="D286" s="73"/>
      <c r="E286" s="73"/>
      <c r="F286" s="73"/>
      <c r="G286" s="73"/>
      <c r="H286" s="73"/>
      <c r="I286" s="73"/>
      <c r="J286" s="73"/>
      <c r="K286" s="73"/>
    </row>
    <row r="287" spans="1:11">
      <c r="A287" s="73" t="s">
        <v>38</v>
      </c>
      <c r="B287" s="73"/>
      <c r="C287" s="73"/>
      <c r="D287" s="73"/>
      <c r="E287" s="73"/>
      <c r="F287" s="73"/>
      <c r="G287" s="73"/>
      <c r="H287" s="73"/>
      <c r="I287" s="73"/>
      <c r="J287" s="73"/>
      <c r="K287" s="73"/>
    </row>
    <row r="288" spans="1:11">
      <c r="A288" s="73" t="s">
        <v>2</v>
      </c>
      <c r="B288" s="73"/>
      <c r="C288" s="73"/>
      <c r="D288" s="73"/>
      <c r="E288" s="73"/>
      <c r="F288" s="73"/>
      <c r="G288" s="73"/>
      <c r="H288" s="73"/>
      <c r="I288" s="73"/>
      <c r="J288" s="73"/>
      <c r="K288" s="73"/>
    </row>
    <row r="289" spans="1:11">
      <c r="A289" s="6"/>
      <c r="B289" s="6"/>
      <c r="C289" s="7"/>
      <c r="D289" s="7"/>
      <c r="E289" s="7"/>
      <c r="F289" s="7"/>
      <c r="G289" s="8"/>
      <c r="H289" s="9"/>
      <c r="I289" s="9"/>
      <c r="J289" s="9"/>
      <c r="K289" s="9"/>
    </row>
    <row r="290" spans="1:11">
      <c r="A290" s="52" t="s">
        <v>3</v>
      </c>
      <c r="B290" s="10"/>
      <c r="C290" s="10"/>
      <c r="D290" s="53" t="s">
        <v>4</v>
      </c>
      <c r="E290" s="10" t="s">
        <v>5</v>
      </c>
      <c r="F290" s="11"/>
      <c r="G290" s="10"/>
      <c r="H290" s="12"/>
      <c r="I290" s="12"/>
      <c r="J290" s="12"/>
      <c r="K290" s="9"/>
    </row>
    <row r="291" spans="1:11">
      <c r="A291" s="52" t="s">
        <v>6</v>
      </c>
      <c r="B291" s="10"/>
      <c r="C291" s="10"/>
      <c r="D291" s="53" t="s">
        <v>4</v>
      </c>
      <c r="E291" s="10" t="s">
        <v>7</v>
      </c>
      <c r="F291" s="11"/>
      <c r="G291" s="10"/>
      <c r="H291" s="12"/>
      <c r="I291" s="12"/>
      <c r="J291" s="12"/>
      <c r="K291" s="9"/>
    </row>
    <row r="292" spans="1:11">
      <c r="A292" s="52" t="s">
        <v>8</v>
      </c>
      <c r="B292" s="10"/>
      <c r="C292" s="10"/>
      <c r="D292" s="53" t="s">
        <v>4</v>
      </c>
      <c r="E292" s="13">
        <v>2026</v>
      </c>
      <c r="F292" s="11"/>
      <c r="G292" s="13"/>
      <c r="H292" s="12"/>
      <c r="I292" s="12"/>
      <c r="J292" s="12"/>
      <c r="K292" s="9"/>
    </row>
    <row r="293" spans="1:11">
      <c r="A293" s="52" t="s">
        <v>9</v>
      </c>
      <c r="B293" s="10"/>
      <c r="C293" s="10"/>
      <c r="D293" s="53" t="s">
        <v>4</v>
      </c>
      <c r="E293" s="14">
        <f>J304</f>
        <v>132500</v>
      </c>
      <c r="F293" s="11"/>
      <c r="G293" s="14"/>
      <c r="H293" s="12"/>
      <c r="I293" s="12"/>
      <c r="J293" s="12"/>
      <c r="K293" s="9"/>
    </row>
    <row r="294" spans="1:11" ht="15.75">
      <c r="A294" s="10"/>
      <c r="B294" s="10"/>
      <c r="C294" s="15" t="s">
        <v>10</v>
      </c>
      <c r="D294" s="53" t="s">
        <v>4</v>
      </c>
      <c r="E294" s="16" t="str">
        <f>PROPER(IF(E293=0,"nol",IF(E293&lt;0,"minus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293),"000000000000000"),1,3)=0,"",MID(TEXT(ABS(E293),"000000000000000"),1,1)&amp;" ratus "&amp;MID(TEXT(ABS(E293),"000000000000000"),2,1)&amp;" puluh "&amp;MID(TEXT(ABS(E293),"000000000000000"),3,1)&amp;" trilyun ")&amp;IF(--MID(TEXT(ABS(E293),"000000000000000"),4,3)=0,"",MID(TEXT(ABS(E293),"000000000000000"),4,1)&amp;" ratus "&amp;MID(TEXT(ABS(E293),"000000000000000"),5,1)&amp;" puluh "&amp;MID(TEXT(ABS(E293),"000000000000000"),6,1)&amp;" milyar ")&amp;IF(--MID(TEXT(ABS(E293),"000000000000000"),7,3)=0,"",MID(TEXT(ABS(E293),"000000000000000"),7,1)&amp;" ratus "&amp;MID(TEXT(ABS(E293),"000000000000000"),8,1)&amp;" puluh "&amp;MID(TEXT(ABS(E293),"000000000000000"),9,1)&amp;" juta ")&amp;IF(--MID(TEXT(ABS(E293),"000000000000000"),10,3)=0,"",IF(--MID(TEXT(ABS(E293),"000000000000000"),10,3)=1,"*",MID(TEXT(ABS(E293),"000000000000000"),10,1)&amp;" ratus "&amp;MID(TEXT(ABS(E293),"000000000000000"),11,1)&amp;" puluh ")&amp;MID(TEXT(ABS(E293),"000000000000000"),12,1)&amp;" ribu ")&amp;IF(--MID(TEXT(ABS(E293),"000000000000000"),13,3)=0,"",MID(TEXT(ABS(E293),"000000000000000"),13,1)&amp;" ratus "&amp;MID(TEXT(ABS(E293),"000000000000000"),14,1)&amp;" puluh "&amp;MID(TEXT(ABS(E293),"000000000000000"),15,1)),1,"satu"),2,"dua"),3,"tiga"),4,"empat"),5,"lima"),6,"enam"),7,"tujuh"),8,"delapan"),9,"sembilan"),"0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Tiga Puluh Dua Ribu Lima Ratus Rupiah</v>
      </c>
      <c r="F294" s="11"/>
      <c r="G294" s="16"/>
      <c r="H294" s="12"/>
      <c r="I294" s="12"/>
      <c r="J294" s="12"/>
      <c r="K294" s="9"/>
    </row>
    <row r="295" spans="1:11" ht="15.75">
      <c r="A295" s="10"/>
      <c r="B295" s="10"/>
      <c r="C295" s="15"/>
      <c r="D295" s="15"/>
      <c r="E295" s="15"/>
      <c r="F295" s="11"/>
      <c r="G295" s="16"/>
      <c r="H295" s="12"/>
      <c r="I295" s="12"/>
      <c r="J295" s="12"/>
      <c r="K295" s="9"/>
    </row>
    <row r="296" spans="1:11">
      <c r="A296" s="10" t="s">
        <v>11</v>
      </c>
      <c r="B296" s="10"/>
      <c r="C296" s="10"/>
      <c r="D296" s="10"/>
      <c r="E296" s="10"/>
      <c r="F296" s="10"/>
      <c r="G296" s="10"/>
      <c r="H296" s="12"/>
      <c r="I296" s="12"/>
      <c r="J296" s="12"/>
      <c r="K296" s="9"/>
    </row>
    <row r="297" spans="1:11">
      <c r="A297" s="74" t="s">
        <v>12</v>
      </c>
      <c r="B297" s="74"/>
      <c r="C297" s="74"/>
      <c r="D297" s="74"/>
      <c r="E297" s="74"/>
      <c r="F297" s="74"/>
      <c r="G297" s="74"/>
      <c r="H297" s="74"/>
      <c r="I297" s="74"/>
      <c r="J297" s="74"/>
      <c r="K297" s="74"/>
    </row>
    <row r="298" spans="1:11" ht="60">
      <c r="A298" s="17" t="s">
        <v>13</v>
      </c>
      <c r="B298" s="18" t="s">
        <v>14</v>
      </c>
      <c r="C298" s="59" t="s">
        <v>15</v>
      </c>
      <c r="D298" s="60"/>
      <c r="E298" s="61"/>
      <c r="F298" s="19"/>
      <c r="G298" s="20" t="s">
        <v>16</v>
      </c>
      <c r="H298" s="21" t="s">
        <v>35</v>
      </c>
      <c r="I298" s="21"/>
      <c r="J298" s="31" t="s">
        <v>17</v>
      </c>
      <c r="K298" s="32" t="s">
        <v>18</v>
      </c>
    </row>
    <row r="299" spans="1:11">
      <c r="A299" s="27">
        <v>1</v>
      </c>
      <c r="B299" s="24"/>
      <c r="C299" s="28" t="s">
        <v>23</v>
      </c>
      <c r="D299" s="57"/>
      <c r="E299" s="26"/>
      <c r="F299" s="25"/>
      <c r="G299" s="54" t="s">
        <v>19</v>
      </c>
      <c r="H299" s="54" t="s">
        <v>19</v>
      </c>
      <c r="I299" s="54"/>
      <c r="J299" s="54" t="s">
        <v>19</v>
      </c>
      <c r="K299" s="54" t="s">
        <v>19</v>
      </c>
    </row>
    <row r="300" spans="1:11">
      <c r="A300" s="24"/>
      <c r="B300" s="55" t="s">
        <v>20</v>
      </c>
      <c r="C300" s="25" t="s">
        <v>24</v>
      </c>
      <c r="D300" s="10"/>
      <c r="E300" s="26"/>
      <c r="F300" s="25"/>
      <c r="G300" s="23">
        <v>45000000</v>
      </c>
      <c r="H300" s="56">
        <f>H254+J254</f>
        <v>4031399</v>
      </c>
      <c r="I300" s="56"/>
      <c r="J300" s="56">
        <v>0</v>
      </c>
      <c r="K300" s="58">
        <f t="shared" ref="K300:K303" si="11">G300-H300-J300</f>
        <v>40968601</v>
      </c>
    </row>
    <row r="301" spans="1:11">
      <c r="A301" s="24"/>
      <c r="B301" s="55" t="s">
        <v>21</v>
      </c>
      <c r="C301" s="62" t="s">
        <v>39</v>
      </c>
      <c r="D301" s="63"/>
      <c r="E301" s="64"/>
      <c r="F301" s="25"/>
      <c r="G301" s="23">
        <v>35000000</v>
      </c>
      <c r="H301" s="56">
        <f t="shared" ref="H301:H303" si="12">H255+J255</f>
        <v>5775990</v>
      </c>
      <c r="I301" s="56"/>
      <c r="J301" s="56">
        <v>0</v>
      </c>
      <c r="K301" s="58">
        <f t="shared" si="11"/>
        <v>29224010</v>
      </c>
    </row>
    <row r="302" spans="1:11">
      <c r="A302" s="24"/>
      <c r="B302" s="55" t="s">
        <v>22</v>
      </c>
      <c r="C302" s="65" t="s">
        <v>40</v>
      </c>
      <c r="D302" s="66"/>
      <c r="E302" s="67"/>
      <c r="F302" s="25"/>
      <c r="G302" s="23">
        <v>30000000</v>
      </c>
      <c r="H302" s="56">
        <f t="shared" si="12"/>
        <v>7692500</v>
      </c>
      <c r="I302" s="22"/>
      <c r="J302" s="22">
        <v>132500</v>
      </c>
      <c r="K302" s="33">
        <f t="shared" si="11"/>
        <v>22175000</v>
      </c>
    </row>
    <row r="303" spans="1:11">
      <c r="A303" s="24"/>
      <c r="B303" s="55" t="s">
        <v>36</v>
      </c>
      <c r="C303" s="68" t="s">
        <v>41</v>
      </c>
      <c r="D303" s="69"/>
      <c r="E303" s="70"/>
      <c r="F303" s="25"/>
      <c r="G303" s="23">
        <v>28125000</v>
      </c>
      <c r="H303" s="56">
        <f t="shared" si="12"/>
        <v>4590650</v>
      </c>
      <c r="I303" s="22"/>
      <c r="J303" s="22">
        <v>0</v>
      </c>
      <c r="K303" s="33">
        <f t="shared" si="11"/>
        <v>23534350</v>
      </c>
    </row>
    <row r="304" spans="1:11">
      <c r="A304" s="34"/>
      <c r="B304" s="34"/>
      <c r="C304" s="34" t="s">
        <v>25</v>
      </c>
      <c r="D304" s="34"/>
      <c r="E304" s="34"/>
      <c r="F304" s="35"/>
      <c r="G304" s="36">
        <f>SUM(G299:G303)</f>
        <v>138125000</v>
      </c>
      <c r="H304" s="37">
        <f>SUM(H299:H303)</f>
        <v>22090539</v>
      </c>
      <c r="I304" s="37"/>
      <c r="J304" s="37">
        <f>SUM(J299:J303)</f>
        <v>132500</v>
      </c>
      <c r="K304" s="37">
        <f>SUM(K299:K303)</f>
        <v>115901961</v>
      </c>
    </row>
    <row r="305" spans="1:11">
      <c r="A305" s="38"/>
      <c r="B305" s="8"/>
      <c r="C305" s="8"/>
      <c r="D305" s="8"/>
      <c r="E305" s="8"/>
      <c r="F305" s="8"/>
      <c r="G305" s="39"/>
      <c r="H305" s="39"/>
      <c r="I305" s="39"/>
      <c r="J305" s="39"/>
      <c r="K305" s="39"/>
    </row>
    <row r="306" spans="1:11">
      <c r="A306" s="71" t="s">
        <v>26</v>
      </c>
      <c r="B306" s="71"/>
      <c r="C306" s="71"/>
      <c r="D306" s="11" t="s">
        <v>4</v>
      </c>
      <c r="E306" s="14">
        <f>J304</f>
        <v>132500</v>
      </c>
      <c r="F306" s="40"/>
      <c r="G306" s="41"/>
      <c r="H306" s="41"/>
      <c r="I306" s="41"/>
      <c r="J306" s="9"/>
      <c r="K306" s="9"/>
    </row>
    <row r="307" spans="1:11">
      <c r="A307" s="10" t="s">
        <v>27</v>
      </c>
      <c r="B307" s="10"/>
      <c r="C307" s="10"/>
      <c r="D307" s="11" t="s">
        <v>4</v>
      </c>
      <c r="E307" s="42"/>
      <c r="F307" s="42"/>
      <c r="G307" s="43"/>
      <c r="H307" s="12"/>
      <c r="I307" s="12"/>
      <c r="J307" s="9"/>
      <c r="K307" s="9"/>
    </row>
    <row r="308" spans="1:11">
      <c r="A308" s="10" t="s">
        <v>28</v>
      </c>
      <c r="B308" s="10"/>
      <c r="C308" s="10"/>
      <c r="D308" s="11" t="s">
        <v>4</v>
      </c>
      <c r="E308" s="44"/>
      <c r="F308" s="44"/>
      <c r="G308" s="43"/>
      <c r="H308" s="12"/>
      <c r="I308" s="12"/>
      <c r="J308" s="9"/>
      <c r="K308" s="9"/>
    </row>
    <row r="309" spans="1:11">
      <c r="A309" s="10" t="s">
        <v>29</v>
      </c>
      <c r="B309" s="10"/>
      <c r="C309" s="10"/>
      <c r="D309" s="11" t="s">
        <v>4</v>
      </c>
      <c r="E309" s="44">
        <f>E307+E308</f>
        <v>0</v>
      </c>
      <c r="F309" s="44"/>
      <c r="G309" s="10"/>
      <c r="H309" s="12"/>
      <c r="I309" s="12"/>
      <c r="J309" s="46"/>
      <c r="K309" s="46"/>
    </row>
    <row r="310" spans="1:11">
      <c r="A310" s="13"/>
      <c r="B310" s="13"/>
      <c r="C310" s="13"/>
      <c r="D310" s="11"/>
      <c r="E310" s="13"/>
      <c r="F310" s="13"/>
      <c r="G310" s="10"/>
      <c r="H310" s="12"/>
      <c r="I310" s="12"/>
      <c r="J310" s="46"/>
      <c r="K310" s="46"/>
    </row>
    <row r="311" spans="1:11">
      <c r="A311" s="71" t="s">
        <v>30</v>
      </c>
      <c r="B311" s="71"/>
      <c r="C311" s="71"/>
      <c r="D311" s="11" t="s">
        <v>4</v>
      </c>
      <c r="E311" s="40">
        <f>E306-E309</f>
        <v>132500</v>
      </c>
      <c r="F311" s="40"/>
      <c r="G311" s="10"/>
      <c r="H311" s="12"/>
      <c r="I311" s="12"/>
      <c r="J311" s="46"/>
      <c r="K311" s="46"/>
    </row>
    <row r="312" spans="1:11" ht="15.75">
      <c r="A312" s="13"/>
      <c r="B312" s="13"/>
      <c r="C312" s="10"/>
      <c r="D312" s="10"/>
      <c r="E312" s="16" t="str">
        <f>PROPER(IF(E311=0,"nol",IF(E311&lt;0,"minus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311),"000000000000000"),1,3)=0,"",MID(TEXT(ABS(E311),"000000000000000"),1,1)&amp;" ratus "&amp;MID(TEXT(ABS(E311),"000000000000000"),2,1)&amp;" puluh "&amp;MID(TEXT(ABS(E311),"000000000000000"),3,1)&amp;" trilyun ")&amp;IF(--MID(TEXT(ABS(E311),"000000000000000"),4,3)=0,"",MID(TEXT(ABS(E311),"000000000000000"),4,1)&amp;" ratus "&amp;MID(TEXT(ABS(E311),"000000000000000"),5,1)&amp;" puluh "&amp;MID(TEXT(ABS(E311),"000000000000000"),6,1)&amp;" milyar ")&amp;IF(--MID(TEXT(ABS(E311),"000000000000000"),7,3)=0,"",MID(TEXT(ABS(E311),"000000000000000"),7,1)&amp;" ratus "&amp;MID(TEXT(ABS(E311),"000000000000000"),8,1)&amp;" puluh "&amp;MID(TEXT(ABS(E311),"000000000000000"),9,1)&amp;" juta ")&amp;IF(--MID(TEXT(ABS(E311),"000000000000000"),10,3)=0,"",IF(--MID(TEXT(ABS(E311),"000000000000000"),10,3)=1,"*",MID(TEXT(ABS(E311),"000000000000000"),10,1)&amp;" ratus "&amp;MID(TEXT(ABS(E311),"000000000000000"),11,1)&amp;" puluh ")&amp;MID(TEXT(ABS(E311),"000000000000000"),12,1)&amp;" ribu ")&amp;IF(--MID(TEXT(ABS(E311),"000000000000000"),13,3)=0,"",MID(TEXT(ABS(E311),"000000000000000"),13,1)&amp;" ratus "&amp;MID(TEXT(ABS(E311),"000000000000000"),14,1)&amp;" puluh "&amp;MID(TEXT(ABS(E311),"000000000000000"),15,1)),1,"satu"),2,"dua"),3,"tiga"),4,"empat"),5,"lima"),6,"enam"),7,"tujuh"),8,"delapan"),9,"sembilan"),"0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Tiga Puluh Dua Ribu Lima Ratus Rupiah</v>
      </c>
      <c r="F312" s="10"/>
      <c r="G312" s="10"/>
      <c r="H312" s="10"/>
      <c r="I312" s="10"/>
      <c r="J312" s="46"/>
      <c r="K312" s="46"/>
    </row>
    <row r="313" spans="1:11">
      <c r="A313" s="45"/>
      <c r="B313" s="45"/>
      <c r="C313" s="45"/>
      <c r="D313" s="45"/>
      <c r="E313" s="45"/>
      <c r="F313" s="45"/>
      <c r="G313" s="29"/>
      <c r="H313" s="46"/>
      <c r="I313" s="46"/>
      <c r="J313" s="46"/>
      <c r="K313" s="46"/>
    </row>
    <row r="314" spans="1:11">
      <c r="A314" s="29"/>
      <c r="B314" s="29"/>
      <c r="C314" s="29"/>
      <c r="D314" s="29"/>
      <c r="E314" s="29"/>
      <c r="F314" s="29"/>
      <c r="G314" s="29"/>
      <c r="H314"/>
      <c r="I314"/>
      <c r="J314" s="46"/>
      <c r="K314" s="46"/>
    </row>
    <row r="315" spans="1:11">
      <c r="A315" s="13"/>
      <c r="B315" s="13"/>
      <c r="C315" s="10"/>
      <c r="D315" s="10"/>
      <c r="E315" s="10"/>
      <c r="F315" s="10"/>
      <c r="G315" s="10"/>
      <c r="I315" s="47"/>
      <c r="J315" s="47" t="s">
        <v>82</v>
      </c>
      <c r="K315" s="46"/>
    </row>
    <row r="316" spans="1:11">
      <c r="A316" s="12" t="s">
        <v>31</v>
      </c>
      <c r="B316" s="10"/>
      <c r="C316" s="10"/>
      <c r="D316" s="10"/>
      <c r="E316" s="10"/>
      <c r="F316" s="10"/>
      <c r="G316" s="10"/>
      <c r="I316" s="12"/>
      <c r="J316" s="12" t="s">
        <v>32</v>
      </c>
      <c r="K316" s="46"/>
    </row>
    <row r="317" spans="1:11">
      <c r="A317" s="10"/>
      <c r="B317" s="10"/>
      <c r="C317" s="10"/>
      <c r="D317" s="10"/>
      <c r="E317" s="10"/>
      <c r="F317" s="10"/>
      <c r="G317" s="10"/>
      <c r="I317" s="12"/>
      <c r="J317" s="12"/>
      <c r="K317" s="46"/>
    </row>
    <row r="318" spans="1:11">
      <c r="A318" s="10"/>
      <c r="B318" s="10"/>
      <c r="C318" s="10"/>
      <c r="D318" s="10"/>
      <c r="E318" s="10"/>
      <c r="F318" s="10"/>
      <c r="G318" s="10"/>
      <c r="I318" s="12"/>
      <c r="J318" s="12"/>
      <c r="K318" s="46"/>
    </row>
    <row r="319" spans="1:11">
      <c r="A319" s="10"/>
      <c r="B319" s="10"/>
      <c r="C319" s="10"/>
      <c r="D319" s="10"/>
      <c r="E319" s="10"/>
      <c r="F319" s="10"/>
      <c r="G319" s="10"/>
      <c r="I319" s="12"/>
      <c r="J319" s="12"/>
      <c r="K319" s="46"/>
    </row>
    <row r="320" spans="1:11">
      <c r="A320" s="10"/>
      <c r="B320" s="10"/>
      <c r="C320" s="10"/>
      <c r="D320" s="10"/>
      <c r="E320" s="10"/>
      <c r="F320" s="10"/>
      <c r="G320" s="10"/>
      <c r="I320" s="12"/>
      <c r="J320" s="12"/>
      <c r="K320" s="46"/>
    </row>
    <row r="321" spans="1:11">
      <c r="A321" s="48" t="s">
        <v>37</v>
      </c>
      <c r="B321" s="48"/>
      <c r="C321" s="49"/>
      <c r="D321" s="49"/>
      <c r="E321" s="49"/>
      <c r="F321" s="49"/>
      <c r="G321" s="10" t="s">
        <v>33</v>
      </c>
      <c r="I321" s="48"/>
      <c r="J321" s="48" t="s">
        <v>34</v>
      </c>
      <c r="K321" s="46"/>
    </row>
    <row r="326" spans="1:11" ht="15.75">
      <c r="C326" s="2"/>
      <c r="D326" s="2"/>
      <c r="E326" s="2"/>
      <c r="F326" s="2"/>
    </row>
    <row r="327" spans="1:11" ht="15.75">
      <c r="A327" s="3"/>
      <c r="B327" s="3"/>
      <c r="C327" s="2"/>
      <c r="D327" s="2"/>
      <c r="E327" s="2"/>
      <c r="F327" s="2"/>
      <c r="G327" s="3"/>
      <c r="H327" s="4"/>
      <c r="I327" s="4"/>
      <c r="J327" s="4"/>
      <c r="K327" s="5"/>
    </row>
    <row r="328" spans="1:11">
      <c r="H328" s="5"/>
      <c r="I328" s="5"/>
      <c r="J328" s="5"/>
      <c r="K328" s="5"/>
    </row>
    <row r="329" spans="1:11">
      <c r="H329" s="5"/>
      <c r="I329" s="5"/>
      <c r="J329" s="5"/>
      <c r="K329" s="5"/>
    </row>
    <row r="330" spans="1:11">
      <c r="A330" s="72" t="s">
        <v>0</v>
      </c>
      <c r="B330" s="72"/>
      <c r="C330" s="73"/>
      <c r="D330" s="73"/>
      <c r="E330" s="73"/>
      <c r="F330" s="73"/>
      <c r="G330" s="73"/>
      <c r="H330" s="73"/>
      <c r="I330" s="73"/>
      <c r="J330" s="73"/>
      <c r="K330" s="73"/>
    </row>
    <row r="331" spans="1:11">
      <c r="A331" s="73" t="s">
        <v>84</v>
      </c>
      <c r="B331" s="73"/>
      <c r="C331" s="73"/>
      <c r="D331" s="73"/>
      <c r="E331" s="73"/>
      <c r="F331" s="73"/>
      <c r="G331" s="73"/>
      <c r="H331" s="73"/>
      <c r="I331" s="73"/>
      <c r="J331" s="73"/>
      <c r="K331" s="73"/>
    </row>
    <row r="332" spans="1:11">
      <c r="A332" s="73" t="s">
        <v>1</v>
      </c>
      <c r="B332" s="73"/>
      <c r="C332" s="73"/>
      <c r="D332" s="73"/>
      <c r="E332" s="73"/>
      <c r="F332" s="73"/>
      <c r="G332" s="73"/>
      <c r="H332" s="73"/>
      <c r="I332" s="73"/>
      <c r="J332" s="73"/>
      <c r="K332" s="73"/>
    </row>
    <row r="333" spans="1:11">
      <c r="A333" s="73" t="s">
        <v>38</v>
      </c>
      <c r="B333" s="73"/>
      <c r="C333" s="73"/>
      <c r="D333" s="73"/>
      <c r="E333" s="73"/>
      <c r="F333" s="73"/>
      <c r="G333" s="73"/>
      <c r="H333" s="73"/>
      <c r="I333" s="73"/>
      <c r="J333" s="73"/>
      <c r="K333" s="73"/>
    </row>
    <row r="334" spans="1:11">
      <c r="A334" s="73" t="s">
        <v>2</v>
      </c>
      <c r="B334" s="73"/>
      <c r="C334" s="73"/>
      <c r="D334" s="73"/>
      <c r="E334" s="73"/>
      <c r="F334" s="73"/>
      <c r="G334" s="73"/>
      <c r="H334" s="73"/>
      <c r="I334" s="73"/>
      <c r="J334" s="73"/>
      <c r="K334" s="73"/>
    </row>
    <row r="335" spans="1:11">
      <c r="A335" s="6"/>
      <c r="B335" s="6"/>
      <c r="C335" s="7"/>
      <c r="D335" s="7"/>
      <c r="E335" s="7"/>
      <c r="F335" s="7"/>
      <c r="G335" s="8"/>
      <c r="H335" s="9"/>
      <c r="I335" s="9"/>
      <c r="J335" s="9"/>
      <c r="K335" s="9"/>
    </row>
    <row r="336" spans="1:11">
      <c r="A336" s="52" t="s">
        <v>3</v>
      </c>
      <c r="B336" s="10"/>
      <c r="C336" s="10"/>
      <c r="D336" s="53" t="s">
        <v>4</v>
      </c>
      <c r="E336" s="10" t="s">
        <v>5</v>
      </c>
      <c r="F336" s="11"/>
      <c r="G336" s="10"/>
      <c r="H336" s="12"/>
      <c r="I336" s="12"/>
      <c r="J336" s="12"/>
      <c r="K336" s="9"/>
    </row>
    <row r="337" spans="1:11">
      <c r="A337" s="52" t="s">
        <v>6</v>
      </c>
      <c r="B337" s="10"/>
      <c r="C337" s="10"/>
      <c r="D337" s="53" t="s">
        <v>4</v>
      </c>
      <c r="E337" s="10" t="s">
        <v>7</v>
      </c>
      <c r="F337" s="11"/>
      <c r="G337" s="10"/>
      <c r="H337" s="12"/>
      <c r="I337" s="12"/>
      <c r="J337" s="12"/>
      <c r="K337" s="9"/>
    </row>
    <row r="338" spans="1:11">
      <c r="A338" s="52" t="s">
        <v>8</v>
      </c>
      <c r="B338" s="10"/>
      <c r="C338" s="10"/>
      <c r="D338" s="53" t="s">
        <v>4</v>
      </c>
      <c r="E338" s="13">
        <v>2026</v>
      </c>
      <c r="F338" s="11"/>
      <c r="G338" s="13"/>
      <c r="H338" s="12"/>
      <c r="I338" s="12"/>
      <c r="J338" s="12"/>
      <c r="K338" s="9"/>
    </row>
    <row r="339" spans="1:11">
      <c r="A339" s="52" t="s">
        <v>9</v>
      </c>
      <c r="B339" s="10"/>
      <c r="C339" s="10"/>
      <c r="D339" s="53" t="s">
        <v>4</v>
      </c>
      <c r="E339" s="14">
        <f>J350</f>
        <v>129000</v>
      </c>
      <c r="F339" s="11"/>
      <c r="G339" s="14"/>
      <c r="H339" s="12"/>
      <c r="I339" s="12"/>
      <c r="J339" s="12"/>
      <c r="K339" s="9"/>
    </row>
    <row r="340" spans="1:11" ht="15.75">
      <c r="A340" s="10"/>
      <c r="B340" s="10"/>
      <c r="C340" s="15" t="s">
        <v>10</v>
      </c>
      <c r="D340" s="53" t="s">
        <v>4</v>
      </c>
      <c r="E340" s="16" t="str">
        <f>PROPER(IF(E339=0,"nol",IF(E339&lt;0,"minus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339),"000000000000000"),1,3)=0,"",MID(TEXT(ABS(E339),"000000000000000"),1,1)&amp;" ratus "&amp;MID(TEXT(ABS(E339),"000000000000000"),2,1)&amp;" puluh "&amp;MID(TEXT(ABS(E339),"000000000000000"),3,1)&amp;" trilyun ")&amp;IF(--MID(TEXT(ABS(E339),"000000000000000"),4,3)=0,"",MID(TEXT(ABS(E339),"000000000000000"),4,1)&amp;" ratus "&amp;MID(TEXT(ABS(E339),"000000000000000"),5,1)&amp;" puluh "&amp;MID(TEXT(ABS(E339),"000000000000000"),6,1)&amp;" milyar ")&amp;IF(--MID(TEXT(ABS(E339),"000000000000000"),7,3)=0,"",MID(TEXT(ABS(E339),"000000000000000"),7,1)&amp;" ratus "&amp;MID(TEXT(ABS(E339),"000000000000000"),8,1)&amp;" puluh "&amp;MID(TEXT(ABS(E339),"000000000000000"),9,1)&amp;" juta ")&amp;IF(--MID(TEXT(ABS(E339),"000000000000000"),10,3)=0,"",IF(--MID(TEXT(ABS(E339),"000000000000000"),10,3)=1,"*",MID(TEXT(ABS(E339),"000000000000000"),10,1)&amp;" ratus "&amp;MID(TEXT(ABS(E339),"000000000000000"),11,1)&amp;" puluh ")&amp;MID(TEXT(ABS(E339),"000000000000000"),12,1)&amp;" ribu ")&amp;IF(--MID(TEXT(ABS(E339),"000000000000000"),13,3)=0,"",MID(TEXT(ABS(E339),"000000000000000"),13,1)&amp;" ratus "&amp;MID(TEXT(ABS(E339),"000000000000000"),14,1)&amp;" puluh "&amp;MID(TEXT(ABS(E339),"000000000000000"),15,1)),1,"satu"),2,"dua"),3,"tiga"),4,"empat"),5,"lima"),6,"enam"),7,"tujuh"),8,"delapan"),9,"sembilan"),"0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Dua Puluh Sembilan Ribu Rupiah</v>
      </c>
      <c r="F340" s="11"/>
      <c r="G340" s="16"/>
      <c r="H340" s="12"/>
      <c r="I340" s="12"/>
      <c r="J340" s="12"/>
      <c r="K340" s="9"/>
    </row>
    <row r="341" spans="1:11" ht="15.75">
      <c r="A341" s="10"/>
      <c r="B341" s="10"/>
      <c r="C341" s="15"/>
      <c r="D341" s="15"/>
      <c r="E341" s="15"/>
      <c r="F341" s="11"/>
      <c r="G341" s="16"/>
      <c r="H341" s="12"/>
      <c r="I341" s="12"/>
      <c r="J341" s="12"/>
      <c r="K341" s="9"/>
    </row>
    <row r="342" spans="1:11">
      <c r="A342" s="10" t="s">
        <v>11</v>
      </c>
      <c r="B342" s="10"/>
      <c r="C342" s="10"/>
      <c r="D342" s="10"/>
      <c r="E342" s="10"/>
      <c r="F342" s="10"/>
      <c r="G342" s="10"/>
      <c r="H342" s="12"/>
      <c r="I342" s="12"/>
      <c r="J342" s="12"/>
      <c r="K342" s="9"/>
    </row>
    <row r="343" spans="1:11">
      <c r="A343" s="74" t="s">
        <v>12</v>
      </c>
      <c r="B343" s="74"/>
      <c r="C343" s="74"/>
      <c r="D343" s="74"/>
      <c r="E343" s="74"/>
      <c r="F343" s="74"/>
      <c r="G343" s="74"/>
      <c r="H343" s="74"/>
      <c r="I343" s="74"/>
      <c r="J343" s="74"/>
      <c r="K343" s="74"/>
    </row>
    <row r="344" spans="1:11" ht="60">
      <c r="A344" s="17" t="s">
        <v>13</v>
      </c>
      <c r="B344" s="18" t="s">
        <v>14</v>
      </c>
      <c r="C344" s="59" t="s">
        <v>15</v>
      </c>
      <c r="D344" s="60"/>
      <c r="E344" s="61"/>
      <c r="F344" s="19"/>
      <c r="G344" s="20" t="s">
        <v>16</v>
      </c>
      <c r="H344" s="21" t="s">
        <v>35</v>
      </c>
      <c r="I344" s="21"/>
      <c r="J344" s="31" t="s">
        <v>17</v>
      </c>
      <c r="K344" s="32" t="s">
        <v>18</v>
      </c>
    </row>
    <row r="345" spans="1:11">
      <c r="A345" s="27">
        <v>1</v>
      </c>
      <c r="B345" s="24"/>
      <c r="C345" s="28" t="s">
        <v>23</v>
      </c>
      <c r="D345" s="57"/>
      <c r="E345" s="26"/>
      <c r="F345" s="25"/>
      <c r="G345" s="54" t="s">
        <v>19</v>
      </c>
      <c r="H345" s="54" t="s">
        <v>19</v>
      </c>
      <c r="I345" s="54"/>
      <c r="J345" s="54" t="s">
        <v>19</v>
      </c>
      <c r="K345" s="54" t="s">
        <v>19</v>
      </c>
    </row>
    <row r="346" spans="1:11">
      <c r="A346" s="24"/>
      <c r="B346" s="55" t="s">
        <v>20</v>
      </c>
      <c r="C346" s="25" t="s">
        <v>24</v>
      </c>
      <c r="D346" s="10"/>
      <c r="E346" s="26"/>
      <c r="F346" s="25"/>
      <c r="G346" s="23">
        <v>45000000</v>
      </c>
      <c r="H346" s="56">
        <f>H300+J300</f>
        <v>4031399</v>
      </c>
      <c r="I346" s="56"/>
      <c r="J346" s="56">
        <v>0</v>
      </c>
      <c r="K346" s="58">
        <f t="shared" ref="K346:K349" si="13">G346-H346-J346</f>
        <v>40968601</v>
      </c>
    </row>
    <row r="347" spans="1:11" ht="28.5" customHeight="1">
      <c r="A347" s="24"/>
      <c r="B347" s="55" t="s">
        <v>21</v>
      </c>
      <c r="C347" s="62" t="s">
        <v>39</v>
      </c>
      <c r="D347" s="63"/>
      <c r="E347" s="64"/>
      <c r="F347" s="25"/>
      <c r="G347" s="23">
        <v>35000000</v>
      </c>
      <c r="H347" s="56">
        <f t="shared" ref="H347:H349" si="14">H301+J301</f>
        <v>5775990</v>
      </c>
      <c r="I347" s="56"/>
      <c r="J347" s="56">
        <v>129000</v>
      </c>
      <c r="K347" s="58">
        <f t="shared" si="13"/>
        <v>29095010</v>
      </c>
    </row>
    <row r="348" spans="1:11">
      <c r="A348" s="24"/>
      <c r="B348" s="55" t="s">
        <v>22</v>
      </c>
      <c r="C348" s="65" t="s">
        <v>40</v>
      </c>
      <c r="D348" s="66"/>
      <c r="E348" s="67"/>
      <c r="F348" s="25"/>
      <c r="G348" s="23">
        <v>30000000</v>
      </c>
      <c r="H348" s="56">
        <f t="shared" si="14"/>
        <v>7825000</v>
      </c>
      <c r="I348" s="22"/>
      <c r="J348" s="22">
        <v>0</v>
      </c>
      <c r="K348" s="33">
        <f t="shared" si="13"/>
        <v>22175000</v>
      </c>
    </row>
    <row r="349" spans="1:11">
      <c r="A349" s="24"/>
      <c r="B349" s="55" t="s">
        <v>36</v>
      </c>
      <c r="C349" s="68" t="s">
        <v>41</v>
      </c>
      <c r="D349" s="69"/>
      <c r="E349" s="70"/>
      <c r="F349" s="25"/>
      <c r="G349" s="23">
        <v>28125000</v>
      </c>
      <c r="H349" s="56">
        <f t="shared" si="14"/>
        <v>4590650</v>
      </c>
      <c r="I349" s="22"/>
      <c r="J349" s="22">
        <v>0</v>
      </c>
      <c r="K349" s="33">
        <f t="shared" si="13"/>
        <v>23534350</v>
      </c>
    </row>
    <row r="350" spans="1:11">
      <c r="A350" s="34"/>
      <c r="B350" s="34"/>
      <c r="C350" s="34" t="s">
        <v>25</v>
      </c>
      <c r="D350" s="34"/>
      <c r="E350" s="34"/>
      <c r="F350" s="35"/>
      <c r="G350" s="36">
        <f>SUM(G345:G349)</f>
        <v>138125000</v>
      </c>
      <c r="H350" s="37">
        <f>SUM(H345:H349)</f>
        <v>22223039</v>
      </c>
      <c r="I350" s="37"/>
      <c r="J350" s="37">
        <f>SUM(J345:J349)</f>
        <v>129000</v>
      </c>
      <c r="K350" s="37">
        <f>SUM(K345:K349)</f>
        <v>115772961</v>
      </c>
    </row>
    <row r="351" spans="1:11">
      <c r="A351" s="38"/>
      <c r="B351" s="8"/>
      <c r="C351" s="8"/>
      <c r="D351" s="8"/>
      <c r="E351" s="8"/>
      <c r="F351" s="8"/>
      <c r="G351" s="39"/>
      <c r="H351" s="39"/>
      <c r="I351" s="39"/>
      <c r="J351" s="39"/>
      <c r="K351" s="39"/>
    </row>
    <row r="352" spans="1:11">
      <c r="A352" s="71" t="s">
        <v>26</v>
      </c>
      <c r="B352" s="71"/>
      <c r="C352" s="71"/>
      <c r="D352" s="11" t="s">
        <v>4</v>
      </c>
      <c r="E352" s="14">
        <f>J350</f>
        <v>129000</v>
      </c>
      <c r="F352" s="40"/>
      <c r="G352" s="41"/>
      <c r="H352" s="41"/>
      <c r="I352" s="41"/>
      <c r="J352" s="9"/>
      <c r="K352" s="9"/>
    </row>
    <row r="353" spans="1:11">
      <c r="A353" s="10" t="s">
        <v>27</v>
      </c>
      <c r="B353" s="10"/>
      <c r="C353" s="10"/>
      <c r="D353" s="11" t="s">
        <v>4</v>
      </c>
      <c r="E353" s="42"/>
      <c r="F353" s="42"/>
      <c r="G353" s="43"/>
      <c r="H353" s="12"/>
      <c r="I353" s="12"/>
      <c r="J353" s="9"/>
      <c r="K353" s="9"/>
    </row>
    <row r="354" spans="1:11">
      <c r="A354" s="10" t="s">
        <v>28</v>
      </c>
      <c r="B354" s="10"/>
      <c r="C354" s="10"/>
      <c r="D354" s="11" t="s">
        <v>4</v>
      </c>
      <c r="E354" s="44"/>
      <c r="F354" s="44"/>
      <c r="G354" s="43"/>
      <c r="H354" s="12"/>
      <c r="I354" s="12"/>
      <c r="J354" s="9"/>
      <c r="K354" s="9"/>
    </row>
    <row r="355" spans="1:11">
      <c r="A355" s="10" t="s">
        <v>29</v>
      </c>
      <c r="B355" s="10"/>
      <c r="C355" s="10"/>
      <c r="D355" s="11" t="s">
        <v>4</v>
      </c>
      <c r="E355" s="44">
        <f>E353+E354</f>
        <v>0</v>
      </c>
      <c r="F355" s="44"/>
      <c r="G355" s="10"/>
      <c r="H355" s="12"/>
      <c r="I355" s="12"/>
      <c r="J355" s="46"/>
      <c r="K355" s="46"/>
    </row>
    <row r="356" spans="1:11">
      <c r="A356" s="13"/>
      <c r="B356" s="13"/>
      <c r="C356" s="13"/>
      <c r="D356" s="11"/>
      <c r="E356" s="13"/>
      <c r="F356" s="13"/>
      <c r="G356" s="10"/>
      <c r="H356" s="12"/>
      <c r="I356" s="12"/>
      <c r="J356" s="46"/>
      <c r="K356" s="46"/>
    </row>
    <row r="357" spans="1:11">
      <c r="A357" s="71" t="s">
        <v>30</v>
      </c>
      <c r="B357" s="71"/>
      <c r="C357" s="71"/>
      <c r="D357" s="11" t="s">
        <v>4</v>
      </c>
      <c r="E357" s="40">
        <f>E352-E355</f>
        <v>129000</v>
      </c>
      <c r="F357" s="40"/>
      <c r="G357" s="10"/>
      <c r="H357" s="12"/>
      <c r="I357" s="12"/>
      <c r="J357" s="46"/>
      <c r="K357" s="46"/>
    </row>
    <row r="358" spans="1:11" ht="15.75">
      <c r="A358" s="13"/>
      <c r="B358" s="13"/>
      <c r="C358" s="10"/>
      <c r="D358" s="10"/>
      <c r="E358" s="16" t="str">
        <f>PROPER(IF(E357=0,"nol",IF(E357&lt;0,"minus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357),"000000000000000"),1,3)=0,"",MID(TEXT(ABS(E357),"000000000000000"),1,1)&amp;" ratus "&amp;MID(TEXT(ABS(E357),"000000000000000"),2,1)&amp;" puluh "&amp;MID(TEXT(ABS(E357),"000000000000000"),3,1)&amp;" trilyun ")&amp;IF(--MID(TEXT(ABS(E357),"000000000000000"),4,3)=0,"",MID(TEXT(ABS(E357),"000000000000000"),4,1)&amp;" ratus "&amp;MID(TEXT(ABS(E357),"000000000000000"),5,1)&amp;" puluh "&amp;MID(TEXT(ABS(E357),"000000000000000"),6,1)&amp;" milyar ")&amp;IF(--MID(TEXT(ABS(E357),"000000000000000"),7,3)=0,"",MID(TEXT(ABS(E357),"000000000000000"),7,1)&amp;" ratus "&amp;MID(TEXT(ABS(E357),"000000000000000"),8,1)&amp;" puluh "&amp;MID(TEXT(ABS(E357),"000000000000000"),9,1)&amp;" juta ")&amp;IF(--MID(TEXT(ABS(E357),"000000000000000"),10,3)=0,"",IF(--MID(TEXT(ABS(E357),"000000000000000"),10,3)=1,"*",MID(TEXT(ABS(E357),"000000000000000"),10,1)&amp;" ratus "&amp;MID(TEXT(ABS(E357),"000000000000000"),11,1)&amp;" puluh ")&amp;MID(TEXT(ABS(E357),"000000000000000"),12,1)&amp;" ribu ")&amp;IF(--MID(TEXT(ABS(E357),"000000000000000"),13,3)=0,"",MID(TEXT(ABS(E357),"000000000000000"),13,1)&amp;" ratus "&amp;MID(TEXT(ABS(E357),"000000000000000"),14,1)&amp;" puluh "&amp;MID(TEXT(ABS(E357),"000000000000000"),15,1)),1,"satu"),2,"dua"),3,"tiga"),4,"empat"),5,"lima"),6,"enam"),7,"tujuh"),8,"delapan"),9,"sembilan"),"0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Dua Puluh Sembilan Ribu Rupiah</v>
      </c>
      <c r="F358" s="10"/>
      <c r="G358" s="10"/>
      <c r="H358" s="10"/>
      <c r="I358" s="10"/>
      <c r="J358" s="46"/>
      <c r="K358" s="46"/>
    </row>
    <row r="359" spans="1:11">
      <c r="A359" s="45"/>
      <c r="B359" s="45"/>
      <c r="C359" s="45"/>
      <c r="D359" s="45"/>
      <c r="E359" s="45"/>
      <c r="F359" s="45"/>
      <c r="G359" s="29"/>
      <c r="H359" s="46"/>
      <c r="I359" s="46"/>
      <c r="J359" s="46"/>
      <c r="K359" s="46"/>
    </row>
    <row r="360" spans="1:11">
      <c r="A360" s="29"/>
      <c r="B360" s="29"/>
      <c r="C360" s="29"/>
      <c r="D360" s="29"/>
      <c r="E360" s="29"/>
      <c r="F360" s="29"/>
      <c r="G360" s="29"/>
      <c r="H360"/>
      <c r="I360"/>
      <c r="J360" s="46"/>
      <c r="K360" s="46"/>
    </row>
    <row r="361" spans="1:11">
      <c r="A361" s="13"/>
      <c r="B361" s="13"/>
      <c r="C361" s="10"/>
      <c r="D361" s="10"/>
      <c r="E361" s="10"/>
      <c r="F361" s="10"/>
      <c r="G361" s="10"/>
      <c r="I361" s="47"/>
      <c r="J361" s="47" t="s">
        <v>82</v>
      </c>
      <c r="K361" s="46"/>
    </row>
    <row r="362" spans="1:11">
      <c r="A362" s="12" t="s">
        <v>31</v>
      </c>
      <c r="B362" s="10"/>
      <c r="C362" s="10"/>
      <c r="D362" s="10"/>
      <c r="E362" s="10"/>
      <c r="F362" s="10"/>
      <c r="G362" s="10"/>
      <c r="I362" s="12"/>
      <c r="J362" s="12" t="s">
        <v>32</v>
      </c>
      <c r="K362" s="46"/>
    </row>
    <row r="363" spans="1:11">
      <c r="A363" s="10"/>
      <c r="B363" s="10"/>
      <c r="C363" s="10"/>
      <c r="D363" s="10"/>
      <c r="E363" s="10"/>
      <c r="F363" s="10"/>
      <c r="G363" s="10"/>
      <c r="I363" s="12"/>
      <c r="J363" s="12"/>
      <c r="K363" s="46"/>
    </row>
    <row r="364" spans="1:11">
      <c r="A364" s="10"/>
      <c r="B364" s="10"/>
      <c r="C364" s="10"/>
      <c r="D364" s="10"/>
      <c r="E364" s="10"/>
      <c r="F364" s="10"/>
      <c r="G364" s="10"/>
      <c r="I364" s="12"/>
      <c r="J364" s="12"/>
      <c r="K364" s="46"/>
    </row>
    <row r="365" spans="1:11">
      <c r="A365" s="10"/>
      <c r="B365" s="10"/>
      <c r="C365" s="10"/>
      <c r="D365" s="10"/>
      <c r="E365" s="10"/>
      <c r="F365" s="10"/>
      <c r="G365" s="10"/>
      <c r="I365" s="12"/>
      <c r="J365" s="12"/>
      <c r="K365" s="46"/>
    </row>
    <row r="366" spans="1:11">
      <c r="A366" s="10"/>
      <c r="B366" s="10"/>
      <c r="C366" s="10"/>
      <c r="D366" s="10"/>
      <c r="E366" s="10"/>
      <c r="F366" s="10"/>
      <c r="G366" s="10"/>
      <c r="I366" s="12"/>
      <c r="J366" s="12"/>
      <c r="K366" s="46"/>
    </row>
    <row r="367" spans="1:11">
      <c r="A367" s="48" t="s">
        <v>37</v>
      </c>
      <c r="B367" s="48"/>
      <c r="C367" s="49"/>
      <c r="D367" s="49"/>
      <c r="E367" s="49"/>
      <c r="F367" s="49"/>
      <c r="G367" s="10" t="s">
        <v>33</v>
      </c>
      <c r="I367" s="48"/>
      <c r="J367" s="48" t="s">
        <v>34</v>
      </c>
      <c r="K367" s="46"/>
    </row>
    <row r="372" spans="1:11" ht="15.75">
      <c r="C372" s="2"/>
      <c r="D372" s="2"/>
      <c r="E372" s="2"/>
      <c r="F372" s="2"/>
    </row>
    <row r="373" spans="1:11" ht="15.75">
      <c r="A373" s="3"/>
      <c r="B373" s="3"/>
      <c r="C373" s="2"/>
      <c r="D373" s="2"/>
      <c r="E373" s="2"/>
      <c r="F373" s="2"/>
      <c r="G373" s="3"/>
      <c r="H373" s="4"/>
      <c r="I373" s="4"/>
      <c r="J373" s="4"/>
      <c r="K373" s="5"/>
    </row>
    <row r="374" spans="1:11">
      <c r="H374" s="5"/>
      <c r="I374" s="5"/>
      <c r="J374" s="5"/>
      <c r="K374" s="5"/>
    </row>
    <row r="375" spans="1:11">
      <c r="H375" s="5"/>
      <c r="I375" s="5"/>
      <c r="J375" s="5"/>
      <c r="K375" s="5"/>
    </row>
    <row r="376" spans="1:11">
      <c r="A376" s="72" t="s">
        <v>0</v>
      </c>
      <c r="B376" s="72"/>
      <c r="C376" s="73"/>
      <c r="D376" s="73"/>
      <c r="E376" s="73"/>
      <c r="F376" s="73"/>
      <c r="G376" s="73"/>
      <c r="H376" s="73"/>
      <c r="I376" s="73"/>
      <c r="J376" s="73"/>
      <c r="K376" s="73"/>
    </row>
    <row r="377" spans="1:11">
      <c r="A377" s="73" t="s">
        <v>85</v>
      </c>
      <c r="B377" s="73"/>
      <c r="C377" s="73"/>
      <c r="D377" s="73"/>
      <c r="E377" s="73"/>
      <c r="F377" s="73"/>
      <c r="G377" s="73"/>
      <c r="H377" s="73"/>
      <c r="I377" s="73"/>
      <c r="J377" s="73"/>
      <c r="K377" s="73"/>
    </row>
    <row r="378" spans="1:11">
      <c r="A378" s="73" t="s">
        <v>1</v>
      </c>
      <c r="B378" s="73"/>
      <c r="C378" s="73"/>
      <c r="D378" s="73"/>
      <c r="E378" s="73"/>
      <c r="F378" s="73"/>
      <c r="G378" s="73"/>
      <c r="H378" s="73"/>
      <c r="I378" s="73"/>
      <c r="J378" s="73"/>
      <c r="K378" s="73"/>
    </row>
    <row r="379" spans="1:11">
      <c r="A379" s="73" t="s">
        <v>38</v>
      </c>
      <c r="B379" s="73"/>
      <c r="C379" s="73"/>
      <c r="D379" s="73"/>
      <c r="E379" s="73"/>
      <c r="F379" s="73"/>
      <c r="G379" s="73"/>
      <c r="H379" s="73"/>
      <c r="I379" s="73"/>
      <c r="J379" s="73"/>
      <c r="K379" s="73"/>
    </row>
    <row r="380" spans="1:11">
      <c r="A380" s="73" t="s">
        <v>2</v>
      </c>
      <c r="B380" s="73"/>
      <c r="C380" s="73"/>
      <c r="D380" s="73"/>
      <c r="E380" s="73"/>
      <c r="F380" s="73"/>
      <c r="G380" s="73"/>
      <c r="H380" s="73"/>
      <c r="I380" s="73"/>
      <c r="J380" s="73"/>
      <c r="K380" s="73"/>
    </row>
    <row r="381" spans="1:11">
      <c r="A381" s="6"/>
      <c r="B381" s="6"/>
      <c r="C381" s="7"/>
      <c r="D381" s="7"/>
      <c r="E381" s="7"/>
      <c r="F381" s="7"/>
      <c r="G381" s="8"/>
      <c r="H381" s="9"/>
      <c r="I381" s="9"/>
      <c r="J381" s="9"/>
      <c r="K381" s="9"/>
    </row>
    <row r="382" spans="1:11">
      <c r="A382" s="52" t="s">
        <v>3</v>
      </c>
      <c r="B382" s="10"/>
      <c r="C382" s="10"/>
      <c r="D382" s="53" t="s">
        <v>4</v>
      </c>
      <c r="E382" s="10" t="s">
        <v>5</v>
      </c>
      <c r="F382" s="11"/>
      <c r="G382" s="10"/>
      <c r="H382" s="12"/>
      <c r="I382" s="12"/>
      <c r="J382" s="12"/>
      <c r="K382" s="9"/>
    </row>
    <row r="383" spans="1:11">
      <c r="A383" s="52" t="s">
        <v>6</v>
      </c>
      <c r="B383" s="10"/>
      <c r="C383" s="10"/>
      <c r="D383" s="53" t="s">
        <v>4</v>
      </c>
      <c r="E383" s="10" t="s">
        <v>7</v>
      </c>
      <c r="F383" s="11"/>
      <c r="G383" s="10"/>
      <c r="H383" s="12"/>
      <c r="I383" s="12"/>
      <c r="J383" s="12"/>
      <c r="K383" s="9"/>
    </row>
    <row r="384" spans="1:11">
      <c r="A384" s="52" t="s">
        <v>8</v>
      </c>
      <c r="B384" s="10"/>
      <c r="C384" s="10"/>
      <c r="D384" s="53" t="s">
        <v>4</v>
      </c>
      <c r="E384" s="13">
        <v>2026</v>
      </c>
      <c r="F384" s="11"/>
      <c r="G384" s="13"/>
      <c r="H384" s="12"/>
      <c r="I384" s="12"/>
      <c r="J384" s="12"/>
      <c r="K384" s="9"/>
    </row>
    <row r="385" spans="1:11">
      <c r="A385" s="52" t="s">
        <v>9</v>
      </c>
      <c r="B385" s="10"/>
      <c r="C385" s="10"/>
      <c r="D385" s="53" t="s">
        <v>4</v>
      </c>
      <c r="E385" s="14">
        <f>J396</f>
        <v>1683990</v>
      </c>
      <c r="F385" s="11"/>
      <c r="G385" s="14"/>
      <c r="H385" s="12"/>
      <c r="I385" s="12"/>
      <c r="J385" s="12"/>
      <c r="K385" s="9"/>
    </row>
    <row r="386" spans="1:11" ht="15.75">
      <c r="A386" s="10"/>
      <c r="B386" s="10"/>
      <c r="C386" s="15" t="s">
        <v>10</v>
      </c>
      <c r="D386" s="53" t="s">
        <v>4</v>
      </c>
      <c r="E386" s="16" t="str">
        <f>PROPER(IF(E385=0,"nol",IF(E385&lt;0,"minus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385),"000000000000000"),1,3)=0,"",MID(TEXT(ABS(E385),"000000000000000"),1,1)&amp;" ratus "&amp;MID(TEXT(ABS(E385),"000000000000000"),2,1)&amp;" puluh "&amp;MID(TEXT(ABS(E385),"000000000000000"),3,1)&amp;" trilyun ")&amp;IF(--MID(TEXT(ABS(E385),"000000000000000"),4,3)=0,"",MID(TEXT(ABS(E385),"000000000000000"),4,1)&amp;" ratus "&amp;MID(TEXT(ABS(E385),"000000000000000"),5,1)&amp;" puluh "&amp;MID(TEXT(ABS(E385),"000000000000000"),6,1)&amp;" milyar ")&amp;IF(--MID(TEXT(ABS(E385),"000000000000000"),7,3)=0,"",MID(TEXT(ABS(E385),"000000000000000"),7,1)&amp;" ratus "&amp;MID(TEXT(ABS(E385),"000000000000000"),8,1)&amp;" puluh "&amp;MID(TEXT(ABS(E385),"000000000000000"),9,1)&amp;" juta ")&amp;IF(--MID(TEXT(ABS(E385),"000000000000000"),10,3)=0,"",IF(--MID(TEXT(ABS(E385),"000000000000000"),10,3)=1,"*",MID(TEXT(ABS(E385),"000000000000000"),10,1)&amp;" ratus "&amp;MID(TEXT(ABS(E385),"000000000000000"),11,1)&amp;" puluh ")&amp;MID(TEXT(ABS(E385),"000000000000000"),12,1)&amp;" ribu ")&amp;IF(--MID(TEXT(ABS(E385),"000000000000000"),13,3)=0,"",MID(TEXT(ABS(E385),"000000000000000"),13,1)&amp;" ratus "&amp;MID(TEXT(ABS(E385),"000000000000000"),14,1)&amp;" puluh "&amp;MID(TEXT(ABS(E385),"000000000000000"),15,1)),1,"satu"),2,"dua"),3,"tiga"),4,"empat"),5,"lima"),6,"enam"),7,"tujuh"),8,"delapan"),9,"sembilan"),"0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Enam Ratus Delapan Puluh Tiga Ribu Sembilan Ratus Sembilan Puluh Rupiah</v>
      </c>
      <c r="F386" s="11"/>
      <c r="G386" s="16"/>
      <c r="H386" s="12"/>
      <c r="I386" s="12"/>
      <c r="J386" s="12"/>
      <c r="K386" s="9"/>
    </row>
    <row r="387" spans="1:11" ht="15.75">
      <c r="A387" s="10"/>
      <c r="B387" s="10"/>
      <c r="C387" s="15"/>
      <c r="D387" s="15"/>
      <c r="E387" s="15"/>
      <c r="F387" s="11"/>
      <c r="G387" s="16"/>
      <c r="H387" s="12"/>
      <c r="I387" s="12"/>
      <c r="J387" s="12"/>
      <c r="K387" s="9"/>
    </row>
    <row r="388" spans="1:11">
      <c r="A388" s="10" t="s">
        <v>11</v>
      </c>
      <c r="B388" s="10"/>
      <c r="C388" s="10"/>
      <c r="D388" s="10"/>
      <c r="E388" s="10"/>
      <c r="F388" s="10"/>
      <c r="G388" s="10"/>
      <c r="H388" s="12"/>
      <c r="I388" s="12"/>
      <c r="J388" s="12"/>
      <c r="K388" s="9"/>
    </row>
    <row r="389" spans="1:11">
      <c r="A389" s="74" t="s">
        <v>12</v>
      </c>
      <c r="B389" s="74"/>
      <c r="C389" s="74"/>
      <c r="D389" s="74"/>
      <c r="E389" s="74"/>
      <c r="F389" s="74"/>
      <c r="G389" s="74"/>
      <c r="H389" s="74"/>
      <c r="I389" s="74"/>
      <c r="J389" s="74"/>
      <c r="K389" s="74"/>
    </row>
    <row r="390" spans="1:11" ht="60">
      <c r="A390" s="17" t="s">
        <v>13</v>
      </c>
      <c r="B390" s="18" t="s">
        <v>14</v>
      </c>
      <c r="C390" s="59" t="s">
        <v>15</v>
      </c>
      <c r="D390" s="60"/>
      <c r="E390" s="61"/>
      <c r="F390" s="19"/>
      <c r="G390" s="20" t="s">
        <v>16</v>
      </c>
      <c r="H390" s="21" t="s">
        <v>35</v>
      </c>
      <c r="I390" s="21"/>
      <c r="J390" s="31" t="s">
        <v>17</v>
      </c>
      <c r="K390" s="32" t="s">
        <v>18</v>
      </c>
    </row>
    <row r="391" spans="1:11">
      <c r="A391" s="27">
        <v>1</v>
      </c>
      <c r="B391" s="24"/>
      <c r="C391" s="28" t="s">
        <v>23</v>
      </c>
      <c r="D391" s="57"/>
      <c r="E391" s="26"/>
      <c r="F391" s="25"/>
      <c r="G391" s="54" t="s">
        <v>19</v>
      </c>
      <c r="H391" s="54" t="s">
        <v>19</v>
      </c>
      <c r="I391" s="54"/>
      <c r="J391" s="54" t="s">
        <v>19</v>
      </c>
      <c r="K391" s="54" t="s">
        <v>19</v>
      </c>
    </row>
    <row r="392" spans="1:11">
      <c r="A392" s="24"/>
      <c r="B392" s="55" t="s">
        <v>20</v>
      </c>
      <c r="C392" s="25" t="s">
        <v>24</v>
      </c>
      <c r="D392" s="10"/>
      <c r="E392" s="26"/>
      <c r="F392" s="25"/>
      <c r="G392" s="23">
        <v>45000000</v>
      </c>
      <c r="H392" s="56">
        <f>H346+J346</f>
        <v>4031399</v>
      </c>
      <c r="I392" s="56"/>
      <c r="J392" s="56">
        <v>0</v>
      </c>
      <c r="K392" s="58">
        <f t="shared" ref="K392:K395" si="15">G392-H392-J392</f>
        <v>40968601</v>
      </c>
    </row>
    <row r="393" spans="1:11" ht="28.5" customHeight="1">
      <c r="A393" s="24"/>
      <c r="B393" s="55" t="s">
        <v>21</v>
      </c>
      <c r="C393" s="62" t="s">
        <v>39</v>
      </c>
      <c r="D393" s="63"/>
      <c r="E393" s="64"/>
      <c r="F393" s="25"/>
      <c r="G393" s="23">
        <v>35000000</v>
      </c>
      <c r="H393" s="56">
        <f t="shared" ref="H393:H395" si="16">H347+J347</f>
        <v>5904990</v>
      </c>
      <c r="I393" s="56"/>
      <c r="J393" s="56">
        <v>1683990</v>
      </c>
      <c r="K393" s="58">
        <f t="shared" si="15"/>
        <v>27411020</v>
      </c>
    </row>
    <row r="394" spans="1:11">
      <c r="A394" s="24"/>
      <c r="B394" s="55" t="s">
        <v>22</v>
      </c>
      <c r="C394" s="65" t="s">
        <v>40</v>
      </c>
      <c r="D394" s="66"/>
      <c r="E394" s="67"/>
      <c r="F394" s="25"/>
      <c r="G394" s="23">
        <v>30000000</v>
      </c>
      <c r="H394" s="56">
        <f t="shared" si="16"/>
        <v>7825000</v>
      </c>
      <c r="I394" s="22"/>
      <c r="J394" s="22">
        <v>0</v>
      </c>
      <c r="K394" s="33">
        <f t="shared" si="15"/>
        <v>22175000</v>
      </c>
    </row>
    <row r="395" spans="1:11">
      <c r="A395" s="24"/>
      <c r="B395" s="55" t="s">
        <v>36</v>
      </c>
      <c r="C395" s="68" t="s">
        <v>41</v>
      </c>
      <c r="D395" s="69"/>
      <c r="E395" s="70"/>
      <c r="F395" s="25"/>
      <c r="G395" s="23">
        <v>28125000</v>
      </c>
      <c r="H395" s="56">
        <f t="shared" si="16"/>
        <v>4590650</v>
      </c>
      <c r="I395" s="22"/>
      <c r="J395" s="22">
        <v>0</v>
      </c>
      <c r="K395" s="33">
        <f t="shared" si="15"/>
        <v>23534350</v>
      </c>
    </row>
    <row r="396" spans="1:11">
      <c r="A396" s="34"/>
      <c r="B396" s="34"/>
      <c r="C396" s="34" t="s">
        <v>25</v>
      </c>
      <c r="D396" s="34"/>
      <c r="E396" s="34"/>
      <c r="F396" s="35"/>
      <c r="G396" s="36">
        <f>SUM(G391:G395)</f>
        <v>138125000</v>
      </c>
      <c r="H396" s="37">
        <f>SUM(H391:H395)</f>
        <v>22352039</v>
      </c>
      <c r="I396" s="37"/>
      <c r="J396" s="37">
        <f>SUM(J391:J395)</f>
        <v>1683990</v>
      </c>
      <c r="K396" s="37">
        <f>SUM(K391:K395)</f>
        <v>114088971</v>
      </c>
    </row>
    <row r="397" spans="1:11">
      <c r="A397" s="38"/>
      <c r="B397" s="8"/>
      <c r="C397" s="8"/>
      <c r="D397" s="8"/>
      <c r="E397" s="8"/>
      <c r="F397" s="8"/>
      <c r="G397" s="39"/>
      <c r="H397" s="39"/>
      <c r="I397" s="39"/>
      <c r="J397" s="39"/>
      <c r="K397" s="39"/>
    </row>
    <row r="398" spans="1:11">
      <c r="A398" s="71" t="s">
        <v>26</v>
      </c>
      <c r="B398" s="71"/>
      <c r="C398" s="71"/>
      <c r="D398" s="11" t="s">
        <v>4</v>
      </c>
      <c r="E398" s="14">
        <f>J396</f>
        <v>1683990</v>
      </c>
      <c r="F398" s="40"/>
      <c r="G398" s="41"/>
      <c r="H398" s="41"/>
      <c r="I398" s="41"/>
      <c r="J398" s="9"/>
      <c r="K398" s="9"/>
    </row>
    <row r="399" spans="1:11">
      <c r="A399" s="10" t="s">
        <v>27</v>
      </c>
      <c r="B399" s="10"/>
      <c r="C399" s="10"/>
      <c r="D399" s="11" t="s">
        <v>4</v>
      </c>
      <c r="E399" s="42"/>
      <c r="F399" s="42"/>
      <c r="G399" s="43"/>
      <c r="H399" s="12"/>
      <c r="I399" s="12"/>
      <c r="J399" s="9"/>
      <c r="K399" s="9"/>
    </row>
    <row r="400" spans="1:11">
      <c r="A400" s="10" t="s">
        <v>28</v>
      </c>
      <c r="B400" s="10"/>
      <c r="C400" s="10"/>
      <c r="D400" s="11" t="s">
        <v>4</v>
      </c>
      <c r="E400" s="44"/>
      <c r="F400" s="44"/>
      <c r="G400" s="43"/>
      <c r="H400" s="12"/>
      <c r="I400" s="12"/>
      <c r="J400" s="9"/>
      <c r="K400" s="9"/>
    </row>
    <row r="401" spans="1:11">
      <c r="A401" s="10" t="s">
        <v>29</v>
      </c>
      <c r="B401" s="10"/>
      <c r="C401" s="10"/>
      <c r="D401" s="11" t="s">
        <v>4</v>
      </c>
      <c r="E401" s="44">
        <f>E399+E400</f>
        <v>0</v>
      </c>
      <c r="F401" s="44"/>
      <c r="G401" s="10"/>
      <c r="H401" s="12"/>
      <c r="I401" s="12"/>
      <c r="J401" s="46"/>
      <c r="K401" s="46"/>
    </row>
    <row r="402" spans="1:11">
      <c r="A402" s="13"/>
      <c r="B402" s="13"/>
      <c r="C402" s="13"/>
      <c r="D402" s="11"/>
      <c r="E402" s="13"/>
      <c r="F402" s="13"/>
      <c r="G402" s="10"/>
      <c r="H402" s="12"/>
      <c r="I402" s="12"/>
      <c r="J402" s="46"/>
      <c r="K402" s="46"/>
    </row>
    <row r="403" spans="1:11">
      <c r="A403" s="71" t="s">
        <v>30</v>
      </c>
      <c r="B403" s="71"/>
      <c r="C403" s="71"/>
      <c r="D403" s="11" t="s">
        <v>4</v>
      </c>
      <c r="E403" s="40">
        <f>E398-E401</f>
        <v>1683990</v>
      </c>
      <c r="F403" s="40"/>
      <c r="G403" s="10"/>
      <c r="H403" s="12"/>
      <c r="I403" s="12"/>
      <c r="J403" s="46"/>
      <c r="K403" s="46"/>
    </row>
    <row r="404" spans="1:11" ht="15.75">
      <c r="A404" s="13"/>
      <c r="B404" s="13"/>
      <c r="C404" s="10"/>
      <c r="D404" s="10"/>
      <c r="E404" s="16" t="str">
        <f>PROPER(IF(E403=0,"nol",IF(E403&lt;0,"minus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403),"000000000000000"),1,3)=0,"",MID(TEXT(ABS(E403),"000000000000000"),1,1)&amp;" ratus "&amp;MID(TEXT(ABS(E403),"000000000000000"),2,1)&amp;" puluh "&amp;MID(TEXT(ABS(E403),"000000000000000"),3,1)&amp;" trilyun ")&amp;IF(--MID(TEXT(ABS(E403),"000000000000000"),4,3)=0,"",MID(TEXT(ABS(E403),"000000000000000"),4,1)&amp;" ratus "&amp;MID(TEXT(ABS(E403),"000000000000000"),5,1)&amp;" puluh "&amp;MID(TEXT(ABS(E403),"000000000000000"),6,1)&amp;" milyar ")&amp;IF(--MID(TEXT(ABS(E403),"000000000000000"),7,3)=0,"",MID(TEXT(ABS(E403),"000000000000000"),7,1)&amp;" ratus "&amp;MID(TEXT(ABS(E403),"000000000000000"),8,1)&amp;" puluh "&amp;MID(TEXT(ABS(E403),"000000000000000"),9,1)&amp;" juta ")&amp;IF(--MID(TEXT(ABS(E403),"000000000000000"),10,3)=0,"",IF(--MID(TEXT(ABS(E403),"000000000000000"),10,3)=1,"*",MID(TEXT(ABS(E403),"000000000000000"),10,1)&amp;" ratus "&amp;MID(TEXT(ABS(E403),"000000000000000"),11,1)&amp;" puluh ")&amp;MID(TEXT(ABS(E403),"000000000000000"),12,1)&amp;" ribu ")&amp;IF(--MID(TEXT(ABS(E403),"000000000000000"),13,3)=0,"",MID(TEXT(ABS(E403),"000000000000000"),13,1)&amp;" ratus "&amp;MID(TEXT(ABS(E403),"000000000000000"),14,1)&amp;" puluh "&amp;MID(TEXT(ABS(E403),"000000000000000"),15,1)),1,"satu"),2,"dua"),3,"tiga"),4,"empat"),5,"lima"),6,"enam"),7,"tujuh"),8,"delapan"),9,"sembilan"),"0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Enam Ratus Delapan Puluh Tiga Ribu Sembilan Ratus Sembilan Puluh Rupiah</v>
      </c>
      <c r="F404" s="10"/>
      <c r="G404" s="10"/>
      <c r="H404" s="10"/>
      <c r="I404" s="10"/>
      <c r="J404" s="46"/>
      <c r="K404" s="46"/>
    </row>
    <row r="405" spans="1:11">
      <c r="A405" s="45"/>
      <c r="B405" s="45"/>
      <c r="C405" s="45"/>
      <c r="D405" s="45"/>
      <c r="E405" s="45"/>
      <c r="F405" s="45"/>
      <c r="G405" s="29"/>
      <c r="H405" s="46"/>
      <c r="I405" s="46"/>
      <c r="J405" s="46"/>
      <c r="K405" s="46"/>
    </row>
    <row r="406" spans="1:11">
      <c r="A406" s="29"/>
      <c r="B406" s="29"/>
      <c r="C406" s="29"/>
      <c r="D406" s="29"/>
      <c r="E406" s="29"/>
      <c r="F406" s="29"/>
      <c r="G406" s="29"/>
      <c r="H406"/>
      <c r="I406"/>
      <c r="J406" s="46"/>
      <c r="K406" s="46"/>
    </row>
    <row r="407" spans="1:11">
      <c r="A407" s="13"/>
      <c r="B407" s="13"/>
      <c r="C407" s="10"/>
      <c r="D407" s="10"/>
      <c r="E407" s="10"/>
      <c r="F407" s="10"/>
      <c r="G407" s="10"/>
      <c r="I407" s="47"/>
      <c r="J407" s="47" t="s">
        <v>86</v>
      </c>
      <c r="K407" s="46"/>
    </row>
    <row r="408" spans="1:11">
      <c r="A408" s="12" t="s">
        <v>31</v>
      </c>
      <c r="B408" s="10"/>
      <c r="C408" s="10"/>
      <c r="D408" s="10"/>
      <c r="E408" s="10"/>
      <c r="F408" s="10"/>
      <c r="G408" s="10"/>
      <c r="I408" s="12"/>
      <c r="J408" s="12" t="s">
        <v>32</v>
      </c>
      <c r="K408" s="46"/>
    </row>
    <row r="409" spans="1:11">
      <c r="A409" s="10"/>
      <c r="B409" s="10"/>
      <c r="C409" s="10"/>
      <c r="D409" s="10"/>
      <c r="E409" s="10"/>
      <c r="F409" s="10"/>
      <c r="G409" s="10"/>
      <c r="I409" s="12"/>
      <c r="J409" s="12"/>
      <c r="K409" s="46"/>
    </row>
    <row r="410" spans="1:11">
      <c r="A410" s="10"/>
      <c r="B410" s="10"/>
      <c r="C410" s="10"/>
      <c r="D410" s="10"/>
      <c r="E410" s="10"/>
      <c r="F410" s="10"/>
      <c r="G410" s="10"/>
      <c r="I410" s="12"/>
      <c r="J410" s="12"/>
      <c r="K410" s="46"/>
    </row>
    <row r="411" spans="1:11">
      <c r="A411" s="10"/>
      <c r="B411" s="10"/>
      <c r="C411" s="10"/>
      <c r="D411" s="10"/>
      <c r="E411" s="10"/>
      <c r="F411" s="10"/>
      <c r="G411" s="10"/>
      <c r="I411" s="12"/>
      <c r="J411" s="12"/>
      <c r="K411" s="46"/>
    </row>
    <row r="412" spans="1:11">
      <c r="A412" s="10"/>
      <c r="B412" s="10"/>
      <c r="C412" s="10"/>
      <c r="D412" s="10"/>
      <c r="E412" s="10"/>
      <c r="F412" s="10"/>
      <c r="G412" s="10"/>
      <c r="I412" s="12"/>
      <c r="J412" s="12"/>
      <c r="K412" s="46"/>
    </row>
    <row r="413" spans="1:11">
      <c r="A413" s="48" t="s">
        <v>37</v>
      </c>
      <c r="B413" s="48"/>
      <c r="C413" s="49"/>
      <c r="D413" s="49"/>
      <c r="E413" s="49"/>
      <c r="F413" s="49"/>
      <c r="G413" s="10" t="s">
        <v>33</v>
      </c>
      <c r="I413" s="48"/>
      <c r="J413" s="48" t="s">
        <v>34</v>
      </c>
      <c r="K413" s="46"/>
    </row>
    <row r="418" spans="1:11" ht="15.75">
      <c r="C418" s="2"/>
      <c r="D418" s="2"/>
      <c r="E418" s="2"/>
      <c r="F418" s="2"/>
    </row>
    <row r="419" spans="1:11" ht="15.75">
      <c r="A419" s="3"/>
      <c r="B419" s="3"/>
      <c r="C419" s="2"/>
      <c r="D419" s="2"/>
      <c r="E419" s="2"/>
      <c r="F419" s="2"/>
      <c r="G419" s="3"/>
      <c r="H419" s="4"/>
      <c r="I419" s="4"/>
      <c r="J419" s="4"/>
      <c r="K419" s="5"/>
    </row>
    <row r="420" spans="1:11">
      <c r="H420" s="5"/>
      <c r="I420" s="5"/>
      <c r="J420" s="5"/>
      <c r="K420" s="5"/>
    </row>
    <row r="421" spans="1:11">
      <c r="H421" s="5"/>
      <c r="I421" s="5"/>
      <c r="J421" s="5"/>
      <c r="K421" s="5"/>
    </row>
    <row r="422" spans="1:11">
      <c r="A422" s="72" t="s">
        <v>0</v>
      </c>
      <c r="B422" s="72"/>
      <c r="C422" s="73"/>
      <c r="D422" s="73"/>
      <c r="E422" s="73"/>
      <c r="F422" s="73"/>
      <c r="G422" s="73"/>
      <c r="H422" s="73"/>
      <c r="I422" s="73"/>
      <c r="J422" s="73"/>
      <c r="K422" s="73"/>
    </row>
    <row r="423" spans="1:11">
      <c r="A423" s="73" t="s">
        <v>87</v>
      </c>
      <c r="B423" s="73"/>
      <c r="C423" s="73"/>
      <c r="D423" s="73"/>
      <c r="E423" s="73"/>
      <c r="F423" s="73"/>
      <c r="G423" s="73"/>
      <c r="H423" s="73"/>
      <c r="I423" s="73"/>
      <c r="J423" s="73"/>
      <c r="K423" s="73"/>
    </row>
    <row r="424" spans="1:11">
      <c r="A424" s="73" t="s">
        <v>1</v>
      </c>
      <c r="B424" s="73"/>
      <c r="C424" s="73"/>
      <c r="D424" s="73"/>
      <c r="E424" s="73"/>
      <c r="F424" s="73"/>
      <c r="G424" s="73"/>
      <c r="H424" s="73"/>
      <c r="I424" s="73"/>
      <c r="J424" s="73"/>
      <c r="K424" s="73"/>
    </row>
    <row r="425" spans="1:11">
      <c r="A425" s="73" t="s">
        <v>38</v>
      </c>
      <c r="B425" s="73"/>
      <c r="C425" s="73"/>
      <c r="D425" s="73"/>
      <c r="E425" s="73"/>
      <c r="F425" s="73"/>
      <c r="G425" s="73"/>
      <c r="H425" s="73"/>
      <c r="I425" s="73"/>
      <c r="J425" s="73"/>
      <c r="K425" s="73"/>
    </row>
    <row r="426" spans="1:11">
      <c r="A426" s="73" t="s">
        <v>2</v>
      </c>
      <c r="B426" s="73"/>
      <c r="C426" s="73"/>
      <c r="D426" s="73"/>
      <c r="E426" s="73"/>
      <c r="F426" s="73"/>
      <c r="G426" s="73"/>
      <c r="H426" s="73"/>
      <c r="I426" s="73"/>
      <c r="J426" s="73"/>
      <c r="K426" s="73"/>
    </row>
    <row r="427" spans="1:11">
      <c r="A427" s="6"/>
      <c r="B427" s="6"/>
      <c r="C427" s="7"/>
      <c r="D427" s="7"/>
      <c r="E427" s="7"/>
      <c r="F427" s="7"/>
      <c r="G427" s="8"/>
      <c r="H427" s="9"/>
      <c r="I427" s="9"/>
      <c r="J427" s="9"/>
      <c r="K427" s="9"/>
    </row>
    <row r="428" spans="1:11">
      <c r="A428" s="52" t="s">
        <v>3</v>
      </c>
      <c r="B428" s="10"/>
      <c r="C428" s="10"/>
      <c r="D428" s="53" t="s">
        <v>4</v>
      </c>
      <c r="E428" s="10" t="s">
        <v>5</v>
      </c>
      <c r="F428" s="11"/>
      <c r="G428" s="10"/>
      <c r="H428" s="12"/>
      <c r="I428" s="12"/>
      <c r="J428" s="12"/>
      <c r="K428" s="9"/>
    </row>
    <row r="429" spans="1:11">
      <c r="A429" s="52" t="s">
        <v>6</v>
      </c>
      <c r="B429" s="10"/>
      <c r="C429" s="10"/>
      <c r="D429" s="53" t="s">
        <v>4</v>
      </c>
      <c r="E429" s="10" t="s">
        <v>7</v>
      </c>
      <c r="F429" s="11"/>
      <c r="G429" s="10"/>
      <c r="H429" s="12"/>
      <c r="I429" s="12"/>
      <c r="J429" s="12"/>
      <c r="K429" s="9"/>
    </row>
    <row r="430" spans="1:11">
      <c r="A430" s="52" t="s">
        <v>8</v>
      </c>
      <c r="B430" s="10"/>
      <c r="C430" s="10"/>
      <c r="D430" s="53" t="s">
        <v>4</v>
      </c>
      <c r="E430" s="13">
        <v>2026</v>
      </c>
      <c r="F430" s="11"/>
      <c r="G430" s="13"/>
      <c r="H430" s="12"/>
      <c r="I430" s="12"/>
      <c r="J430" s="12"/>
      <c r="K430" s="9"/>
    </row>
    <row r="431" spans="1:11">
      <c r="A431" s="52" t="s">
        <v>9</v>
      </c>
      <c r="B431" s="10"/>
      <c r="C431" s="10"/>
      <c r="D431" s="53" t="s">
        <v>4</v>
      </c>
      <c r="E431" s="14">
        <f>J442</f>
        <v>199000</v>
      </c>
      <c r="F431" s="11"/>
      <c r="G431" s="14"/>
      <c r="H431" s="12"/>
      <c r="I431" s="12"/>
      <c r="J431" s="12"/>
      <c r="K431" s="9"/>
    </row>
    <row r="432" spans="1:11" ht="15.75">
      <c r="A432" s="10"/>
      <c r="B432" s="10"/>
      <c r="C432" s="15" t="s">
        <v>10</v>
      </c>
      <c r="D432" s="53" t="s">
        <v>4</v>
      </c>
      <c r="E432" s="16" t="str">
        <f>PROPER(IF(E431=0,"nol",IF(E431&lt;0,"minus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431),"000000000000000"),1,3)=0,"",MID(TEXT(ABS(E431),"000000000000000"),1,1)&amp;" ratus "&amp;MID(TEXT(ABS(E431),"000000000000000"),2,1)&amp;" puluh "&amp;MID(TEXT(ABS(E431),"000000000000000"),3,1)&amp;" trilyun ")&amp;IF(--MID(TEXT(ABS(E431),"000000000000000"),4,3)=0,"",MID(TEXT(ABS(E431),"000000000000000"),4,1)&amp;" ratus "&amp;MID(TEXT(ABS(E431),"000000000000000"),5,1)&amp;" puluh "&amp;MID(TEXT(ABS(E431),"000000000000000"),6,1)&amp;" milyar ")&amp;IF(--MID(TEXT(ABS(E431),"000000000000000"),7,3)=0,"",MID(TEXT(ABS(E431),"000000000000000"),7,1)&amp;" ratus "&amp;MID(TEXT(ABS(E431),"000000000000000"),8,1)&amp;" puluh "&amp;MID(TEXT(ABS(E431),"000000000000000"),9,1)&amp;" juta ")&amp;IF(--MID(TEXT(ABS(E431),"000000000000000"),10,3)=0,"",IF(--MID(TEXT(ABS(E431),"000000000000000"),10,3)=1,"*",MID(TEXT(ABS(E431),"000000000000000"),10,1)&amp;" ratus "&amp;MID(TEXT(ABS(E431),"000000000000000"),11,1)&amp;" puluh ")&amp;MID(TEXT(ABS(E431),"000000000000000"),12,1)&amp;" ribu ")&amp;IF(--MID(TEXT(ABS(E431),"000000000000000"),13,3)=0,"",MID(TEXT(ABS(E431),"000000000000000"),13,1)&amp;" ratus "&amp;MID(TEXT(ABS(E431),"000000000000000"),14,1)&amp;" puluh "&amp;MID(TEXT(ABS(E431),"000000000000000"),15,1)),1,"satu"),2,"dua"),3,"tiga"),4,"empat"),5,"lima"),6,"enam"),7,"tujuh"),8,"delapan"),9,"sembilan"),"0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Sembilan Puluh Sembilan Ribu Rupiah</v>
      </c>
      <c r="F432" s="11"/>
      <c r="G432" s="16"/>
      <c r="H432" s="12"/>
      <c r="I432" s="12"/>
      <c r="J432" s="12"/>
      <c r="K432" s="9"/>
    </row>
    <row r="433" spans="1:11" ht="15.75">
      <c r="A433" s="10"/>
      <c r="B433" s="10"/>
      <c r="C433" s="15"/>
      <c r="D433" s="15"/>
      <c r="E433" s="15"/>
      <c r="F433" s="11"/>
      <c r="G433" s="16"/>
      <c r="H433" s="12"/>
      <c r="I433" s="12"/>
      <c r="J433" s="12"/>
      <c r="K433" s="9"/>
    </row>
    <row r="434" spans="1:11">
      <c r="A434" s="10" t="s">
        <v>11</v>
      </c>
      <c r="B434" s="10"/>
      <c r="C434" s="10"/>
      <c r="D434" s="10"/>
      <c r="E434" s="10"/>
      <c r="F434" s="10"/>
      <c r="G434" s="10"/>
      <c r="H434" s="12"/>
      <c r="I434" s="12"/>
      <c r="J434" s="12"/>
      <c r="K434" s="9"/>
    </row>
    <row r="435" spans="1:11">
      <c r="A435" s="74" t="s">
        <v>12</v>
      </c>
      <c r="B435" s="74"/>
      <c r="C435" s="74"/>
      <c r="D435" s="74"/>
      <c r="E435" s="74"/>
      <c r="F435" s="74"/>
      <c r="G435" s="74"/>
      <c r="H435" s="74"/>
      <c r="I435" s="74"/>
      <c r="J435" s="74"/>
      <c r="K435" s="74"/>
    </row>
    <row r="436" spans="1:11" ht="60">
      <c r="A436" s="17" t="s">
        <v>13</v>
      </c>
      <c r="B436" s="18" t="s">
        <v>14</v>
      </c>
      <c r="C436" s="59" t="s">
        <v>15</v>
      </c>
      <c r="D436" s="60"/>
      <c r="E436" s="61"/>
      <c r="F436" s="19"/>
      <c r="G436" s="20" t="s">
        <v>16</v>
      </c>
      <c r="H436" s="21" t="s">
        <v>35</v>
      </c>
      <c r="I436" s="21"/>
      <c r="J436" s="31" t="s">
        <v>17</v>
      </c>
      <c r="K436" s="32" t="s">
        <v>18</v>
      </c>
    </row>
    <row r="437" spans="1:11">
      <c r="A437" s="27">
        <v>1</v>
      </c>
      <c r="B437" s="24"/>
      <c r="C437" s="28" t="s">
        <v>23</v>
      </c>
      <c r="D437" s="57"/>
      <c r="E437" s="26"/>
      <c r="F437" s="25"/>
      <c r="G437" s="54" t="s">
        <v>19</v>
      </c>
      <c r="H437" s="54" t="s">
        <v>19</v>
      </c>
      <c r="I437" s="54"/>
      <c r="J437" s="54" t="s">
        <v>19</v>
      </c>
      <c r="K437" s="54" t="s">
        <v>19</v>
      </c>
    </row>
    <row r="438" spans="1:11">
      <c r="A438" s="24"/>
      <c r="B438" s="55" t="s">
        <v>20</v>
      </c>
      <c r="C438" s="25" t="s">
        <v>24</v>
      </c>
      <c r="D438" s="10"/>
      <c r="E438" s="26"/>
      <c r="F438" s="25"/>
      <c r="G438" s="23">
        <v>45000000</v>
      </c>
      <c r="H438" s="56">
        <f>H392+J392</f>
        <v>4031399</v>
      </c>
      <c r="I438" s="56"/>
      <c r="J438" s="56">
        <v>0</v>
      </c>
      <c r="K438" s="58">
        <f t="shared" ref="K438:K441" si="17">G438-H438-J438</f>
        <v>40968601</v>
      </c>
    </row>
    <row r="439" spans="1:11" ht="30.75" customHeight="1">
      <c r="A439" s="24"/>
      <c r="B439" s="55" t="s">
        <v>21</v>
      </c>
      <c r="C439" s="62" t="s">
        <v>39</v>
      </c>
      <c r="D439" s="63"/>
      <c r="E439" s="64"/>
      <c r="F439" s="25"/>
      <c r="G439" s="23">
        <v>35000000</v>
      </c>
      <c r="H439" s="56">
        <f t="shared" ref="H439:H440" si="18">H393+J393</f>
        <v>7588980</v>
      </c>
      <c r="I439" s="56"/>
      <c r="J439" s="56">
        <v>0</v>
      </c>
      <c r="K439" s="58">
        <f t="shared" si="17"/>
        <v>27411020</v>
      </c>
    </row>
    <row r="440" spans="1:11">
      <c r="A440" s="24"/>
      <c r="B440" s="55" t="s">
        <v>22</v>
      </c>
      <c r="C440" s="65" t="s">
        <v>40</v>
      </c>
      <c r="D440" s="66"/>
      <c r="E440" s="67"/>
      <c r="F440" s="25"/>
      <c r="G440" s="23">
        <v>30000000</v>
      </c>
      <c r="H440" s="56">
        <f t="shared" si="18"/>
        <v>7825000</v>
      </c>
      <c r="I440" s="22"/>
      <c r="J440" s="22">
        <v>199000</v>
      </c>
      <c r="K440" s="33">
        <f t="shared" si="17"/>
        <v>21976000</v>
      </c>
    </row>
    <row r="441" spans="1:11">
      <c r="A441" s="24"/>
      <c r="B441" s="55" t="s">
        <v>36</v>
      </c>
      <c r="C441" s="68" t="s">
        <v>41</v>
      </c>
      <c r="D441" s="69"/>
      <c r="E441" s="70"/>
      <c r="F441" s="25"/>
      <c r="G441" s="23">
        <v>28125000</v>
      </c>
      <c r="H441" s="56">
        <f>H395+J395</f>
        <v>4590650</v>
      </c>
      <c r="I441" s="22"/>
      <c r="J441" s="22">
        <v>0</v>
      </c>
      <c r="K441" s="33">
        <f t="shared" si="17"/>
        <v>23534350</v>
      </c>
    </row>
    <row r="442" spans="1:11">
      <c r="A442" s="34"/>
      <c r="B442" s="34"/>
      <c r="C442" s="34" t="s">
        <v>25</v>
      </c>
      <c r="D442" s="34"/>
      <c r="E442" s="34"/>
      <c r="F442" s="35"/>
      <c r="G442" s="36">
        <f>SUM(G437:G441)</f>
        <v>138125000</v>
      </c>
      <c r="H442" s="37">
        <f>SUM(H437:H441)</f>
        <v>24036029</v>
      </c>
      <c r="I442" s="37"/>
      <c r="J442" s="37">
        <f>SUM(J437:J441)</f>
        <v>199000</v>
      </c>
      <c r="K442" s="37">
        <f>SUM(K437:K441)</f>
        <v>113889971</v>
      </c>
    </row>
    <row r="443" spans="1:11">
      <c r="A443" s="38"/>
      <c r="B443" s="8"/>
      <c r="C443" s="8"/>
      <c r="D443" s="8"/>
      <c r="E443" s="8"/>
      <c r="F443" s="8"/>
      <c r="G443" s="39"/>
      <c r="H443" s="39"/>
      <c r="I443" s="39"/>
      <c r="J443" s="39"/>
      <c r="K443" s="39"/>
    </row>
    <row r="444" spans="1:11">
      <c r="A444" s="71" t="s">
        <v>26</v>
      </c>
      <c r="B444" s="71"/>
      <c r="C444" s="71"/>
      <c r="D444" s="11" t="s">
        <v>4</v>
      </c>
      <c r="E444" s="14">
        <f>J442</f>
        <v>199000</v>
      </c>
      <c r="F444" s="40"/>
      <c r="G444" s="41"/>
      <c r="H444" s="41"/>
      <c r="I444" s="41"/>
      <c r="J444" s="9"/>
      <c r="K444" s="9"/>
    </row>
    <row r="445" spans="1:11">
      <c r="A445" s="10" t="s">
        <v>27</v>
      </c>
      <c r="B445" s="10"/>
      <c r="C445" s="10"/>
      <c r="D445" s="11" t="s">
        <v>4</v>
      </c>
      <c r="E445" s="42"/>
      <c r="F445" s="42"/>
      <c r="G445" s="43"/>
      <c r="H445" s="12"/>
      <c r="I445" s="12"/>
      <c r="J445" s="9"/>
      <c r="K445" s="9"/>
    </row>
    <row r="446" spans="1:11">
      <c r="A446" s="10" t="s">
        <v>28</v>
      </c>
      <c r="B446" s="10"/>
      <c r="C446" s="10"/>
      <c r="D446" s="11" t="s">
        <v>4</v>
      </c>
      <c r="E446" s="44"/>
      <c r="F446" s="44"/>
      <c r="G446" s="43"/>
      <c r="H446" s="12"/>
      <c r="I446" s="12"/>
      <c r="J446" s="9"/>
      <c r="K446" s="9"/>
    </row>
    <row r="447" spans="1:11">
      <c r="A447" s="10" t="s">
        <v>29</v>
      </c>
      <c r="B447" s="10"/>
      <c r="C447" s="10"/>
      <c r="D447" s="11" t="s">
        <v>4</v>
      </c>
      <c r="E447" s="44">
        <f>E445+E446</f>
        <v>0</v>
      </c>
      <c r="F447" s="44"/>
      <c r="G447" s="10"/>
      <c r="H447" s="12"/>
      <c r="I447" s="12"/>
      <c r="J447" s="46"/>
      <c r="K447" s="46"/>
    </row>
    <row r="448" spans="1:11">
      <c r="A448" s="13"/>
      <c r="B448" s="13"/>
      <c r="C448" s="13"/>
      <c r="D448" s="11"/>
      <c r="E448" s="13"/>
      <c r="F448" s="13"/>
      <c r="G448" s="10"/>
      <c r="H448" s="12"/>
      <c r="I448" s="12"/>
      <c r="J448" s="46"/>
      <c r="K448" s="46"/>
    </row>
    <row r="449" spans="1:11">
      <c r="A449" s="71" t="s">
        <v>30</v>
      </c>
      <c r="B449" s="71"/>
      <c r="C449" s="71"/>
      <c r="D449" s="11" t="s">
        <v>4</v>
      </c>
      <c r="E449" s="40">
        <f>E444-E447</f>
        <v>199000</v>
      </c>
      <c r="F449" s="40"/>
      <c r="G449" s="10"/>
      <c r="H449" s="12"/>
      <c r="I449" s="12"/>
      <c r="J449" s="46"/>
      <c r="K449" s="46"/>
    </row>
    <row r="450" spans="1:11" ht="15.75">
      <c r="A450" s="13"/>
      <c r="B450" s="13"/>
      <c r="C450" s="10"/>
      <c r="D450" s="10"/>
      <c r="E450" s="16" t="str">
        <f>PROPER(IF(E449=0,"nol",IF(E449&lt;0,"minus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449),"000000000000000"),1,3)=0,"",MID(TEXT(ABS(E449),"000000000000000"),1,1)&amp;" ratus "&amp;MID(TEXT(ABS(E449),"000000000000000"),2,1)&amp;" puluh "&amp;MID(TEXT(ABS(E449),"000000000000000"),3,1)&amp;" trilyun ")&amp;IF(--MID(TEXT(ABS(E449),"000000000000000"),4,3)=0,"",MID(TEXT(ABS(E449),"000000000000000"),4,1)&amp;" ratus "&amp;MID(TEXT(ABS(E449),"000000000000000"),5,1)&amp;" puluh "&amp;MID(TEXT(ABS(E449),"000000000000000"),6,1)&amp;" milyar ")&amp;IF(--MID(TEXT(ABS(E449),"000000000000000"),7,3)=0,"",MID(TEXT(ABS(E449),"000000000000000"),7,1)&amp;" ratus "&amp;MID(TEXT(ABS(E449),"000000000000000"),8,1)&amp;" puluh "&amp;MID(TEXT(ABS(E449),"000000000000000"),9,1)&amp;" juta ")&amp;IF(--MID(TEXT(ABS(E449),"000000000000000"),10,3)=0,"",IF(--MID(TEXT(ABS(E449),"000000000000000"),10,3)=1,"*",MID(TEXT(ABS(E449),"000000000000000"),10,1)&amp;" ratus "&amp;MID(TEXT(ABS(E449),"000000000000000"),11,1)&amp;" puluh ")&amp;MID(TEXT(ABS(E449),"000000000000000"),12,1)&amp;" ribu ")&amp;IF(--MID(TEXT(ABS(E449),"000000000000000"),13,3)=0,"",MID(TEXT(ABS(E449),"000000000000000"),13,1)&amp;" ratus "&amp;MID(TEXT(ABS(E449),"000000000000000"),14,1)&amp;" puluh "&amp;MID(TEXT(ABS(E449),"000000000000000"),15,1)),1,"satu"),2,"dua"),3,"tiga"),4,"empat"),5,"lima"),6,"enam"),7,"tujuh"),8,"delapan"),9,"sembilan"),"0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Sembilan Puluh Sembilan Ribu Rupiah</v>
      </c>
      <c r="F450" s="10"/>
      <c r="G450" s="10"/>
      <c r="H450" s="10"/>
      <c r="I450" s="10"/>
      <c r="J450" s="46"/>
      <c r="K450" s="46"/>
    </row>
    <row r="451" spans="1:11">
      <c r="A451" s="45"/>
      <c r="B451" s="45"/>
      <c r="C451" s="45"/>
      <c r="D451" s="45"/>
      <c r="E451" s="45"/>
      <c r="F451" s="45"/>
      <c r="G451" s="29"/>
      <c r="H451" s="46"/>
      <c r="I451" s="46"/>
      <c r="J451" s="46"/>
      <c r="K451" s="46"/>
    </row>
    <row r="452" spans="1:11">
      <c r="A452" s="29"/>
      <c r="B452" s="29"/>
      <c r="C452" s="29"/>
      <c r="D452" s="29"/>
      <c r="E452" s="29"/>
      <c r="F452" s="29"/>
      <c r="G452" s="29"/>
      <c r="H452"/>
      <c r="I452"/>
      <c r="J452" s="46"/>
      <c r="K452" s="46"/>
    </row>
    <row r="453" spans="1:11">
      <c r="A453" s="13"/>
      <c r="B453" s="13"/>
      <c r="C453" s="10"/>
      <c r="D453" s="10"/>
      <c r="E453" s="10"/>
      <c r="F453" s="10"/>
      <c r="G453" s="10"/>
      <c r="I453" s="47"/>
      <c r="J453" s="47" t="s">
        <v>86</v>
      </c>
      <c r="K453" s="46"/>
    </row>
    <row r="454" spans="1:11">
      <c r="A454" s="12" t="s">
        <v>31</v>
      </c>
      <c r="B454" s="10"/>
      <c r="C454" s="10"/>
      <c r="D454" s="10"/>
      <c r="E454" s="10"/>
      <c r="F454" s="10"/>
      <c r="G454" s="10"/>
      <c r="I454" s="12"/>
      <c r="J454" s="12" t="s">
        <v>32</v>
      </c>
      <c r="K454" s="46"/>
    </row>
    <row r="455" spans="1:11">
      <c r="A455" s="10"/>
      <c r="B455" s="10"/>
      <c r="C455" s="10"/>
      <c r="D455" s="10"/>
      <c r="E455" s="10"/>
      <c r="F455" s="10"/>
      <c r="G455" s="10"/>
      <c r="I455" s="12"/>
      <c r="J455" s="12"/>
      <c r="K455" s="46"/>
    </row>
    <row r="456" spans="1:11">
      <c r="A456" s="10"/>
      <c r="B456" s="10"/>
      <c r="C456" s="10"/>
      <c r="D456" s="10"/>
      <c r="E456" s="10"/>
      <c r="F456" s="10"/>
      <c r="G456" s="10"/>
      <c r="I456" s="12"/>
      <c r="J456" s="12"/>
      <c r="K456" s="46"/>
    </row>
    <row r="457" spans="1:11">
      <c r="A457" s="10"/>
      <c r="B457" s="10"/>
      <c r="C457" s="10"/>
      <c r="D457" s="10"/>
      <c r="E457" s="10"/>
      <c r="F457" s="10"/>
      <c r="G457" s="10"/>
      <c r="I457" s="12"/>
      <c r="J457" s="12"/>
      <c r="K457" s="46"/>
    </row>
    <row r="458" spans="1:11">
      <c r="A458" s="10"/>
      <c r="B458" s="10"/>
      <c r="C458" s="10"/>
      <c r="D458" s="10"/>
      <c r="E458" s="10"/>
      <c r="F458" s="10"/>
      <c r="G458" s="10"/>
      <c r="I458" s="12"/>
      <c r="J458" s="12"/>
      <c r="K458" s="46"/>
    </row>
    <row r="459" spans="1:11">
      <c r="A459" s="48" t="s">
        <v>37</v>
      </c>
      <c r="B459" s="48"/>
      <c r="C459" s="49"/>
      <c r="D459" s="49"/>
      <c r="E459" s="49"/>
      <c r="F459" s="49"/>
      <c r="G459" s="10" t="s">
        <v>33</v>
      </c>
      <c r="I459" s="48"/>
      <c r="J459" s="48" t="s">
        <v>34</v>
      </c>
      <c r="K459" s="46"/>
    </row>
    <row r="464" spans="1:11" ht="15.75">
      <c r="C464" s="2"/>
      <c r="D464" s="2"/>
      <c r="E464" s="2"/>
      <c r="F464" s="2"/>
    </row>
    <row r="465" spans="1:11" ht="15.75">
      <c r="A465" s="3"/>
      <c r="B465" s="3"/>
      <c r="C465" s="2"/>
      <c r="D465" s="2"/>
      <c r="E465" s="2"/>
      <c r="F465" s="2"/>
      <c r="G465" s="3"/>
      <c r="H465" s="4"/>
      <c r="I465" s="4"/>
      <c r="J465" s="4"/>
      <c r="K465" s="5"/>
    </row>
    <row r="466" spans="1:11">
      <c r="H466" s="5"/>
      <c r="I466" s="5"/>
      <c r="J466" s="5"/>
      <c r="K466" s="5"/>
    </row>
    <row r="467" spans="1:11">
      <c r="H467" s="5"/>
      <c r="I467" s="5"/>
      <c r="J467" s="5"/>
      <c r="K467" s="5"/>
    </row>
    <row r="468" spans="1:11">
      <c r="A468" s="72" t="s">
        <v>0</v>
      </c>
      <c r="B468" s="72"/>
      <c r="C468" s="73"/>
      <c r="D468" s="73"/>
      <c r="E468" s="73"/>
      <c r="F468" s="73"/>
      <c r="G468" s="73"/>
      <c r="H468" s="73"/>
      <c r="I468" s="73"/>
      <c r="J468" s="73"/>
      <c r="K468" s="73"/>
    </row>
    <row r="469" spans="1:11">
      <c r="A469" s="73" t="s">
        <v>88</v>
      </c>
      <c r="B469" s="73"/>
      <c r="C469" s="73"/>
      <c r="D469" s="73"/>
      <c r="E469" s="73"/>
      <c r="F469" s="73"/>
      <c r="G469" s="73"/>
      <c r="H469" s="73"/>
      <c r="I469" s="73"/>
      <c r="J469" s="73"/>
      <c r="K469" s="73"/>
    </row>
    <row r="470" spans="1:11">
      <c r="A470" s="73" t="s">
        <v>1</v>
      </c>
      <c r="B470" s="73"/>
      <c r="C470" s="73"/>
      <c r="D470" s="73"/>
      <c r="E470" s="73"/>
      <c r="F470" s="73"/>
      <c r="G470" s="73"/>
      <c r="H470" s="73"/>
      <c r="I470" s="73"/>
      <c r="J470" s="73"/>
      <c r="K470" s="73"/>
    </row>
    <row r="471" spans="1:11">
      <c r="A471" s="73" t="s">
        <v>38</v>
      </c>
      <c r="B471" s="73"/>
      <c r="C471" s="73"/>
      <c r="D471" s="73"/>
      <c r="E471" s="73"/>
      <c r="F471" s="73"/>
      <c r="G471" s="73"/>
      <c r="H471" s="73"/>
      <c r="I471" s="73"/>
      <c r="J471" s="73"/>
      <c r="K471" s="73"/>
    </row>
    <row r="472" spans="1:11">
      <c r="A472" s="73" t="s">
        <v>2</v>
      </c>
      <c r="B472" s="73"/>
      <c r="C472" s="73"/>
      <c r="D472" s="73"/>
      <c r="E472" s="73"/>
      <c r="F472" s="73"/>
      <c r="G472" s="73"/>
      <c r="H472" s="73"/>
      <c r="I472" s="73"/>
      <c r="J472" s="73"/>
      <c r="K472" s="73"/>
    </row>
    <row r="473" spans="1:11">
      <c r="A473" s="6"/>
      <c r="B473" s="6"/>
      <c r="C473" s="7"/>
      <c r="D473" s="7"/>
      <c r="E473" s="7"/>
      <c r="F473" s="7"/>
      <c r="G473" s="8"/>
      <c r="H473" s="9"/>
      <c r="I473" s="9"/>
      <c r="J473" s="9"/>
      <c r="K473" s="9"/>
    </row>
    <row r="474" spans="1:11">
      <c r="A474" s="52" t="s">
        <v>3</v>
      </c>
      <c r="B474" s="10"/>
      <c r="C474" s="10"/>
      <c r="D474" s="53" t="s">
        <v>4</v>
      </c>
      <c r="E474" s="10" t="s">
        <v>5</v>
      </c>
      <c r="F474" s="11"/>
      <c r="G474" s="10"/>
      <c r="H474" s="12"/>
      <c r="I474" s="12"/>
      <c r="J474" s="12"/>
      <c r="K474" s="9"/>
    </row>
    <row r="475" spans="1:11">
      <c r="A475" s="52" t="s">
        <v>6</v>
      </c>
      <c r="B475" s="10"/>
      <c r="C475" s="10"/>
      <c r="D475" s="53" t="s">
        <v>4</v>
      </c>
      <c r="E475" s="10" t="s">
        <v>7</v>
      </c>
      <c r="F475" s="11"/>
      <c r="G475" s="10"/>
      <c r="H475" s="12"/>
      <c r="I475" s="12"/>
      <c r="J475" s="12"/>
      <c r="K475" s="9"/>
    </row>
    <row r="476" spans="1:11">
      <c r="A476" s="52" t="s">
        <v>8</v>
      </c>
      <c r="B476" s="10"/>
      <c r="C476" s="10"/>
      <c r="D476" s="53" t="s">
        <v>4</v>
      </c>
      <c r="E476" s="13">
        <v>2026</v>
      </c>
      <c r="F476" s="11"/>
      <c r="G476" s="13"/>
      <c r="H476" s="12"/>
      <c r="I476" s="12"/>
      <c r="J476" s="12"/>
      <c r="K476" s="9"/>
    </row>
    <row r="477" spans="1:11">
      <c r="A477" s="52" t="s">
        <v>9</v>
      </c>
      <c r="B477" s="10"/>
      <c r="C477" s="10"/>
      <c r="D477" s="53" t="s">
        <v>4</v>
      </c>
      <c r="E477" s="14">
        <f>J488</f>
        <v>179500</v>
      </c>
      <c r="F477" s="11"/>
      <c r="G477" s="14"/>
      <c r="H477" s="12"/>
      <c r="I477" s="12"/>
      <c r="J477" s="12"/>
      <c r="K477" s="9"/>
    </row>
    <row r="478" spans="1:11" ht="15.75">
      <c r="A478" s="10"/>
      <c r="B478" s="10"/>
      <c r="C478" s="15" t="s">
        <v>10</v>
      </c>
      <c r="D478" s="53" t="s">
        <v>4</v>
      </c>
      <c r="E478" s="16" t="str">
        <f>PROPER(IF(E477=0,"nol",IF(E477&lt;0,"minus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477),"000000000000000"),1,3)=0,"",MID(TEXT(ABS(E477),"000000000000000"),1,1)&amp;" ratus "&amp;MID(TEXT(ABS(E477),"000000000000000"),2,1)&amp;" puluh "&amp;MID(TEXT(ABS(E477),"000000000000000"),3,1)&amp;" trilyun ")&amp;IF(--MID(TEXT(ABS(E477),"000000000000000"),4,3)=0,"",MID(TEXT(ABS(E477),"000000000000000"),4,1)&amp;" ratus "&amp;MID(TEXT(ABS(E477),"000000000000000"),5,1)&amp;" puluh "&amp;MID(TEXT(ABS(E477),"000000000000000"),6,1)&amp;" milyar ")&amp;IF(--MID(TEXT(ABS(E477),"000000000000000"),7,3)=0,"",MID(TEXT(ABS(E477),"000000000000000"),7,1)&amp;" ratus "&amp;MID(TEXT(ABS(E477),"000000000000000"),8,1)&amp;" puluh "&amp;MID(TEXT(ABS(E477),"000000000000000"),9,1)&amp;" juta ")&amp;IF(--MID(TEXT(ABS(E477),"000000000000000"),10,3)=0,"",IF(--MID(TEXT(ABS(E477),"000000000000000"),10,3)=1,"*",MID(TEXT(ABS(E477),"000000000000000"),10,1)&amp;" ratus "&amp;MID(TEXT(ABS(E477),"000000000000000"),11,1)&amp;" puluh ")&amp;MID(TEXT(ABS(E477),"000000000000000"),12,1)&amp;" ribu ")&amp;IF(--MID(TEXT(ABS(E477),"000000000000000"),13,3)=0,"",MID(TEXT(ABS(E477),"000000000000000"),13,1)&amp;" ratus "&amp;MID(TEXT(ABS(E477),"000000000000000"),14,1)&amp;" puluh "&amp;MID(TEXT(ABS(E477),"000000000000000"),15,1)),1,"satu"),2,"dua"),3,"tiga"),4,"empat"),5,"lima"),6,"enam"),7,"tujuh"),8,"delapan"),9,"sembilan"),"0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Tujuh Puluh Sembilan Ribu Lima Ratus Rupiah</v>
      </c>
      <c r="F478" s="11"/>
      <c r="G478" s="16"/>
      <c r="H478" s="12"/>
      <c r="I478" s="12"/>
      <c r="J478" s="12"/>
      <c r="K478" s="9"/>
    </row>
    <row r="479" spans="1:11" ht="15.75">
      <c r="A479" s="10"/>
      <c r="B479" s="10"/>
      <c r="C479" s="15"/>
      <c r="D479" s="15"/>
      <c r="E479" s="15"/>
      <c r="F479" s="11"/>
      <c r="G479" s="16"/>
      <c r="H479" s="12"/>
      <c r="I479" s="12"/>
      <c r="J479" s="12"/>
      <c r="K479" s="9"/>
    </row>
    <row r="480" spans="1:11">
      <c r="A480" s="10" t="s">
        <v>11</v>
      </c>
      <c r="B480" s="10"/>
      <c r="C480" s="10"/>
      <c r="D480" s="10"/>
      <c r="E480" s="10"/>
      <c r="F480" s="10"/>
      <c r="G480" s="10"/>
      <c r="H480" s="12"/>
      <c r="I480" s="12"/>
      <c r="J480" s="12"/>
      <c r="K480" s="9"/>
    </row>
    <row r="481" spans="1:11">
      <c r="A481" s="74" t="s">
        <v>12</v>
      </c>
      <c r="B481" s="74"/>
      <c r="C481" s="74"/>
      <c r="D481" s="74"/>
      <c r="E481" s="74"/>
      <c r="F481" s="74"/>
      <c r="G481" s="74"/>
      <c r="H481" s="74"/>
      <c r="I481" s="74"/>
      <c r="J481" s="74"/>
      <c r="K481" s="74"/>
    </row>
    <row r="482" spans="1:11" ht="60">
      <c r="A482" s="17" t="s">
        <v>13</v>
      </c>
      <c r="B482" s="18" t="s">
        <v>14</v>
      </c>
      <c r="C482" s="59" t="s">
        <v>15</v>
      </c>
      <c r="D482" s="60"/>
      <c r="E482" s="61"/>
      <c r="F482" s="19"/>
      <c r="G482" s="20" t="s">
        <v>16</v>
      </c>
      <c r="H482" s="21" t="s">
        <v>35</v>
      </c>
      <c r="I482" s="21"/>
      <c r="J482" s="31" t="s">
        <v>17</v>
      </c>
      <c r="K482" s="32" t="s">
        <v>18</v>
      </c>
    </row>
    <row r="483" spans="1:11">
      <c r="A483" s="27">
        <v>1</v>
      </c>
      <c r="B483" s="24"/>
      <c r="C483" s="28" t="s">
        <v>23</v>
      </c>
      <c r="D483" s="57"/>
      <c r="E483" s="26"/>
      <c r="F483" s="25"/>
      <c r="G483" s="54" t="s">
        <v>19</v>
      </c>
      <c r="H483" s="54" t="s">
        <v>19</v>
      </c>
      <c r="I483" s="54"/>
      <c r="J483" s="54" t="s">
        <v>19</v>
      </c>
      <c r="K483" s="54" t="s">
        <v>19</v>
      </c>
    </row>
    <row r="484" spans="1:11">
      <c r="A484" s="24"/>
      <c r="B484" s="55" t="s">
        <v>20</v>
      </c>
      <c r="C484" s="25" t="s">
        <v>24</v>
      </c>
      <c r="D484" s="10"/>
      <c r="E484" s="26"/>
      <c r="F484" s="25"/>
      <c r="G484" s="23">
        <v>45000000</v>
      </c>
      <c r="H484" s="56">
        <f>H438+J438</f>
        <v>4031399</v>
      </c>
      <c r="I484" s="56"/>
      <c r="J484" s="56">
        <v>0</v>
      </c>
      <c r="K484" s="58">
        <f t="shared" ref="K484:K487" si="19">G484-H484-J484</f>
        <v>40968601</v>
      </c>
    </row>
    <row r="485" spans="1:11" ht="28.5" customHeight="1">
      <c r="A485" s="24"/>
      <c r="B485" s="55" t="s">
        <v>21</v>
      </c>
      <c r="C485" s="62" t="s">
        <v>39</v>
      </c>
      <c r="D485" s="63"/>
      <c r="E485" s="64"/>
      <c r="F485" s="25"/>
      <c r="G485" s="23">
        <v>35000000</v>
      </c>
      <c r="H485" s="56">
        <f t="shared" ref="H485:H487" si="20">H439+J439</f>
        <v>7588980</v>
      </c>
      <c r="I485" s="56"/>
      <c r="J485" s="56">
        <v>179500</v>
      </c>
      <c r="K485" s="58">
        <f t="shared" si="19"/>
        <v>27231520</v>
      </c>
    </row>
    <row r="486" spans="1:11">
      <c r="A486" s="24"/>
      <c r="B486" s="55" t="s">
        <v>22</v>
      </c>
      <c r="C486" s="65" t="s">
        <v>40</v>
      </c>
      <c r="D486" s="66"/>
      <c r="E486" s="67"/>
      <c r="F486" s="25"/>
      <c r="G486" s="23">
        <v>30000000</v>
      </c>
      <c r="H486" s="56">
        <f t="shared" si="20"/>
        <v>8024000</v>
      </c>
      <c r="I486" s="22"/>
      <c r="J486" s="22">
        <v>0</v>
      </c>
      <c r="K486" s="33">
        <f t="shared" si="19"/>
        <v>21976000</v>
      </c>
    </row>
    <row r="487" spans="1:11">
      <c r="A487" s="24"/>
      <c r="B487" s="55" t="s">
        <v>36</v>
      </c>
      <c r="C487" s="68" t="s">
        <v>41</v>
      </c>
      <c r="D487" s="69"/>
      <c r="E487" s="70"/>
      <c r="F487" s="25"/>
      <c r="G487" s="23">
        <v>28125000</v>
      </c>
      <c r="H487" s="56">
        <f t="shared" si="20"/>
        <v>4590650</v>
      </c>
      <c r="I487" s="22"/>
      <c r="J487" s="22">
        <v>0</v>
      </c>
      <c r="K487" s="33">
        <f t="shared" si="19"/>
        <v>23534350</v>
      </c>
    </row>
    <row r="488" spans="1:11">
      <c r="A488" s="34"/>
      <c r="B488" s="34"/>
      <c r="C488" s="34" t="s">
        <v>25</v>
      </c>
      <c r="D488" s="34"/>
      <c r="E488" s="34"/>
      <c r="F488" s="35"/>
      <c r="G488" s="36">
        <f>SUM(G483:G487)</f>
        <v>138125000</v>
      </c>
      <c r="H488" s="37">
        <f>SUM(H483:H487)</f>
        <v>24235029</v>
      </c>
      <c r="I488" s="37"/>
      <c r="J488" s="37">
        <f>SUM(J483:J487)</f>
        <v>179500</v>
      </c>
      <c r="K488" s="37">
        <f>SUM(K483:K487)</f>
        <v>113710471</v>
      </c>
    </row>
    <row r="489" spans="1:11">
      <c r="A489" s="38"/>
      <c r="B489" s="8"/>
      <c r="C489" s="8"/>
      <c r="D489" s="8"/>
      <c r="E489" s="8"/>
      <c r="F489" s="8"/>
      <c r="G489" s="39"/>
      <c r="H489" s="39"/>
      <c r="I489" s="39"/>
      <c r="J489" s="39"/>
      <c r="K489" s="39"/>
    </row>
    <row r="490" spans="1:11">
      <c r="A490" s="71" t="s">
        <v>26</v>
      </c>
      <c r="B490" s="71"/>
      <c r="C490" s="71"/>
      <c r="D490" s="11" t="s">
        <v>4</v>
      </c>
      <c r="E490" s="14">
        <f>J488</f>
        <v>179500</v>
      </c>
      <c r="F490" s="40"/>
      <c r="G490" s="41"/>
      <c r="H490" s="41"/>
      <c r="I490" s="41"/>
      <c r="J490" s="9"/>
      <c r="K490" s="9"/>
    </row>
    <row r="491" spans="1:11">
      <c r="A491" s="10" t="s">
        <v>27</v>
      </c>
      <c r="B491" s="10"/>
      <c r="C491" s="10"/>
      <c r="D491" s="11" t="s">
        <v>4</v>
      </c>
      <c r="E491" s="42"/>
      <c r="F491" s="42"/>
      <c r="G491" s="43"/>
      <c r="H491" s="12"/>
      <c r="I491" s="12"/>
      <c r="J491" s="9"/>
      <c r="K491" s="9"/>
    </row>
    <row r="492" spans="1:11">
      <c r="A492" s="10" t="s">
        <v>28</v>
      </c>
      <c r="B492" s="10"/>
      <c r="C492" s="10"/>
      <c r="D492" s="11" t="s">
        <v>4</v>
      </c>
      <c r="E492" s="44"/>
      <c r="F492" s="44"/>
      <c r="G492" s="43"/>
      <c r="H492" s="12"/>
      <c r="I492" s="12"/>
      <c r="J492" s="9"/>
      <c r="K492" s="9"/>
    </row>
    <row r="493" spans="1:11">
      <c r="A493" s="10" t="s">
        <v>29</v>
      </c>
      <c r="B493" s="10"/>
      <c r="C493" s="10"/>
      <c r="D493" s="11" t="s">
        <v>4</v>
      </c>
      <c r="E493" s="44">
        <f>E491+E492</f>
        <v>0</v>
      </c>
      <c r="F493" s="44"/>
      <c r="G493" s="10"/>
      <c r="H493" s="12"/>
      <c r="I493" s="12"/>
      <c r="J493" s="46"/>
      <c r="K493" s="46"/>
    </row>
    <row r="494" spans="1:11">
      <c r="A494" s="13"/>
      <c r="B494" s="13"/>
      <c r="C494" s="13"/>
      <c r="D494" s="11"/>
      <c r="E494" s="13"/>
      <c r="F494" s="13"/>
      <c r="G494" s="10"/>
      <c r="H494" s="12"/>
      <c r="I494" s="12"/>
      <c r="J494" s="46"/>
      <c r="K494" s="46"/>
    </row>
    <row r="495" spans="1:11">
      <c r="A495" s="71" t="s">
        <v>30</v>
      </c>
      <c r="B495" s="71"/>
      <c r="C495" s="71"/>
      <c r="D495" s="11" t="s">
        <v>4</v>
      </c>
      <c r="E495" s="40">
        <f>E490-E493</f>
        <v>179500</v>
      </c>
      <c r="F495" s="40"/>
      <c r="G495" s="10"/>
      <c r="H495" s="12"/>
      <c r="I495" s="12"/>
      <c r="J495" s="46"/>
      <c r="K495" s="46"/>
    </row>
    <row r="496" spans="1:11" ht="15.75">
      <c r="A496" s="13"/>
      <c r="B496" s="13"/>
      <c r="C496" s="10"/>
      <c r="D496" s="10"/>
      <c r="E496" s="16" t="str">
        <f>PROPER(IF(E495=0,"nol",IF(E495&lt;0,"minus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495),"000000000000000"),1,3)=0,"",MID(TEXT(ABS(E495),"000000000000000"),1,1)&amp;" ratus "&amp;MID(TEXT(ABS(E495),"000000000000000"),2,1)&amp;" puluh "&amp;MID(TEXT(ABS(E495),"000000000000000"),3,1)&amp;" trilyun ")&amp;IF(--MID(TEXT(ABS(E495),"000000000000000"),4,3)=0,"",MID(TEXT(ABS(E495),"000000000000000"),4,1)&amp;" ratus "&amp;MID(TEXT(ABS(E495),"000000000000000"),5,1)&amp;" puluh "&amp;MID(TEXT(ABS(E495),"000000000000000"),6,1)&amp;" milyar ")&amp;IF(--MID(TEXT(ABS(E495),"000000000000000"),7,3)=0,"",MID(TEXT(ABS(E495),"000000000000000"),7,1)&amp;" ratus "&amp;MID(TEXT(ABS(E495),"000000000000000"),8,1)&amp;" puluh "&amp;MID(TEXT(ABS(E495),"000000000000000"),9,1)&amp;" juta ")&amp;IF(--MID(TEXT(ABS(E495),"000000000000000"),10,3)=0,"",IF(--MID(TEXT(ABS(E495),"000000000000000"),10,3)=1,"*",MID(TEXT(ABS(E495),"000000000000000"),10,1)&amp;" ratus "&amp;MID(TEXT(ABS(E495),"000000000000000"),11,1)&amp;" puluh ")&amp;MID(TEXT(ABS(E495),"000000000000000"),12,1)&amp;" ribu ")&amp;IF(--MID(TEXT(ABS(E495),"000000000000000"),13,3)=0,"",MID(TEXT(ABS(E495),"000000000000000"),13,1)&amp;" ratus "&amp;MID(TEXT(ABS(E495),"000000000000000"),14,1)&amp;" puluh "&amp;MID(TEXT(ABS(E495),"000000000000000"),15,1)),1,"satu"),2,"dua"),3,"tiga"),4,"empat"),5,"lima"),6,"enam"),7,"tujuh"),8,"delapan"),9,"sembilan"),"0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Tujuh Puluh Sembilan Ribu Lima Ratus Rupiah</v>
      </c>
      <c r="F496" s="10"/>
      <c r="G496" s="10"/>
      <c r="H496" s="10"/>
      <c r="I496" s="10"/>
      <c r="J496" s="46"/>
      <c r="K496" s="46"/>
    </row>
    <row r="497" spans="1:11">
      <c r="A497" s="45"/>
      <c r="B497" s="45"/>
      <c r="C497" s="45"/>
      <c r="D497" s="45"/>
      <c r="E497" s="45"/>
      <c r="F497" s="45"/>
      <c r="G497" s="29"/>
      <c r="H497" s="46"/>
      <c r="I497" s="46"/>
      <c r="J497" s="46"/>
      <c r="K497" s="46"/>
    </row>
    <row r="498" spans="1:11">
      <c r="A498" s="29"/>
      <c r="B498" s="29"/>
      <c r="C498" s="29"/>
      <c r="D498" s="29"/>
      <c r="E498" s="29"/>
      <c r="F498" s="29"/>
      <c r="G498" s="29"/>
      <c r="H498"/>
      <c r="I498"/>
      <c r="J498" s="46"/>
      <c r="K498" s="46"/>
    </row>
    <row r="499" spans="1:11">
      <c r="A499" s="13"/>
      <c r="B499" s="13"/>
      <c r="C499" s="10"/>
      <c r="D499" s="10"/>
      <c r="E499" s="10"/>
      <c r="F499" s="10"/>
      <c r="G499" s="10"/>
      <c r="I499" s="47"/>
      <c r="J499" s="47" t="s">
        <v>86</v>
      </c>
      <c r="K499" s="46"/>
    </row>
    <row r="500" spans="1:11">
      <c r="A500" s="12" t="s">
        <v>31</v>
      </c>
      <c r="B500" s="10"/>
      <c r="C500" s="10"/>
      <c r="D500" s="10"/>
      <c r="E500" s="10"/>
      <c r="F500" s="10"/>
      <c r="G500" s="10"/>
      <c r="I500" s="12"/>
      <c r="J500" s="12" t="s">
        <v>32</v>
      </c>
      <c r="K500" s="46"/>
    </row>
    <row r="501" spans="1:11">
      <c r="A501" s="10"/>
      <c r="B501" s="10"/>
      <c r="C501" s="10"/>
      <c r="D501" s="10"/>
      <c r="E501" s="10"/>
      <c r="F501" s="10"/>
      <c r="G501" s="10"/>
      <c r="I501" s="12"/>
      <c r="J501" s="12"/>
      <c r="K501" s="46"/>
    </row>
    <row r="502" spans="1:11">
      <c r="A502" s="10"/>
      <c r="B502" s="10"/>
      <c r="C502" s="10"/>
      <c r="D502" s="10"/>
      <c r="E502" s="10"/>
      <c r="F502" s="10"/>
      <c r="G502" s="10"/>
      <c r="I502" s="12"/>
      <c r="J502" s="12"/>
      <c r="K502" s="46"/>
    </row>
    <row r="503" spans="1:11">
      <c r="A503" s="10"/>
      <c r="B503" s="10"/>
      <c r="C503" s="10"/>
      <c r="D503" s="10"/>
      <c r="E503" s="10"/>
      <c r="F503" s="10"/>
      <c r="G503" s="10"/>
      <c r="I503" s="12"/>
      <c r="J503" s="12"/>
      <c r="K503" s="46"/>
    </row>
    <row r="504" spans="1:11">
      <c r="A504" s="10"/>
      <c r="B504" s="10"/>
      <c r="C504" s="10"/>
      <c r="D504" s="10"/>
      <c r="E504" s="10"/>
      <c r="F504" s="10"/>
      <c r="G504" s="10"/>
      <c r="I504" s="12"/>
      <c r="J504" s="12"/>
      <c r="K504" s="46"/>
    </row>
    <row r="505" spans="1:11">
      <c r="A505" s="48" t="s">
        <v>37</v>
      </c>
      <c r="B505" s="48"/>
      <c r="C505" s="49"/>
      <c r="D505" s="49"/>
      <c r="E505" s="49"/>
      <c r="F505" s="49"/>
      <c r="G505" s="10" t="s">
        <v>33</v>
      </c>
      <c r="I505" s="48"/>
      <c r="J505" s="48" t="s">
        <v>34</v>
      </c>
      <c r="K505" s="46" t="s">
        <v>89</v>
      </c>
    </row>
    <row r="510" spans="1:11" ht="15.75">
      <c r="C510" s="2"/>
      <c r="D510" s="2"/>
      <c r="E510" s="2"/>
      <c r="F510" s="2"/>
    </row>
    <row r="511" spans="1:11" ht="15.75">
      <c r="A511" s="3"/>
      <c r="B511" s="3"/>
      <c r="C511" s="2"/>
      <c r="D511" s="2"/>
      <c r="E511" s="2"/>
      <c r="F511" s="2"/>
      <c r="G511" s="3"/>
      <c r="H511" s="4"/>
      <c r="I511" s="4"/>
      <c r="J511" s="4"/>
      <c r="K511" s="5"/>
    </row>
    <row r="512" spans="1:11">
      <c r="H512" s="5"/>
      <c r="I512" s="5"/>
      <c r="J512" s="5"/>
      <c r="K512" s="5"/>
    </row>
    <row r="513" spans="1:11">
      <c r="H513" s="5"/>
      <c r="I513" s="5"/>
      <c r="J513" s="5"/>
      <c r="K513" s="5"/>
    </row>
    <row r="514" spans="1:11">
      <c r="A514" s="72" t="s">
        <v>0</v>
      </c>
      <c r="B514" s="72"/>
      <c r="C514" s="73"/>
      <c r="D514" s="73"/>
      <c r="E514" s="73"/>
      <c r="F514" s="73"/>
      <c r="G514" s="73"/>
      <c r="H514" s="73"/>
      <c r="I514" s="73"/>
      <c r="J514" s="73"/>
      <c r="K514" s="73"/>
    </row>
    <row r="515" spans="1:11">
      <c r="A515" s="73" t="s">
        <v>90</v>
      </c>
      <c r="B515" s="73"/>
      <c r="C515" s="73"/>
      <c r="D515" s="73"/>
      <c r="E515" s="73"/>
      <c r="F515" s="73"/>
      <c r="G515" s="73"/>
      <c r="H515" s="73"/>
      <c r="I515" s="73"/>
      <c r="J515" s="73"/>
      <c r="K515" s="73"/>
    </row>
    <row r="516" spans="1:11">
      <c r="A516" s="73" t="s">
        <v>1</v>
      </c>
      <c r="B516" s="73"/>
      <c r="C516" s="73"/>
      <c r="D516" s="73"/>
      <c r="E516" s="73"/>
      <c r="F516" s="73"/>
      <c r="G516" s="73"/>
      <c r="H516" s="73"/>
      <c r="I516" s="73"/>
      <c r="J516" s="73"/>
      <c r="K516" s="73"/>
    </row>
    <row r="517" spans="1:11">
      <c r="A517" s="73" t="s">
        <v>38</v>
      </c>
      <c r="B517" s="73"/>
      <c r="C517" s="73"/>
      <c r="D517" s="73"/>
      <c r="E517" s="73"/>
      <c r="F517" s="73"/>
      <c r="G517" s="73"/>
      <c r="H517" s="73"/>
      <c r="I517" s="73"/>
      <c r="J517" s="73"/>
      <c r="K517" s="73"/>
    </row>
    <row r="518" spans="1:11">
      <c r="A518" s="73" t="s">
        <v>2</v>
      </c>
      <c r="B518" s="73"/>
      <c r="C518" s="73"/>
      <c r="D518" s="73"/>
      <c r="E518" s="73"/>
      <c r="F518" s="73"/>
      <c r="G518" s="73"/>
      <c r="H518" s="73"/>
      <c r="I518" s="73"/>
      <c r="J518" s="73"/>
      <c r="K518" s="73"/>
    </row>
    <row r="519" spans="1:11">
      <c r="A519" s="6"/>
      <c r="B519" s="6"/>
      <c r="C519" s="7"/>
      <c r="D519" s="7"/>
      <c r="E519" s="7"/>
      <c r="F519" s="7"/>
      <c r="G519" s="8"/>
      <c r="H519" s="9"/>
      <c r="I519" s="9"/>
      <c r="J519" s="9"/>
      <c r="K519" s="9"/>
    </row>
    <row r="520" spans="1:11">
      <c r="A520" s="52" t="s">
        <v>3</v>
      </c>
      <c r="B520" s="10"/>
      <c r="C520" s="10"/>
      <c r="D520" s="53" t="s">
        <v>4</v>
      </c>
      <c r="E520" s="10" t="s">
        <v>5</v>
      </c>
      <c r="F520" s="11"/>
      <c r="G520" s="10"/>
      <c r="H520" s="12"/>
      <c r="I520" s="12"/>
      <c r="J520" s="12"/>
      <c r="K520" s="9"/>
    </row>
    <row r="521" spans="1:11">
      <c r="A521" s="52" t="s">
        <v>6</v>
      </c>
      <c r="B521" s="10"/>
      <c r="C521" s="10"/>
      <c r="D521" s="53" t="s">
        <v>4</v>
      </c>
      <c r="E521" s="10" t="s">
        <v>7</v>
      </c>
      <c r="F521" s="11"/>
      <c r="G521" s="10"/>
      <c r="H521" s="12"/>
      <c r="I521" s="12"/>
      <c r="J521" s="12"/>
      <c r="K521" s="9"/>
    </row>
    <row r="522" spans="1:11">
      <c r="A522" s="52" t="s">
        <v>8</v>
      </c>
      <c r="B522" s="10"/>
      <c r="C522" s="10"/>
      <c r="D522" s="53" t="s">
        <v>4</v>
      </c>
      <c r="E522" s="13">
        <v>2026</v>
      </c>
      <c r="F522" s="11"/>
      <c r="G522" s="13"/>
      <c r="H522" s="12"/>
      <c r="I522" s="12"/>
      <c r="J522" s="12"/>
      <c r="K522" s="9"/>
    </row>
    <row r="523" spans="1:11">
      <c r="A523" s="52" t="s">
        <v>9</v>
      </c>
      <c r="B523" s="10"/>
      <c r="C523" s="10"/>
      <c r="D523" s="53" t="s">
        <v>4</v>
      </c>
      <c r="E523" s="14">
        <f>J534</f>
        <v>90000</v>
      </c>
      <c r="F523" s="11"/>
      <c r="G523" s="14"/>
      <c r="H523" s="12"/>
      <c r="I523" s="12"/>
      <c r="J523" s="12"/>
      <c r="K523" s="9"/>
    </row>
    <row r="524" spans="1:11" ht="15.75">
      <c r="A524" s="10"/>
      <c r="B524" s="10"/>
      <c r="C524" s="15" t="s">
        <v>10</v>
      </c>
      <c r="D524" s="53" t="s">
        <v>4</v>
      </c>
      <c r="E524" s="16" t="str">
        <f>PROPER(IF(E523=0,"nol",IF(E523&lt;0,"minus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523),"000000000000000"),1,3)=0,"",MID(TEXT(ABS(E523),"000000000000000"),1,1)&amp;" ratus "&amp;MID(TEXT(ABS(E523),"000000000000000"),2,1)&amp;" puluh "&amp;MID(TEXT(ABS(E523),"000000000000000"),3,1)&amp;" trilyun ")&amp;IF(--MID(TEXT(ABS(E523),"000000000000000"),4,3)=0,"",MID(TEXT(ABS(E523),"000000000000000"),4,1)&amp;" ratus "&amp;MID(TEXT(ABS(E523),"000000000000000"),5,1)&amp;" puluh "&amp;MID(TEXT(ABS(E523),"000000000000000"),6,1)&amp;" milyar ")&amp;IF(--MID(TEXT(ABS(E523),"000000000000000"),7,3)=0,"",MID(TEXT(ABS(E523),"000000000000000"),7,1)&amp;" ratus "&amp;MID(TEXT(ABS(E523),"000000000000000"),8,1)&amp;" puluh "&amp;MID(TEXT(ABS(E523),"000000000000000"),9,1)&amp;" juta ")&amp;IF(--MID(TEXT(ABS(E523),"000000000000000"),10,3)=0,"",IF(--MID(TEXT(ABS(E523),"000000000000000"),10,3)=1,"*",MID(TEXT(ABS(E523),"000000000000000"),10,1)&amp;" ratus "&amp;MID(TEXT(ABS(E523),"000000000000000"),11,1)&amp;" puluh ")&amp;MID(TEXT(ABS(E523),"000000000000000"),12,1)&amp;" ribu ")&amp;IF(--MID(TEXT(ABS(E523),"000000000000000"),13,3)=0,"",MID(TEXT(ABS(E523),"000000000000000"),13,1)&amp;" ratus "&amp;MID(TEXT(ABS(E523),"000000000000000"),14,1)&amp;" puluh "&amp;MID(TEXT(ABS(E523),"000000000000000"),15,1)),1,"satu"),2,"dua"),3,"tiga"),4,"empat"),5,"lima"),6,"enam"),7,"tujuh"),8,"delapan"),9,"sembilan"),"0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Puluh Ribu Rupiah</v>
      </c>
      <c r="F524" s="11"/>
      <c r="G524" s="16"/>
      <c r="H524" s="12"/>
      <c r="I524" s="12"/>
      <c r="J524" s="12"/>
      <c r="K524" s="9"/>
    </row>
    <row r="525" spans="1:11" ht="15.75">
      <c r="A525" s="10"/>
      <c r="B525" s="10"/>
      <c r="C525" s="15"/>
      <c r="D525" s="15"/>
      <c r="E525" s="15"/>
      <c r="F525" s="11"/>
      <c r="G525" s="16"/>
      <c r="H525" s="12"/>
      <c r="I525" s="12"/>
      <c r="J525" s="12"/>
      <c r="K525" s="9"/>
    </row>
    <row r="526" spans="1:11">
      <c r="A526" s="10" t="s">
        <v>11</v>
      </c>
      <c r="B526" s="10"/>
      <c r="C526" s="10"/>
      <c r="D526" s="10"/>
      <c r="E526" s="10"/>
      <c r="F526" s="10"/>
      <c r="G526" s="10"/>
      <c r="H526" s="12"/>
      <c r="I526" s="12"/>
      <c r="J526" s="12"/>
      <c r="K526" s="9"/>
    </row>
    <row r="527" spans="1:11">
      <c r="A527" s="74" t="s">
        <v>12</v>
      </c>
      <c r="B527" s="74"/>
      <c r="C527" s="74"/>
      <c r="D527" s="74"/>
      <c r="E527" s="74"/>
      <c r="F527" s="74"/>
      <c r="G527" s="74"/>
      <c r="H527" s="74"/>
      <c r="I527" s="74"/>
      <c r="J527" s="74"/>
      <c r="K527" s="74"/>
    </row>
    <row r="528" spans="1:11" ht="60">
      <c r="A528" s="17" t="s">
        <v>13</v>
      </c>
      <c r="B528" s="18" t="s">
        <v>14</v>
      </c>
      <c r="C528" s="59" t="s">
        <v>15</v>
      </c>
      <c r="D528" s="60"/>
      <c r="E528" s="61"/>
      <c r="F528" s="19"/>
      <c r="G528" s="20" t="s">
        <v>16</v>
      </c>
      <c r="H528" s="21" t="s">
        <v>35</v>
      </c>
      <c r="I528" s="21"/>
      <c r="J528" s="31" t="s">
        <v>17</v>
      </c>
      <c r="K528" s="32" t="s">
        <v>18</v>
      </c>
    </row>
    <row r="529" spans="1:11">
      <c r="A529" s="27">
        <v>1</v>
      </c>
      <c r="B529" s="24"/>
      <c r="C529" s="28" t="s">
        <v>23</v>
      </c>
      <c r="D529" s="57"/>
      <c r="E529" s="26"/>
      <c r="F529" s="25"/>
      <c r="G529" s="54" t="s">
        <v>19</v>
      </c>
      <c r="H529" s="54" t="s">
        <v>19</v>
      </c>
      <c r="I529" s="54"/>
      <c r="J529" s="54" t="s">
        <v>19</v>
      </c>
      <c r="K529" s="54" t="s">
        <v>19</v>
      </c>
    </row>
    <row r="530" spans="1:11">
      <c r="A530" s="24"/>
      <c r="B530" s="55" t="s">
        <v>20</v>
      </c>
      <c r="C530" s="25" t="s">
        <v>24</v>
      </c>
      <c r="D530" s="10"/>
      <c r="E530" s="26"/>
      <c r="F530" s="25"/>
      <c r="G530" s="23">
        <v>45000000</v>
      </c>
      <c r="H530" s="56">
        <f>H484+J484</f>
        <v>4031399</v>
      </c>
      <c r="I530" s="56"/>
      <c r="J530" s="56">
        <v>90000</v>
      </c>
      <c r="K530" s="58">
        <f t="shared" ref="K530:K533" si="21">G530-H530-J530</f>
        <v>40878601</v>
      </c>
    </row>
    <row r="531" spans="1:11">
      <c r="A531" s="24"/>
      <c r="B531" s="55" t="s">
        <v>21</v>
      </c>
      <c r="C531" s="62" t="s">
        <v>39</v>
      </c>
      <c r="D531" s="63"/>
      <c r="E531" s="64"/>
      <c r="F531" s="25"/>
      <c r="G531" s="23">
        <v>35000000</v>
      </c>
      <c r="H531" s="56">
        <f t="shared" ref="H531:H532" si="22">H485+J485</f>
        <v>7768480</v>
      </c>
      <c r="I531" s="56"/>
      <c r="J531" s="56">
        <v>0</v>
      </c>
      <c r="K531" s="58">
        <f t="shared" si="21"/>
        <v>27231520</v>
      </c>
    </row>
    <row r="532" spans="1:11">
      <c r="A532" s="24"/>
      <c r="B532" s="55" t="s">
        <v>22</v>
      </c>
      <c r="C532" s="65" t="s">
        <v>40</v>
      </c>
      <c r="D532" s="66"/>
      <c r="E532" s="67"/>
      <c r="F532" s="25"/>
      <c r="G532" s="23">
        <v>30000000</v>
      </c>
      <c r="H532" s="56">
        <f t="shared" si="22"/>
        <v>8024000</v>
      </c>
      <c r="I532" s="22"/>
      <c r="J532" s="22">
        <v>0</v>
      </c>
      <c r="K532" s="33">
        <f t="shared" si="21"/>
        <v>21976000</v>
      </c>
    </row>
    <row r="533" spans="1:11">
      <c r="A533" s="24"/>
      <c r="B533" s="55" t="s">
        <v>36</v>
      </c>
      <c r="C533" s="68" t="s">
        <v>41</v>
      </c>
      <c r="D533" s="69"/>
      <c r="E533" s="70"/>
      <c r="F533" s="25"/>
      <c r="G533" s="23">
        <v>28125000</v>
      </c>
      <c r="H533" s="56">
        <f>H487+J487</f>
        <v>4590650</v>
      </c>
      <c r="I533" s="22"/>
      <c r="J533" s="22">
        <v>0</v>
      </c>
      <c r="K533" s="33">
        <f t="shared" si="21"/>
        <v>23534350</v>
      </c>
    </row>
    <row r="534" spans="1:11">
      <c r="A534" s="34"/>
      <c r="B534" s="34"/>
      <c r="C534" s="34" t="s">
        <v>25</v>
      </c>
      <c r="D534" s="34"/>
      <c r="E534" s="34"/>
      <c r="F534" s="35"/>
      <c r="G534" s="36">
        <f>SUM(G529:G533)</f>
        <v>138125000</v>
      </c>
      <c r="H534" s="37">
        <f>SUM(H529:H533)</f>
        <v>24414529</v>
      </c>
      <c r="I534" s="37"/>
      <c r="J534" s="37">
        <f>SUM(J529:J533)</f>
        <v>90000</v>
      </c>
      <c r="K534" s="37">
        <f>SUM(K529:K533)</f>
        <v>113620471</v>
      </c>
    </row>
    <row r="535" spans="1:11">
      <c r="A535" s="38"/>
      <c r="B535" s="8"/>
      <c r="C535" s="8"/>
      <c r="D535" s="8"/>
      <c r="E535" s="8"/>
      <c r="F535" s="8"/>
      <c r="G535" s="39"/>
      <c r="H535" s="39"/>
      <c r="I535" s="39"/>
      <c r="J535" s="39"/>
      <c r="K535" s="39"/>
    </row>
    <row r="536" spans="1:11">
      <c r="A536" s="71" t="s">
        <v>26</v>
      </c>
      <c r="B536" s="71"/>
      <c r="C536" s="71"/>
      <c r="D536" s="11" t="s">
        <v>4</v>
      </c>
      <c r="E536" s="14">
        <f>J534</f>
        <v>90000</v>
      </c>
      <c r="F536" s="40"/>
      <c r="G536" s="41"/>
      <c r="H536" s="41"/>
      <c r="I536" s="41"/>
      <c r="J536" s="9"/>
      <c r="K536" s="9"/>
    </row>
    <row r="537" spans="1:11">
      <c r="A537" s="10" t="s">
        <v>27</v>
      </c>
      <c r="B537" s="10"/>
      <c r="C537" s="10"/>
      <c r="D537" s="11" t="s">
        <v>4</v>
      </c>
      <c r="E537" s="42"/>
      <c r="F537" s="42"/>
      <c r="G537" s="43"/>
      <c r="H537" s="12"/>
      <c r="I537" s="12"/>
      <c r="J537" s="9"/>
      <c r="K537" s="9"/>
    </row>
    <row r="538" spans="1:11">
      <c r="A538" s="10" t="s">
        <v>28</v>
      </c>
      <c r="B538" s="10"/>
      <c r="C538" s="10"/>
      <c r="D538" s="11" t="s">
        <v>4</v>
      </c>
      <c r="E538" s="44"/>
      <c r="F538" s="44"/>
      <c r="G538" s="43"/>
      <c r="H538" s="12"/>
      <c r="I538" s="12"/>
      <c r="J538" s="9"/>
      <c r="K538" s="9"/>
    </row>
    <row r="539" spans="1:11">
      <c r="A539" s="10" t="s">
        <v>29</v>
      </c>
      <c r="B539" s="10"/>
      <c r="C539" s="10"/>
      <c r="D539" s="11" t="s">
        <v>4</v>
      </c>
      <c r="E539" s="44">
        <f>E537+E538</f>
        <v>0</v>
      </c>
      <c r="F539" s="44"/>
      <c r="G539" s="10"/>
      <c r="H539" s="12"/>
      <c r="I539" s="12"/>
      <c r="J539" s="46"/>
      <c r="K539" s="46"/>
    </row>
    <row r="540" spans="1:11">
      <c r="A540" s="13"/>
      <c r="B540" s="13"/>
      <c r="C540" s="13"/>
      <c r="D540" s="11"/>
      <c r="E540" s="13"/>
      <c r="F540" s="13"/>
      <c r="G540" s="10"/>
      <c r="H540" s="12"/>
      <c r="I540" s="12"/>
      <c r="J540" s="46"/>
      <c r="K540" s="46"/>
    </row>
    <row r="541" spans="1:11">
      <c r="A541" s="71" t="s">
        <v>30</v>
      </c>
      <c r="B541" s="71"/>
      <c r="C541" s="71"/>
      <c r="D541" s="11" t="s">
        <v>4</v>
      </c>
      <c r="E541" s="40">
        <f>E536-E539</f>
        <v>90000</v>
      </c>
      <c r="F541" s="40"/>
      <c r="G541" s="10"/>
      <c r="H541" s="12"/>
      <c r="I541" s="12"/>
      <c r="J541" s="46"/>
      <c r="K541" s="46"/>
    </row>
    <row r="542" spans="1:11" ht="15.75">
      <c r="A542" s="13"/>
      <c r="B542" s="13"/>
      <c r="C542" s="10"/>
      <c r="D542" s="10"/>
      <c r="E542" s="16" t="str">
        <f>PROPER(IF(E541=0,"nol",IF(E541&lt;0,"minus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541),"000000000000000"),1,3)=0,"",MID(TEXT(ABS(E541),"000000000000000"),1,1)&amp;" ratus "&amp;MID(TEXT(ABS(E541),"000000000000000"),2,1)&amp;" puluh "&amp;MID(TEXT(ABS(E541),"000000000000000"),3,1)&amp;" trilyun ")&amp;IF(--MID(TEXT(ABS(E541),"000000000000000"),4,3)=0,"",MID(TEXT(ABS(E541),"000000000000000"),4,1)&amp;" ratus "&amp;MID(TEXT(ABS(E541),"000000000000000"),5,1)&amp;" puluh "&amp;MID(TEXT(ABS(E541),"000000000000000"),6,1)&amp;" milyar ")&amp;IF(--MID(TEXT(ABS(E541),"000000000000000"),7,3)=0,"",MID(TEXT(ABS(E541),"000000000000000"),7,1)&amp;" ratus "&amp;MID(TEXT(ABS(E541),"000000000000000"),8,1)&amp;" puluh "&amp;MID(TEXT(ABS(E541),"000000000000000"),9,1)&amp;" juta ")&amp;IF(--MID(TEXT(ABS(E541),"000000000000000"),10,3)=0,"",IF(--MID(TEXT(ABS(E541),"000000000000000"),10,3)=1,"*",MID(TEXT(ABS(E541),"000000000000000"),10,1)&amp;" ratus "&amp;MID(TEXT(ABS(E541),"000000000000000"),11,1)&amp;" puluh ")&amp;MID(TEXT(ABS(E541),"000000000000000"),12,1)&amp;" ribu ")&amp;IF(--MID(TEXT(ABS(E541),"000000000000000"),13,3)=0,"",MID(TEXT(ABS(E541),"000000000000000"),13,1)&amp;" ratus "&amp;MID(TEXT(ABS(E541),"000000000000000"),14,1)&amp;" puluh "&amp;MID(TEXT(ABS(E541),"000000000000000"),15,1)),1,"satu"),2,"dua"),3,"tiga"),4,"empat"),5,"lima"),6,"enam"),7,"tujuh"),8,"delapan"),9,"sembilan"),"0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Puluh Ribu Rupiah</v>
      </c>
      <c r="F542" s="10"/>
      <c r="G542" s="10"/>
      <c r="H542" s="10"/>
      <c r="I542" s="10"/>
      <c r="J542" s="46"/>
      <c r="K542" s="46"/>
    </row>
    <row r="543" spans="1:11">
      <c r="A543" s="45"/>
      <c r="B543" s="45"/>
      <c r="C543" s="45"/>
      <c r="D543" s="45"/>
      <c r="E543" s="45"/>
      <c r="F543" s="45"/>
      <c r="G543" s="29"/>
      <c r="H543" s="46"/>
      <c r="I543" s="46"/>
      <c r="J543" s="46"/>
      <c r="K543" s="46"/>
    </row>
    <row r="544" spans="1:11">
      <c r="A544" s="29"/>
      <c r="B544" s="29"/>
      <c r="C544" s="29"/>
      <c r="D544" s="29"/>
      <c r="E544" s="29"/>
      <c r="F544" s="29"/>
      <c r="G544" s="29"/>
      <c r="H544"/>
      <c r="I544"/>
      <c r="J544" s="46"/>
      <c r="K544" s="46"/>
    </row>
    <row r="545" spans="1:11">
      <c r="A545" s="13"/>
      <c r="B545" s="13"/>
      <c r="C545" s="10"/>
      <c r="D545" s="10"/>
      <c r="E545" s="10"/>
      <c r="F545" s="10"/>
      <c r="G545" s="10"/>
      <c r="I545" s="47"/>
      <c r="J545" s="47" t="s">
        <v>86</v>
      </c>
      <c r="K545" s="46"/>
    </row>
    <row r="546" spans="1:11">
      <c r="A546" s="12" t="s">
        <v>31</v>
      </c>
      <c r="B546" s="10"/>
      <c r="C546" s="10"/>
      <c r="D546" s="10"/>
      <c r="E546" s="10"/>
      <c r="F546" s="10"/>
      <c r="G546" s="10"/>
      <c r="I546" s="12"/>
      <c r="J546" s="12" t="s">
        <v>32</v>
      </c>
      <c r="K546" s="46"/>
    </row>
    <row r="547" spans="1:11">
      <c r="A547" s="10"/>
      <c r="B547" s="10"/>
      <c r="C547" s="10"/>
      <c r="D547" s="10"/>
      <c r="E547" s="10"/>
      <c r="F547" s="10"/>
      <c r="G547" s="10"/>
      <c r="I547" s="12"/>
      <c r="J547" s="12"/>
      <c r="K547" s="46"/>
    </row>
    <row r="548" spans="1:11">
      <c r="A548" s="10"/>
      <c r="B548" s="10"/>
      <c r="C548" s="10"/>
      <c r="D548" s="10"/>
      <c r="E548" s="10"/>
      <c r="F548" s="10"/>
      <c r="G548" s="10"/>
      <c r="I548" s="12"/>
      <c r="J548" s="12"/>
      <c r="K548" s="46"/>
    </row>
    <row r="549" spans="1:11">
      <c r="A549" s="10"/>
      <c r="B549" s="10"/>
      <c r="C549" s="10"/>
      <c r="D549" s="10"/>
      <c r="E549" s="10"/>
      <c r="F549" s="10"/>
      <c r="G549" s="10"/>
      <c r="I549" s="12"/>
      <c r="J549" s="12"/>
      <c r="K549" s="46"/>
    </row>
    <row r="550" spans="1:11">
      <c r="A550" s="10"/>
      <c r="B550" s="10"/>
      <c r="C550" s="10"/>
      <c r="D550" s="10"/>
      <c r="E550" s="10"/>
      <c r="F550" s="10"/>
      <c r="G550" s="10"/>
      <c r="I550" s="12"/>
      <c r="J550" s="12"/>
      <c r="K550" s="46"/>
    </row>
    <row r="551" spans="1:11">
      <c r="A551" s="48" t="s">
        <v>37</v>
      </c>
      <c r="B551" s="48"/>
      <c r="C551" s="49"/>
      <c r="D551" s="49"/>
      <c r="E551" s="49"/>
      <c r="F551" s="49"/>
      <c r="G551" s="10" t="s">
        <v>33</v>
      </c>
      <c r="I551" s="48"/>
      <c r="J551" s="48" t="s">
        <v>34</v>
      </c>
      <c r="K551" s="46"/>
    </row>
    <row r="556" spans="1:11" ht="15.75">
      <c r="C556" s="2"/>
      <c r="D556" s="2"/>
      <c r="E556" s="2"/>
      <c r="F556" s="2"/>
    </row>
    <row r="557" spans="1:11" ht="15.75">
      <c r="A557" s="3"/>
      <c r="B557" s="3"/>
      <c r="C557" s="2"/>
      <c r="D557" s="2"/>
      <c r="E557" s="2"/>
      <c r="F557" s="2"/>
      <c r="G557" s="3"/>
      <c r="H557" s="4"/>
      <c r="I557" s="4"/>
      <c r="J557" s="4"/>
      <c r="K557" s="5"/>
    </row>
    <row r="558" spans="1:11">
      <c r="H558" s="5"/>
      <c r="I558" s="5"/>
      <c r="J558" s="5"/>
      <c r="K558" s="5"/>
    </row>
    <row r="559" spans="1:11">
      <c r="H559" s="5"/>
      <c r="I559" s="5"/>
      <c r="J559" s="5"/>
      <c r="K559" s="5"/>
    </row>
    <row r="560" spans="1:11">
      <c r="A560" s="72" t="s">
        <v>0</v>
      </c>
      <c r="B560" s="72"/>
      <c r="C560" s="73"/>
      <c r="D560" s="73"/>
      <c r="E560" s="73"/>
      <c r="F560" s="73"/>
      <c r="G560" s="73"/>
      <c r="H560" s="73"/>
      <c r="I560" s="73"/>
      <c r="J560" s="73"/>
      <c r="K560" s="73"/>
    </row>
    <row r="561" spans="1:11">
      <c r="A561" s="73" t="s">
        <v>91</v>
      </c>
      <c r="B561" s="73"/>
      <c r="C561" s="73"/>
      <c r="D561" s="73"/>
      <c r="E561" s="73"/>
      <c r="F561" s="73"/>
      <c r="G561" s="73"/>
      <c r="H561" s="73"/>
      <c r="I561" s="73"/>
      <c r="J561" s="73"/>
      <c r="K561" s="73"/>
    </row>
    <row r="562" spans="1:11">
      <c r="A562" s="73" t="s">
        <v>1</v>
      </c>
      <c r="B562" s="73"/>
      <c r="C562" s="73"/>
      <c r="D562" s="73"/>
      <c r="E562" s="73"/>
      <c r="F562" s="73"/>
      <c r="G562" s="73"/>
      <c r="H562" s="73"/>
      <c r="I562" s="73"/>
      <c r="J562" s="73"/>
      <c r="K562" s="73"/>
    </row>
    <row r="563" spans="1:11">
      <c r="A563" s="73" t="s">
        <v>38</v>
      </c>
      <c r="B563" s="73"/>
      <c r="C563" s="73"/>
      <c r="D563" s="73"/>
      <c r="E563" s="73"/>
      <c r="F563" s="73"/>
      <c r="G563" s="73"/>
      <c r="H563" s="73"/>
      <c r="I563" s="73"/>
      <c r="J563" s="73"/>
      <c r="K563" s="73"/>
    </row>
    <row r="564" spans="1:11">
      <c r="A564" s="73" t="s">
        <v>2</v>
      </c>
      <c r="B564" s="73"/>
      <c r="C564" s="73"/>
      <c r="D564" s="73"/>
      <c r="E564" s="73"/>
      <c r="F564" s="73"/>
      <c r="G564" s="73"/>
      <c r="H564" s="73"/>
      <c r="I564" s="73"/>
      <c r="J564" s="73"/>
      <c r="K564" s="73"/>
    </row>
    <row r="565" spans="1:11">
      <c r="A565" s="6"/>
      <c r="B565" s="6"/>
      <c r="C565" s="7"/>
      <c r="D565" s="7"/>
      <c r="E565" s="7"/>
      <c r="F565" s="7"/>
      <c r="G565" s="8"/>
      <c r="H565" s="9"/>
      <c r="I565" s="9"/>
      <c r="J565" s="9"/>
      <c r="K565" s="9"/>
    </row>
    <row r="566" spans="1:11">
      <c r="A566" s="52" t="s">
        <v>3</v>
      </c>
      <c r="B566" s="10"/>
      <c r="C566" s="10"/>
      <c r="D566" s="53" t="s">
        <v>4</v>
      </c>
      <c r="E566" s="10" t="s">
        <v>5</v>
      </c>
      <c r="F566" s="11"/>
      <c r="G566" s="10"/>
      <c r="H566" s="12"/>
      <c r="I566" s="12"/>
      <c r="J566" s="12"/>
      <c r="K566" s="9"/>
    </row>
    <row r="567" spans="1:11">
      <c r="A567" s="52" t="s">
        <v>6</v>
      </c>
      <c r="B567" s="10"/>
      <c r="C567" s="10"/>
      <c r="D567" s="53" t="s">
        <v>4</v>
      </c>
      <c r="E567" s="10" t="s">
        <v>7</v>
      </c>
      <c r="F567" s="11"/>
      <c r="G567" s="10"/>
      <c r="H567" s="12"/>
      <c r="I567" s="12"/>
      <c r="J567" s="12"/>
      <c r="K567" s="9"/>
    </row>
    <row r="568" spans="1:11">
      <c r="A568" s="52" t="s">
        <v>8</v>
      </c>
      <c r="B568" s="10"/>
      <c r="C568" s="10"/>
      <c r="D568" s="53" t="s">
        <v>4</v>
      </c>
      <c r="E568" s="13">
        <v>2026</v>
      </c>
      <c r="F568" s="11"/>
      <c r="G568" s="13"/>
      <c r="H568" s="12"/>
      <c r="I568" s="12"/>
      <c r="J568" s="12"/>
      <c r="K568" s="9"/>
    </row>
    <row r="569" spans="1:11">
      <c r="A569" s="52" t="s">
        <v>9</v>
      </c>
      <c r="B569" s="10"/>
      <c r="C569" s="10"/>
      <c r="D569" s="53" t="s">
        <v>4</v>
      </c>
      <c r="E569" s="14">
        <f>J580</f>
        <v>50000</v>
      </c>
      <c r="F569" s="11"/>
      <c r="G569" s="14"/>
      <c r="H569" s="12"/>
      <c r="I569" s="12"/>
      <c r="J569" s="12"/>
      <c r="K569" s="9"/>
    </row>
    <row r="570" spans="1:11" ht="15.75">
      <c r="A570" s="10"/>
      <c r="B570" s="10"/>
      <c r="C570" s="15" t="s">
        <v>10</v>
      </c>
      <c r="D570" s="53" t="s">
        <v>4</v>
      </c>
      <c r="E570" s="16" t="str">
        <f>PROPER(IF(E569=0,"nol",IF(E569&lt;0,"minus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569),"000000000000000"),1,3)=0,"",MID(TEXT(ABS(E569),"000000000000000"),1,1)&amp;" ratus "&amp;MID(TEXT(ABS(E569),"000000000000000"),2,1)&amp;" puluh "&amp;MID(TEXT(ABS(E569),"000000000000000"),3,1)&amp;" trilyun ")&amp;IF(--MID(TEXT(ABS(E569),"000000000000000"),4,3)=0,"",MID(TEXT(ABS(E569),"000000000000000"),4,1)&amp;" ratus "&amp;MID(TEXT(ABS(E569),"000000000000000"),5,1)&amp;" puluh "&amp;MID(TEXT(ABS(E569),"000000000000000"),6,1)&amp;" milyar ")&amp;IF(--MID(TEXT(ABS(E569),"000000000000000"),7,3)=0,"",MID(TEXT(ABS(E569),"000000000000000"),7,1)&amp;" ratus "&amp;MID(TEXT(ABS(E569),"000000000000000"),8,1)&amp;" puluh "&amp;MID(TEXT(ABS(E569),"000000000000000"),9,1)&amp;" juta ")&amp;IF(--MID(TEXT(ABS(E569),"000000000000000"),10,3)=0,"",IF(--MID(TEXT(ABS(E569),"000000000000000"),10,3)=1,"*",MID(TEXT(ABS(E569),"000000000000000"),10,1)&amp;" ratus "&amp;MID(TEXT(ABS(E569),"000000000000000"),11,1)&amp;" puluh ")&amp;MID(TEXT(ABS(E569),"000000000000000"),12,1)&amp;" ribu ")&amp;IF(--MID(TEXT(ABS(E569),"000000000000000"),13,3)=0,"",MID(TEXT(ABS(E569),"000000000000000"),13,1)&amp;" ratus "&amp;MID(TEXT(ABS(E569),"000000000000000"),14,1)&amp;" puluh "&amp;MID(TEXT(ABS(E569),"000000000000000"),15,1)),1,"satu"),2,"dua"),3,"tiga"),4,"empat"),5,"lima"),6,"enam"),7,"tujuh"),8,"delapan"),9,"sembilan"),"0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Puluh Ribu Rupiah</v>
      </c>
      <c r="F570" s="11"/>
      <c r="G570" s="16"/>
      <c r="H570" s="12"/>
      <c r="I570" s="12"/>
      <c r="J570" s="12"/>
      <c r="K570" s="9"/>
    </row>
    <row r="571" spans="1:11" ht="15.75">
      <c r="A571" s="10"/>
      <c r="B571" s="10"/>
      <c r="C571" s="15"/>
      <c r="D571" s="15"/>
      <c r="E571" s="15"/>
      <c r="F571" s="11"/>
      <c r="G571" s="16"/>
      <c r="H571" s="12"/>
      <c r="I571" s="12"/>
      <c r="J571" s="12"/>
      <c r="K571" s="9"/>
    </row>
    <row r="572" spans="1:11">
      <c r="A572" s="10" t="s">
        <v>11</v>
      </c>
      <c r="B572" s="10"/>
      <c r="C572" s="10"/>
      <c r="D572" s="10"/>
      <c r="E572" s="10"/>
      <c r="F572" s="10"/>
      <c r="G572" s="10"/>
      <c r="H572" s="12"/>
      <c r="I572" s="12"/>
      <c r="J572" s="12"/>
      <c r="K572" s="9"/>
    </row>
    <row r="573" spans="1:11">
      <c r="A573" s="74" t="s">
        <v>12</v>
      </c>
      <c r="B573" s="74"/>
      <c r="C573" s="74"/>
      <c r="D573" s="74"/>
      <c r="E573" s="74"/>
      <c r="F573" s="74"/>
      <c r="G573" s="74"/>
      <c r="H573" s="74"/>
      <c r="I573" s="74"/>
      <c r="J573" s="74"/>
      <c r="K573" s="74"/>
    </row>
    <row r="574" spans="1:11" ht="60">
      <c r="A574" s="17" t="s">
        <v>13</v>
      </c>
      <c r="B574" s="18" t="s">
        <v>14</v>
      </c>
      <c r="C574" s="59" t="s">
        <v>15</v>
      </c>
      <c r="D574" s="60"/>
      <c r="E574" s="61"/>
      <c r="F574" s="19"/>
      <c r="G574" s="20" t="s">
        <v>16</v>
      </c>
      <c r="H574" s="21" t="s">
        <v>35</v>
      </c>
      <c r="I574" s="21"/>
      <c r="J574" s="31" t="s">
        <v>17</v>
      </c>
      <c r="K574" s="32" t="s">
        <v>18</v>
      </c>
    </row>
    <row r="575" spans="1:11">
      <c r="A575" s="27">
        <v>1</v>
      </c>
      <c r="B575" s="24"/>
      <c r="C575" s="28" t="s">
        <v>23</v>
      </c>
      <c r="D575" s="57"/>
      <c r="E575" s="26"/>
      <c r="F575" s="25"/>
      <c r="G575" s="54" t="s">
        <v>19</v>
      </c>
      <c r="H575" s="54" t="s">
        <v>19</v>
      </c>
      <c r="I575" s="54"/>
      <c r="J575" s="54" t="s">
        <v>19</v>
      </c>
      <c r="K575" s="54" t="s">
        <v>19</v>
      </c>
    </row>
    <row r="576" spans="1:11">
      <c r="A576" s="24"/>
      <c r="B576" s="55" t="s">
        <v>20</v>
      </c>
      <c r="C576" s="25" t="s">
        <v>24</v>
      </c>
      <c r="D576" s="10"/>
      <c r="E576" s="26"/>
      <c r="F576" s="25"/>
      <c r="G576" s="23">
        <v>45000000</v>
      </c>
      <c r="H576" s="56">
        <f>H530+J530</f>
        <v>4121399</v>
      </c>
      <c r="I576" s="56"/>
      <c r="J576" s="56">
        <v>0</v>
      </c>
      <c r="K576" s="58">
        <f t="shared" ref="K576:K579" si="23">G576-H576-J576</f>
        <v>40878601</v>
      </c>
    </row>
    <row r="577" spans="1:11" ht="26.25" customHeight="1">
      <c r="A577" s="24"/>
      <c r="B577" s="55" t="s">
        <v>21</v>
      </c>
      <c r="C577" s="62" t="s">
        <v>39</v>
      </c>
      <c r="D577" s="63"/>
      <c r="E577" s="64"/>
      <c r="F577" s="25"/>
      <c r="G577" s="23">
        <v>35000000</v>
      </c>
      <c r="H577" s="56">
        <f t="shared" ref="H577:H578" si="24">H531+J531</f>
        <v>7768480</v>
      </c>
      <c r="I577" s="56"/>
      <c r="J577" s="56">
        <v>50000</v>
      </c>
      <c r="K577" s="58">
        <f t="shared" si="23"/>
        <v>27181520</v>
      </c>
    </row>
    <row r="578" spans="1:11">
      <c r="A578" s="24"/>
      <c r="B578" s="55" t="s">
        <v>22</v>
      </c>
      <c r="C578" s="65" t="s">
        <v>40</v>
      </c>
      <c r="D578" s="66"/>
      <c r="E578" s="67"/>
      <c r="F578" s="25"/>
      <c r="G578" s="23">
        <v>30000000</v>
      </c>
      <c r="H578" s="56">
        <f t="shared" si="24"/>
        <v>8024000</v>
      </c>
      <c r="I578" s="22"/>
      <c r="J578" s="22">
        <v>0</v>
      </c>
      <c r="K578" s="33">
        <f t="shared" si="23"/>
        <v>21976000</v>
      </c>
    </row>
    <row r="579" spans="1:11">
      <c r="A579" s="24"/>
      <c r="B579" s="55" t="s">
        <v>36</v>
      </c>
      <c r="C579" s="68" t="s">
        <v>41</v>
      </c>
      <c r="D579" s="69"/>
      <c r="E579" s="70"/>
      <c r="F579" s="25"/>
      <c r="G579" s="23">
        <v>28125000</v>
      </c>
      <c r="H579" s="56">
        <f>H533+J533</f>
        <v>4590650</v>
      </c>
      <c r="I579" s="22"/>
      <c r="J579" s="22">
        <v>0</v>
      </c>
      <c r="K579" s="33">
        <f t="shared" si="23"/>
        <v>23534350</v>
      </c>
    </row>
    <row r="580" spans="1:11">
      <c r="A580" s="34"/>
      <c r="B580" s="34"/>
      <c r="C580" s="34" t="s">
        <v>25</v>
      </c>
      <c r="D580" s="34"/>
      <c r="E580" s="34"/>
      <c r="F580" s="35"/>
      <c r="G580" s="36">
        <f>SUM(G575:G579)</f>
        <v>138125000</v>
      </c>
      <c r="H580" s="37">
        <f>SUM(H575:H579)</f>
        <v>24504529</v>
      </c>
      <c r="I580" s="37"/>
      <c r="J580" s="37">
        <f>SUM(J575:J579)</f>
        <v>50000</v>
      </c>
      <c r="K580" s="37">
        <f>SUM(K575:K579)</f>
        <v>113570471</v>
      </c>
    </row>
    <row r="581" spans="1:11">
      <c r="A581" s="38"/>
      <c r="B581" s="8"/>
      <c r="C581" s="8"/>
      <c r="D581" s="8"/>
      <c r="E581" s="8"/>
      <c r="F581" s="8"/>
      <c r="G581" s="39"/>
      <c r="H581" s="39"/>
      <c r="I581" s="39"/>
      <c r="J581" s="39"/>
      <c r="K581" s="39"/>
    </row>
    <row r="582" spans="1:11">
      <c r="A582" s="71" t="s">
        <v>26</v>
      </c>
      <c r="B582" s="71"/>
      <c r="C582" s="71"/>
      <c r="D582" s="11" t="s">
        <v>4</v>
      </c>
      <c r="E582" s="14">
        <f>J580</f>
        <v>50000</v>
      </c>
      <c r="F582" s="40"/>
      <c r="G582" s="41"/>
      <c r="H582" s="41"/>
      <c r="I582" s="41"/>
      <c r="J582" s="9"/>
      <c r="K582" s="9"/>
    </row>
    <row r="583" spans="1:11">
      <c r="A583" s="10" t="s">
        <v>27</v>
      </c>
      <c r="B583" s="10"/>
      <c r="C583" s="10"/>
      <c r="D583" s="11" t="s">
        <v>4</v>
      </c>
      <c r="E583" s="42"/>
      <c r="F583" s="42"/>
      <c r="G583" s="43"/>
      <c r="H583" s="12"/>
      <c r="I583" s="12"/>
      <c r="J583" s="9"/>
      <c r="K583" s="9"/>
    </row>
    <row r="584" spans="1:11">
      <c r="A584" s="10" t="s">
        <v>28</v>
      </c>
      <c r="B584" s="10"/>
      <c r="C584" s="10"/>
      <c r="D584" s="11" t="s">
        <v>4</v>
      </c>
      <c r="E584" s="44"/>
      <c r="F584" s="44"/>
      <c r="G584" s="43"/>
      <c r="H584" s="12"/>
      <c r="I584" s="12"/>
      <c r="J584" s="9"/>
      <c r="K584" s="9"/>
    </row>
    <row r="585" spans="1:11">
      <c r="A585" s="10" t="s">
        <v>29</v>
      </c>
      <c r="B585" s="10"/>
      <c r="C585" s="10"/>
      <c r="D585" s="11" t="s">
        <v>4</v>
      </c>
      <c r="E585" s="44">
        <f>E583+E584</f>
        <v>0</v>
      </c>
      <c r="F585" s="44"/>
      <c r="G585" s="10"/>
      <c r="H585" s="12"/>
      <c r="I585" s="12"/>
      <c r="J585" s="46"/>
      <c r="K585" s="46"/>
    </row>
    <row r="586" spans="1:11">
      <c r="A586" s="13"/>
      <c r="B586" s="13"/>
      <c r="C586" s="13"/>
      <c r="D586" s="11"/>
      <c r="E586" s="13"/>
      <c r="F586" s="13"/>
      <c r="G586" s="10"/>
      <c r="H586" s="12"/>
      <c r="I586" s="12"/>
      <c r="J586" s="46"/>
      <c r="K586" s="46"/>
    </row>
    <row r="587" spans="1:11">
      <c r="A587" s="71" t="s">
        <v>30</v>
      </c>
      <c r="B587" s="71"/>
      <c r="C587" s="71"/>
      <c r="D587" s="11" t="s">
        <v>4</v>
      </c>
      <c r="E587" s="40">
        <f>E582-E585</f>
        <v>50000</v>
      </c>
      <c r="F587" s="40"/>
      <c r="G587" s="10"/>
      <c r="H587" s="12"/>
      <c r="I587" s="12"/>
      <c r="J587" s="46"/>
      <c r="K587" s="46"/>
    </row>
    <row r="588" spans="1:11" ht="15.75">
      <c r="A588" s="13"/>
      <c r="B588" s="13"/>
      <c r="C588" s="10"/>
      <c r="D588" s="10"/>
      <c r="E588" s="16" t="str">
        <f>PROPER(IF(E587=0,"nol",IF(E587&lt;0,"minus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587),"000000000000000"),1,3)=0,"",MID(TEXT(ABS(E587),"000000000000000"),1,1)&amp;" ratus "&amp;MID(TEXT(ABS(E587),"000000000000000"),2,1)&amp;" puluh "&amp;MID(TEXT(ABS(E587),"000000000000000"),3,1)&amp;" trilyun ")&amp;IF(--MID(TEXT(ABS(E587),"000000000000000"),4,3)=0,"",MID(TEXT(ABS(E587),"000000000000000"),4,1)&amp;" ratus "&amp;MID(TEXT(ABS(E587),"000000000000000"),5,1)&amp;" puluh "&amp;MID(TEXT(ABS(E587),"000000000000000"),6,1)&amp;" milyar ")&amp;IF(--MID(TEXT(ABS(E587),"000000000000000"),7,3)=0,"",MID(TEXT(ABS(E587),"000000000000000"),7,1)&amp;" ratus "&amp;MID(TEXT(ABS(E587),"000000000000000"),8,1)&amp;" puluh "&amp;MID(TEXT(ABS(E587),"000000000000000"),9,1)&amp;" juta ")&amp;IF(--MID(TEXT(ABS(E587),"000000000000000"),10,3)=0,"",IF(--MID(TEXT(ABS(E587),"000000000000000"),10,3)=1,"*",MID(TEXT(ABS(E587),"000000000000000"),10,1)&amp;" ratus "&amp;MID(TEXT(ABS(E587),"000000000000000"),11,1)&amp;" puluh ")&amp;MID(TEXT(ABS(E587),"000000000000000"),12,1)&amp;" ribu ")&amp;IF(--MID(TEXT(ABS(E587),"000000000000000"),13,3)=0,"",MID(TEXT(ABS(E587),"000000000000000"),13,1)&amp;" ratus "&amp;MID(TEXT(ABS(E587),"000000000000000"),14,1)&amp;" puluh "&amp;MID(TEXT(ABS(E587),"000000000000000"),15,1)),1,"satu"),2,"dua"),3,"tiga"),4,"empat"),5,"lima"),6,"enam"),7,"tujuh"),8,"delapan"),9,"sembilan"),"0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Puluh Ribu Rupiah</v>
      </c>
      <c r="F588" s="10"/>
      <c r="G588" s="10"/>
      <c r="H588" s="10"/>
      <c r="I588" s="10"/>
      <c r="J588" s="46"/>
      <c r="K588" s="46"/>
    </row>
    <row r="589" spans="1:11">
      <c r="A589" s="45"/>
      <c r="B589" s="45"/>
      <c r="C589" s="45"/>
      <c r="D589" s="45"/>
      <c r="E589" s="45"/>
      <c r="F589" s="45"/>
      <c r="G589" s="29"/>
      <c r="H589" s="46"/>
      <c r="I589" s="46"/>
      <c r="J589" s="46"/>
      <c r="K589" s="46"/>
    </row>
    <row r="590" spans="1:11">
      <c r="A590" s="29"/>
      <c r="B590" s="29"/>
      <c r="C590" s="29"/>
      <c r="D590" s="29"/>
      <c r="E590" s="29"/>
      <c r="F590" s="29"/>
      <c r="G590" s="29"/>
      <c r="H590"/>
      <c r="I590"/>
      <c r="J590" s="46"/>
      <c r="K590" s="46"/>
    </row>
    <row r="591" spans="1:11">
      <c r="A591" s="13"/>
      <c r="B591" s="13"/>
      <c r="C591" s="10"/>
      <c r="D591" s="10"/>
      <c r="E591" s="10"/>
      <c r="F591" s="10"/>
      <c r="G591" s="10"/>
      <c r="I591" s="47"/>
      <c r="J591" s="47" t="s">
        <v>92</v>
      </c>
      <c r="K591" s="46"/>
    </row>
    <row r="592" spans="1:11">
      <c r="A592" s="12" t="s">
        <v>31</v>
      </c>
      <c r="B592" s="10"/>
      <c r="C592" s="10"/>
      <c r="D592" s="10"/>
      <c r="E592" s="10"/>
      <c r="F592" s="10"/>
      <c r="G592" s="10"/>
      <c r="I592" s="12"/>
      <c r="J592" s="12" t="s">
        <v>32</v>
      </c>
      <c r="K592" s="46"/>
    </row>
    <row r="593" spans="1:11">
      <c r="A593" s="10"/>
      <c r="B593" s="10"/>
      <c r="C593" s="10"/>
      <c r="D593" s="10"/>
      <c r="E593" s="10"/>
      <c r="F593" s="10"/>
      <c r="G593" s="10"/>
      <c r="I593" s="12"/>
      <c r="J593" s="12"/>
      <c r="K593" s="46"/>
    </row>
    <row r="594" spans="1:11">
      <c r="A594" s="10"/>
      <c r="B594" s="10"/>
      <c r="C594" s="10"/>
      <c r="D594" s="10"/>
      <c r="E594" s="10"/>
      <c r="F594" s="10"/>
      <c r="G594" s="10"/>
      <c r="I594" s="12"/>
      <c r="J594" s="12"/>
      <c r="K594" s="46"/>
    </row>
    <row r="595" spans="1:11">
      <c r="A595" s="10"/>
      <c r="B595" s="10"/>
      <c r="C595" s="10"/>
      <c r="D595" s="10"/>
      <c r="E595" s="10"/>
      <c r="F595" s="10"/>
      <c r="G595" s="10"/>
      <c r="I595" s="12"/>
      <c r="J595" s="12"/>
      <c r="K595" s="46"/>
    </row>
    <row r="596" spans="1:11">
      <c r="A596" s="10"/>
      <c r="B596" s="10"/>
      <c r="C596" s="10"/>
      <c r="D596" s="10"/>
      <c r="E596" s="10"/>
      <c r="F596" s="10"/>
      <c r="G596" s="10"/>
      <c r="I596" s="12"/>
      <c r="J596" s="12"/>
      <c r="K596" s="46"/>
    </row>
    <row r="597" spans="1:11">
      <c r="A597" s="48" t="s">
        <v>37</v>
      </c>
      <c r="B597" s="48"/>
      <c r="C597" s="49"/>
      <c r="D597" s="49"/>
      <c r="E597" s="49"/>
      <c r="F597" s="49"/>
      <c r="G597" s="10" t="s">
        <v>33</v>
      </c>
      <c r="I597" s="48"/>
      <c r="J597" s="48" t="s">
        <v>34</v>
      </c>
      <c r="K597" s="46"/>
    </row>
    <row r="602" spans="1:11" ht="15.75">
      <c r="C602" s="2"/>
      <c r="D602" s="2"/>
      <c r="E602" s="2"/>
      <c r="F602" s="2"/>
    </row>
    <row r="603" spans="1:11" ht="15.75">
      <c r="A603" s="3"/>
      <c r="B603" s="3"/>
      <c r="C603" s="2"/>
      <c r="D603" s="2"/>
      <c r="E603" s="2"/>
      <c r="F603" s="2"/>
      <c r="G603" s="3"/>
      <c r="H603" s="4"/>
      <c r="I603" s="4"/>
      <c r="J603" s="4"/>
      <c r="K603" s="5"/>
    </row>
    <row r="604" spans="1:11">
      <c r="H604" s="5"/>
      <c r="I604" s="5"/>
      <c r="J604" s="5"/>
      <c r="K604" s="5"/>
    </row>
    <row r="605" spans="1:11">
      <c r="H605" s="5"/>
      <c r="I605" s="5"/>
      <c r="J605" s="5"/>
      <c r="K605" s="5"/>
    </row>
    <row r="606" spans="1:11">
      <c r="A606" s="72" t="s">
        <v>0</v>
      </c>
      <c r="B606" s="72"/>
      <c r="C606" s="73"/>
      <c r="D606" s="73"/>
      <c r="E606" s="73"/>
      <c r="F606" s="73"/>
      <c r="G606" s="73"/>
      <c r="H606" s="73"/>
      <c r="I606" s="73"/>
      <c r="J606" s="73"/>
      <c r="K606" s="73"/>
    </row>
    <row r="607" spans="1:11">
      <c r="A607" s="73" t="s">
        <v>93</v>
      </c>
      <c r="B607" s="73"/>
      <c r="C607" s="73"/>
      <c r="D607" s="73"/>
      <c r="E607" s="73"/>
      <c r="F607" s="73"/>
      <c r="G607" s="73"/>
      <c r="H607" s="73"/>
      <c r="I607" s="73"/>
      <c r="J607" s="73"/>
      <c r="K607" s="73"/>
    </row>
    <row r="608" spans="1:11">
      <c r="A608" s="73" t="s">
        <v>1</v>
      </c>
      <c r="B608" s="73"/>
      <c r="C608" s="73"/>
      <c r="D608" s="73"/>
      <c r="E608" s="73"/>
      <c r="F608" s="73"/>
      <c r="G608" s="73"/>
      <c r="H608" s="73"/>
      <c r="I608" s="73"/>
      <c r="J608" s="73"/>
      <c r="K608" s="73"/>
    </row>
    <row r="609" spans="1:11">
      <c r="A609" s="73" t="s">
        <v>38</v>
      </c>
      <c r="B609" s="73"/>
      <c r="C609" s="73"/>
      <c r="D609" s="73"/>
      <c r="E609" s="73"/>
      <c r="F609" s="73"/>
      <c r="G609" s="73"/>
      <c r="H609" s="73"/>
      <c r="I609" s="73"/>
      <c r="J609" s="73"/>
      <c r="K609" s="73"/>
    </row>
    <row r="610" spans="1:11">
      <c r="A610" s="73" t="s">
        <v>2</v>
      </c>
      <c r="B610" s="73"/>
      <c r="C610" s="73"/>
      <c r="D610" s="73"/>
      <c r="E610" s="73"/>
      <c r="F610" s="73"/>
      <c r="G610" s="73"/>
      <c r="H610" s="73"/>
      <c r="I610" s="73"/>
      <c r="J610" s="73"/>
      <c r="K610" s="73"/>
    </row>
    <row r="611" spans="1:11">
      <c r="A611" s="6"/>
      <c r="B611" s="6"/>
      <c r="C611" s="7"/>
      <c r="D611" s="7"/>
      <c r="E611" s="7"/>
      <c r="F611" s="7"/>
      <c r="G611" s="8"/>
      <c r="H611" s="9"/>
      <c r="I611" s="9"/>
      <c r="J611" s="9"/>
      <c r="K611" s="9"/>
    </row>
    <row r="612" spans="1:11">
      <c r="A612" s="52" t="s">
        <v>3</v>
      </c>
      <c r="B612" s="10"/>
      <c r="C612" s="10"/>
      <c r="D612" s="53" t="s">
        <v>4</v>
      </c>
      <c r="E612" s="10" t="s">
        <v>5</v>
      </c>
      <c r="F612" s="11"/>
      <c r="G612" s="10"/>
      <c r="H612" s="12"/>
      <c r="I612" s="12"/>
      <c r="J612" s="12"/>
      <c r="K612" s="9"/>
    </row>
    <row r="613" spans="1:11">
      <c r="A613" s="52" t="s">
        <v>6</v>
      </c>
      <c r="B613" s="10"/>
      <c r="C613" s="10"/>
      <c r="D613" s="53" t="s">
        <v>4</v>
      </c>
      <c r="E613" s="10" t="s">
        <v>7</v>
      </c>
      <c r="F613" s="11"/>
      <c r="G613" s="10"/>
      <c r="H613" s="12"/>
      <c r="I613" s="12"/>
      <c r="J613" s="12"/>
      <c r="K613" s="9"/>
    </row>
    <row r="614" spans="1:11">
      <c r="A614" s="52" t="s">
        <v>8</v>
      </c>
      <c r="B614" s="10"/>
      <c r="C614" s="10"/>
      <c r="D614" s="53" t="s">
        <v>4</v>
      </c>
      <c r="E614" s="13">
        <v>2026</v>
      </c>
      <c r="F614" s="11"/>
      <c r="G614" s="13"/>
      <c r="H614" s="12"/>
      <c r="I614" s="12"/>
      <c r="J614" s="12"/>
      <c r="K614" s="9"/>
    </row>
    <row r="615" spans="1:11">
      <c r="A615" s="52" t="s">
        <v>9</v>
      </c>
      <c r="B615" s="10"/>
      <c r="C615" s="10"/>
      <c r="D615" s="53" t="s">
        <v>4</v>
      </c>
      <c r="E615" s="14">
        <f>J626</f>
        <v>423899</v>
      </c>
      <c r="F615" s="11"/>
      <c r="G615" s="14"/>
      <c r="H615" s="12"/>
      <c r="I615" s="12"/>
      <c r="J615" s="12"/>
      <c r="K615" s="9"/>
    </row>
    <row r="616" spans="1:11" ht="15.75">
      <c r="A616" s="10"/>
      <c r="B616" s="10"/>
      <c r="C616" s="15" t="s">
        <v>10</v>
      </c>
      <c r="D616" s="53" t="s">
        <v>4</v>
      </c>
      <c r="E616" s="16" t="str">
        <f>PROPER(IF(E615=0,"nol",IF(E615&lt;0,"minus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615),"000000000000000"),1,3)=0,"",MID(TEXT(ABS(E615),"000000000000000"),1,1)&amp;" ratus "&amp;MID(TEXT(ABS(E615),"000000000000000"),2,1)&amp;" puluh "&amp;MID(TEXT(ABS(E615),"000000000000000"),3,1)&amp;" trilyun ")&amp;IF(--MID(TEXT(ABS(E615),"000000000000000"),4,3)=0,"",MID(TEXT(ABS(E615),"000000000000000"),4,1)&amp;" ratus "&amp;MID(TEXT(ABS(E615),"000000000000000"),5,1)&amp;" puluh "&amp;MID(TEXT(ABS(E615),"000000000000000"),6,1)&amp;" milyar ")&amp;IF(--MID(TEXT(ABS(E615),"000000000000000"),7,3)=0,"",MID(TEXT(ABS(E615),"000000000000000"),7,1)&amp;" ratus "&amp;MID(TEXT(ABS(E615),"000000000000000"),8,1)&amp;" puluh "&amp;MID(TEXT(ABS(E615),"000000000000000"),9,1)&amp;" juta ")&amp;IF(--MID(TEXT(ABS(E615),"000000000000000"),10,3)=0,"",IF(--MID(TEXT(ABS(E615),"000000000000000"),10,3)=1,"*",MID(TEXT(ABS(E615),"000000000000000"),10,1)&amp;" ratus "&amp;MID(TEXT(ABS(E615),"000000000000000"),11,1)&amp;" puluh ")&amp;MID(TEXT(ABS(E615),"000000000000000"),12,1)&amp;" ribu ")&amp;IF(--MID(TEXT(ABS(E615),"000000000000000"),13,3)=0,"",MID(TEXT(ABS(E615),"000000000000000"),13,1)&amp;" ratus "&amp;MID(TEXT(ABS(E615),"000000000000000"),14,1)&amp;" puluh "&amp;MID(TEXT(ABS(E615),"000000000000000"),15,1)),1,"satu"),2,"dua"),3,"tiga"),4,"empat"),5,"lima"),6,"enam"),7,"tujuh"),8,"delapan"),9,"sembilan"),"0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Dua Puluh Tiga Ribu Delapan Ratus Sembilan Puluh Sembilan Rupiah</v>
      </c>
      <c r="F616" s="11"/>
      <c r="G616" s="16"/>
      <c r="H616" s="12"/>
      <c r="I616" s="12"/>
      <c r="J616" s="12"/>
      <c r="K616" s="9"/>
    </row>
    <row r="617" spans="1:11" ht="15.75">
      <c r="A617" s="10"/>
      <c r="B617" s="10"/>
      <c r="C617" s="15"/>
      <c r="D617" s="15"/>
      <c r="E617" s="15"/>
      <c r="F617" s="11"/>
      <c r="G617" s="16"/>
      <c r="H617" s="12"/>
      <c r="I617" s="12"/>
      <c r="J617" s="12"/>
      <c r="K617" s="9"/>
    </row>
    <row r="618" spans="1:11">
      <c r="A618" s="10" t="s">
        <v>11</v>
      </c>
      <c r="B618" s="10"/>
      <c r="C618" s="10"/>
      <c r="D618" s="10"/>
      <c r="E618" s="10"/>
      <c r="F618" s="10"/>
      <c r="G618" s="10"/>
      <c r="H618" s="12"/>
      <c r="I618" s="12"/>
      <c r="J618" s="12"/>
      <c r="K618" s="9"/>
    </row>
    <row r="619" spans="1:11">
      <c r="A619" s="74" t="s">
        <v>12</v>
      </c>
      <c r="B619" s="74"/>
      <c r="C619" s="74"/>
      <c r="D619" s="74"/>
      <c r="E619" s="74"/>
      <c r="F619" s="74"/>
      <c r="G619" s="74"/>
      <c r="H619" s="74"/>
      <c r="I619" s="74"/>
      <c r="J619" s="74"/>
      <c r="K619" s="74"/>
    </row>
    <row r="620" spans="1:11" ht="60">
      <c r="A620" s="17" t="s">
        <v>13</v>
      </c>
      <c r="B620" s="18" t="s">
        <v>14</v>
      </c>
      <c r="C620" s="59" t="s">
        <v>15</v>
      </c>
      <c r="D620" s="60"/>
      <c r="E620" s="61"/>
      <c r="F620" s="19"/>
      <c r="G620" s="20" t="s">
        <v>16</v>
      </c>
      <c r="H620" s="21" t="s">
        <v>35</v>
      </c>
      <c r="I620" s="21"/>
      <c r="J620" s="31" t="s">
        <v>17</v>
      </c>
      <c r="K620" s="32" t="s">
        <v>18</v>
      </c>
    </row>
    <row r="621" spans="1:11">
      <c r="A621" s="27">
        <v>1</v>
      </c>
      <c r="B621" s="24"/>
      <c r="C621" s="28" t="s">
        <v>23</v>
      </c>
      <c r="D621" s="57"/>
      <c r="E621" s="26"/>
      <c r="F621" s="25"/>
      <c r="G621" s="54" t="s">
        <v>19</v>
      </c>
      <c r="H621" s="54" t="s">
        <v>19</v>
      </c>
      <c r="I621" s="54"/>
      <c r="J621" s="54" t="s">
        <v>19</v>
      </c>
      <c r="K621" s="54" t="s">
        <v>19</v>
      </c>
    </row>
    <row r="622" spans="1:11">
      <c r="A622" s="24"/>
      <c r="B622" s="55" t="s">
        <v>20</v>
      </c>
      <c r="C622" s="25" t="s">
        <v>24</v>
      </c>
      <c r="D622" s="10"/>
      <c r="E622" s="26"/>
      <c r="F622" s="25"/>
      <c r="G622" s="23">
        <v>45000000</v>
      </c>
      <c r="H622" s="56">
        <f>H576+J576</f>
        <v>4121399</v>
      </c>
      <c r="I622" s="56"/>
      <c r="J622" s="56">
        <v>423899</v>
      </c>
      <c r="K622" s="58">
        <f t="shared" ref="K622:K625" si="25">G622-H622-J622</f>
        <v>40454702</v>
      </c>
    </row>
    <row r="623" spans="1:11">
      <c r="A623" s="24"/>
      <c r="B623" s="55" t="s">
        <v>21</v>
      </c>
      <c r="C623" s="62" t="s">
        <v>39</v>
      </c>
      <c r="D623" s="63"/>
      <c r="E623" s="64"/>
      <c r="F623" s="25"/>
      <c r="G623" s="23">
        <v>35000000</v>
      </c>
      <c r="H623" s="56">
        <f t="shared" ref="H623:H624" si="26">H577+J577</f>
        <v>7818480</v>
      </c>
      <c r="I623" s="56"/>
      <c r="J623" s="56">
        <v>0</v>
      </c>
      <c r="K623" s="58">
        <f t="shared" si="25"/>
        <v>27181520</v>
      </c>
    </row>
    <row r="624" spans="1:11">
      <c r="A624" s="24"/>
      <c r="B624" s="55" t="s">
        <v>22</v>
      </c>
      <c r="C624" s="65" t="s">
        <v>40</v>
      </c>
      <c r="D624" s="66"/>
      <c r="E624" s="67"/>
      <c r="F624" s="25"/>
      <c r="G624" s="23">
        <v>30000000</v>
      </c>
      <c r="H624" s="56">
        <f t="shared" si="26"/>
        <v>8024000</v>
      </c>
      <c r="I624" s="22"/>
      <c r="J624" s="22">
        <v>0</v>
      </c>
      <c r="K624" s="33">
        <f t="shared" si="25"/>
        <v>21976000</v>
      </c>
    </row>
    <row r="625" spans="1:11">
      <c r="A625" s="24"/>
      <c r="B625" s="55" t="s">
        <v>36</v>
      </c>
      <c r="C625" s="68" t="s">
        <v>41</v>
      </c>
      <c r="D625" s="69"/>
      <c r="E625" s="70"/>
      <c r="F625" s="25"/>
      <c r="G625" s="23">
        <v>28125000</v>
      </c>
      <c r="H625" s="56">
        <f>H579+J579</f>
        <v>4590650</v>
      </c>
      <c r="I625" s="22"/>
      <c r="J625" s="22">
        <v>0</v>
      </c>
      <c r="K625" s="33">
        <f t="shared" si="25"/>
        <v>23534350</v>
      </c>
    </row>
    <row r="626" spans="1:11">
      <c r="A626" s="34"/>
      <c r="B626" s="34"/>
      <c r="C626" s="34" t="s">
        <v>25</v>
      </c>
      <c r="D626" s="34"/>
      <c r="E626" s="34"/>
      <c r="F626" s="35"/>
      <c r="G626" s="36">
        <f>SUM(G621:G625)</f>
        <v>138125000</v>
      </c>
      <c r="H626" s="37">
        <f>SUM(H621:H625)</f>
        <v>24554529</v>
      </c>
      <c r="I626" s="37"/>
      <c r="J626" s="37">
        <f>SUM(J621:J625)</f>
        <v>423899</v>
      </c>
      <c r="K626" s="37">
        <f>SUM(K621:K625)</f>
        <v>113146572</v>
      </c>
    </row>
    <row r="627" spans="1:11">
      <c r="A627" s="38"/>
      <c r="B627" s="8"/>
      <c r="C627" s="8"/>
      <c r="D627" s="8"/>
      <c r="E627" s="8"/>
      <c r="F627" s="8"/>
      <c r="G627" s="39"/>
      <c r="H627" s="39"/>
      <c r="I627" s="39"/>
      <c r="J627" s="39"/>
      <c r="K627" s="39"/>
    </row>
    <row r="628" spans="1:11">
      <c r="A628" s="71" t="s">
        <v>26</v>
      </c>
      <c r="B628" s="71"/>
      <c r="C628" s="71"/>
      <c r="D628" s="11" t="s">
        <v>4</v>
      </c>
      <c r="E628" s="14">
        <f>J626</f>
        <v>423899</v>
      </c>
      <c r="F628" s="40"/>
      <c r="G628" s="41"/>
      <c r="H628" s="41"/>
      <c r="I628" s="41"/>
      <c r="J628" s="9"/>
      <c r="K628" s="9"/>
    </row>
    <row r="629" spans="1:11">
      <c r="A629" s="10" t="s">
        <v>27</v>
      </c>
      <c r="B629" s="10"/>
      <c r="C629" s="10"/>
      <c r="D629" s="11" t="s">
        <v>4</v>
      </c>
      <c r="E629" s="42"/>
      <c r="F629" s="42"/>
      <c r="G629" s="43"/>
      <c r="H629" s="12"/>
      <c r="I629" s="12"/>
      <c r="J629" s="9"/>
      <c r="K629" s="9"/>
    </row>
    <row r="630" spans="1:11">
      <c r="A630" s="10" t="s">
        <v>28</v>
      </c>
      <c r="B630" s="10"/>
      <c r="C630" s="10"/>
      <c r="D630" s="11" t="s">
        <v>4</v>
      </c>
      <c r="E630" s="44"/>
      <c r="F630" s="44"/>
      <c r="G630" s="43"/>
      <c r="H630" s="12"/>
      <c r="I630" s="12"/>
      <c r="J630" s="9"/>
      <c r="K630" s="9"/>
    </row>
    <row r="631" spans="1:11">
      <c r="A631" s="10" t="s">
        <v>29</v>
      </c>
      <c r="B631" s="10"/>
      <c r="C631" s="10"/>
      <c r="D631" s="11" t="s">
        <v>4</v>
      </c>
      <c r="E631" s="44">
        <f>E629+E630</f>
        <v>0</v>
      </c>
      <c r="F631" s="44"/>
      <c r="G631" s="10"/>
      <c r="H631" s="12"/>
      <c r="I631" s="12"/>
      <c r="J631" s="46"/>
      <c r="K631" s="46"/>
    </row>
    <row r="632" spans="1:11">
      <c r="A632" s="13"/>
      <c r="B632" s="13"/>
      <c r="C632" s="13"/>
      <c r="D632" s="11"/>
      <c r="E632" s="13"/>
      <c r="F632" s="13"/>
      <c r="G632" s="10"/>
      <c r="H632" s="12"/>
      <c r="I632" s="12"/>
      <c r="J632" s="46"/>
      <c r="K632" s="46"/>
    </row>
    <row r="633" spans="1:11">
      <c r="A633" s="71" t="s">
        <v>30</v>
      </c>
      <c r="B633" s="71"/>
      <c r="C633" s="71"/>
      <c r="D633" s="11" t="s">
        <v>4</v>
      </c>
      <c r="E633" s="40">
        <f>E628-E631</f>
        <v>423899</v>
      </c>
      <c r="F633" s="40"/>
      <c r="G633" s="10"/>
      <c r="H633" s="12"/>
      <c r="I633" s="12"/>
      <c r="J633" s="46"/>
      <c r="K633" s="46"/>
    </row>
    <row r="634" spans="1:11" ht="15.75">
      <c r="A634" s="13"/>
      <c r="B634" s="13"/>
      <c r="C634" s="10"/>
      <c r="D634" s="10"/>
      <c r="E634" s="16" t="str">
        <f>PROPER(IF(E633=0,"nol",IF(E633&lt;0,"minus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633),"000000000000000"),1,3)=0,"",MID(TEXT(ABS(E633),"000000000000000"),1,1)&amp;" ratus "&amp;MID(TEXT(ABS(E633),"000000000000000"),2,1)&amp;" puluh "&amp;MID(TEXT(ABS(E633),"000000000000000"),3,1)&amp;" trilyun ")&amp;IF(--MID(TEXT(ABS(E633),"000000000000000"),4,3)=0,"",MID(TEXT(ABS(E633),"000000000000000"),4,1)&amp;" ratus "&amp;MID(TEXT(ABS(E633),"000000000000000"),5,1)&amp;" puluh "&amp;MID(TEXT(ABS(E633),"000000000000000"),6,1)&amp;" milyar ")&amp;IF(--MID(TEXT(ABS(E633),"000000000000000"),7,3)=0,"",MID(TEXT(ABS(E633),"000000000000000"),7,1)&amp;" ratus "&amp;MID(TEXT(ABS(E633),"000000000000000"),8,1)&amp;" puluh "&amp;MID(TEXT(ABS(E633),"000000000000000"),9,1)&amp;" juta ")&amp;IF(--MID(TEXT(ABS(E633),"000000000000000"),10,3)=0,"",IF(--MID(TEXT(ABS(E633),"000000000000000"),10,3)=1,"*",MID(TEXT(ABS(E633),"000000000000000"),10,1)&amp;" ratus "&amp;MID(TEXT(ABS(E633),"000000000000000"),11,1)&amp;" puluh ")&amp;MID(TEXT(ABS(E633),"000000000000000"),12,1)&amp;" ribu ")&amp;IF(--MID(TEXT(ABS(E633),"000000000000000"),13,3)=0,"",MID(TEXT(ABS(E633),"000000000000000"),13,1)&amp;" ratus "&amp;MID(TEXT(ABS(E633),"000000000000000"),14,1)&amp;" puluh "&amp;MID(TEXT(ABS(E633),"000000000000000"),15,1)),1,"satu"),2,"dua"),3,"tiga"),4,"empat"),5,"lima"),6,"enam"),7,"tujuh"),8,"delapan"),9,"sembilan"),"0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Dua Puluh Tiga Ribu Delapan Ratus Sembilan Puluh Sembilan Rupiah</v>
      </c>
      <c r="F634" s="10"/>
      <c r="G634" s="10"/>
      <c r="H634" s="10"/>
      <c r="I634" s="10"/>
      <c r="J634" s="46"/>
      <c r="K634" s="46"/>
    </row>
    <row r="635" spans="1:11">
      <c r="A635" s="45"/>
      <c r="B635" s="45"/>
      <c r="C635" s="45"/>
      <c r="D635" s="45"/>
      <c r="E635" s="45"/>
      <c r="F635" s="45"/>
      <c r="G635" s="29"/>
      <c r="H635" s="46"/>
      <c r="I635" s="46"/>
      <c r="J635" s="46"/>
      <c r="K635" s="46"/>
    </row>
    <row r="636" spans="1:11">
      <c r="A636" s="29"/>
      <c r="B636" s="29"/>
      <c r="C636" s="29"/>
      <c r="D636" s="29"/>
      <c r="E636" s="29"/>
      <c r="F636" s="29"/>
      <c r="G636" s="29"/>
      <c r="H636"/>
      <c r="I636"/>
      <c r="J636" s="46"/>
      <c r="K636" s="46"/>
    </row>
    <row r="637" spans="1:11">
      <c r="A637" s="13"/>
      <c r="B637" s="13"/>
      <c r="C637" s="10"/>
      <c r="D637" s="10"/>
      <c r="E637" s="10"/>
      <c r="F637" s="10"/>
      <c r="G637" s="10"/>
      <c r="I637" s="47"/>
      <c r="J637" s="47" t="s">
        <v>92</v>
      </c>
      <c r="K637" s="46"/>
    </row>
    <row r="638" spans="1:11">
      <c r="A638" s="12" t="s">
        <v>31</v>
      </c>
      <c r="B638" s="10"/>
      <c r="C638" s="10"/>
      <c r="D638" s="10"/>
      <c r="E638" s="10"/>
      <c r="F638" s="10"/>
      <c r="G638" s="10"/>
      <c r="I638" s="12"/>
      <c r="J638" s="12" t="s">
        <v>32</v>
      </c>
      <c r="K638" s="46"/>
    </row>
    <row r="639" spans="1:11">
      <c r="A639" s="10"/>
      <c r="B639" s="10"/>
      <c r="C639" s="10"/>
      <c r="D639" s="10"/>
      <c r="E639" s="10"/>
      <c r="F639" s="10"/>
      <c r="G639" s="10"/>
      <c r="I639" s="12"/>
      <c r="J639" s="12"/>
      <c r="K639" s="46"/>
    </row>
    <row r="640" spans="1:11">
      <c r="A640" s="10"/>
      <c r="B640" s="10"/>
      <c r="C640" s="10"/>
      <c r="D640" s="10"/>
      <c r="E640" s="10"/>
      <c r="F640" s="10"/>
      <c r="G640" s="10"/>
      <c r="I640" s="12"/>
      <c r="J640" s="12"/>
      <c r="K640" s="46"/>
    </row>
    <row r="641" spans="1:11">
      <c r="A641" s="10"/>
      <c r="B641" s="10"/>
      <c r="C641" s="10"/>
      <c r="D641" s="10"/>
      <c r="E641" s="10"/>
      <c r="F641" s="10"/>
      <c r="G641" s="10"/>
      <c r="I641" s="12"/>
      <c r="J641" s="12"/>
      <c r="K641" s="46"/>
    </row>
    <row r="642" spans="1:11">
      <c r="A642" s="10"/>
      <c r="B642" s="10"/>
      <c r="C642" s="10"/>
      <c r="D642" s="10"/>
      <c r="E642" s="10"/>
      <c r="F642" s="10"/>
      <c r="G642" s="10"/>
      <c r="I642" s="12"/>
      <c r="J642" s="12"/>
      <c r="K642" s="46"/>
    </row>
    <row r="643" spans="1:11">
      <c r="A643" s="48" t="s">
        <v>37</v>
      </c>
      <c r="B643" s="48"/>
      <c r="C643" s="49"/>
      <c r="D643" s="49"/>
      <c r="E643" s="49"/>
      <c r="F643" s="49"/>
      <c r="G643" s="10" t="s">
        <v>33</v>
      </c>
      <c r="I643" s="48"/>
      <c r="J643" s="48" t="s">
        <v>34</v>
      </c>
      <c r="K643" s="46"/>
    </row>
    <row r="648" spans="1:11" ht="15.75">
      <c r="C648" s="2"/>
      <c r="D648" s="2"/>
      <c r="E648" s="2"/>
      <c r="F648" s="2"/>
    </row>
    <row r="649" spans="1:11" ht="15.75">
      <c r="A649" s="3"/>
      <c r="B649" s="3"/>
      <c r="C649" s="2"/>
      <c r="D649" s="2"/>
      <c r="E649" s="2"/>
      <c r="F649" s="2"/>
      <c r="G649" s="3"/>
      <c r="H649" s="4"/>
      <c r="I649" s="4"/>
      <c r="J649" s="4"/>
      <c r="K649" s="5"/>
    </row>
    <row r="650" spans="1:11">
      <c r="H650" s="5"/>
      <c r="I650" s="5"/>
      <c r="J650" s="5"/>
      <c r="K650" s="5"/>
    </row>
    <row r="651" spans="1:11">
      <c r="H651" s="5"/>
      <c r="I651" s="5"/>
      <c r="J651" s="5"/>
      <c r="K651" s="5"/>
    </row>
    <row r="652" spans="1:11">
      <c r="A652" s="72" t="s">
        <v>0</v>
      </c>
      <c r="B652" s="72"/>
      <c r="C652" s="73"/>
      <c r="D652" s="73"/>
      <c r="E652" s="73"/>
      <c r="F652" s="73"/>
      <c r="G652" s="73"/>
      <c r="H652" s="73"/>
      <c r="I652" s="73"/>
      <c r="J652" s="73"/>
      <c r="K652" s="73"/>
    </row>
    <row r="653" spans="1:11">
      <c r="A653" s="73" t="s">
        <v>94</v>
      </c>
      <c r="B653" s="73"/>
      <c r="C653" s="73"/>
      <c r="D653" s="73"/>
      <c r="E653" s="73"/>
      <c r="F653" s="73"/>
      <c r="G653" s="73"/>
      <c r="H653" s="73"/>
      <c r="I653" s="73"/>
      <c r="J653" s="73"/>
      <c r="K653" s="73"/>
    </row>
    <row r="654" spans="1:11">
      <c r="A654" s="73" t="s">
        <v>1</v>
      </c>
      <c r="B654" s="73"/>
      <c r="C654" s="73"/>
      <c r="D654" s="73"/>
      <c r="E654" s="73"/>
      <c r="F654" s="73"/>
      <c r="G654" s="73"/>
      <c r="H654" s="73"/>
      <c r="I654" s="73"/>
      <c r="J654" s="73"/>
      <c r="K654" s="73"/>
    </row>
    <row r="655" spans="1:11">
      <c r="A655" s="73" t="s">
        <v>38</v>
      </c>
      <c r="B655" s="73"/>
      <c r="C655" s="73"/>
      <c r="D655" s="73"/>
      <c r="E655" s="73"/>
      <c r="F655" s="73"/>
      <c r="G655" s="73"/>
      <c r="H655" s="73"/>
      <c r="I655" s="73"/>
      <c r="J655" s="73"/>
      <c r="K655" s="73"/>
    </row>
    <row r="656" spans="1:11">
      <c r="A656" s="73" t="s">
        <v>2</v>
      </c>
      <c r="B656" s="73"/>
      <c r="C656" s="73"/>
      <c r="D656" s="73"/>
      <c r="E656" s="73"/>
      <c r="F656" s="73"/>
      <c r="G656" s="73"/>
      <c r="H656" s="73"/>
      <c r="I656" s="73"/>
      <c r="J656" s="73"/>
      <c r="K656" s="73"/>
    </row>
    <row r="657" spans="1:11">
      <c r="A657" s="6"/>
      <c r="B657" s="6"/>
      <c r="C657" s="7"/>
      <c r="D657" s="7"/>
      <c r="E657" s="7"/>
      <c r="F657" s="7"/>
      <c r="G657" s="8"/>
      <c r="H657" s="9"/>
      <c r="I657" s="9"/>
      <c r="J657" s="9"/>
      <c r="K657" s="9"/>
    </row>
    <row r="658" spans="1:11">
      <c r="A658" s="52" t="s">
        <v>3</v>
      </c>
      <c r="B658" s="10"/>
      <c r="C658" s="10"/>
      <c r="D658" s="53" t="s">
        <v>4</v>
      </c>
      <c r="E658" s="10" t="s">
        <v>5</v>
      </c>
      <c r="F658" s="11"/>
      <c r="G658" s="10"/>
      <c r="H658" s="12"/>
      <c r="I658" s="12"/>
      <c r="J658" s="12"/>
      <c r="K658" s="9"/>
    </row>
    <row r="659" spans="1:11">
      <c r="A659" s="52" t="s">
        <v>6</v>
      </c>
      <c r="B659" s="10"/>
      <c r="C659" s="10"/>
      <c r="D659" s="53" t="s">
        <v>4</v>
      </c>
      <c r="E659" s="10" t="s">
        <v>7</v>
      </c>
      <c r="F659" s="11"/>
      <c r="G659" s="10"/>
      <c r="H659" s="12"/>
      <c r="I659" s="12"/>
      <c r="J659" s="12"/>
      <c r="K659" s="9"/>
    </row>
    <row r="660" spans="1:11">
      <c r="A660" s="52" t="s">
        <v>8</v>
      </c>
      <c r="B660" s="10"/>
      <c r="C660" s="10"/>
      <c r="D660" s="53" t="s">
        <v>4</v>
      </c>
      <c r="E660" s="13">
        <v>2026</v>
      </c>
      <c r="F660" s="11"/>
      <c r="G660" s="13"/>
      <c r="H660" s="12"/>
      <c r="I660" s="12"/>
      <c r="J660" s="12"/>
      <c r="K660" s="9"/>
    </row>
    <row r="661" spans="1:11">
      <c r="A661" s="52" t="s">
        <v>9</v>
      </c>
      <c r="B661" s="10"/>
      <c r="C661" s="10"/>
      <c r="D661" s="53" t="s">
        <v>4</v>
      </c>
      <c r="E661" s="14">
        <f>J672</f>
        <v>192500</v>
      </c>
      <c r="F661" s="11"/>
      <c r="G661" s="14"/>
      <c r="H661" s="12"/>
      <c r="I661" s="12"/>
      <c r="J661" s="12"/>
      <c r="K661" s="9"/>
    </row>
    <row r="662" spans="1:11" ht="15.75">
      <c r="A662" s="10"/>
      <c r="B662" s="10"/>
      <c r="C662" s="15" t="s">
        <v>10</v>
      </c>
      <c r="D662" s="53" t="s">
        <v>4</v>
      </c>
      <c r="E662" s="16" t="str">
        <f>PROPER(IF(E661=0,"nol",IF(E661&lt;0,"minus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661),"000000000000000"),1,3)=0,"",MID(TEXT(ABS(E661),"000000000000000"),1,1)&amp;" ratus "&amp;MID(TEXT(ABS(E661),"000000000000000"),2,1)&amp;" puluh "&amp;MID(TEXT(ABS(E661),"000000000000000"),3,1)&amp;" trilyun ")&amp;IF(--MID(TEXT(ABS(E661),"000000000000000"),4,3)=0,"",MID(TEXT(ABS(E661),"000000000000000"),4,1)&amp;" ratus "&amp;MID(TEXT(ABS(E661),"000000000000000"),5,1)&amp;" puluh "&amp;MID(TEXT(ABS(E661),"000000000000000"),6,1)&amp;" milyar ")&amp;IF(--MID(TEXT(ABS(E661),"000000000000000"),7,3)=0,"",MID(TEXT(ABS(E661),"000000000000000"),7,1)&amp;" ratus "&amp;MID(TEXT(ABS(E661),"000000000000000"),8,1)&amp;" puluh "&amp;MID(TEXT(ABS(E661),"000000000000000"),9,1)&amp;" juta ")&amp;IF(--MID(TEXT(ABS(E661),"000000000000000"),10,3)=0,"",IF(--MID(TEXT(ABS(E661),"000000000000000"),10,3)=1,"*",MID(TEXT(ABS(E661),"000000000000000"),10,1)&amp;" ratus "&amp;MID(TEXT(ABS(E661),"000000000000000"),11,1)&amp;" puluh ")&amp;MID(TEXT(ABS(E661),"000000000000000"),12,1)&amp;" ribu ")&amp;IF(--MID(TEXT(ABS(E661),"000000000000000"),13,3)=0,"",MID(TEXT(ABS(E661),"000000000000000"),13,1)&amp;" ratus "&amp;MID(TEXT(ABS(E661),"000000000000000"),14,1)&amp;" puluh "&amp;MID(TEXT(ABS(E661),"000000000000000"),15,1)),1,"satu"),2,"dua"),3,"tiga"),4,"empat"),5,"lima"),6,"enam"),7,"tujuh"),8,"delapan"),9,"sembilan"),"0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Sembilan Puluh Dua Ribu Lima Ratus Rupiah</v>
      </c>
      <c r="F662" s="11"/>
      <c r="G662" s="16"/>
      <c r="H662" s="12"/>
      <c r="I662" s="12"/>
      <c r="J662" s="12"/>
      <c r="K662" s="9"/>
    </row>
    <row r="663" spans="1:11" ht="15.75">
      <c r="A663" s="10"/>
      <c r="B663" s="10"/>
      <c r="C663" s="15"/>
      <c r="D663" s="15"/>
      <c r="E663" s="15"/>
      <c r="F663" s="11"/>
      <c r="G663" s="16"/>
      <c r="H663" s="12"/>
      <c r="I663" s="12"/>
      <c r="J663" s="12"/>
      <c r="K663" s="9"/>
    </row>
    <row r="664" spans="1:11">
      <c r="A664" s="10" t="s">
        <v>11</v>
      </c>
      <c r="B664" s="10"/>
      <c r="C664" s="10"/>
      <c r="D664" s="10"/>
      <c r="E664" s="10"/>
      <c r="F664" s="10"/>
      <c r="G664" s="10"/>
      <c r="H664" s="12"/>
      <c r="I664" s="12"/>
      <c r="J664" s="12"/>
      <c r="K664" s="9"/>
    </row>
    <row r="665" spans="1:11">
      <c r="A665" s="74" t="s">
        <v>12</v>
      </c>
      <c r="B665" s="74"/>
      <c r="C665" s="74"/>
      <c r="D665" s="74"/>
      <c r="E665" s="74"/>
      <c r="F665" s="74"/>
      <c r="G665" s="74"/>
      <c r="H665" s="74"/>
      <c r="I665" s="74"/>
      <c r="J665" s="74"/>
      <c r="K665" s="74"/>
    </row>
    <row r="666" spans="1:11" ht="60">
      <c r="A666" s="17" t="s">
        <v>13</v>
      </c>
      <c r="B666" s="18" t="s">
        <v>14</v>
      </c>
      <c r="C666" s="59" t="s">
        <v>15</v>
      </c>
      <c r="D666" s="60"/>
      <c r="E666" s="61"/>
      <c r="F666" s="19"/>
      <c r="G666" s="20" t="s">
        <v>16</v>
      </c>
      <c r="H666" s="21" t="s">
        <v>35</v>
      </c>
      <c r="I666" s="21"/>
      <c r="J666" s="31" t="s">
        <v>17</v>
      </c>
      <c r="K666" s="32" t="s">
        <v>18</v>
      </c>
    </row>
    <row r="667" spans="1:11">
      <c r="A667" s="27">
        <v>1</v>
      </c>
      <c r="B667" s="24"/>
      <c r="C667" s="28" t="s">
        <v>23</v>
      </c>
      <c r="D667" s="57"/>
      <c r="E667" s="26"/>
      <c r="F667" s="25"/>
      <c r="G667" s="54" t="s">
        <v>19</v>
      </c>
      <c r="H667" s="54" t="s">
        <v>19</v>
      </c>
      <c r="I667" s="54"/>
      <c r="J667" s="54" t="s">
        <v>19</v>
      </c>
      <c r="K667" s="54" t="s">
        <v>19</v>
      </c>
    </row>
    <row r="668" spans="1:11">
      <c r="A668" s="24"/>
      <c r="B668" s="55" t="s">
        <v>20</v>
      </c>
      <c r="C668" s="25" t="s">
        <v>24</v>
      </c>
      <c r="D668" s="10"/>
      <c r="E668" s="26"/>
      <c r="F668" s="25"/>
      <c r="G668" s="23">
        <v>45000000</v>
      </c>
      <c r="H668" s="56">
        <f>H622+J622</f>
        <v>4545298</v>
      </c>
      <c r="I668" s="56"/>
      <c r="J668" s="56">
        <v>0</v>
      </c>
      <c r="K668" s="58">
        <f t="shared" ref="K668:K671" si="27">G668-H668-J668</f>
        <v>40454702</v>
      </c>
    </row>
    <row r="669" spans="1:11" ht="29.25" customHeight="1">
      <c r="A669" s="24"/>
      <c r="B669" s="55" t="s">
        <v>21</v>
      </c>
      <c r="C669" s="62" t="s">
        <v>39</v>
      </c>
      <c r="D669" s="63"/>
      <c r="E669" s="64"/>
      <c r="F669" s="25"/>
      <c r="G669" s="23">
        <v>35000000</v>
      </c>
      <c r="H669" s="56">
        <f t="shared" ref="H669:H670" si="28">H623+J623</f>
        <v>7818480</v>
      </c>
      <c r="I669" s="56"/>
      <c r="J669" s="56">
        <v>192500</v>
      </c>
      <c r="K669" s="58">
        <f t="shared" si="27"/>
        <v>26989020</v>
      </c>
    </row>
    <row r="670" spans="1:11">
      <c r="A670" s="24"/>
      <c r="B670" s="55" t="s">
        <v>22</v>
      </c>
      <c r="C670" s="65" t="s">
        <v>40</v>
      </c>
      <c r="D670" s="66"/>
      <c r="E670" s="67"/>
      <c r="F670" s="25"/>
      <c r="G670" s="23">
        <v>30000000</v>
      </c>
      <c r="H670" s="56">
        <f t="shared" si="28"/>
        <v>8024000</v>
      </c>
      <c r="I670" s="22"/>
      <c r="J670" s="22">
        <v>0</v>
      </c>
      <c r="K670" s="33">
        <f t="shared" si="27"/>
        <v>21976000</v>
      </c>
    </row>
    <row r="671" spans="1:11">
      <c r="A671" s="24"/>
      <c r="B671" s="55" t="s">
        <v>36</v>
      </c>
      <c r="C671" s="68" t="s">
        <v>41</v>
      </c>
      <c r="D671" s="69"/>
      <c r="E671" s="70"/>
      <c r="F671" s="25"/>
      <c r="G671" s="23">
        <v>28125000</v>
      </c>
      <c r="H671" s="56">
        <f>H625+J625</f>
        <v>4590650</v>
      </c>
      <c r="I671" s="22"/>
      <c r="J671" s="22">
        <v>0</v>
      </c>
      <c r="K671" s="33">
        <f t="shared" si="27"/>
        <v>23534350</v>
      </c>
    </row>
    <row r="672" spans="1:11">
      <c r="A672" s="34"/>
      <c r="B672" s="34"/>
      <c r="C672" s="34" t="s">
        <v>25</v>
      </c>
      <c r="D672" s="34"/>
      <c r="E672" s="34"/>
      <c r="F672" s="35"/>
      <c r="G672" s="36">
        <f>SUM(G667:G671)</f>
        <v>138125000</v>
      </c>
      <c r="H672" s="37">
        <f>SUM(H667:H671)</f>
        <v>24978428</v>
      </c>
      <c r="I672" s="37"/>
      <c r="J672" s="37">
        <f>SUM(J667:J671)</f>
        <v>192500</v>
      </c>
      <c r="K672" s="37">
        <f>SUM(K667:K671)</f>
        <v>112954072</v>
      </c>
    </row>
    <row r="673" spans="1:11">
      <c r="A673" s="38"/>
      <c r="B673" s="8"/>
      <c r="C673" s="8"/>
      <c r="D673" s="8"/>
      <c r="E673" s="8"/>
      <c r="F673" s="8"/>
      <c r="G673" s="39"/>
      <c r="H673" s="39"/>
      <c r="I673" s="39"/>
      <c r="J673" s="39"/>
      <c r="K673" s="39"/>
    </row>
    <row r="674" spans="1:11">
      <c r="A674" s="71" t="s">
        <v>26</v>
      </c>
      <c r="B674" s="71"/>
      <c r="C674" s="71"/>
      <c r="D674" s="11" t="s">
        <v>4</v>
      </c>
      <c r="E674" s="14">
        <f>J672</f>
        <v>192500</v>
      </c>
      <c r="F674" s="40"/>
      <c r="G674" s="41"/>
      <c r="H674" s="41"/>
      <c r="I674" s="41"/>
      <c r="J674" s="9"/>
      <c r="K674" s="9"/>
    </row>
    <row r="675" spans="1:11">
      <c r="A675" s="10" t="s">
        <v>27</v>
      </c>
      <c r="B675" s="10"/>
      <c r="C675" s="10"/>
      <c r="D675" s="11" t="s">
        <v>4</v>
      </c>
      <c r="E675" s="42"/>
      <c r="F675" s="42"/>
      <c r="G675" s="43"/>
      <c r="H675" s="12"/>
      <c r="I675" s="12"/>
      <c r="J675" s="9"/>
      <c r="K675" s="9"/>
    </row>
    <row r="676" spans="1:11">
      <c r="A676" s="10" t="s">
        <v>28</v>
      </c>
      <c r="B676" s="10"/>
      <c r="C676" s="10"/>
      <c r="D676" s="11" t="s">
        <v>4</v>
      </c>
      <c r="E676" s="44"/>
      <c r="F676" s="44"/>
      <c r="G676" s="43"/>
      <c r="H676" s="12"/>
      <c r="I676" s="12"/>
      <c r="J676" s="9"/>
      <c r="K676" s="9"/>
    </row>
    <row r="677" spans="1:11">
      <c r="A677" s="10" t="s">
        <v>29</v>
      </c>
      <c r="B677" s="10"/>
      <c r="C677" s="10"/>
      <c r="D677" s="11" t="s">
        <v>4</v>
      </c>
      <c r="E677" s="44">
        <f>E675+E676</f>
        <v>0</v>
      </c>
      <c r="F677" s="44"/>
      <c r="G677" s="10"/>
      <c r="H677" s="12"/>
      <c r="I677" s="12"/>
      <c r="J677" s="46"/>
      <c r="K677" s="46"/>
    </row>
    <row r="678" spans="1:11">
      <c r="A678" s="13"/>
      <c r="B678" s="13"/>
      <c r="C678" s="13"/>
      <c r="D678" s="11"/>
      <c r="E678" s="13"/>
      <c r="F678" s="13"/>
      <c r="G678" s="10"/>
      <c r="H678" s="12"/>
      <c r="I678" s="12"/>
      <c r="J678" s="46"/>
      <c r="K678" s="46"/>
    </row>
    <row r="679" spans="1:11">
      <c r="A679" s="71" t="s">
        <v>30</v>
      </c>
      <c r="B679" s="71"/>
      <c r="C679" s="71"/>
      <c r="D679" s="11" t="s">
        <v>4</v>
      </c>
      <c r="E679" s="40">
        <f>E674-E677</f>
        <v>192500</v>
      </c>
      <c r="F679" s="40"/>
      <c r="G679" s="10"/>
      <c r="H679" s="12"/>
      <c r="I679" s="12"/>
      <c r="J679" s="46"/>
      <c r="K679" s="46"/>
    </row>
    <row r="680" spans="1:11" ht="15.75">
      <c r="A680" s="13"/>
      <c r="B680" s="13"/>
      <c r="C680" s="10"/>
      <c r="D680" s="10"/>
      <c r="E680" s="16" t="str">
        <f>PROPER(IF(E679=0,"nol",IF(E679&lt;0,"minus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679),"000000000000000"),1,3)=0,"",MID(TEXT(ABS(E679),"000000000000000"),1,1)&amp;" ratus "&amp;MID(TEXT(ABS(E679),"000000000000000"),2,1)&amp;" puluh "&amp;MID(TEXT(ABS(E679),"000000000000000"),3,1)&amp;" trilyun ")&amp;IF(--MID(TEXT(ABS(E679),"000000000000000"),4,3)=0,"",MID(TEXT(ABS(E679),"000000000000000"),4,1)&amp;" ratus "&amp;MID(TEXT(ABS(E679),"000000000000000"),5,1)&amp;" puluh "&amp;MID(TEXT(ABS(E679),"000000000000000"),6,1)&amp;" milyar ")&amp;IF(--MID(TEXT(ABS(E679),"000000000000000"),7,3)=0,"",MID(TEXT(ABS(E679),"000000000000000"),7,1)&amp;" ratus "&amp;MID(TEXT(ABS(E679),"000000000000000"),8,1)&amp;" puluh "&amp;MID(TEXT(ABS(E679),"000000000000000"),9,1)&amp;" juta ")&amp;IF(--MID(TEXT(ABS(E679),"000000000000000"),10,3)=0,"",IF(--MID(TEXT(ABS(E679),"000000000000000"),10,3)=1,"*",MID(TEXT(ABS(E679),"000000000000000"),10,1)&amp;" ratus "&amp;MID(TEXT(ABS(E679),"000000000000000"),11,1)&amp;" puluh ")&amp;MID(TEXT(ABS(E679),"000000000000000"),12,1)&amp;" ribu ")&amp;IF(--MID(TEXT(ABS(E679),"000000000000000"),13,3)=0,"",MID(TEXT(ABS(E679),"000000000000000"),13,1)&amp;" ratus "&amp;MID(TEXT(ABS(E679),"000000000000000"),14,1)&amp;" puluh "&amp;MID(TEXT(ABS(E679),"000000000000000"),15,1)),1,"satu"),2,"dua"),3,"tiga"),4,"empat"),5,"lima"),6,"enam"),7,"tujuh"),8,"delapan"),9,"sembilan"),"0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Sembilan Puluh Dua Ribu Lima Ratus Rupiah</v>
      </c>
      <c r="F680" s="10"/>
      <c r="G680" s="10"/>
      <c r="H680" s="10"/>
      <c r="I680" s="10"/>
      <c r="J680" s="46"/>
      <c r="K680" s="46"/>
    </row>
    <row r="681" spans="1:11">
      <c r="A681" s="45"/>
      <c r="B681" s="45"/>
      <c r="C681" s="45"/>
      <c r="D681" s="45"/>
      <c r="E681" s="45"/>
      <c r="F681" s="45"/>
      <c r="G681" s="29"/>
      <c r="H681" s="46"/>
      <c r="I681" s="46"/>
      <c r="J681" s="46"/>
      <c r="K681" s="46"/>
    </row>
    <row r="682" spans="1:11">
      <c r="A682" s="29"/>
      <c r="B682" s="29"/>
      <c r="C682" s="29"/>
      <c r="D682" s="29"/>
      <c r="E682" s="29"/>
      <c r="F682" s="29"/>
      <c r="G682" s="29"/>
      <c r="H682"/>
      <c r="I682"/>
      <c r="J682" s="46"/>
      <c r="K682" s="46"/>
    </row>
    <row r="683" spans="1:11">
      <c r="A683" s="13"/>
      <c r="B683" s="13"/>
      <c r="C683" s="10"/>
      <c r="D683" s="10"/>
      <c r="E683" s="10"/>
      <c r="F683" s="10"/>
      <c r="G683" s="10"/>
      <c r="I683" s="47"/>
      <c r="J683" s="47" t="s">
        <v>92</v>
      </c>
      <c r="K683" s="46"/>
    </row>
    <row r="684" spans="1:11">
      <c r="A684" s="12" t="s">
        <v>31</v>
      </c>
      <c r="B684" s="10"/>
      <c r="C684" s="10"/>
      <c r="D684" s="10"/>
      <c r="E684" s="10"/>
      <c r="F684" s="10"/>
      <c r="G684" s="10"/>
      <c r="I684" s="12"/>
      <c r="J684" s="12" t="s">
        <v>32</v>
      </c>
      <c r="K684" s="46"/>
    </row>
    <row r="685" spans="1:11">
      <c r="A685" s="10"/>
      <c r="B685" s="10"/>
      <c r="C685" s="10"/>
      <c r="D685" s="10"/>
      <c r="E685" s="10"/>
      <c r="F685" s="10"/>
      <c r="G685" s="10"/>
      <c r="I685" s="12"/>
      <c r="J685" s="12"/>
      <c r="K685" s="46"/>
    </row>
    <row r="686" spans="1:11">
      <c r="A686" s="10"/>
      <c r="B686" s="10"/>
      <c r="C686" s="10"/>
      <c r="D686" s="10"/>
      <c r="E686" s="10"/>
      <c r="F686" s="10"/>
      <c r="G686" s="10"/>
      <c r="I686" s="12"/>
      <c r="J686" s="12"/>
      <c r="K686" s="46"/>
    </row>
    <row r="687" spans="1:11">
      <c r="A687" s="10"/>
      <c r="B687" s="10"/>
      <c r="C687" s="10"/>
      <c r="D687" s="10"/>
      <c r="E687" s="10"/>
      <c r="F687" s="10"/>
      <c r="G687" s="10"/>
      <c r="I687" s="12"/>
      <c r="J687" s="12"/>
      <c r="K687" s="46"/>
    </row>
    <row r="688" spans="1:11">
      <c r="A688" s="10"/>
      <c r="B688" s="10"/>
      <c r="C688" s="10"/>
      <c r="D688" s="10"/>
      <c r="E688" s="10"/>
      <c r="F688" s="10"/>
      <c r="G688" s="10"/>
      <c r="I688" s="12"/>
      <c r="J688" s="12"/>
      <c r="K688" s="46"/>
    </row>
    <row r="689" spans="1:11">
      <c r="A689" s="48" t="s">
        <v>37</v>
      </c>
      <c r="B689" s="48"/>
      <c r="C689" s="49"/>
      <c r="D689" s="49"/>
      <c r="E689" s="49"/>
      <c r="F689" s="49"/>
      <c r="G689" s="10" t="s">
        <v>33</v>
      </c>
      <c r="I689" s="48"/>
      <c r="J689" s="48" t="s">
        <v>34</v>
      </c>
      <c r="K689" s="46"/>
    </row>
    <row r="694" spans="1:11" ht="15.75">
      <c r="C694" s="2"/>
      <c r="D694" s="2"/>
      <c r="E694" s="2"/>
      <c r="F694" s="2"/>
    </row>
    <row r="695" spans="1:11" ht="15.75">
      <c r="A695" s="3"/>
      <c r="B695" s="3"/>
      <c r="C695" s="2"/>
      <c r="D695" s="2"/>
      <c r="E695" s="2"/>
      <c r="F695" s="2"/>
      <c r="G695" s="3"/>
      <c r="H695" s="4"/>
      <c r="I695" s="4"/>
      <c r="J695" s="4"/>
      <c r="K695" s="5"/>
    </row>
    <row r="696" spans="1:11">
      <c r="H696" s="5"/>
      <c r="I696" s="5"/>
      <c r="J696" s="5"/>
      <c r="K696" s="5"/>
    </row>
    <row r="697" spans="1:11">
      <c r="H697" s="5"/>
      <c r="I697" s="5"/>
      <c r="J697" s="5"/>
      <c r="K697" s="5"/>
    </row>
    <row r="698" spans="1:11">
      <c r="A698" s="72" t="s">
        <v>0</v>
      </c>
      <c r="B698" s="72"/>
      <c r="C698" s="73"/>
      <c r="D698" s="73"/>
      <c r="E698" s="73"/>
      <c r="F698" s="73"/>
      <c r="G698" s="73"/>
      <c r="H698" s="73"/>
      <c r="I698" s="73"/>
      <c r="J698" s="73"/>
      <c r="K698" s="73"/>
    </row>
    <row r="699" spans="1:11">
      <c r="A699" s="73" t="s">
        <v>95</v>
      </c>
      <c r="B699" s="73"/>
      <c r="C699" s="73"/>
      <c r="D699" s="73"/>
      <c r="E699" s="73"/>
      <c r="F699" s="73"/>
      <c r="G699" s="73"/>
      <c r="H699" s="73"/>
      <c r="I699" s="73"/>
      <c r="J699" s="73"/>
      <c r="K699" s="73"/>
    </row>
    <row r="700" spans="1:11">
      <c r="A700" s="73" t="s">
        <v>1</v>
      </c>
      <c r="B700" s="73"/>
      <c r="C700" s="73"/>
      <c r="D700" s="73"/>
      <c r="E700" s="73"/>
      <c r="F700" s="73"/>
      <c r="G700" s="73"/>
      <c r="H700" s="73"/>
      <c r="I700" s="73"/>
      <c r="J700" s="73"/>
      <c r="K700" s="73"/>
    </row>
    <row r="701" spans="1:11">
      <c r="A701" s="73" t="s">
        <v>38</v>
      </c>
      <c r="B701" s="73"/>
      <c r="C701" s="73"/>
      <c r="D701" s="73"/>
      <c r="E701" s="73"/>
      <c r="F701" s="73"/>
      <c r="G701" s="73"/>
      <c r="H701" s="73"/>
      <c r="I701" s="73"/>
      <c r="J701" s="73"/>
      <c r="K701" s="73"/>
    </row>
    <row r="702" spans="1:11">
      <c r="A702" s="73" t="s">
        <v>2</v>
      </c>
      <c r="B702" s="73"/>
      <c r="C702" s="73"/>
      <c r="D702" s="73"/>
      <c r="E702" s="73"/>
      <c r="F702" s="73"/>
      <c r="G702" s="73"/>
      <c r="H702" s="73"/>
      <c r="I702" s="73"/>
      <c r="J702" s="73"/>
      <c r="K702" s="73"/>
    </row>
    <row r="703" spans="1:11">
      <c r="A703" s="6"/>
      <c r="B703" s="6"/>
      <c r="C703" s="7"/>
      <c r="D703" s="7"/>
      <c r="E703" s="7"/>
      <c r="F703" s="7"/>
      <c r="G703" s="8"/>
      <c r="H703" s="9"/>
      <c r="I703" s="9"/>
      <c r="J703" s="9"/>
      <c r="K703" s="9"/>
    </row>
    <row r="704" spans="1:11">
      <c r="A704" s="52" t="s">
        <v>3</v>
      </c>
      <c r="B704" s="10"/>
      <c r="C704" s="10"/>
      <c r="D704" s="53" t="s">
        <v>4</v>
      </c>
      <c r="E704" s="10" t="s">
        <v>5</v>
      </c>
      <c r="F704" s="11"/>
      <c r="G704" s="10"/>
      <c r="H704" s="12"/>
      <c r="I704" s="12"/>
      <c r="J704" s="12"/>
      <c r="K704" s="9"/>
    </row>
    <row r="705" spans="1:11">
      <c r="A705" s="52" t="s">
        <v>6</v>
      </c>
      <c r="B705" s="10"/>
      <c r="C705" s="10"/>
      <c r="D705" s="53" t="s">
        <v>4</v>
      </c>
      <c r="E705" s="10" t="s">
        <v>7</v>
      </c>
      <c r="F705" s="11"/>
      <c r="G705" s="10"/>
      <c r="H705" s="12"/>
      <c r="I705" s="12"/>
      <c r="J705" s="12"/>
      <c r="K705" s="9"/>
    </row>
    <row r="706" spans="1:11">
      <c r="A706" s="52" t="s">
        <v>8</v>
      </c>
      <c r="B706" s="10"/>
      <c r="C706" s="10"/>
      <c r="D706" s="53" t="s">
        <v>4</v>
      </c>
      <c r="E706" s="13">
        <v>2026</v>
      </c>
      <c r="F706" s="11"/>
      <c r="G706" s="13"/>
      <c r="H706" s="12"/>
      <c r="I706" s="12"/>
      <c r="J706" s="12"/>
      <c r="K706" s="9"/>
    </row>
    <row r="707" spans="1:11">
      <c r="A707" s="52" t="s">
        <v>9</v>
      </c>
      <c r="B707" s="10"/>
      <c r="C707" s="10"/>
      <c r="D707" s="53" t="s">
        <v>4</v>
      </c>
      <c r="E707" s="14">
        <f>J718</f>
        <v>49000</v>
      </c>
      <c r="F707" s="11"/>
      <c r="G707" s="14"/>
      <c r="H707" s="12"/>
      <c r="I707" s="12"/>
      <c r="J707" s="12"/>
      <c r="K707" s="9"/>
    </row>
    <row r="708" spans="1:11" ht="15.75">
      <c r="A708" s="10"/>
      <c r="B708" s="10"/>
      <c r="C708" s="15" t="s">
        <v>10</v>
      </c>
      <c r="D708" s="53" t="s">
        <v>4</v>
      </c>
      <c r="E708" s="16" t="str">
        <f>PROPER(IF(E707=0,"nol",IF(E707&lt;0,"minus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707),"000000000000000"),1,3)=0,"",MID(TEXT(ABS(E707),"000000000000000"),1,1)&amp;" ratus "&amp;MID(TEXT(ABS(E707),"000000000000000"),2,1)&amp;" puluh "&amp;MID(TEXT(ABS(E707),"000000000000000"),3,1)&amp;" trilyun ")&amp;IF(--MID(TEXT(ABS(E707),"000000000000000"),4,3)=0,"",MID(TEXT(ABS(E707),"000000000000000"),4,1)&amp;" ratus "&amp;MID(TEXT(ABS(E707),"000000000000000"),5,1)&amp;" puluh "&amp;MID(TEXT(ABS(E707),"000000000000000"),6,1)&amp;" milyar ")&amp;IF(--MID(TEXT(ABS(E707),"000000000000000"),7,3)=0,"",MID(TEXT(ABS(E707),"000000000000000"),7,1)&amp;" ratus "&amp;MID(TEXT(ABS(E707),"000000000000000"),8,1)&amp;" puluh "&amp;MID(TEXT(ABS(E707),"000000000000000"),9,1)&amp;" juta ")&amp;IF(--MID(TEXT(ABS(E707),"000000000000000"),10,3)=0,"",IF(--MID(TEXT(ABS(E707),"000000000000000"),10,3)=1,"*",MID(TEXT(ABS(E707),"000000000000000"),10,1)&amp;" ratus "&amp;MID(TEXT(ABS(E707),"000000000000000"),11,1)&amp;" puluh ")&amp;MID(TEXT(ABS(E707),"000000000000000"),12,1)&amp;" ribu ")&amp;IF(--MID(TEXT(ABS(E707),"000000000000000"),13,3)=0,"",MID(TEXT(ABS(E707),"000000000000000"),13,1)&amp;" ratus "&amp;MID(TEXT(ABS(E707),"000000000000000"),14,1)&amp;" puluh "&amp;MID(TEXT(ABS(E707),"000000000000000"),15,1)),1,"satu"),2,"dua"),3,"tiga"),4,"empat"),5,"lima"),6,"enam"),7,"tujuh"),8,"delapan"),9,"sembilan"),"0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Sembilan Ribu Rupiah</v>
      </c>
      <c r="F708" s="11"/>
      <c r="G708" s="16"/>
      <c r="H708" s="12"/>
      <c r="I708" s="12"/>
      <c r="J708" s="12"/>
      <c r="K708" s="9"/>
    </row>
    <row r="709" spans="1:11" ht="15.75">
      <c r="A709" s="10"/>
      <c r="B709" s="10"/>
      <c r="C709" s="15"/>
      <c r="D709" s="15"/>
      <c r="E709" s="15"/>
      <c r="F709" s="11"/>
      <c r="G709" s="16"/>
      <c r="H709" s="12"/>
      <c r="I709" s="12"/>
      <c r="J709" s="12"/>
      <c r="K709" s="9"/>
    </row>
    <row r="710" spans="1:11">
      <c r="A710" s="10" t="s">
        <v>11</v>
      </c>
      <c r="B710" s="10"/>
      <c r="C710" s="10"/>
      <c r="D710" s="10"/>
      <c r="E710" s="10"/>
      <c r="F710" s="10"/>
      <c r="G710" s="10"/>
      <c r="H710" s="12"/>
      <c r="I710" s="12"/>
      <c r="J710" s="12"/>
      <c r="K710" s="9"/>
    </row>
    <row r="711" spans="1:11">
      <c r="A711" s="74" t="s">
        <v>12</v>
      </c>
      <c r="B711" s="74"/>
      <c r="C711" s="74"/>
      <c r="D711" s="74"/>
      <c r="E711" s="74"/>
      <c r="F711" s="74"/>
      <c r="G711" s="74"/>
      <c r="H711" s="74"/>
      <c r="I711" s="74"/>
      <c r="J711" s="74"/>
      <c r="K711" s="74"/>
    </row>
    <row r="712" spans="1:11" ht="60">
      <c r="A712" s="17" t="s">
        <v>13</v>
      </c>
      <c r="B712" s="18" t="s">
        <v>14</v>
      </c>
      <c r="C712" s="59" t="s">
        <v>15</v>
      </c>
      <c r="D712" s="60"/>
      <c r="E712" s="61"/>
      <c r="F712" s="19"/>
      <c r="G712" s="20" t="s">
        <v>16</v>
      </c>
      <c r="H712" s="21" t="s">
        <v>35</v>
      </c>
      <c r="I712" s="21"/>
      <c r="J712" s="31" t="s">
        <v>17</v>
      </c>
      <c r="K712" s="32" t="s">
        <v>18</v>
      </c>
    </row>
    <row r="713" spans="1:11">
      <c r="A713" s="27">
        <v>1</v>
      </c>
      <c r="B713" s="24"/>
      <c r="C713" s="28" t="s">
        <v>23</v>
      </c>
      <c r="D713" s="57"/>
      <c r="E713" s="26"/>
      <c r="F713" s="25"/>
      <c r="G713" s="54" t="s">
        <v>19</v>
      </c>
      <c r="H713" s="54" t="s">
        <v>19</v>
      </c>
      <c r="I713" s="54"/>
      <c r="J713" s="54" t="s">
        <v>19</v>
      </c>
      <c r="K713" s="54" t="s">
        <v>19</v>
      </c>
    </row>
    <row r="714" spans="1:11">
      <c r="A714" s="24"/>
      <c r="B714" s="55" t="s">
        <v>20</v>
      </c>
      <c r="C714" s="25" t="s">
        <v>24</v>
      </c>
      <c r="D714" s="10"/>
      <c r="E714" s="26"/>
      <c r="F714" s="25"/>
      <c r="G714" s="23">
        <v>45000000</v>
      </c>
      <c r="H714" s="56">
        <f>H668+J668</f>
        <v>4545298</v>
      </c>
      <c r="I714" s="56"/>
      <c r="J714" s="56">
        <v>49000</v>
      </c>
      <c r="K714" s="58">
        <f t="shared" ref="K714:K717" si="29">G714-H714-J714</f>
        <v>40405702</v>
      </c>
    </row>
    <row r="715" spans="1:11">
      <c r="A715" s="24"/>
      <c r="B715" s="55" t="s">
        <v>21</v>
      </c>
      <c r="C715" s="62" t="s">
        <v>39</v>
      </c>
      <c r="D715" s="63"/>
      <c r="E715" s="64"/>
      <c r="F715" s="25"/>
      <c r="G715" s="23">
        <v>35000000</v>
      </c>
      <c r="H715" s="56">
        <f t="shared" ref="H715:H716" si="30">H669+J669</f>
        <v>8010980</v>
      </c>
      <c r="I715" s="56"/>
      <c r="J715" s="56">
        <v>0</v>
      </c>
      <c r="K715" s="58">
        <f t="shared" si="29"/>
        <v>26989020</v>
      </c>
    </row>
    <row r="716" spans="1:11">
      <c r="A716" s="24"/>
      <c r="B716" s="55" t="s">
        <v>22</v>
      </c>
      <c r="C716" s="65" t="s">
        <v>40</v>
      </c>
      <c r="D716" s="66"/>
      <c r="E716" s="67"/>
      <c r="F716" s="25"/>
      <c r="G716" s="23">
        <v>30000000</v>
      </c>
      <c r="H716" s="56">
        <f t="shared" si="30"/>
        <v>8024000</v>
      </c>
      <c r="I716" s="22"/>
      <c r="J716" s="22">
        <v>0</v>
      </c>
      <c r="K716" s="33">
        <f t="shared" si="29"/>
        <v>21976000</v>
      </c>
    </row>
    <row r="717" spans="1:11">
      <c r="A717" s="24"/>
      <c r="B717" s="55" t="s">
        <v>36</v>
      </c>
      <c r="C717" s="68" t="s">
        <v>41</v>
      </c>
      <c r="D717" s="69"/>
      <c r="E717" s="70"/>
      <c r="F717" s="25"/>
      <c r="G717" s="23">
        <v>28125000</v>
      </c>
      <c r="H717" s="56">
        <f>H671+J671</f>
        <v>4590650</v>
      </c>
      <c r="I717" s="22"/>
      <c r="J717" s="22">
        <v>0</v>
      </c>
      <c r="K717" s="33">
        <f t="shared" si="29"/>
        <v>23534350</v>
      </c>
    </row>
    <row r="718" spans="1:11">
      <c r="A718" s="34"/>
      <c r="B718" s="34"/>
      <c r="C718" s="34" t="s">
        <v>25</v>
      </c>
      <c r="D718" s="34"/>
      <c r="E718" s="34"/>
      <c r="F718" s="35"/>
      <c r="G718" s="36">
        <f>SUM(G713:G717)</f>
        <v>138125000</v>
      </c>
      <c r="H718" s="37">
        <f>SUM(H713:H717)</f>
        <v>25170928</v>
      </c>
      <c r="I718" s="37"/>
      <c r="J718" s="37">
        <f>SUM(J713:J717)</f>
        <v>49000</v>
      </c>
      <c r="K718" s="37">
        <f>SUM(K713:K717)</f>
        <v>112905072</v>
      </c>
    </row>
    <row r="719" spans="1:11">
      <c r="A719" s="38"/>
      <c r="B719" s="8"/>
      <c r="C719" s="8"/>
      <c r="D719" s="8"/>
      <c r="E719" s="8"/>
      <c r="F719" s="8"/>
      <c r="G719" s="39"/>
      <c r="H719" s="39"/>
      <c r="I719" s="39"/>
      <c r="J719" s="39"/>
      <c r="K719" s="39"/>
    </row>
    <row r="720" spans="1:11">
      <c r="A720" s="71" t="s">
        <v>26</v>
      </c>
      <c r="B720" s="71"/>
      <c r="C720" s="71"/>
      <c r="D720" s="11" t="s">
        <v>4</v>
      </c>
      <c r="E720" s="14">
        <f>J718</f>
        <v>49000</v>
      </c>
      <c r="F720" s="40"/>
      <c r="G720" s="41"/>
      <c r="H720" s="41"/>
      <c r="I720" s="41"/>
      <c r="J720" s="9"/>
      <c r="K720" s="9"/>
    </row>
    <row r="721" spans="1:11">
      <c r="A721" s="10" t="s">
        <v>27</v>
      </c>
      <c r="B721" s="10"/>
      <c r="C721" s="10"/>
      <c r="D721" s="11" t="s">
        <v>4</v>
      </c>
      <c r="E721" s="42"/>
      <c r="F721" s="42"/>
      <c r="G721" s="43"/>
      <c r="H721" s="12"/>
      <c r="I721" s="12"/>
      <c r="J721" s="9"/>
      <c r="K721" s="9"/>
    </row>
    <row r="722" spans="1:11">
      <c r="A722" s="10" t="s">
        <v>28</v>
      </c>
      <c r="B722" s="10"/>
      <c r="C722" s="10"/>
      <c r="D722" s="11" t="s">
        <v>4</v>
      </c>
      <c r="E722" s="44"/>
      <c r="F722" s="44"/>
      <c r="G722" s="43"/>
      <c r="H722" s="12"/>
      <c r="I722" s="12"/>
      <c r="J722" s="9"/>
      <c r="K722" s="9"/>
    </row>
    <row r="723" spans="1:11">
      <c r="A723" s="10" t="s">
        <v>29</v>
      </c>
      <c r="B723" s="10"/>
      <c r="C723" s="10"/>
      <c r="D723" s="11" t="s">
        <v>4</v>
      </c>
      <c r="E723" s="44">
        <f>E721+E722</f>
        <v>0</v>
      </c>
      <c r="F723" s="44"/>
      <c r="G723" s="10"/>
      <c r="H723" s="12"/>
      <c r="I723" s="12"/>
      <c r="J723" s="46"/>
      <c r="K723" s="46"/>
    </row>
    <row r="724" spans="1:11">
      <c r="A724" s="13"/>
      <c r="B724" s="13"/>
      <c r="C724" s="13"/>
      <c r="D724" s="11"/>
      <c r="E724" s="13"/>
      <c r="F724" s="13"/>
      <c r="G724" s="10"/>
      <c r="H724" s="12"/>
      <c r="I724" s="12"/>
      <c r="J724" s="46"/>
      <c r="K724" s="46"/>
    </row>
    <row r="725" spans="1:11">
      <c r="A725" s="71" t="s">
        <v>30</v>
      </c>
      <c r="B725" s="71"/>
      <c r="C725" s="71"/>
      <c r="D725" s="11" t="s">
        <v>4</v>
      </c>
      <c r="E725" s="40">
        <f>E720-E723</f>
        <v>49000</v>
      </c>
      <c r="F725" s="40"/>
      <c r="G725" s="10"/>
      <c r="H725" s="12"/>
      <c r="I725" s="12"/>
      <c r="J725" s="46"/>
      <c r="K725" s="46"/>
    </row>
    <row r="726" spans="1:11" ht="15.75">
      <c r="A726" s="13"/>
      <c r="B726" s="13"/>
      <c r="C726" s="10"/>
      <c r="D726" s="10"/>
      <c r="E726" s="16" t="str">
        <f>PROPER(IF(E725=0,"nol",IF(E725&lt;0,"minus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725),"000000000000000"),1,3)=0,"",MID(TEXT(ABS(E725),"000000000000000"),1,1)&amp;" ratus "&amp;MID(TEXT(ABS(E725),"000000000000000"),2,1)&amp;" puluh "&amp;MID(TEXT(ABS(E725),"000000000000000"),3,1)&amp;" trilyun ")&amp;IF(--MID(TEXT(ABS(E725),"000000000000000"),4,3)=0,"",MID(TEXT(ABS(E725),"000000000000000"),4,1)&amp;" ratus "&amp;MID(TEXT(ABS(E725),"000000000000000"),5,1)&amp;" puluh "&amp;MID(TEXT(ABS(E725),"000000000000000"),6,1)&amp;" milyar ")&amp;IF(--MID(TEXT(ABS(E725),"000000000000000"),7,3)=0,"",MID(TEXT(ABS(E725),"000000000000000"),7,1)&amp;" ratus "&amp;MID(TEXT(ABS(E725),"000000000000000"),8,1)&amp;" puluh "&amp;MID(TEXT(ABS(E725),"000000000000000"),9,1)&amp;" juta ")&amp;IF(--MID(TEXT(ABS(E725),"000000000000000"),10,3)=0,"",IF(--MID(TEXT(ABS(E725),"000000000000000"),10,3)=1,"*",MID(TEXT(ABS(E725),"000000000000000"),10,1)&amp;" ratus "&amp;MID(TEXT(ABS(E725),"000000000000000"),11,1)&amp;" puluh ")&amp;MID(TEXT(ABS(E725),"000000000000000"),12,1)&amp;" ribu ")&amp;IF(--MID(TEXT(ABS(E725),"000000000000000"),13,3)=0,"",MID(TEXT(ABS(E725),"000000000000000"),13,1)&amp;" ratus "&amp;MID(TEXT(ABS(E725),"000000000000000"),14,1)&amp;" puluh "&amp;MID(TEXT(ABS(E725),"000000000000000"),15,1)),1,"satu"),2,"dua"),3,"tiga"),4,"empat"),5,"lima"),6,"enam"),7,"tujuh"),8,"delapan"),9,"sembilan"),"0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Sembilan Ribu Rupiah</v>
      </c>
      <c r="F726" s="10"/>
      <c r="G726" s="10"/>
      <c r="H726" s="10"/>
      <c r="I726" s="10"/>
      <c r="J726" s="46"/>
      <c r="K726" s="46"/>
    </row>
    <row r="727" spans="1:11">
      <c r="A727" s="45"/>
      <c r="B727" s="45"/>
      <c r="C727" s="45"/>
      <c r="D727" s="45"/>
      <c r="E727" s="45"/>
      <c r="F727" s="45"/>
      <c r="G727" s="29"/>
      <c r="H727" s="46"/>
      <c r="I727" s="46"/>
      <c r="J727" s="46"/>
      <c r="K727" s="46"/>
    </row>
    <row r="728" spans="1:11">
      <c r="A728" s="29"/>
      <c r="B728" s="29"/>
      <c r="C728" s="29"/>
      <c r="D728" s="29"/>
      <c r="E728" s="29"/>
      <c r="F728" s="29"/>
      <c r="G728" s="29"/>
      <c r="H728"/>
      <c r="I728"/>
      <c r="J728" s="46"/>
      <c r="K728" s="46"/>
    </row>
    <row r="729" spans="1:11">
      <c r="A729" s="13"/>
      <c r="B729" s="13"/>
      <c r="C729" s="10"/>
      <c r="D729" s="10"/>
      <c r="E729" s="10"/>
      <c r="F729" s="10"/>
      <c r="G729" s="10"/>
      <c r="I729" s="47"/>
      <c r="J729" s="47" t="s">
        <v>96</v>
      </c>
      <c r="K729" s="46"/>
    </row>
    <row r="730" spans="1:11">
      <c r="A730" s="12" t="s">
        <v>31</v>
      </c>
      <c r="B730" s="10"/>
      <c r="C730" s="10"/>
      <c r="D730" s="10"/>
      <c r="E730" s="10"/>
      <c r="F730" s="10"/>
      <c r="G730" s="10"/>
      <c r="I730" s="12"/>
      <c r="J730" s="12" t="s">
        <v>32</v>
      </c>
      <c r="K730" s="46"/>
    </row>
    <row r="731" spans="1:11">
      <c r="A731" s="10"/>
      <c r="B731" s="10"/>
      <c r="C731" s="10"/>
      <c r="D731" s="10"/>
      <c r="E731" s="10"/>
      <c r="F731" s="10"/>
      <c r="G731" s="10"/>
      <c r="I731" s="12"/>
      <c r="J731" s="12"/>
      <c r="K731" s="46"/>
    </row>
    <row r="732" spans="1:11">
      <c r="A732" s="10"/>
      <c r="B732" s="10"/>
      <c r="C732" s="10"/>
      <c r="D732" s="10"/>
      <c r="E732" s="10"/>
      <c r="F732" s="10"/>
      <c r="G732" s="10"/>
      <c r="I732" s="12"/>
      <c r="J732" s="12"/>
      <c r="K732" s="46"/>
    </row>
    <row r="733" spans="1:11">
      <c r="A733" s="10"/>
      <c r="B733" s="10"/>
      <c r="C733" s="10"/>
      <c r="D733" s="10"/>
      <c r="E733" s="10"/>
      <c r="F733" s="10"/>
      <c r="G733" s="10"/>
      <c r="I733" s="12"/>
      <c r="J733" s="12"/>
      <c r="K733" s="46"/>
    </row>
    <row r="734" spans="1:11">
      <c r="A734" s="10"/>
      <c r="B734" s="10"/>
      <c r="C734" s="10"/>
      <c r="D734" s="10"/>
      <c r="E734" s="10"/>
      <c r="F734" s="10"/>
      <c r="G734" s="10"/>
      <c r="I734" s="12"/>
      <c r="J734" s="12"/>
      <c r="K734" s="46"/>
    </row>
    <row r="735" spans="1:11">
      <c r="A735" s="48" t="s">
        <v>37</v>
      </c>
      <c r="B735" s="48"/>
      <c r="C735" s="49"/>
      <c r="D735" s="49"/>
      <c r="E735" s="49"/>
      <c r="F735" s="49"/>
      <c r="G735" s="10" t="s">
        <v>33</v>
      </c>
      <c r="I735" s="48"/>
      <c r="J735" s="48" t="s">
        <v>34</v>
      </c>
      <c r="K735" s="46"/>
    </row>
    <row r="740" spans="1:11" ht="15.75">
      <c r="C740" s="2"/>
      <c r="D740" s="2"/>
      <c r="E740" s="2"/>
      <c r="F740" s="2"/>
    </row>
    <row r="741" spans="1:11" ht="15.75">
      <c r="A741" s="3"/>
      <c r="B741" s="3"/>
      <c r="C741" s="2"/>
      <c r="D741" s="2"/>
      <c r="E741" s="2"/>
      <c r="F741" s="2"/>
      <c r="G741" s="3"/>
      <c r="H741" s="4"/>
      <c r="I741" s="4"/>
      <c r="J741" s="4"/>
      <c r="K741" s="5"/>
    </row>
    <row r="742" spans="1:11">
      <c r="H742" s="5"/>
      <c r="I742" s="5"/>
      <c r="J742" s="5"/>
      <c r="K742" s="5"/>
    </row>
    <row r="743" spans="1:11">
      <c r="H743" s="5"/>
      <c r="I743" s="5"/>
      <c r="J743" s="5"/>
      <c r="K743" s="5"/>
    </row>
    <row r="744" spans="1:11">
      <c r="A744" s="72" t="s">
        <v>0</v>
      </c>
      <c r="B744" s="72"/>
      <c r="C744" s="73"/>
      <c r="D744" s="73"/>
      <c r="E744" s="73"/>
      <c r="F744" s="73"/>
      <c r="G744" s="73"/>
      <c r="H744" s="73"/>
      <c r="I744" s="73"/>
      <c r="J744" s="73"/>
      <c r="K744" s="73"/>
    </row>
    <row r="745" spans="1:11">
      <c r="A745" s="73" t="s">
        <v>98</v>
      </c>
      <c r="B745" s="73"/>
      <c r="C745" s="73"/>
      <c r="D745" s="73"/>
      <c r="E745" s="73"/>
      <c r="F745" s="73"/>
      <c r="G745" s="73"/>
      <c r="H745" s="73"/>
      <c r="I745" s="73"/>
      <c r="J745" s="73"/>
      <c r="K745" s="73"/>
    </row>
    <row r="746" spans="1:11">
      <c r="A746" s="73" t="s">
        <v>1</v>
      </c>
      <c r="B746" s="73"/>
      <c r="C746" s="73"/>
      <c r="D746" s="73"/>
      <c r="E746" s="73"/>
      <c r="F746" s="73"/>
      <c r="G746" s="73"/>
      <c r="H746" s="73"/>
      <c r="I746" s="73"/>
      <c r="J746" s="73"/>
      <c r="K746" s="73"/>
    </row>
    <row r="747" spans="1:11">
      <c r="A747" s="73" t="s">
        <v>38</v>
      </c>
      <c r="B747" s="73"/>
      <c r="C747" s="73"/>
      <c r="D747" s="73"/>
      <c r="E747" s="73"/>
      <c r="F747" s="73"/>
      <c r="G747" s="73"/>
      <c r="H747" s="73"/>
      <c r="I747" s="73"/>
      <c r="J747" s="73"/>
      <c r="K747" s="73"/>
    </row>
    <row r="748" spans="1:11">
      <c r="A748" s="73" t="s">
        <v>2</v>
      </c>
      <c r="B748" s="73"/>
      <c r="C748" s="73"/>
      <c r="D748" s="73"/>
      <c r="E748" s="73"/>
      <c r="F748" s="73"/>
      <c r="G748" s="73"/>
      <c r="H748" s="73"/>
      <c r="I748" s="73"/>
      <c r="J748" s="73"/>
      <c r="K748" s="73"/>
    </row>
    <row r="749" spans="1:11">
      <c r="A749" s="6"/>
      <c r="B749" s="6"/>
      <c r="C749" s="7"/>
      <c r="D749" s="7"/>
      <c r="E749" s="7"/>
      <c r="F749" s="7"/>
      <c r="G749" s="8"/>
      <c r="H749" s="9"/>
      <c r="I749" s="9"/>
      <c r="J749" s="9"/>
      <c r="K749" s="9"/>
    </row>
    <row r="750" spans="1:11">
      <c r="A750" s="52" t="s">
        <v>3</v>
      </c>
      <c r="B750" s="10"/>
      <c r="C750" s="10"/>
      <c r="D750" s="53" t="s">
        <v>4</v>
      </c>
      <c r="E750" s="10" t="s">
        <v>5</v>
      </c>
      <c r="F750" s="11"/>
      <c r="G750" s="10"/>
      <c r="H750" s="12"/>
      <c r="I750" s="12"/>
      <c r="J750" s="12"/>
      <c r="K750" s="9"/>
    </row>
    <row r="751" spans="1:11">
      <c r="A751" s="52" t="s">
        <v>6</v>
      </c>
      <c r="B751" s="10"/>
      <c r="C751" s="10"/>
      <c r="D751" s="53" t="s">
        <v>4</v>
      </c>
      <c r="E751" s="10" t="s">
        <v>7</v>
      </c>
      <c r="F751" s="11"/>
      <c r="G751" s="10"/>
      <c r="H751" s="12"/>
      <c r="I751" s="12"/>
      <c r="J751" s="12"/>
      <c r="K751" s="9"/>
    </row>
    <row r="752" spans="1:11">
      <c r="A752" s="52" t="s">
        <v>8</v>
      </c>
      <c r="B752" s="10"/>
      <c r="C752" s="10"/>
      <c r="D752" s="53" t="s">
        <v>4</v>
      </c>
      <c r="E752" s="13">
        <v>2026</v>
      </c>
      <c r="F752" s="11"/>
      <c r="G752" s="13"/>
      <c r="H752" s="12"/>
      <c r="I752" s="12"/>
      <c r="J752" s="12"/>
      <c r="K752" s="9"/>
    </row>
    <row r="753" spans="1:11">
      <c r="A753" s="52" t="s">
        <v>9</v>
      </c>
      <c r="B753" s="10"/>
      <c r="C753" s="10"/>
      <c r="D753" s="53" t="s">
        <v>4</v>
      </c>
      <c r="E753" s="14">
        <f>J764</f>
        <v>250000</v>
      </c>
      <c r="F753" s="11"/>
      <c r="G753" s="14"/>
      <c r="H753" s="12"/>
      <c r="I753" s="12"/>
      <c r="J753" s="12"/>
      <c r="K753" s="9"/>
    </row>
    <row r="754" spans="1:11" ht="15.75">
      <c r="A754" s="10"/>
      <c r="B754" s="10"/>
      <c r="C754" s="15" t="s">
        <v>10</v>
      </c>
      <c r="D754" s="53" t="s">
        <v>4</v>
      </c>
      <c r="E754" s="16" t="str">
        <f>PROPER(IF(E753=0,"nol",IF(E753&lt;0,"minus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753),"000000000000000"),1,3)=0,"",MID(TEXT(ABS(E753),"000000000000000"),1,1)&amp;" ratus "&amp;MID(TEXT(ABS(E753),"000000000000000"),2,1)&amp;" puluh "&amp;MID(TEXT(ABS(E753),"000000000000000"),3,1)&amp;" trilyun ")&amp;IF(--MID(TEXT(ABS(E753),"000000000000000"),4,3)=0,"",MID(TEXT(ABS(E753),"000000000000000"),4,1)&amp;" ratus "&amp;MID(TEXT(ABS(E753),"000000000000000"),5,1)&amp;" puluh "&amp;MID(TEXT(ABS(E753),"000000000000000"),6,1)&amp;" milyar ")&amp;IF(--MID(TEXT(ABS(E753),"000000000000000"),7,3)=0,"",MID(TEXT(ABS(E753),"000000000000000"),7,1)&amp;" ratus "&amp;MID(TEXT(ABS(E753),"000000000000000"),8,1)&amp;" puluh "&amp;MID(TEXT(ABS(E753),"000000000000000"),9,1)&amp;" juta ")&amp;IF(--MID(TEXT(ABS(E753),"000000000000000"),10,3)=0,"",IF(--MID(TEXT(ABS(E753),"000000000000000"),10,3)=1,"*",MID(TEXT(ABS(E753),"000000000000000"),10,1)&amp;" ratus "&amp;MID(TEXT(ABS(E753),"000000000000000"),11,1)&amp;" puluh ")&amp;MID(TEXT(ABS(E753),"000000000000000"),12,1)&amp;" ribu ")&amp;IF(--MID(TEXT(ABS(E753),"000000000000000"),13,3)=0,"",MID(TEXT(ABS(E753),"000000000000000"),13,1)&amp;" ratus "&amp;MID(TEXT(ABS(E753),"000000000000000"),14,1)&amp;" puluh "&amp;MID(TEXT(ABS(E753),"000000000000000"),15,1)),1,"satu"),2,"dua"),3,"tiga"),4,"empat"),5,"lima"),6,"enam"),7,"tujuh"),8,"delapan"),9,"sembilan"),"0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Lima Puluh Ribu Rupiah</v>
      </c>
      <c r="F754" s="11"/>
      <c r="G754" s="16"/>
      <c r="H754" s="12"/>
      <c r="I754" s="12"/>
      <c r="J754" s="12"/>
      <c r="K754" s="9"/>
    </row>
    <row r="755" spans="1:11" ht="15.75">
      <c r="A755" s="10"/>
      <c r="B755" s="10"/>
      <c r="C755" s="15"/>
      <c r="D755" s="15"/>
      <c r="E755" s="15"/>
      <c r="F755" s="11"/>
      <c r="G755" s="16"/>
      <c r="H755" s="12"/>
      <c r="I755" s="12"/>
      <c r="J755" s="12"/>
      <c r="K755" s="9"/>
    </row>
    <row r="756" spans="1:11">
      <c r="A756" s="10" t="s">
        <v>11</v>
      </c>
      <c r="B756" s="10"/>
      <c r="C756" s="10"/>
      <c r="D756" s="10"/>
      <c r="E756" s="10"/>
      <c r="F756" s="10"/>
      <c r="G756" s="10"/>
      <c r="H756" s="12"/>
      <c r="I756" s="12"/>
      <c r="J756" s="12"/>
      <c r="K756" s="9"/>
    </row>
    <row r="757" spans="1:11">
      <c r="A757" s="74" t="s">
        <v>12</v>
      </c>
      <c r="B757" s="74"/>
      <c r="C757" s="74"/>
      <c r="D757" s="74"/>
      <c r="E757" s="74"/>
      <c r="F757" s="74"/>
      <c r="G757" s="74"/>
      <c r="H757" s="74"/>
      <c r="I757" s="74"/>
      <c r="J757" s="74"/>
      <c r="K757" s="74"/>
    </row>
    <row r="758" spans="1:11" ht="60">
      <c r="A758" s="17" t="s">
        <v>13</v>
      </c>
      <c r="B758" s="18" t="s">
        <v>14</v>
      </c>
      <c r="C758" s="59" t="s">
        <v>15</v>
      </c>
      <c r="D758" s="60"/>
      <c r="E758" s="61"/>
      <c r="F758" s="19"/>
      <c r="G758" s="20" t="s">
        <v>16</v>
      </c>
      <c r="H758" s="21" t="s">
        <v>35</v>
      </c>
      <c r="I758" s="21"/>
      <c r="J758" s="31" t="s">
        <v>17</v>
      </c>
      <c r="K758" s="32" t="s">
        <v>18</v>
      </c>
    </row>
    <row r="759" spans="1:11">
      <c r="A759" s="27">
        <v>1</v>
      </c>
      <c r="B759" s="24"/>
      <c r="C759" s="28" t="s">
        <v>23</v>
      </c>
      <c r="D759" s="57"/>
      <c r="E759" s="26"/>
      <c r="F759" s="25"/>
      <c r="G759" s="54" t="s">
        <v>19</v>
      </c>
      <c r="H759" s="54" t="s">
        <v>19</v>
      </c>
      <c r="I759" s="54"/>
      <c r="J759" s="54" t="s">
        <v>19</v>
      </c>
      <c r="K759" s="54" t="s">
        <v>19</v>
      </c>
    </row>
    <row r="760" spans="1:11">
      <c r="A760" s="24"/>
      <c r="B760" s="55" t="s">
        <v>20</v>
      </c>
      <c r="C760" s="25" t="s">
        <v>24</v>
      </c>
      <c r="D760" s="10"/>
      <c r="E760" s="26"/>
      <c r="F760" s="25"/>
      <c r="G760" s="23">
        <v>45000000</v>
      </c>
      <c r="H760" s="56">
        <f>H714+J714</f>
        <v>4594298</v>
      </c>
      <c r="I760" s="56"/>
      <c r="J760" s="56">
        <v>0</v>
      </c>
      <c r="K760" s="58">
        <f t="shared" ref="K760:K763" si="31">G760-H760-J760</f>
        <v>40405702</v>
      </c>
    </row>
    <row r="761" spans="1:11">
      <c r="A761" s="24"/>
      <c r="B761" s="55" t="s">
        <v>21</v>
      </c>
      <c r="C761" s="62" t="s">
        <v>39</v>
      </c>
      <c r="D761" s="63"/>
      <c r="E761" s="64"/>
      <c r="F761" s="25"/>
      <c r="G761" s="23">
        <v>35000000</v>
      </c>
      <c r="H761" s="56">
        <f t="shared" ref="H761:H762" si="32">H715+J715</f>
        <v>8010980</v>
      </c>
      <c r="I761" s="56"/>
      <c r="J761" s="56">
        <v>0</v>
      </c>
      <c r="K761" s="58">
        <f t="shared" si="31"/>
        <v>26989020</v>
      </c>
    </row>
    <row r="762" spans="1:11">
      <c r="A762" s="24"/>
      <c r="B762" s="55" t="s">
        <v>22</v>
      </c>
      <c r="C762" s="65" t="s">
        <v>40</v>
      </c>
      <c r="D762" s="66"/>
      <c r="E762" s="67"/>
      <c r="F762" s="25"/>
      <c r="G762" s="23">
        <v>30000000</v>
      </c>
      <c r="H762" s="56">
        <f t="shared" si="32"/>
        <v>8024000</v>
      </c>
      <c r="I762" s="22"/>
      <c r="J762" s="22">
        <v>250000</v>
      </c>
      <c r="K762" s="33">
        <f t="shared" si="31"/>
        <v>21726000</v>
      </c>
    </row>
    <row r="763" spans="1:11">
      <c r="A763" s="24"/>
      <c r="B763" s="55" t="s">
        <v>36</v>
      </c>
      <c r="C763" s="68" t="s">
        <v>41</v>
      </c>
      <c r="D763" s="69"/>
      <c r="E763" s="70"/>
      <c r="F763" s="25"/>
      <c r="G763" s="23">
        <v>28125000</v>
      </c>
      <c r="H763" s="56">
        <f>H717+J717</f>
        <v>4590650</v>
      </c>
      <c r="I763" s="22"/>
      <c r="J763" s="22">
        <v>0</v>
      </c>
      <c r="K763" s="33">
        <f t="shared" si="31"/>
        <v>23534350</v>
      </c>
    </row>
    <row r="764" spans="1:11">
      <c r="A764" s="34"/>
      <c r="B764" s="34"/>
      <c r="C764" s="34" t="s">
        <v>25</v>
      </c>
      <c r="D764" s="34"/>
      <c r="E764" s="34"/>
      <c r="F764" s="35"/>
      <c r="G764" s="36">
        <f>SUM(G759:G763)</f>
        <v>138125000</v>
      </c>
      <c r="H764" s="37">
        <f>SUM(H759:H763)</f>
        <v>25219928</v>
      </c>
      <c r="I764" s="37"/>
      <c r="J764" s="37">
        <f>SUM(J759:J763)</f>
        <v>250000</v>
      </c>
      <c r="K764" s="37">
        <f>SUM(K759:K763)</f>
        <v>112655072</v>
      </c>
    </row>
    <row r="765" spans="1:11">
      <c r="A765" s="38"/>
      <c r="B765" s="8"/>
      <c r="C765" s="8"/>
      <c r="D765" s="8"/>
      <c r="E765" s="8"/>
      <c r="F765" s="8"/>
      <c r="G765" s="39"/>
      <c r="H765" s="39"/>
      <c r="I765" s="39"/>
      <c r="J765" s="39"/>
      <c r="K765" s="39"/>
    </row>
    <row r="766" spans="1:11">
      <c r="A766" s="71" t="s">
        <v>26</v>
      </c>
      <c r="B766" s="71"/>
      <c r="C766" s="71"/>
      <c r="D766" s="11" t="s">
        <v>4</v>
      </c>
      <c r="E766" s="14">
        <f>J764</f>
        <v>250000</v>
      </c>
      <c r="F766" s="40"/>
      <c r="G766" s="41"/>
      <c r="H766" s="41"/>
      <c r="I766" s="41"/>
      <c r="J766" s="9"/>
      <c r="K766" s="9"/>
    </row>
    <row r="767" spans="1:11">
      <c r="A767" s="10" t="s">
        <v>27</v>
      </c>
      <c r="B767" s="10"/>
      <c r="C767" s="10"/>
      <c r="D767" s="11" t="s">
        <v>4</v>
      </c>
      <c r="E767" s="42"/>
      <c r="F767" s="42"/>
      <c r="G767" s="43"/>
      <c r="H767" s="12"/>
      <c r="I767" s="12"/>
      <c r="J767" s="9"/>
      <c r="K767" s="9"/>
    </row>
    <row r="768" spans="1:11">
      <c r="A768" s="10" t="s">
        <v>28</v>
      </c>
      <c r="B768" s="10"/>
      <c r="C768" s="10"/>
      <c r="D768" s="11" t="s">
        <v>4</v>
      </c>
      <c r="E768" s="44"/>
      <c r="F768" s="44"/>
      <c r="G768" s="43"/>
      <c r="H768" s="12"/>
      <c r="I768" s="12"/>
      <c r="J768" s="9"/>
      <c r="K768" s="9"/>
    </row>
    <row r="769" spans="1:11">
      <c r="A769" s="10" t="s">
        <v>29</v>
      </c>
      <c r="B769" s="10"/>
      <c r="C769" s="10"/>
      <c r="D769" s="11" t="s">
        <v>4</v>
      </c>
      <c r="E769" s="44">
        <f>E767+E768</f>
        <v>0</v>
      </c>
      <c r="F769" s="44"/>
      <c r="G769" s="10"/>
      <c r="H769" s="12"/>
      <c r="I769" s="12"/>
      <c r="J769" s="46"/>
      <c r="K769" s="46"/>
    </row>
    <row r="770" spans="1:11">
      <c r="A770" s="13"/>
      <c r="B770" s="13"/>
      <c r="C770" s="13"/>
      <c r="D770" s="11"/>
      <c r="E770" s="13"/>
      <c r="F770" s="13"/>
      <c r="G770" s="10"/>
      <c r="H770" s="12"/>
      <c r="I770" s="12"/>
      <c r="J770" s="46"/>
      <c r="K770" s="46"/>
    </row>
    <row r="771" spans="1:11">
      <c r="A771" s="71" t="s">
        <v>30</v>
      </c>
      <c r="B771" s="71"/>
      <c r="C771" s="71"/>
      <c r="D771" s="11" t="s">
        <v>4</v>
      </c>
      <c r="E771" s="40">
        <f>E766-E769</f>
        <v>250000</v>
      </c>
      <c r="F771" s="40"/>
      <c r="G771" s="10"/>
      <c r="H771" s="12"/>
      <c r="I771" s="12"/>
      <c r="J771" s="46"/>
      <c r="K771" s="46"/>
    </row>
    <row r="772" spans="1:11" ht="15.75">
      <c r="A772" s="13"/>
      <c r="B772" s="13"/>
      <c r="C772" s="10"/>
      <c r="D772" s="10"/>
      <c r="E772" s="16" t="str">
        <f>PROPER(IF(E771=0,"nol",IF(E771&lt;0,"minus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771),"000000000000000"),1,3)=0,"",MID(TEXT(ABS(E771),"000000000000000"),1,1)&amp;" ratus "&amp;MID(TEXT(ABS(E771),"000000000000000"),2,1)&amp;" puluh "&amp;MID(TEXT(ABS(E771),"000000000000000"),3,1)&amp;" trilyun ")&amp;IF(--MID(TEXT(ABS(E771),"000000000000000"),4,3)=0,"",MID(TEXT(ABS(E771),"000000000000000"),4,1)&amp;" ratus "&amp;MID(TEXT(ABS(E771),"000000000000000"),5,1)&amp;" puluh "&amp;MID(TEXT(ABS(E771),"000000000000000"),6,1)&amp;" milyar ")&amp;IF(--MID(TEXT(ABS(E771),"000000000000000"),7,3)=0,"",MID(TEXT(ABS(E771),"000000000000000"),7,1)&amp;" ratus "&amp;MID(TEXT(ABS(E771),"000000000000000"),8,1)&amp;" puluh "&amp;MID(TEXT(ABS(E771),"000000000000000"),9,1)&amp;" juta ")&amp;IF(--MID(TEXT(ABS(E771),"000000000000000"),10,3)=0,"",IF(--MID(TEXT(ABS(E771),"000000000000000"),10,3)=1,"*",MID(TEXT(ABS(E771),"000000000000000"),10,1)&amp;" ratus "&amp;MID(TEXT(ABS(E771),"000000000000000"),11,1)&amp;" puluh ")&amp;MID(TEXT(ABS(E771),"000000000000000"),12,1)&amp;" ribu ")&amp;IF(--MID(TEXT(ABS(E771),"000000000000000"),13,3)=0,"",MID(TEXT(ABS(E771),"000000000000000"),13,1)&amp;" ratus "&amp;MID(TEXT(ABS(E771),"000000000000000"),14,1)&amp;" puluh "&amp;MID(TEXT(ABS(E771),"000000000000000"),15,1)),1,"satu"),2,"dua"),3,"tiga"),4,"empat"),5,"lima"),6,"enam"),7,"tujuh"),8,"delapan"),9,"sembilan"),"0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Lima Puluh Ribu Rupiah</v>
      </c>
      <c r="F772" s="10"/>
      <c r="G772" s="10"/>
      <c r="H772" s="10"/>
      <c r="I772" s="10"/>
      <c r="J772" s="46"/>
      <c r="K772" s="46"/>
    </row>
    <row r="773" spans="1:11">
      <c r="A773" s="45"/>
      <c r="B773" s="45"/>
      <c r="C773" s="45"/>
      <c r="D773" s="45"/>
      <c r="E773" s="45"/>
      <c r="F773" s="45"/>
      <c r="G773" s="29"/>
      <c r="H773" s="46"/>
      <c r="I773" s="46"/>
      <c r="J773" s="46"/>
      <c r="K773" s="46"/>
    </row>
    <row r="774" spans="1:11">
      <c r="A774" s="29"/>
      <c r="B774" s="29"/>
      <c r="C774" s="29"/>
      <c r="D774" s="29"/>
      <c r="E774" s="29"/>
      <c r="F774" s="29"/>
      <c r="G774" s="29"/>
      <c r="H774"/>
      <c r="I774"/>
      <c r="J774" s="46"/>
      <c r="K774" s="46"/>
    </row>
    <row r="775" spans="1:11">
      <c r="A775" s="13"/>
      <c r="B775" s="13"/>
      <c r="C775" s="10"/>
      <c r="D775" s="10"/>
      <c r="E775" s="10"/>
      <c r="F775" s="10"/>
      <c r="G775" s="10"/>
      <c r="I775" s="47"/>
      <c r="J775" s="47" t="s">
        <v>97</v>
      </c>
      <c r="K775" s="46"/>
    </row>
    <row r="776" spans="1:11">
      <c r="A776" s="12" t="s">
        <v>31</v>
      </c>
      <c r="B776" s="10"/>
      <c r="C776" s="10"/>
      <c r="D776" s="10"/>
      <c r="E776" s="10"/>
      <c r="F776" s="10"/>
      <c r="G776" s="10"/>
      <c r="I776" s="12"/>
      <c r="J776" s="12" t="s">
        <v>32</v>
      </c>
      <c r="K776" s="46"/>
    </row>
    <row r="777" spans="1:11">
      <c r="A777" s="10"/>
      <c r="B777" s="10"/>
      <c r="C777" s="10"/>
      <c r="D777" s="10"/>
      <c r="E777" s="10"/>
      <c r="F777" s="10"/>
      <c r="G777" s="10"/>
      <c r="I777" s="12"/>
      <c r="J777" s="12"/>
      <c r="K777" s="46"/>
    </row>
    <row r="778" spans="1:11">
      <c r="A778" s="10"/>
      <c r="B778" s="10"/>
      <c r="C778" s="10"/>
      <c r="D778" s="10"/>
      <c r="E778" s="10"/>
      <c r="F778" s="10"/>
      <c r="G778" s="10"/>
      <c r="I778" s="12"/>
      <c r="J778" s="12"/>
      <c r="K778" s="46"/>
    </row>
    <row r="779" spans="1:11">
      <c r="A779" s="10"/>
      <c r="B779" s="10"/>
      <c r="C779" s="10"/>
      <c r="D779" s="10"/>
      <c r="E779" s="10"/>
      <c r="F779" s="10"/>
      <c r="G779" s="10"/>
      <c r="I779" s="12"/>
      <c r="J779" s="12"/>
      <c r="K779" s="46"/>
    </row>
    <row r="780" spans="1:11">
      <c r="A780" s="10"/>
      <c r="B780" s="10"/>
      <c r="C780" s="10"/>
      <c r="D780" s="10"/>
      <c r="E780" s="10"/>
      <c r="F780" s="10"/>
      <c r="G780" s="10"/>
      <c r="I780" s="12"/>
      <c r="J780" s="12"/>
      <c r="K780" s="46"/>
    </row>
    <row r="781" spans="1:11">
      <c r="A781" s="48" t="s">
        <v>37</v>
      </c>
      <c r="B781" s="48"/>
      <c r="C781" s="49"/>
      <c r="D781" s="49"/>
      <c r="E781" s="49"/>
      <c r="F781" s="49"/>
      <c r="G781" s="10" t="s">
        <v>33</v>
      </c>
      <c r="I781" s="48"/>
      <c r="J781" s="48" t="s">
        <v>34</v>
      </c>
      <c r="K781" s="46"/>
    </row>
    <row r="786" spans="1:11" ht="15.75">
      <c r="C786" s="2"/>
      <c r="D786" s="2"/>
      <c r="E786" s="2"/>
      <c r="F786" s="2"/>
    </row>
    <row r="787" spans="1:11" ht="15.75">
      <c r="A787" s="3"/>
      <c r="B787" s="3"/>
      <c r="C787" s="2"/>
      <c r="D787" s="2"/>
      <c r="E787" s="2"/>
      <c r="F787" s="2"/>
      <c r="G787" s="3"/>
      <c r="H787" s="4"/>
      <c r="I787" s="4"/>
      <c r="J787" s="4"/>
      <c r="K787" s="5"/>
    </row>
    <row r="788" spans="1:11">
      <c r="H788" s="5"/>
      <c r="I788" s="5"/>
      <c r="J788" s="5"/>
      <c r="K788" s="5"/>
    </row>
    <row r="789" spans="1:11">
      <c r="H789" s="5"/>
      <c r="I789" s="5"/>
      <c r="J789" s="5"/>
      <c r="K789" s="5"/>
    </row>
    <row r="790" spans="1:11">
      <c r="A790" s="72" t="s">
        <v>0</v>
      </c>
      <c r="B790" s="72"/>
      <c r="C790" s="73"/>
      <c r="D790" s="73"/>
      <c r="E790" s="73"/>
      <c r="F790" s="73"/>
      <c r="G790" s="73"/>
      <c r="H790" s="73"/>
      <c r="I790" s="73"/>
      <c r="J790" s="73"/>
      <c r="K790" s="73"/>
    </row>
    <row r="791" spans="1:11">
      <c r="A791" s="73" t="s">
        <v>100</v>
      </c>
      <c r="B791" s="73"/>
      <c r="C791" s="73"/>
      <c r="D791" s="73"/>
      <c r="E791" s="73"/>
      <c r="F791" s="73"/>
      <c r="G791" s="73"/>
      <c r="H791" s="73"/>
      <c r="I791" s="73"/>
      <c r="J791" s="73"/>
      <c r="K791" s="73"/>
    </row>
    <row r="792" spans="1:11">
      <c r="A792" s="73" t="s">
        <v>1</v>
      </c>
      <c r="B792" s="73"/>
      <c r="C792" s="73"/>
      <c r="D792" s="73"/>
      <c r="E792" s="73"/>
      <c r="F792" s="73"/>
      <c r="G792" s="73"/>
      <c r="H792" s="73"/>
      <c r="I792" s="73"/>
      <c r="J792" s="73"/>
      <c r="K792" s="73"/>
    </row>
    <row r="793" spans="1:11">
      <c r="A793" s="73" t="s">
        <v>38</v>
      </c>
      <c r="B793" s="73"/>
      <c r="C793" s="73"/>
      <c r="D793" s="73"/>
      <c r="E793" s="73"/>
      <c r="F793" s="73"/>
      <c r="G793" s="73"/>
      <c r="H793" s="73"/>
      <c r="I793" s="73"/>
      <c r="J793" s="73"/>
      <c r="K793" s="73"/>
    </row>
    <row r="794" spans="1:11">
      <c r="A794" s="73" t="s">
        <v>2</v>
      </c>
      <c r="B794" s="73"/>
      <c r="C794" s="73"/>
      <c r="D794" s="73"/>
      <c r="E794" s="73"/>
      <c r="F794" s="73"/>
      <c r="G794" s="73"/>
      <c r="H794" s="73"/>
      <c r="I794" s="73"/>
      <c r="J794" s="73"/>
      <c r="K794" s="73"/>
    </row>
    <row r="795" spans="1:11">
      <c r="A795" s="6"/>
      <c r="B795" s="6"/>
      <c r="C795" s="7"/>
      <c r="D795" s="7"/>
      <c r="E795" s="7"/>
      <c r="F795" s="7"/>
      <c r="G795" s="8"/>
      <c r="H795" s="9"/>
      <c r="I795" s="9"/>
      <c r="J795" s="9"/>
      <c r="K795" s="9"/>
    </row>
    <row r="796" spans="1:11">
      <c r="A796" s="52" t="s">
        <v>3</v>
      </c>
      <c r="B796" s="10"/>
      <c r="C796" s="10"/>
      <c r="D796" s="53" t="s">
        <v>4</v>
      </c>
      <c r="E796" s="10" t="s">
        <v>5</v>
      </c>
      <c r="F796" s="11"/>
      <c r="G796" s="10"/>
      <c r="H796" s="12"/>
      <c r="I796" s="12"/>
      <c r="J796" s="12"/>
      <c r="K796" s="9"/>
    </row>
    <row r="797" spans="1:11">
      <c r="A797" s="52" t="s">
        <v>6</v>
      </c>
      <c r="B797" s="10"/>
      <c r="C797" s="10"/>
      <c r="D797" s="53" t="s">
        <v>4</v>
      </c>
      <c r="E797" s="10" t="s">
        <v>7</v>
      </c>
      <c r="F797" s="11"/>
      <c r="G797" s="10"/>
      <c r="H797" s="12"/>
      <c r="I797" s="12"/>
      <c r="J797" s="12"/>
      <c r="K797" s="9"/>
    </row>
    <row r="798" spans="1:11">
      <c r="A798" s="52" t="s">
        <v>8</v>
      </c>
      <c r="B798" s="10"/>
      <c r="C798" s="10"/>
      <c r="D798" s="53" t="s">
        <v>4</v>
      </c>
      <c r="E798" s="13">
        <v>2026</v>
      </c>
      <c r="F798" s="11"/>
      <c r="G798" s="13"/>
      <c r="H798" s="12"/>
      <c r="I798" s="12"/>
      <c r="J798" s="12"/>
      <c r="K798" s="9"/>
    </row>
    <row r="799" spans="1:11">
      <c r="A799" s="52" t="s">
        <v>9</v>
      </c>
      <c r="B799" s="10"/>
      <c r="C799" s="10"/>
      <c r="D799" s="53" t="s">
        <v>4</v>
      </c>
      <c r="E799" s="14">
        <f>J810</f>
        <v>413000</v>
      </c>
      <c r="F799" s="11"/>
      <c r="G799" s="14"/>
      <c r="H799" s="12"/>
      <c r="I799" s="12"/>
      <c r="J799" s="12"/>
      <c r="K799" s="9"/>
    </row>
    <row r="800" spans="1:11" ht="15.75">
      <c r="A800" s="10"/>
      <c r="B800" s="10"/>
      <c r="C800" s="15" t="s">
        <v>10</v>
      </c>
      <c r="D800" s="53" t="s">
        <v>4</v>
      </c>
      <c r="E800" s="16" t="str">
        <f>PROPER(IF(E799=0,"nol",IF(E799&lt;0,"minus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799),"000000000000000"),1,3)=0,"",MID(TEXT(ABS(E799),"000000000000000"),1,1)&amp;" ratus "&amp;MID(TEXT(ABS(E799),"000000000000000"),2,1)&amp;" puluh "&amp;MID(TEXT(ABS(E799),"000000000000000"),3,1)&amp;" trilyun ")&amp;IF(--MID(TEXT(ABS(E799),"000000000000000"),4,3)=0,"",MID(TEXT(ABS(E799),"000000000000000"),4,1)&amp;" ratus "&amp;MID(TEXT(ABS(E799),"000000000000000"),5,1)&amp;" puluh "&amp;MID(TEXT(ABS(E799),"000000000000000"),6,1)&amp;" milyar ")&amp;IF(--MID(TEXT(ABS(E799),"000000000000000"),7,3)=0,"",MID(TEXT(ABS(E799),"000000000000000"),7,1)&amp;" ratus "&amp;MID(TEXT(ABS(E799),"000000000000000"),8,1)&amp;" puluh "&amp;MID(TEXT(ABS(E799),"000000000000000"),9,1)&amp;" juta ")&amp;IF(--MID(TEXT(ABS(E799),"000000000000000"),10,3)=0,"",IF(--MID(TEXT(ABS(E799),"000000000000000"),10,3)=1,"*",MID(TEXT(ABS(E799),"000000000000000"),10,1)&amp;" ratus "&amp;MID(TEXT(ABS(E799),"000000000000000"),11,1)&amp;" puluh ")&amp;MID(TEXT(ABS(E799),"000000000000000"),12,1)&amp;" ribu ")&amp;IF(--MID(TEXT(ABS(E799),"000000000000000"),13,3)=0,"",MID(TEXT(ABS(E799),"000000000000000"),13,1)&amp;" ratus "&amp;MID(TEXT(ABS(E799),"000000000000000"),14,1)&amp;" puluh "&amp;MID(TEXT(ABS(E799),"000000000000000"),15,1)),1,"satu"),2,"dua"),3,"tiga"),4,"empat"),5,"lima"),6,"enam"),7,"tujuh"),8,"delapan"),9,"sembilan"),"0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Tigabelas Ribu Rupiah</v>
      </c>
      <c r="F800" s="11"/>
      <c r="G800" s="16"/>
      <c r="H800" s="12"/>
      <c r="I800" s="12"/>
      <c r="J800" s="12"/>
      <c r="K800" s="9"/>
    </row>
    <row r="801" spans="1:11" ht="15.75">
      <c r="A801" s="10"/>
      <c r="B801" s="10"/>
      <c r="C801" s="15"/>
      <c r="D801" s="15"/>
      <c r="E801" s="15"/>
      <c r="F801" s="11"/>
      <c r="G801" s="16"/>
      <c r="H801" s="12"/>
      <c r="I801" s="12"/>
      <c r="J801" s="12"/>
      <c r="K801" s="9"/>
    </row>
    <row r="802" spans="1:11">
      <c r="A802" s="10" t="s">
        <v>11</v>
      </c>
      <c r="B802" s="10"/>
      <c r="C802" s="10"/>
      <c r="D802" s="10"/>
      <c r="E802" s="10"/>
      <c r="F802" s="10"/>
      <c r="G802" s="10"/>
      <c r="H802" s="12"/>
      <c r="I802" s="12"/>
      <c r="J802" s="12"/>
      <c r="K802" s="9"/>
    </row>
    <row r="803" spans="1:11">
      <c r="A803" s="74" t="s">
        <v>12</v>
      </c>
      <c r="B803" s="74"/>
      <c r="C803" s="74"/>
      <c r="D803" s="74"/>
      <c r="E803" s="74"/>
      <c r="F803" s="74"/>
      <c r="G803" s="74"/>
      <c r="H803" s="74"/>
      <c r="I803" s="74"/>
      <c r="J803" s="74"/>
      <c r="K803" s="74"/>
    </row>
    <row r="804" spans="1:11" ht="60">
      <c r="A804" s="17" t="s">
        <v>13</v>
      </c>
      <c r="B804" s="18" t="s">
        <v>14</v>
      </c>
      <c r="C804" s="59" t="s">
        <v>15</v>
      </c>
      <c r="D804" s="60"/>
      <c r="E804" s="61"/>
      <c r="F804" s="19"/>
      <c r="G804" s="20" t="s">
        <v>16</v>
      </c>
      <c r="H804" s="21" t="s">
        <v>35</v>
      </c>
      <c r="I804" s="21"/>
      <c r="J804" s="31" t="s">
        <v>17</v>
      </c>
      <c r="K804" s="32" t="s">
        <v>18</v>
      </c>
    </row>
    <row r="805" spans="1:11">
      <c r="A805" s="27">
        <v>1</v>
      </c>
      <c r="B805" s="24"/>
      <c r="C805" s="28" t="s">
        <v>23</v>
      </c>
      <c r="D805" s="57"/>
      <c r="E805" s="26"/>
      <c r="F805" s="25"/>
      <c r="G805" s="54" t="s">
        <v>19</v>
      </c>
      <c r="H805" s="54" t="s">
        <v>19</v>
      </c>
      <c r="I805" s="54"/>
      <c r="J805" s="54" t="s">
        <v>19</v>
      </c>
      <c r="K805" s="54" t="s">
        <v>19</v>
      </c>
    </row>
    <row r="806" spans="1:11">
      <c r="A806" s="24"/>
      <c r="B806" s="55" t="s">
        <v>20</v>
      </c>
      <c r="C806" s="25" t="s">
        <v>24</v>
      </c>
      <c r="D806" s="10"/>
      <c r="E806" s="26"/>
      <c r="F806" s="25"/>
      <c r="G806" s="23">
        <v>45000000</v>
      </c>
      <c r="H806" s="56">
        <f>H760+J760</f>
        <v>4594298</v>
      </c>
      <c r="I806" s="56"/>
      <c r="J806" s="56">
        <v>0</v>
      </c>
      <c r="K806" s="58">
        <f t="shared" ref="K806:K809" si="33">G806-H806-J806</f>
        <v>40405702</v>
      </c>
    </row>
    <row r="807" spans="1:11">
      <c r="A807" s="24"/>
      <c r="B807" s="55" t="s">
        <v>21</v>
      </c>
      <c r="C807" s="62" t="s">
        <v>39</v>
      </c>
      <c r="D807" s="63"/>
      <c r="E807" s="64"/>
      <c r="F807" s="25"/>
      <c r="G807" s="23">
        <v>35000000</v>
      </c>
      <c r="H807" s="56">
        <f>H761+J761</f>
        <v>8010980</v>
      </c>
      <c r="I807" s="56"/>
      <c r="J807" s="56">
        <v>0</v>
      </c>
      <c r="K807" s="58">
        <f t="shared" si="33"/>
        <v>26989020</v>
      </c>
    </row>
    <row r="808" spans="1:11">
      <c r="A808" s="24"/>
      <c r="B808" s="55" t="s">
        <v>22</v>
      </c>
      <c r="C808" s="65" t="s">
        <v>40</v>
      </c>
      <c r="D808" s="66"/>
      <c r="E808" s="67"/>
      <c r="F808" s="25"/>
      <c r="G808" s="23">
        <v>30000000</v>
      </c>
      <c r="H808" s="56">
        <f t="shared" ref="H808" si="34">H762+J762</f>
        <v>8274000</v>
      </c>
      <c r="I808" s="22"/>
      <c r="J808" s="22">
        <v>413000</v>
      </c>
      <c r="K808" s="33">
        <f t="shared" si="33"/>
        <v>21313000</v>
      </c>
    </row>
    <row r="809" spans="1:11">
      <c r="A809" s="24"/>
      <c r="B809" s="55" t="s">
        <v>36</v>
      </c>
      <c r="C809" s="68" t="s">
        <v>41</v>
      </c>
      <c r="D809" s="69"/>
      <c r="E809" s="70"/>
      <c r="F809" s="25"/>
      <c r="G809" s="23">
        <v>28125000</v>
      </c>
      <c r="H809" s="56">
        <f>H763+J763</f>
        <v>4590650</v>
      </c>
      <c r="I809" s="22"/>
      <c r="J809" s="22">
        <v>0</v>
      </c>
      <c r="K809" s="33">
        <f t="shared" si="33"/>
        <v>23534350</v>
      </c>
    </row>
    <row r="810" spans="1:11">
      <c r="A810" s="34"/>
      <c r="B810" s="34"/>
      <c r="C810" s="34" t="s">
        <v>25</v>
      </c>
      <c r="D810" s="34"/>
      <c r="E810" s="34"/>
      <c r="F810" s="35"/>
      <c r="G810" s="36">
        <f>SUM(G805:G809)</f>
        <v>138125000</v>
      </c>
      <c r="H810" s="37">
        <f>SUM(H805:H809)</f>
        <v>25469928</v>
      </c>
      <c r="I810" s="37"/>
      <c r="J810" s="37">
        <f>SUM(J805:J809)</f>
        <v>413000</v>
      </c>
      <c r="K810" s="37">
        <f>SUM(K805:K809)</f>
        <v>112242072</v>
      </c>
    </row>
    <row r="811" spans="1:11">
      <c r="A811" s="38"/>
      <c r="B811" s="8"/>
      <c r="C811" s="8"/>
      <c r="D811" s="8"/>
      <c r="E811" s="8"/>
      <c r="F811" s="8"/>
      <c r="G811" s="39"/>
      <c r="H811" s="39"/>
      <c r="I811" s="39"/>
      <c r="J811" s="39"/>
      <c r="K811" s="39"/>
    </row>
    <row r="812" spans="1:11">
      <c r="A812" s="71" t="s">
        <v>26</v>
      </c>
      <c r="B812" s="71"/>
      <c r="C812" s="71"/>
      <c r="D812" s="11" t="s">
        <v>4</v>
      </c>
      <c r="E812" s="14">
        <f>J810</f>
        <v>413000</v>
      </c>
      <c r="F812" s="40"/>
      <c r="G812" s="41"/>
      <c r="H812" s="41"/>
      <c r="I812" s="41"/>
      <c r="J812" s="9"/>
      <c r="K812" s="9"/>
    </row>
    <row r="813" spans="1:11">
      <c r="A813" s="10" t="s">
        <v>27</v>
      </c>
      <c r="B813" s="10"/>
      <c r="C813" s="10"/>
      <c r="D813" s="11" t="s">
        <v>4</v>
      </c>
      <c r="E813" s="42"/>
      <c r="F813" s="42"/>
      <c r="G813" s="43"/>
      <c r="H813" s="12"/>
      <c r="I813" s="12"/>
      <c r="J813" s="9"/>
      <c r="K813" s="9"/>
    </row>
    <row r="814" spans="1:11">
      <c r="A814" s="10" t="s">
        <v>28</v>
      </c>
      <c r="B814" s="10"/>
      <c r="C814" s="10"/>
      <c r="D814" s="11" t="s">
        <v>4</v>
      </c>
      <c r="E814" s="44"/>
      <c r="F814" s="44"/>
      <c r="G814" s="43"/>
      <c r="H814" s="12"/>
      <c r="I814" s="12"/>
      <c r="J814" s="9"/>
      <c r="K814" s="9"/>
    </row>
    <row r="815" spans="1:11">
      <c r="A815" s="10" t="s">
        <v>29</v>
      </c>
      <c r="B815" s="10"/>
      <c r="C815" s="10"/>
      <c r="D815" s="11" t="s">
        <v>4</v>
      </c>
      <c r="E815" s="44">
        <f>E813+E814</f>
        <v>0</v>
      </c>
      <c r="F815" s="44"/>
      <c r="G815" s="10"/>
      <c r="H815" s="12"/>
      <c r="I815" s="12"/>
      <c r="J815" s="46"/>
      <c r="K815" s="46"/>
    </row>
    <row r="816" spans="1:11">
      <c r="A816" s="13"/>
      <c r="B816" s="13"/>
      <c r="C816" s="13"/>
      <c r="D816" s="11"/>
      <c r="E816" s="13"/>
      <c r="F816" s="13"/>
      <c r="G816" s="10"/>
      <c r="H816" s="12"/>
      <c r="I816" s="12"/>
      <c r="J816" s="46"/>
      <c r="K816" s="46"/>
    </row>
    <row r="817" spans="1:11">
      <c r="A817" s="71" t="s">
        <v>30</v>
      </c>
      <c r="B817" s="71"/>
      <c r="C817" s="71"/>
      <c r="D817" s="11" t="s">
        <v>4</v>
      </c>
      <c r="E817" s="40">
        <f>E812-E815</f>
        <v>413000</v>
      </c>
      <c r="F817" s="40"/>
      <c r="G817" s="10"/>
      <c r="H817" s="12"/>
      <c r="I817" s="12"/>
      <c r="J817" s="46"/>
      <c r="K817" s="46"/>
    </row>
    <row r="818" spans="1:11" ht="15.75">
      <c r="A818" s="13"/>
      <c r="B818" s="13"/>
      <c r="C818" s="10"/>
      <c r="D818" s="10"/>
      <c r="E818" s="16" t="str">
        <f>PROPER(IF(E817=0,"nol",IF(E817&lt;0,"minus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817),"000000000000000"),1,3)=0,"",MID(TEXT(ABS(E817),"000000000000000"),1,1)&amp;" ratus "&amp;MID(TEXT(ABS(E817),"000000000000000"),2,1)&amp;" puluh "&amp;MID(TEXT(ABS(E817),"000000000000000"),3,1)&amp;" trilyun ")&amp;IF(--MID(TEXT(ABS(E817),"000000000000000"),4,3)=0,"",MID(TEXT(ABS(E817),"000000000000000"),4,1)&amp;" ratus "&amp;MID(TEXT(ABS(E817),"000000000000000"),5,1)&amp;" puluh "&amp;MID(TEXT(ABS(E817),"000000000000000"),6,1)&amp;" milyar ")&amp;IF(--MID(TEXT(ABS(E817),"000000000000000"),7,3)=0,"",MID(TEXT(ABS(E817),"000000000000000"),7,1)&amp;" ratus "&amp;MID(TEXT(ABS(E817),"000000000000000"),8,1)&amp;" puluh "&amp;MID(TEXT(ABS(E817),"000000000000000"),9,1)&amp;" juta ")&amp;IF(--MID(TEXT(ABS(E817),"000000000000000"),10,3)=0,"",IF(--MID(TEXT(ABS(E817),"000000000000000"),10,3)=1,"*",MID(TEXT(ABS(E817),"000000000000000"),10,1)&amp;" ratus "&amp;MID(TEXT(ABS(E817),"000000000000000"),11,1)&amp;" puluh ")&amp;MID(TEXT(ABS(E817),"000000000000000"),12,1)&amp;" ribu ")&amp;IF(--MID(TEXT(ABS(E817),"000000000000000"),13,3)=0,"",MID(TEXT(ABS(E817),"000000000000000"),13,1)&amp;" ratus "&amp;MID(TEXT(ABS(E817),"000000000000000"),14,1)&amp;" puluh "&amp;MID(TEXT(ABS(E817),"000000000000000"),15,1)),1,"satu"),2,"dua"),3,"tiga"),4,"empat"),5,"lima"),6,"enam"),7,"tujuh"),8,"delapan"),9,"sembilan"),"0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Tigabelas Ribu Rupiah</v>
      </c>
      <c r="F818" s="10"/>
      <c r="G818" s="10"/>
      <c r="H818" s="10"/>
      <c r="I818" s="10"/>
      <c r="J818" s="46"/>
      <c r="K818" s="46"/>
    </row>
    <row r="819" spans="1:11">
      <c r="A819" s="45"/>
      <c r="B819" s="45"/>
      <c r="C819" s="45"/>
      <c r="D819" s="45"/>
      <c r="E819" s="45"/>
      <c r="F819" s="45"/>
      <c r="G819" s="29"/>
      <c r="H819" s="46"/>
      <c r="I819" s="46"/>
      <c r="J819" s="46"/>
      <c r="K819" s="46"/>
    </row>
    <row r="820" spans="1:11">
      <c r="A820" s="29"/>
      <c r="B820" s="29"/>
      <c r="C820" s="29"/>
      <c r="D820" s="29"/>
      <c r="E820" s="29"/>
      <c r="F820" s="29"/>
      <c r="G820" s="29"/>
      <c r="H820"/>
      <c r="I820"/>
      <c r="J820" s="46"/>
      <c r="K820" s="46"/>
    </row>
    <row r="821" spans="1:11">
      <c r="A821" s="13"/>
      <c r="B821" s="13"/>
      <c r="C821" s="10"/>
      <c r="D821" s="10"/>
      <c r="E821" s="10"/>
      <c r="F821" s="10"/>
      <c r="G821" s="10"/>
      <c r="I821" s="47"/>
      <c r="J821" s="47" t="s">
        <v>97</v>
      </c>
      <c r="K821" s="46"/>
    </row>
    <row r="822" spans="1:11">
      <c r="A822" s="12" t="s">
        <v>31</v>
      </c>
      <c r="B822" s="10"/>
      <c r="C822" s="10"/>
      <c r="D822" s="10"/>
      <c r="E822" s="10"/>
      <c r="F822" s="10"/>
      <c r="G822" s="10"/>
      <c r="I822" s="12"/>
      <c r="J822" s="12" t="s">
        <v>32</v>
      </c>
      <c r="K822" s="46"/>
    </row>
    <row r="823" spans="1:11">
      <c r="A823" s="10"/>
      <c r="B823" s="10"/>
      <c r="C823" s="10"/>
      <c r="D823" s="10"/>
      <c r="E823" s="10"/>
      <c r="F823" s="10"/>
      <c r="G823" s="10"/>
      <c r="I823" s="12"/>
      <c r="J823" s="12"/>
      <c r="K823" s="46"/>
    </row>
    <row r="824" spans="1:11">
      <c r="A824" s="10"/>
      <c r="B824" s="10"/>
      <c r="C824" s="10"/>
      <c r="D824" s="10"/>
      <c r="E824" s="10"/>
      <c r="F824" s="10"/>
      <c r="G824" s="10"/>
      <c r="I824" s="12"/>
      <c r="J824" s="12"/>
      <c r="K824" s="46"/>
    </row>
    <row r="825" spans="1:11">
      <c r="A825" s="10"/>
      <c r="B825" s="10"/>
      <c r="C825" s="10"/>
      <c r="D825" s="10"/>
      <c r="E825" s="10"/>
      <c r="F825" s="10"/>
      <c r="G825" s="10"/>
      <c r="I825" s="12"/>
      <c r="J825" s="12"/>
      <c r="K825" s="46"/>
    </row>
    <row r="826" spans="1:11">
      <c r="A826" s="10"/>
      <c r="B826" s="10"/>
      <c r="C826" s="10"/>
      <c r="D826" s="10"/>
      <c r="E826" s="10"/>
      <c r="F826" s="10"/>
      <c r="G826" s="10"/>
      <c r="I826" s="12"/>
      <c r="J826" s="12"/>
      <c r="K826" s="46"/>
    </row>
    <row r="827" spans="1:11">
      <c r="A827" s="48" t="s">
        <v>37</v>
      </c>
      <c r="B827" s="48"/>
      <c r="C827" s="49"/>
      <c r="D827" s="49"/>
      <c r="E827" s="49"/>
      <c r="F827" s="49"/>
      <c r="G827" s="10" t="s">
        <v>33</v>
      </c>
      <c r="I827" s="48"/>
      <c r="J827" s="48" t="s">
        <v>34</v>
      </c>
      <c r="K827" s="46"/>
    </row>
    <row r="832" spans="1:11" ht="15.75">
      <c r="C832" s="2"/>
      <c r="D832" s="2"/>
      <c r="E832" s="2"/>
      <c r="F832" s="2"/>
    </row>
    <row r="833" spans="1:11" ht="15.75">
      <c r="A833" s="3"/>
      <c r="B833" s="3"/>
      <c r="C833" s="2"/>
      <c r="D833" s="2"/>
      <c r="E833" s="2"/>
      <c r="F833" s="2"/>
      <c r="G833" s="3"/>
      <c r="H833" s="4"/>
      <c r="I833" s="4"/>
      <c r="J833" s="4"/>
      <c r="K833" s="5"/>
    </row>
    <row r="834" spans="1:11">
      <c r="H834" s="5"/>
      <c r="I834" s="5"/>
      <c r="J834" s="5"/>
      <c r="K834" s="5"/>
    </row>
    <row r="835" spans="1:11">
      <c r="H835" s="5"/>
      <c r="I835" s="5"/>
      <c r="J835" s="5"/>
      <c r="K835" s="5"/>
    </row>
    <row r="836" spans="1:11">
      <c r="A836" s="72" t="s">
        <v>0</v>
      </c>
      <c r="B836" s="72"/>
      <c r="C836" s="73"/>
      <c r="D836" s="73"/>
      <c r="E836" s="73"/>
      <c r="F836" s="73"/>
      <c r="G836" s="73"/>
      <c r="H836" s="73"/>
      <c r="I836" s="73"/>
      <c r="J836" s="73"/>
      <c r="K836" s="73"/>
    </row>
    <row r="837" spans="1:11">
      <c r="A837" s="73" t="s">
        <v>99</v>
      </c>
      <c r="B837" s="73"/>
      <c r="C837" s="73"/>
      <c r="D837" s="73"/>
      <c r="E837" s="73"/>
      <c r="F837" s="73"/>
      <c r="G837" s="73"/>
      <c r="H837" s="73"/>
      <c r="I837" s="73"/>
      <c r="J837" s="73"/>
      <c r="K837" s="73"/>
    </row>
    <row r="838" spans="1:11">
      <c r="A838" s="73" t="s">
        <v>1</v>
      </c>
      <c r="B838" s="73"/>
      <c r="C838" s="73"/>
      <c r="D838" s="73"/>
      <c r="E838" s="73"/>
      <c r="F838" s="73"/>
      <c r="G838" s="73"/>
      <c r="H838" s="73"/>
      <c r="I838" s="73"/>
      <c r="J838" s="73"/>
      <c r="K838" s="73"/>
    </row>
    <row r="839" spans="1:11">
      <c r="A839" s="73" t="s">
        <v>38</v>
      </c>
      <c r="B839" s="73"/>
      <c r="C839" s="73"/>
      <c r="D839" s="73"/>
      <c r="E839" s="73"/>
      <c r="F839" s="73"/>
      <c r="G839" s="73"/>
      <c r="H839" s="73"/>
      <c r="I839" s="73"/>
      <c r="J839" s="73"/>
      <c r="K839" s="73"/>
    </row>
    <row r="840" spans="1:11">
      <c r="A840" s="73" t="s">
        <v>2</v>
      </c>
      <c r="B840" s="73"/>
      <c r="C840" s="73"/>
      <c r="D840" s="73"/>
      <c r="E840" s="73"/>
      <c r="F840" s="73"/>
      <c r="G840" s="73"/>
      <c r="H840" s="73"/>
      <c r="I840" s="73"/>
      <c r="J840" s="73"/>
      <c r="K840" s="73"/>
    </row>
    <row r="841" spans="1:11">
      <c r="A841" s="6"/>
      <c r="B841" s="6"/>
      <c r="C841" s="7"/>
      <c r="D841" s="7"/>
      <c r="E841" s="7"/>
      <c r="F841" s="7"/>
      <c r="G841" s="8"/>
      <c r="H841" s="9"/>
      <c r="I841" s="9"/>
      <c r="J841" s="9"/>
      <c r="K841" s="9"/>
    </row>
    <row r="842" spans="1:11">
      <c r="A842" s="52" t="s">
        <v>3</v>
      </c>
      <c r="B842" s="10"/>
      <c r="C842" s="10"/>
      <c r="D842" s="53" t="s">
        <v>4</v>
      </c>
      <c r="E842" s="10" t="s">
        <v>5</v>
      </c>
      <c r="F842" s="11"/>
      <c r="G842" s="10"/>
      <c r="H842" s="12"/>
      <c r="I842" s="12"/>
      <c r="J842" s="12"/>
      <c r="K842" s="9"/>
    </row>
    <row r="843" spans="1:11">
      <c r="A843" s="52" t="s">
        <v>6</v>
      </c>
      <c r="B843" s="10"/>
      <c r="C843" s="10"/>
      <c r="D843" s="53" t="s">
        <v>4</v>
      </c>
      <c r="E843" s="10" t="s">
        <v>7</v>
      </c>
      <c r="F843" s="11"/>
      <c r="G843" s="10"/>
      <c r="H843" s="12"/>
      <c r="I843" s="12"/>
      <c r="J843" s="12"/>
      <c r="K843" s="9"/>
    </row>
    <row r="844" spans="1:11">
      <c r="A844" s="52" t="s">
        <v>8</v>
      </c>
      <c r="B844" s="10"/>
      <c r="C844" s="10"/>
      <c r="D844" s="53" t="s">
        <v>4</v>
      </c>
      <c r="E844" s="13">
        <v>2026</v>
      </c>
      <c r="F844" s="11"/>
      <c r="G844" s="13"/>
      <c r="H844" s="12"/>
      <c r="I844" s="12"/>
      <c r="J844" s="12"/>
      <c r="K844" s="9"/>
    </row>
    <row r="845" spans="1:11">
      <c r="A845" s="52" t="s">
        <v>9</v>
      </c>
      <c r="B845" s="10"/>
      <c r="C845" s="10"/>
      <c r="D845" s="53" t="s">
        <v>4</v>
      </c>
      <c r="E845" s="14">
        <f>J856</f>
        <v>446000</v>
      </c>
      <c r="F845" s="11"/>
      <c r="G845" s="14"/>
      <c r="H845" s="12"/>
      <c r="I845" s="12"/>
      <c r="J845" s="12"/>
      <c r="K845" s="9"/>
    </row>
    <row r="846" spans="1:11" ht="15.75">
      <c r="A846" s="10"/>
      <c r="B846" s="10"/>
      <c r="C846" s="15" t="s">
        <v>10</v>
      </c>
      <c r="D846" s="53" t="s">
        <v>4</v>
      </c>
      <c r="E846" s="16" t="str">
        <f>PROPER(IF(E845=0,"nol",IF(E845&lt;0,"minus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845),"000000000000000"),1,3)=0,"",MID(TEXT(ABS(E845),"000000000000000"),1,1)&amp;" ratus "&amp;MID(TEXT(ABS(E845),"000000000000000"),2,1)&amp;" puluh "&amp;MID(TEXT(ABS(E845),"000000000000000"),3,1)&amp;" trilyun ")&amp;IF(--MID(TEXT(ABS(E845),"000000000000000"),4,3)=0,"",MID(TEXT(ABS(E845),"000000000000000"),4,1)&amp;" ratus "&amp;MID(TEXT(ABS(E845),"000000000000000"),5,1)&amp;" puluh "&amp;MID(TEXT(ABS(E845),"000000000000000"),6,1)&amp;" milyar ")&amp;IF(--MID(TEXT(ABS(E845),"000000000000000"),7,3)=0,"",MID(TEXT(ABS(E845),"000000000000000"),7,1)&amp;" ratus "&amp;MID(TEXT(ABS(E845),"000000000000000"),8,1)&amp;" puluh "&amp;MID(TEXT(ABS(E845),"000000000000000"),9,1)&amp;" juta ")&amp;IF(--MID(TEXT(ABS(E845),"000000000000000"),10,3)=0,"",IF(--MID(TEXT(ABS(E845),"000000000000000"),10,3)=1,"*",MID(TEXT(ABS(E845),"000000000000000"),10,1)&amp;" ratus "&amp;MID(TEXT(ABS(E845),"000000000000000"),11,1)&amp;" puluh ")&amp;MID(TEXT(ABS(E845),"000000000000000"),12,1)&amp;" ribu ")&amp;IF(--MID(TEXT(ABS(E845),"000000000000000"),13,3)=0,"",MID(TEXT(ABS(E845),"000000000000000"),13,1)&amp;" ratus "&amp;MID(TEXT(ABS(E845),"000000000000000"),14,1)&amp;" puluh "&amp;MID(TEXT(ABS(E845),"000000000000000"),15,1)),1,"satu"),2,"dua"),3,"tiga"),4,"empat"),5,"lima"),6,"enam"),7,"tujuh"),8,"delapan"),9,"sembilan"),"0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Empat Puluh Enam Ribu Rupiah</v>
      </c>
      <c r="F846" s="11"/>
      <c r="G846" s="16"/>
      <c r="H846" s="12"/>
      <c r="I846" s="12"/>
      <c r="J846" s="12"/>
      <c r="K846" s="9"/>
    </row>
    <row r="847" spans="1:11" ht="15.75">
      <c r="A847" s="10"/>
      <c r="B847" s="10"/>
      <c r="C847" s="15"/>
      <c r="D847" s="15"/>
      <c r="E847" s="15"/>
      <c r="F847" s="11"/>
      <c r="G847" s="16"/>
      <c r="H847" s="12"/>
      <c r="I847" s="12"/>
      <c r="J847" s="12"/>
      <c r="K847" s="9"/>
    </row>
    <row r="848" spans="1:11">
      <c r="A848" s="10" t="s">
        <v>11</v>
      </c>
      <c r="B848" s="10"/>
      <c r="C848" s="10"/>
      <c r="D848" s="10"/>
      <c r="E848" s="10"/>
      <c r="F848" s="10"/>
      <c r="G848" s="10"/>
      <c r="H848" s="12"/>
      <c r="I848" s="12"/>
      <c r="J848" s="12"/>
      <c r="K848" s="9"/>
    </row>
    <row r="849" spans="1:11">
      <c r="A849" s="74" t="s">
        <v>12</v>
      </c>
      <c r="B849" s="74"/>
      <c r="C849" s="74"/>
      <c r="D849" s="74"/>
      <c r="E849" s="74"/>
      <c r="F849" s="74"/>
      <c r="G849" s="74"/>
      <c r="H849" s="74"/>
      <c r="I849" s="74"/>
      <c r="J849" s="74"/>
      <c r="K849" s="74"/>
    </row>
    <row r="850" spans="1:11" ht="60">
      <c r="A850" s="17" t="s">
        <v>13</v>
      </c>
      <c r="B850" s="18" t="s">
        <v>14</v>
      </c>
      <c r="C850" s="59" t="s">
        <v>15</v>
      </c>
      <c r="D850" s="60"/>
      <c r="E850" s="61"/>
      <c r="F850" s="19"/>
      <c r="G850" s="20" t="s">
        <v>16</v>
      </c>
      <c r="H850" s="21" t="s">
        <v>35</v>
      </c>
      <c r="I850" s="21"/>
      <c r="J850" s="31" t="s">
        <v>17</v>
      </c>
      <c r="K850" s="32" t="s">
        <v>18</v>
      </c>
    </row>
    <row r="851" spans="1:11">
      <c r="A851" s="27">
        <v>1</v>
      </c>
      <c r="B851" s="24"/>
      <c r="C851" s="28" t="s">
        <v>23</v>
      </c>
      <c r="D851" s="57"/>
      <c r="E851" s="26"/>
      <c r="F851" s="25"/>
      <c r="G851" s="54" t="s">
        <v>19</v>
      </c>
      <c r="H851" s="54" t="s">
        <v>19</v>
      </c>
      <c r="I851" s="54"/>
      <c r="J851" s="54" t="s">
        <v>19</v>
      </c>
      <c r="K851" s="54" t="s">
        <v>19</v>
      </c>
    </row>
    <row r="852" spans="1:11">
      <c r="A852" s="24"/>
      <c r="B852" s="55" t="s">
        <v>20</v>
      </c>
      <c r="C852" s="25" t="s">
        <v>24</v>
      </c>
      <c r="D852" s="10"/>
      <c r="E852" s="26"/>
      <c r="F852" s="25"/>
      <c r="G852" s="23">
        <v>45000000</v>
      </c>
      <c r="H852" s="56">
        <f>H806+J806</f>
        <v>4594298</v>
      </c>
      <c r="I852" s="56"/>
      <c r="J852" s="56">
        <v>0</v>
      </c>
      <c r="K852" s="58">
        <f t="shared" ref="K852:K855" si="35">G852-H852-J852</f>
        <v>40405702</v>
      </c>
    </row>
    <row r="853" spans="1:11">
      <c r="A853" s="24"/>
      <c r="B853" s="55" t="s">
        <v>21</v>
      </c>
      <c r="C853" s="62" t="s">
        <v>39</v>
      </c>
      <c r="D853" s="63"/>
      <c r="E853" s="64"/>
      <c r="F853" s="25"/>
      <c r="G853" s="23">
        <v>35000000</v>
      </c>
      <c r="H853" s="56">
        <f>H807+J807</f>
        <v>8010980</v>
      </c>
      <c r="I853" s="56"/>
      <c r="J853" s="56">
        <v>0</v>
      </c>
      <c r="K853" s="58">
        <f t="shared" si="35"/>
        <v>26989020</v>
      </c>
    </row>
    <row r="854" spans="1:11">
      <c r="A854" s="24"/>
      <c r="B854" s="55" t="s">
        <v>22</v>
      </c>
      <c r="C854" s="65" t="s">
        <v>40</v>
      </c>
      <c r="D854" s="66"/>
      <c r="E854" s="67"/>
      <c r="F854" s="25"/>
      <c r="G854" s="23">
        <v>30000000</v>
      </c>
      <c r="H854" s="56">
        <f>H808+J808</f>
        <v>8687000</v>
      </c>
      <c r="I854" s="22"/>
      <c r="J854" s="22">
        <v>446000</v>
      </c>
      <c r="K854" s="33">
        <f t="shared" si="35"/>
        <v>20867000</v>
      </c>
    </row>
    <row r="855" spans="1:11">
      <c r="A855" s="24"/>
      <c r="B855" s="55" t="s">
        <v>36</v>
      </c>
      <c r="C855" s="68" t="s">
        <v>41</v>
      </c>
      <c r="D855" s="69"/>
      <c r="E855" s="70"/>
      <c r="F855" s="25"/>
      <c r="G855" s="23">
        <v>28125000</v>
      </c>
      <c r="H855" s="56">
        <f>H809+J809</f>
        <v>4590650</v>
      </c>
      <c r="I855" s="22"/>
      <c r="J855" s="22">
        <v>0</v>
      </c>
      <c r="K855" s="33">
        <f t="shared" si="35"/>
        <v>23534350</v>
      </c>
    </row>
    <row r="856" spans="1:11">
      <c r="A856" s="34"/>
      <c r="B856" s="34"/>
      <c r="C856" s="34" t="s">
        <v>25</v>
      </c>
      <c r="D856" s="34"/>
      <c r="E856" s="34"/>
      <c r="F856" s="35"/>
      <c r="G856" s="36">
        <f>SUM(G851:G855)</f>
        <v>138125000</v>
      </c>
      <c r="H856" s="37">
        <f>SUM(H851:H855)</f>
        <v>25882928</v>
      </c>
      <c r="I856" s="37"/>
      <c r="J856" s="37">
        <f>SUM(J851:J855)</f>
        <v>446000</v>
      </c>
      <c r="K856" s="37">
        <f>SUM(K851:K855)</f>
        <v>111796072</v>
      </c>
    </row>
    <row r="857" spans="1:11">
      <c r="A857" s="38"/>
      <c r="B857" s="8"/>
      <c r="C857" s="8"/>
      <c r="D857" s="8"/>
      <c r="E857" s="8"/>
      <c r="F857" s="8"/>
      <c r="G857" s="39"/>
      <c r="H857" s="39"/>
      <c r="I857" s="39"/>
      <c r="J857" s="39"/>
      <c r="K857" s="39"/>
    </row>
    <row r="858" spans="1:11">
      <c r="A858" s="71" t="s">
        <v>26</v>
      </c>
      <c r="B858" s="71"/>
      <c r="C858" s="71"/>
      <c r="D858" s="11" t="s">
        <v>4</v>
      </c>
      <c r="E858" s="14">
        <f>J856</f>
        <v>446000</v>
      </c>
      <c r="F858" s="40"/>
      <c r="G858" s="41"/>
      <c r="H858" s="41"/>
      <c r="I858" s="41"/>
      <c r="J858" s="9"/>
      <c r="K858" s="9"/>
    </row>
    <row r="859" spans="1:11">
      <c r="A859" s="10" t="s">
        <v>27</v>
      </c>
      <c r="B859" s="10"/>
      <c r="C859" s="10"/>
      <c r="D859" s="11" t="s">
        <v>4</v>
      </c>
      <c r="E859" s="42"/>
      <c r="F859" s="42"/>
      <c r="G859" s="43"/>
      <c r="H859" s="12"/>
      <c r="I859" s="12"/>
      <c r="J859" s="9"/>
      <c r="K859" s="9"/>
    </row>
    <row r="860" spans="1:11">
      <c r="A860" s="10" t="s">
        <v>28</v>
      </c>
      <c r="B860" s="10"/>
      <c r="C860" s="10"/>
      <c r="D860" s="11" t="s">
        <v>4</v>
      </c>
      <c r="E860" s="44"/>
      <c r="F860" s="44"/>
      <c r="G860" s="43"/>
      <c r="H860" s="12"/>
      <c r="I860" s="12"/>
      <c r="J860" s="9"/>
      <c r="K860" s="9"/>
    </row>
    <row r="861" spans="1:11">
      <c r="A861" s="10" t="s">
        <v>29</v>
      </c>
      <c r="B861" s="10"/>
      <c r="C861" s="10"/>
      <c r="D861" s="11" t="s">
        <v>4</v>
      </c>
      <c r="E861" s="44">
        <f>E859+E860</f>
        <v>0</v>
      </c>
      <c r="F861" s="44"/>
      <c r="G861" s="10"/>
      <c r="H861" s="12"/>
      <c r="I861" s="12"/>
      <c r="J861" s="46"/>
      <c r="K861" s="46"/>
    </row>
    <row r="862" spans="1:11">
      <c r="A862" s="13"/>
      <c r="B862" s="13"/>
      <c r="C862" s="13"/>
      <c r="D862" s="11"/>
      <c r="E862" s="13"/>
      <c r="F862" s="13"/>
      <c r="G862" s="10"/>
      <c r="H862" s="12"/>
      <c r="I862" s="12"/>
      <c r="J862" s="46"/>
      <c r="K862" s="46"/>
    </row>
    <row r="863" spans="1:11">
      <c r="A863" s="71" t="s">
        <v>30</v>
      </c>
      <c r="B863" s="71"/>
      <c r="C863" s="71"/>
      <c r="D863" s="11" t="s">
        <v>4</v>
      </c>
      <c r="E863" s="40">
        <f>E858-E861</f>
        <v>446000</v>
      </c>
      <c r="F863" s="40"/>
      <c r="G863" s="10"/>
      <c r="H863" s="12"/>
      <c r="I863" s="12"/>
      <c r="J863" s="46"/>
      <c r="K863" s="46"/>
    </row>
    <row r="864" spans="1:11" ht="15.75">
      <c r="A864" s="13"/>
      <c r="B864" s="13"/>
      <c r="C864" s="10"/>
      <c r="D864" s="10"/>
      <c r="E864" s="16" t="str">
        <f>PROPER(IF(E863=0,"nol",IF(E863&lt;0,"minus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863),"000000000000000"),1,3)=0,"",MID(TEXT(ABS(E863),"000000000000000"),1,1)&amp;" ratus "&amp;MID(TEXT(ABS(E863),"000000000000000"),2,1)&amp;" puluh "&amp;MID(TEXT(ABS(E863),"000000000000000"),3,1)&amp;" trilyun ")&amp;IF(--MID(TEXT(ABS(E863),"000000000000000"),4,3)=0,"",MID(TEXT(ABS(E863),"000000000000000"),4,1)&amp;" ratus "&amp;MID(TEXT(ABS(E863),"000000000000000"),5,1)&amp;" puluh "&amp;MID(TEXT(ABS(E863),"000000000000000"),6,1)&amp;" milyar ")&amp;IF(--MID(TEXT(ABS(E863),"000000000000000"),7,3)=0,"",MID(TEXT(ABS(E863),"000000000000000"),7,1)&amp;" ratus "&amp;MID(TEXT(ABS(E863),"000000000000000"),8,1)&amp;" puluh "&amp;MID(TEXT(ABS(E863),"000000000000000"),9,1)&amp;" juta ")&amp;IF(--MID(TEXT(ABS(E863),"000000000000000"),10,3)=0,"",IF(--MID(TEXT(ABS(E863),"000000000000000"),10,3)=1,"*",MID(TEXT(ABS(E863),"000000000000000"),10,1)&amp;" ratus "&amp;MID(TEXT(ABS(E863),"000000000000000"),11,1)&amp;" puluh ")&amp;MID(TEXT(ABS(E863),"000000000000000"),12,1)&amp;" ribu ")&amp;IF(--MID(TEXT(ABS(E863),"000000000000000"),13,3)=0,"",MID(TEXT(ABS(E863),"000000000000000"),13,1)&amp;" ratus "&amp;MID(TEXT(ABS(E863),"000000000000000"),14,1)&amp;" puluh "&amp;MID(TEXT(ABS(E863),"000000000000000"),15,1)),1,"satu"),2,"dua"),3,"tiga"),4,"empat"),5,"lima"),6,"enam"),7,"tujuh"),8,"delapan"),9,"sembilan"),"0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Empat Puluh Enam Ribu Rupiah</v>
      </c>
      <c r="F864" s="10"/>
      <c r="G864" s="10"/>
      <c r="H864" s="10"/>
      <c r="I864" s="10"/>
      <c r="J864" s="46"/>
      <c r="K864" s="46"/>
    </row>
    <row r="865" spans="1:11">
      <c r="A865" s="45"/>
      <c r="B865" s="45"/>
      <c r="C865" s="45"/>
      <c r="D865" s="45"/>
      <c r="E865" s="45"/>
      <c r="F865" s="45"/>
      <c r="G865" s="29"/>
      <c r="H865" s="46"/>
      <c r="I865" s="46"/>
      <c r="J865" s="46"/>
      <c r="K865" s="46"/>
    </row>
    <row r="866" spans="1:11">
      <c r="A866" s="29"/>
      <c r="B866" s="29"/>
      <c r="C866" s="29"/>
      <c r="D866" s="29"/>
      <c r="E866" s="29"/>
      <c r="F866" s="29"/>
      <c r="G866" s="29"/>
      <c r="H866"/>
      <c r="I866"/>
      <c r="J866" s="46"/>
      <c r="K866" s="46"/>
    </row>
    <row r="867" spans="1:11">
      <c r="A867" s="13"/>
      <c r="B867" s="13"/>
      <c r="C867" s="10"/>
      <c r="D867" s="10"/>
      <c r="E867" s="10"/>
      <c r="F867" s="10"/>
      <c r="G867" s="10"/>
      <c r="I867" s="47"/>
      <c r="J867" s="47" t="s">
        <v>97</v>
      </c>
      <c r="K867" s="46"/>
    </row>
    <row r="868" spans="1:11">
      <c r="A868" s="12" t="s">
        <v>31</v>
      </c>
      <c r="B868" s="10"/>
      <c r="C868" s="10"/>
      <c r="D868" s="10"/>
      <c r="E868" s="10"/>
      <c r="F868" s="10"/>
      <c r="G868" s="10"/>
      <c r="I868" s="12"/>
      <c r="J868" s="12" t="s">
        <v>32</v>
      </c>
      <c r="K868" s="46"/>
    </row>
    <row r="869" spans="1:11">
      <c r="A869" s="10"/>
      <c r="B869" s="10"/>
      <c r="C869" s="10"/>
      <c r="D869" s="10"/>
      <c r="E869" s="10"/>
      <c r="F869" s="10"/>
      <c r="G869" s="10"/>
      <c r="I869" s="12"/>
      <c r="J869" s="12"/>
      <c r="K869" s="46"/>
    </row>
    <row r="870" spans="1:11">
      <c r="A870" s="10"/>
      <c r="B870" s="10"/>
      <c r="C870" s="10"/>
      <c r="D870" s="10"/>
      <c r="E870" s="10"/>
      <c r="F870" s="10"/>
      <c r="G870" s="10"/>
      <c r="I870" s="12"/>
      <c r="J870" s="12"/>
      <c r="K870" s="46"/>
    </row>
    <row r="871" spans="1:11">
      <c r="A871" s="10"/>
      <c r="B871" s="10"/>
      <c r="C871" s="10"/>
      <c r="D871" s="10"/>
      <c r="E871" s="10"/>
      <c r="F871" s="10"/>
      <c r="G871" s="10"/>
      <c r="I871" s="12"/>
      <c r="J871" s="12"/>
      <c r="K871" s="46"/>
    </row>
    <row r="872" spans="1:11">
      <c r="A872" s="10"/>
      <c r="B872" s="10"/>
      <c r="C872" s="10"/>
      <c r="D872" s="10"/>
      <c r="E872" s="10"/>
      <c r="F872" s="10"/>
      <c r="G872" s="10"/>
      <c r="I872" s="12"/>
      <c r="J872" s="12"/>
      <c r="K872" s="46"/>
    </row>
    <row r="873" spans="1:11">
      <c r="A873" s="48" t="s">
        <v>37</v>
      </c>
      <c r="B873" s="48"/>
      <c r="C873" s="49"/>
      <c r="D873" s="49"/>
      <c r="E873" s="49"/>
      <c r="F873" s="49"/>
      <c r="G873" s="10" t="s">
        <v>33</v>
      </c>
      <c r="I873" s="48"/>
      <c r="J873" s="48" t="s">
        <v>34</v>
      </c>
      <c r="K873" s="46"/>
    </row>
    <row r="878" spans="1:11" ht="15.75">
      <c r="C878" s="2"/>
      <c r="D878" s="2"/>
      <c r="E878" s="2"/>
      <c r="F878" s="2"/>
    </row>
    <row r="879" spans="1:11" ht="15.75">
      <c r="A879" s="3"/>
      <c r="B879" s="3"/>
      <c r="C879" s="2"/>
      <c r="D879" s="2"/>
      <c r="E879" s="2"/>
      <c r="F879" s="2"/>
      <c r="G879" s="3"/>
      <c r="H879" s="4"/>
      <c r="I879" s="4"/>
      <c r="J879" s="4"/>
      <c r="K879" s="5"/>
    </row>
    <row r="880" spans="1:11">
      <c r="H880" s="5"/>
      <c r="I880" s="5"/>
      <c r="J880" s="5"/>
      <c r="K880" s="5"/>
    </row>
    <row r="881" spans="1:11">
      <c r="H881" s="5"/>
      <c r="I881" s="5"/>
      <c r="J881" s="5"/>
      <c r="K881" s="5"/>
    </row>
    <row r="882" spans="1:11">
      <c r="A882" s="72" t="s">
        <v>0</v>
      </c>
      <c r="B882" s="72"/>
      <c r="C882" s="73"/>
      <c r="D882" s="73"/>
      <c r="E882" s="73"/>
      <c r="F882" s="73"/>
      <c r="G882" s="73"/>
      <c r="H882" s="73"/>
      <c r="I882" s="73"/>
      <c r="J882" s="73"/>
      <c r="K882" s="73"/>
    </row>
    <row r="883" spans="1:11">
      <c r="A883" s="73" t="s">
        <v>101</v>
      </c>
      <c r="B883" s="73"/>
      <c r="C883" s="73"/>
      <c r="D883" s="73"/>
      <c r="E883" s="73"/>
      <c r="F883" s="73"/>
      <c r="G883" s="73"/>
      <c r="H883" s="73"/>
      <c r="I883" s="73"/>
      <c r="J883" s="73"/>
      <c r="K883" s="73"/>
    </row>
    <row r="884" spans="1:11">
      <c r="A884" s="73" t="s">
        <v>1</v>
      </c>
      <c r="B884" s="73"/>
      <c r="C884" s="73"/>
      <c r="D884" s="73"/>
      <c r="E884" s="73"/>
      <c r="F884" s="73"/>
      <c r="G884" s="73"/>
      <c r="H884" s="73"/>
      <c r="I884" s="73"/>
      <c r="J884" s="73"/>
      <c r="K884" s="73"/>
    </row>
    <row r="885" spans="1:11">
      <c r="A885" s="73" t="s">
        <v>38</v>
      </c>
      <c r="B885" s="73"/>
      <c r="C885" s="73"/>
      <c r="D885" s="73"/>
      <c r="E885" s="73"/>
      <c r="F885" s="73"/>
      <c r="G885" s="73"/>
      <c r="H885" s="73"/>
      <c r="I885" s="73"/>
      <c r="J885" s="73"/>
      <c r="K885" s="73"/>
    </row>
    <row r="886" spans="1:11">
      <c r="A886" s="73" t="s">
        <v>2</v>
      </c>
      <c r="B886" s="73"/>
      <c r="C886" s="73"/>
      <c r="D886" s="73"/>
      <c r="E886" s="73"/>
      <c r="F886" s="73"/>
      <c r="G886" s="73"/>
      <c r="H886" s="73"/>
      <c r="I886" s="73"/>
      <c r="J886" s="73"/>
      <c r="K886" s="73"/>
    </row>
    <row r="887" spans="1:11">
      <c r="A887" s="6"/>
      <c r="B887" s="6"/>
      <c r="C887" s="7"/>
      <c r="D887" s="7"/>
      <c r="E887" s="7"/>
      <c r="F887" s="7"/>
      <c r="G887" s="8"/>
      <c r="H887" s="9"/>
      <c r="I887" s="9"/>
      <c r="J887" s="9"/>
      <c r="K887" s="9"/>
    </row>
    <row r="888" spans="1:11">
      <c r="A888" s="52" t="s">
        <v>3</v>
      </c>
      <c r="B888" s="10"/>
      <c r="C888" s="10"/>
      <c r="D888" s="53" t="s">
        <v>4</v>
      </c>
      <c r="E888" s="10" t="s">
        <v>5</v>
      </c>
      <c r="F888" s="11"/>
      <c r="G888" s="10"/>
      <c r="H888" s="12"/>
      <c r="I888" s="12"/>
      <c r="J888" s="12"/>
      <c r="K888" s="9"/>
    </row>
    <row r="889" spans="1:11">
      <c r="A889" s="52" t="s">
        <v>6</v>
      </c>
      <c r="B889" s="10"/>
      <c r="C889" s="10"/>
      <c r="D889" s="53" t="s">
        <v>4</v>
      </c>
      <c r="E889" s="10" t="s">
        <v>7</v>
      </c>
      <c r="F889" s="11"/>
      <c r="G889" s="10"/>
      <c r="H889" s="12"/>
      <c r="I889" s="12"/>
      <c r="J889" s="12"/>
      <c r="K889" s="9"/>
    </row>
    <row r="890" spans="1:11">
      <c r="A890" s="52" t="s">
        <v>8</v>
      </c>
      <c r="B890" s="10"/>
      <c r="C890" s="10"/>
      <c r="D890" s="53" t="s">
        <v>4</v>
      </c>
      <c r="E890" s="13">
        <v>2026</v>
      </c>
      <c r="F890" s="11"/>
      <c r="G890" s="13"/>
      <c r="H890" s="12"/>
      <c r="I890" s="12"/>
      <c r="J890" s="12"/>
      <c r="K890" s="9"/>
    </row>
    <row r="891" spans="1:11">
      <c r="A891" s="52" t="s">
        <v>9</v>
      </c>
      <c r="B891" s="10"/>
      <c r="C891" s="10"/>
      <c r="D891" s="53" t="s">
        <v>4</v>
      </c>
      <c r="E891" s="14">
        <f>J902</f>
        <v>529000</v>
      </c>
      <c r="F891" s="11"/>
      <c r="G891" s="14"/>
      <c r="H891" s="12"/>
      <c r="I891" s="12"/>
      <c r="J891" s="12"/>
      <c r="K891" s="9"/>
    </row>
    <row r="892" spans="1:11" ht="15.75">
      <c r="A892" s="10"/>
      <c r="B892" s="10"/>
      <c r="C892" s="15" t="s">
        <v>10</v>
      </c>
      <c r="D892" s="53" t="s">
        <v>4</v>
      </c>
      <c r="E892" s="16" t="str">
        <f>PROPER(IF(E891=0,"nol",IF(E891&lt;0,"minus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891),"000000000000000"),1,3)=0,"",MID(TEXT(ABS(E891),"000000000000000"),1,1)&amp;" ratus "&amp;MID(TEXT(ABS(E891),"000000000000000"),2,1)&amp;" puluh "&amp;MID(TEXT(ABS(E891),"000000000000000"),3,1)&amp;" trilyun ")&amp;IF(--MID(TEXT(ABS(E891),"000000000000000"),4,3)=0,"",MID(TEXT(ABS(E891),"000000000000000"),4,1)&amp;" ratus "&amp;MID(TEXT(ABS(E891),"000000000000000"),5,1)&amp;" puluh "&amp;MID(TEXT(ABS(E891),"000000000000000"),6,1)&amp;" milyar ")&amp;IF(--MID(TEXT(ABS(E891),"000000000000000"),7,3)=0,"",MID(TEXT(ABS(E891),"000000000000000"),7,1)&amp;" ratus "&amp;MID(TEXT(ABS(E891),"000000000000000"),8,1)&amp;" puluh "&amp;MID(TEXT(ABS(E891),"000000000000000"),9,1)&amp;" juta ")&amp;IF(--MID(TEXT(ABS(E891),"000000000000000"),10,3)=0,"",IF(--MID(TEXT(ABS(E891),"000000000000000"),10,3)=1,"*",MID(TEXT(ABS(E891),"000000000000000"),10,1)&amp;" ratus "&amp;MID(TEXT(ABS(E891),"000000000000000"),11,1)&amp;" puluh ")&amp;MID(TEXT(ABS(E891),"000000000000000"),12,1)&amp;" ribu ")&amp;IF(--MID(TEXT(ABS(E891),"000000000000000"),13,3)=0,"",MID(TEXT(ABS(E891),"000000000000000"),13,1)&amp;" ratus "&amp;MID(TEXT(ABS(E891),"000000000000000"),14,1)&amp;" puluh "&amp;MID(TEXT(ABS(E891),"000000000000000"),15,1)),1,"satu"),2,"dua"),3,"tiga"),4,"empat"),5,"lima"),6,"enam"),7,"tujuh"),8,"delapan"),9,"sembilan"),"0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Ratus Dua Puluh Sembilan Ribu Rupiah</v>
      </c>
      <c r="F892" s="11"/>
      <c r="G892" s="16"/>
      <c r="H892" s="12"/>
      <c r="I892" s="12"/>
      <c r="J892" s="12"/>
      <c r="K892" s="9"/>
    </row>
    <row r="893" spans="1:11" ht="15.75">
      <c r="A893" s="10"/>
      <c r="B893" s="10"/>
      <c r="C893" s="15"/>
      <c r="D893" s="15"/>
      <c r="E893" s="15"/>
      <c r="F893" s="11"/>
      <c r="G893" s="16"/>
      <c r="H893" s="12"/>
      <c r="I893" s="12"/>
      <c r="J893" s="12"/>
      <c r="K893" s="9"/>
    </row>
    <row r="894" spans="1:11">
      <c r="A894" s="10" t="s">
        <v>11</v>
      </c>
      <c r="B894" s="10"/>
      <c r="C894" s="10"/>
      <c r="D894" s="10"/>
      <c r="E894" s="10"/>
      <c r="F894" s="10"/>
      <c r="G894" s="10"/>
      <c r="H894" s="12"/>
      <c r="I894" s="12"/>
      <c r="J894" s="12"/>
      <c r="K894" s="9"/>
    </row>
    <row r="895" spans="1:11">
      <c r="A895" s="74" t="s">
        <v>12</v>
      </c>
      <c r="B895" s="74"/>
      <c r="C895" s="74"/>
      <c r="D895" s="74"/>
      <c r="E895" s="74"/>
      <c r="F895" s="74"/>
      <c r="G895" s="74"/>
      <c r="H895" s="74"/>
      <c r="I895" s="74"/>
      <c r="J895" s="74"/>
      <c r="K895" s="74"/>
    </row>
    <row r="896" spans="1:11" ht="60">
      <c r="A896" s="17" t="s">
        <v>13</v>
      </c>
      <c r="B896" s="18" t="s">
        <v>14</v>
      </c>
      <c r="C896" s="59" t="s">
        <v>15</v>
      </c>
      <c r="D896" s="60"/>
      <c r="E896" s="61"/>
      <c r="F896" s="19"/>
      <c r="G896" s="20" t="s">
        <v>16</v>
      </c>
      <c r="H896" s="21" t="s">
        <v>35</v>
      </c>
      <c r="I896" s="21"/>
      <c r="J896" s="31" t="s">
        <v>17</v>
      </c>
      <c r="K896" s="32" t="s">
        <v>18</v>
      </c>
    </row>
    <row r="897" spans="1:11">
      <c r="A897" s="27">
        <v>1</v>
      </c>
      <c r="B897" s="24"/>
      <c r="C897" s="28" t="s">
        <v>23</v>
      </c>
      <c r="D897" s="57"/>
      <c r="E897" s="26"/>
      <c r="F897" s="25"/>
      <c r="G897" s="54" t="s">
        <v>19</v>
      </c>
      <c r="H897" s="54" t="s">
        <v>19</v>
      </c>
      <c r="I897" s="54"/>
      <c r="J897" s="54" t="s">
        <v>19</v>
      </c>
      <c r="K897" s="54" t="s">
        <v>19</v>
      </c>
    </row>
    <row r="898" spans="1:11">
      <c r="A898" s="24"/>
      <c r="B898" s="55" t="s">
        <v>20</v>
      </c>
      <c r="C898" s="25" t="s">
        <v>24</v>
      </c>
      <c r="D898" s="10"/>
      <c r="E898" s="26"/>
      <c r="F898" s="25"/>
      <c r="G898" s="23">
        <v>45000000</v>
      </c>
      <c r="H898" s="56">
        <f>H852+J852</f>
        <v>4594298</v>
      </c>
      <c r="I898" s="56"/>
      <c r="J898" s="56">
        <v>0</v>
      </c>
      <c r="K898" s="58">
        <f t="shared" ref="K898:K901" si="36">G898-H898-J898</f>
        <v>40405702</v>
      </c>
    </row>
    <row r="899" spans="1:11">
      <c r="A899" s="24"/>
      <c r="B899" s="55" t="s">
        <v>21</v>
      </c>
      <c r="C899" s="62" t="s">
        <v>39</v>
      </c>
      <c r="D899" s="63"/>
      <c r="E899" s="64"/>
      <c r="F899" s="25"/>
      <c r="G899" s="23">
        <v>35000000</v>
      </c>
      <c r="H899" s="56">
        <f>H853+J853</f>
        <v>8010980</v>
      </c>
      <c r="I899" s="56"/>
      <c r="J899" s="56">
        <v>0</v>
      </c>
      <c r="K899" s="58">
        <f t="shared" si="36"/>
        <v>26989020</v>
      </c>
    </row>
    <row r="900" spans="1:11">
      <c r="A900" s="24"/>
      <c r="B900" s="55" t="s">
        <v>22</v>
      </c>
      <c r="C900" s="65" t="s">
        <v>40</v>
      </c>
      <c r="D900" s="66"/>
      <c r="E900" s="67"/>
      <c r="F900" s="25"/>
      <c r="G900" s="23">
        <v>30000000</v>
      </c>
      <c r="H900" s="56">
        <f t="shared" ref="H900" si="37">H854+J854</f>
        <v>9133000</v>
      </c>
      <c r="I900" s="22"/>
      <c r="J900" s="22">
        <v>529000</v>
      </c>
      <c r="K900" s="33">
        <f t="shared" si="36"/>
        <v>20338000</v>
      </c>
    </row>
    <row r="901" spans="1:11">
      <c r="A901" s="24"/>
      <c r="B901" s="55" t="s">
        <v>36</v>
      </c>
      <c r="C901" s="68" t="s">
        <v>41</v>
      </c>
      <c r="D901" s="69"/>
      <c r="E901" s="70"/>
      <c r="F901" s="25"/>
      <c r="G901" s="23">
        <v>28125000</v>
      </c>
      <c r="H901" s="56">
        <f>H855+J855</f>
        <v>4590650</v>
      </c>
      <c r="I901" s="22"/>
      <c r="J901" s="22">
        <v>0</v>
      </c>
      <c r="K901" s="33">
        <f t="shared" si="36"/>
        <v>23534350</v>
      </c>
    </row>
    <row r="902" spans="1:11">
      <c r="A902" s="34"/>
      <c r="B902" s="34"/>
      <c r="C902" s="34" t="s">
        <v>25</v>
      </c>
      <c r="D902" s="34"/>
      <c r="E902" s="34"/>
      <c r="F902" s="35"/>
      <c r="G902" s="36">
        <f>SUM(G897:G901)</f>
        <v>138125000</v>
      </c>
      <c r="H902" s="37">
        <f>SUM(H897:H901)</f>
        <v>26328928</v>
      </c>
      <c r="I902" s="37"/>
      <c r="J902" s="37">
        <f>SUM(J897:J901)</f>
        <v>529000</v>
      </c>
      <c r="K902" s="37">
        <f>SUM(K897:K901)</f>
        <v>111267072</v>
      </c>
    </row>
    <row r="903" spans="1:11">
      <c r="A903" s="38"/>
      <c r="B903" s="8"/>
      <c r="C903" s="8"/>
      <c r="D903" s="8"/>
      <c r="E903" s="8"/>
      <c r="F903" s="8"/>
      <c r="G903" s="39"/>
      <c r="H903" s="39"/>
      <c r="I903" s="39"/>
      <c r="J903" s="39"/>
      <c r="K903" s="39"/>
    </row>
    <row r="904" spans="1:11">
      <c r="A904" s="71" t="s">
        <v>26</v>
      </c>
      <c r="B904" s="71"/>
      <c r="C904" s="71"/>
      <c r="D904" s="11" t="s">
        <v>4</v>
      </c>
      <c r="E904" s="14">
        <f>J902</f>
        <v>529000</v>
      </c>
      <c r="F904" s="40"/>
      <c r="G904" s="41"/>
      <c r="H904" s="41"/>
      <c r="I904" s="41"/>
      <c r="J904" s="9"/>
      <c r="K904" s="9"/>
    </row>
    <row r="905" spans="1:11">
      <c r="A905" s="10" t="s">
        <v>27</v>
      </c>
      <c r="B905" s="10"/>
      <c r="C905" s="10"/>
      <c r="D905" s="11" t="s">
        <v>4</v>
      </c>
      <c r="E905" s="42"/>
      <c r="F905" s="42"/>
      <c r="G905" s="43"/>
      <c r="H905" s="12"/>
      <c r="I905" s="12"/>
      <c r="J905" s="9"/>
      <c r="K905" s="9"/>
    </row>
    <row r="906" spans="1:11">
      <c r="A906" s="10" t="s">
        <v>28</v>
      </c>
      <c r="B906" s="10"/>
      <c r="C906" s="10"/>
      <c r="D906" s="11" t="s">
        <v>4</v>
      </c>
      <c r="E906" s="44"/>
      <c r="F906" s="44"/>
      <c r="G906" s="43"/>
      <c r="H906" s="12"/>
      <c r="I906" s="12"/>
      <c r="J906" s="9"/>
      <c r="K906" s="9"/>
    </row>
    <row r="907" spans="1:11">
      <c r="A907" s="10" t="s">
        <v>29</v>
      </c>
      <c r="B907" s="10"/>
      <c r="C907" s="10"/>
      <c r="D907" s="11" t="s">
        <v>4</v>
      </c>
      <c r="E907" s="44">
        <f>E905+E906</f>
        <v>0</v>
      </c>
      <c r="F907" s="44"/>
      <c r="G907" s="10"/>
      <c r="H907" s="12"/>
      <c r="I907" s="12"/>
      <c r="J907" s="46"/>
      <c r="K907" s="46"/>
    </row>
    <row r="908" spans="1:11">
      <c r="A908" s="13"/>
      <c r="B908" s="13"/>
      <c r="C908" s="13"/>
      <c r="D908" s="11"/>
      <c r="E908" s="13"/>
      <c r="F908" s="13"/>
      <c r="G908" s="10"/>
      <c r="H908" s="12"/>
      <c r="I908" s="12"/>
      <c r="J908" s="46"/>
      <c r="K908" s="46"/>
    </row>
    <row r="909" spans="1:11">
      <c r="A909" s="71" t="s">
        <v>30</v>
      </c>
      <c r="B909" s="71"/>
      <c r="C909" s="71"/>
      <c r="D909" s="11" t="s">
        <v>4</v>
      </c>
      <c r="E909" s="40">
        <f>E904-E907</f>
        <v>529000</v>
      </c>
      <c r="F909" s="40"/>
      <c r="G909" s="10"/>
      <c r="H909" s="12"/>
      <c r="I909" s="12"/>
      <c r="J909" s="46"/>
      <c r="K909" s="46"/>
    </row>
    <row r="910" spans="1:11" ht="15.75">
      <c r="A910" s="13"/>
      <c r="B910" s="13"/>
      <c r="C910" s="10"/>
      <c r="D910" s="10"/>
      <c r="E910" s="16" t="str">
        <f>PROPER(IF(E909=0,"nol",IF(E909&lt;0,"minus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909),"000000000000000"),1,3)=0,"",MID(TEXT(ABS(E909),"000000000000000"),1,1)&amp;" ratus "&amp;MID(TEXT(ABS(E909),"000000000000000"),2,1)&amp;" puluh "&amp;MID(TEXT(ABS(E909),"000000000000000"),3,1)&amp;" trilyun ")&amp;IF(--MID(TEXT(ABS(E909),"000000000000000"),4,3)=0,"",MID(TEXT(ABS(E909),"000000000000000"),4,1)&amp;" ratus "&amp;MID(TEXT(ABS(E909),"000000000000000"),5,1)&amp;" puluh "&amp;MID(TEXT(ABS(E909),"000000000000000"),6,1)&amp;" milyar ")&amp;IF(--MID(TEXT(ABS(E909),"000000000000000"),7,3)=0,"",MID(TEXT(ABS(E909),"000000000000000"),7,1)&amp;" ratus "&amp;MID(TEXT(ABS(E909),"000000000000000"),8,1)&amp;" puluh "&amp;MID(TEXT(ABS(E909),"000000000000000"),9,1)&amp;" juta ")&amp;IF(--MID(TEXT(ABS(E909),"000000000000000"),10,3)=0,"",IF(--MID(TEXT(ABS(E909),"000000000000000"),10,3)=1,"*",MID(TEXT(ABS(E909),"000000000000000"),10,1)&amp;" ratus "&amp;MID(TEXT(ABS(E909),"000000000000000"),11,1)&amp;" puluh ")&amp;MID(TEXT(ABS(E909),"000000000000000"),12,1)&amp;" ribu ")&amp;IF(--MID(TEXT(ABS(E909),"000000000000000"),13,3)=0,"",MID(TEXT(ABS(E909),"000000000000000"),13,1)&amp;" ratus "&amp;MID(TEXT(ABS(E909),"000000000000000"),14,1)&amp;" puluh "&amp;MID(TEXT(ABS(E909),"000000000000000"),15,1)),1,"satu"),2,"dua"),3,"tiga"),4,"empat"),5,"lima"),6,"enam"),7,"tujuh"),8,"delapan"),9,"sembilan"),"0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Ratus Dua Puluh Sembilan Ribu Rupiah</v>
      </c>
      <c r="F910" s="10"/>
      <c r="G910" s="10"/>
      <c r="H910" s="10"/>
      <c r="I910" s="10"/>
      <c r="J910" s="46"/>
      <c r="K910" s="46"/>
    </row>
    <row r="911" spans="1:11">
      <c r="A911" s="45"/>
      <c r="B911" s="45"/>
      <c r="C911" s="45"/>
      <c r="D911" s="45"/>
      <c r="E911" s="45"/>
      <c r="F911" s="45"/>
      <c r="G911" s="29"/>
      <c r="H911" s="46"/>
      <c r="I911" s="46"/>
      <c r="J911" s="46"/>
      <c r="K911" s="46"/>
    </row>
    <row r="912" spans="1:11">
      <c r="A912" s="29"/>
      <c r="B912" s="29"/>
      <c r="C912" s="29"/>
      <c r="D912" s="29"/>
      <c r="E912" s="29"/>
      <c r="F912" s="29"/>
      <c r="G912" s="29"/>
      <c r="H912"/>
      <c r="I912"/>
      <c r="J912" s="46"/>
      <c r="K912" s="46"/>
    </row>
    <row r="913" spans="1:11">
      <c r="A913" s="13"/>
      <c r="B913" s="13"/>
      <c r="C913" s="10"/>
      <c r="D913" s="10"/>
      <c r="E913" s="10"/>
      <c r="F913" s="10"/>
      <c r="G913" s="10"/>
      <c r="I913" s="47"/>
      <c r="J913" s="47" t="s">
        <v>97</v>
      </c>
      <c r="K913" s="46"/>
    </row>
    <row r="914" spans="1:11">
      <c r="A914" s="12" t="s">
        <v>31</v>
      </c>
      <c r="B914" s="10"/>
      <c r="C914" s="10"/>
      <c r="D914" s="10"/>
      <c r="E914" s="10"/>
      <c r="F914" s="10"/>
      <c r="G914" s="10"/>
      <c r="I914" s="12"/>
      <c r="J914" s="12" t="s">
        <v>32</v>
      </c>
      <c r="K914" s="46"/>
    </row>
    <row r="915" spans="1:11">
      <c r="A915" s="10"/>
      <c r="B915" s="10"/>
      <c r="C915" s="10"/>
      <c r="D915" s="10"/>
      <c r="E915" s="10"/>
      <c r="F915" s="10"/>
      <c r="G915" s="10"/>
      <c r="I915" s="12"/>
      <c r="J915" s="12"/>
      <c r="K915" s="46"/>
    </row>
    <row r="916" spans="1:11">
      <c r="A916" s="10"/>
      <c r="B916" s="10"/>
      <c r="C916" s="10"/>
      <c r="D916" s="10"/>
      <c r="E916" s="10"/>
      <c r="F916" s="10"/>
      <c r="G916" s="10"/>
      <c r="I916" s="12"/>
      <c r="J916" s="12"/>
      <c r="K916" s="46"/>
    </row>
    <row r="917" spans="1:11">
      <c r="A917" s="10"/>
      <c r="B917" s="10"/>
      <c r="C917" s="10"/>
      <c r="D917" s="10"/>
      <c r="E917" s="10"/>
      <c r="F917" s="10"/>
      <c r="G917" s="10"/>
      <c r="I917" s="12"/>
      <c r="J917" s="12"/>
      <c r="K917" s="46"/>
    </row>
    <row r="918" spans="1:11">
      <c r="A918" s="10"/>
      <c r="B918" s="10"/>
      <c r="C918" s="10"/>
      <c r="D918" s="10"/>
      <c r="E918" s="10"/>
      <c r="F918" s="10"/>
      <c r="G918" s="10"/>
      <c r="I918" s="12"/>
      <c r="J918" s="12"/>
      <c r="K918" s="46"/>
    </row>
    <row r="919" spans="1:11">
      <c r="A919" s="48" t="s">
        <v>37</v>
      </c>
      <c r="B919" s="48"/>
      <c r="C919" s="49"/>
      <c r="D919" s="49"/>
      <c r="E919" s="49"/>
      <c r="F919" s="49"/>
      <c r="G919" s="10" t="s">
        <v>33</v>
      </c>
      <c r="I919" s="48"/>
      <c r="J919" s="48" t="s">
        <v>34</v>
      </c>
      <c r="K919" s="46"/>
    </row>
    <row r="924" spans="1:11" ht="15.75">
      <c r="C924" s="2"/>
      <c r="D924" s="2"/>
      <c r="E924" s="2"/>
      <c r="F924" s="2"/>
    </row>
    <row r="925" spans="1:11" ht="15.75">
      <c r="A925" s="3"/>
      <c r="B925" s="3"/>
      <c r="C925" s="2"/>
      <c r="D925" s="2"/>
      <c r="E925" s="2"/>
      <c r="F925" s="2"/>
      <c r="G925" s="3"/>
      <c r="H925" s="4"/>
      <c r="I925" s="4"/>
      <c r="J925" s="4"/>
      <c r="K925" s="5"/>
    </row>
    <row r="926" spans="1:11">
      <c r="H926" s="5"/>
      <c r="I926" s="5"/>
      <c r="J926" s="5"/>
      <c r="K926" s="5"/>
    </row>
    <row r="927" spans="1:11">
      <c r="H927" s="5"/>
      <c r="I927" s="5"/>
      <c r="J927" s="5"/>
      <c r="K927" s="5"/>
    </row>
    <row r="928" spans="1:11">
      <c r="A928" s="72" t="s">
        <v>0</v>
      </c>
      <c r="B928" s="72"/>
      <c r="C928" s="73"/>
      <c r="D928" s="73"/>
      <c r="E928" s="73"/>
      <c r="F928" s="73"/>
      <c r="G928" s="73"/>
      <c r="H928" s="73"/>
      <c r="I928" s="73"/>
      <c r="J928" s="73"/>
      <c r="K928" s="73"/>
    </row>
    <row r="929" spans="1:11">
      <c r="A929" s="73" t="s">
        <v>102</v>
      </c>
      <c r="B929" s="73"/>
      <c r="C929" s="73"/>
      <c r="D929" s="73"/>
      <c r="E929" s="73"/>
      <c r="F929" s="73"/>
      <c r="G929" s="73"/>
      <c r="H929" s="73"/>
      <c r="I929" s="73"/>
      <c r="J929" s="73"/>
      <c r="K929" s="73"/>
    </row>
    <row r="930" spans="1:11">
      <c r="A930" s="73" t="s">
        <v>1</v>
      </c>
      <c r="B930" s="73"/>
      <c r="C930" s="73"/>
      <c r="D930" s="73"/>
      <c r="E930" s="73"/>
      <c r="F930" s="73"/>
      <c r="G930" s="73"/>
      <c r="H930" s="73"/>
      <c r="I930" s="73"/>
      <c r="J930" s="73"/>
      <c r="K930" s="73"/>
    </row>
    <row r="931" spans="1:11">
      <c r="A931" s="73" t="s">
        <v>38</v>
      </c>
      <c r="B931" s="73"/>
      <c r="C931" s="73"/>
      <c r="D931" s="73"/>
      <c r="E931" s="73"/>
      <c r="F931" s="73"/>
      <c r="G931" s="73"/>
      <c r="H931" s="73"/>
      <c r="I931" s="73"/>
      <c r="J931" s="73"/>
      <c r="K931" s="73"/>
    </row>
    <row r="932" spans="1:11">
      <c r="A932" s="73" t="s">
        <v>2</v>
      </c>
      <c r="B932" s="73"/>
      <c r="C932" s="73"/>
      <c r="D932" s="73"/>
      <c r="E932" s="73"/>
      <c r="F932" s="73"/>
      <c r="G932" s="73"/>
      <c r="H932" s="73"/>
      <c r="I932" s="73"/>
      <c r="J932" s="73"/>
      <c r="K932" s="73"/>
    </row>
    <row r="933" spans="1:11">
      <c r="A933" s="6"/>
      <c r="B933" s="6"/>
      <c r="C933" s="7"/>
      <c r="D933" s="7"/>
      <c r="E933" s="7"/>
      <c r="F933" s="7"/>
      <c r="G933" s="8"/>
      <c r="H933" s="9"/>
      <c r="I933" s="9"/>
      <c r="J933" s="9"/>
      <c r="K933" s="9"/>
    </row>
    <row r="934" spans="1:11">
      <c r="A934" s="52" t="s">
        <v>3</v>
      </c>
      <c r="B934" s="10"/>
      <c r="C934" s="10"/>
      <c r="D934" s="53" t="s">
        <v>4</v>
      </c>
      <c r="E934" s="10" t="s">
        <v>5</v>
      </c>
      <c r="F934" s="11"/>
      <c r="G934" s="10"/>
      <c r="H934" s="12"/>
      <c r="I934" s="12"/>
      <c r="J934" s="12"/>
      <c r="K934" s="9"/>
    </row>
    <row r="935" spans="1:11">
      <c r="A935" s="52" t="s">
        <v>6</v>
      </c>
      <c r="B935" s="10"/>
      <c r="C935" s="10"/>
      <c r="D935" s="53" t="s">
        <v>4</v>
      </c>
      <c r="E935" s="10" t="s">
        <v>7</v>
      </c>
      <c r="F935" s="11"/>
      <c r="G935" s="10"/>
      <c r="H935" s="12"/>
      <c r="I935" s="12"/>
      <c r="J935" s="12"/>
      <c r="K935" s="9"/>
    </row>
    <row r="936" spans="1:11">
      <c r="A936" s="52" t="s">
        <v>8</v>
      </c>
      <c r="B936" s="10"/>
      <c r="C936" s="10"/>
      <c r="D936" s="53" t="s">
        <v>4</v>
      </c>
      <c r="E936" s="13">
        <v>2026</v>
      </c>
      <c r="F936" s="11"/>
      <c r="G936" s="13"/>
      <c r="H936" s="12"/>
      <c r="I936" s="12"/>
      <c r="J936" s="12"/>
      <c r="K936" s="9"/>
    </row>
    <row r="937" spans="1:11">
      <c r="A937" s="52" t="s">
        <v>9</v>
      </c>
      <c r="B937" s="10"/>
      <c r="C937" s="10"/>
      <c r="D937" s="53" t="s">
        <v>4</v>
      </c>
      <c r="E937" s="14">
        <f>J948</f>
        <v>410000</v>
      </c>
      <c r="F937" s="11"/>
      <c r="G937" s="14"/>
      <c r="H937" s="12"/>
      <c r="I937" s="12"/>
      <c r="J937" s="12"/>
      <c r="K937" s="9"/>
    </row>
    <row r="938" spans="1:11" ht="15.75">
      <c r="A938" s="10"/>
      <c r="B938" s="10"/>
      <c r="C938" s="15" t="s">
        <v>10</v>
      </c>
      <c r="D938" s="53" t="s">
        <v>4</v>
      </c>
      <c r="E938" s="16" t="str">
        <f>PROPER(IF(E937=0,"nol",IF(E937&lt;0,"minus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937),"000000000000000"),1,3)=0,"",MID(TEXT(ABS(E937),"000000000000000"),1,1)&amp;" ratus "&amp;MID(TEXT(ABS(E937),"000000000000000"),2,1)&amp;" puluh "&amp;MID(TEXT(ABS(E937),"000000000000000"),3,1)&amp;" trilyun ")&amp;IF(--MID(TEXT(ABS(E937),"000000000000000"),4,3)=0,"",MID(TEXT(ABS(E937),"000000000000000"),4,1)&amp;" ratus "&amp;MID(TEXT(ABS(E937),"000000000000000"),5,1)&amp;" puluh "&amp;MID(TEXT(ABS(E937),"000000000000000"),6,1)&amp;" milyar ")&amp;IF(--MID(TEXT(ABS(E937),"000000000000000"),7,3)=0,"",MID(TEXT(ABS(E937),"000000000000000"),7,1)&amp;" ratus "&amp;MID(TEXT(ABS(E937),"000000000000000"),8,1)&amp;" puluh "&amp;MID(TEXT(ABS(E937),"000000000000000"),9,1)&amp;" juta ")&amp;IF(--MID(TEXT(ABS(E937),"000000000000000"),10,3)=0,"",IF(--MID(TEXT(ABS(E937),"000000000000000"),10,3)=1,"*",MID(TEXT(ABS(E937),"000000000000000"),10,1)&amp;" ratus "&amp;MID(TEXT(ABS(E937),"000000000000000"),11,1)&amp;" puluh ")&amp;MID(TEXT(ABS(E937),"000000000000000"),12,1)&amp;" ribu ")&amp;IF(--MID(TEXT(ABS(E937),"000000000000000"),13,3)=0,"",MID(TEXT(ABS(E937),"000000000000000"),13,1)&amp;" ratus "&amp;MID(TEXT(ABS(E937),"000000000000000"),14,1)&amp;" puluh "&amp;MID(TEXT(ABS(E937),"000000000000000"),15,1)),1,"satu"),2,"dua"),3,"tiga"),4,"empat"),5,"lima"),6,"enam"),7,"tujuh"),8,"delapan"),9,"sembilan"),"0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Sepuluh Ribu Rupiah</v>
      </c>
      <c r="F938" s="11"/>
      <c r="G938" s="16"/>
      <c r="H938" s="12"/>
      <c r="I938" s="12"/>
      <c r="J938" s="12"/>
      <c r="K938" s="9"/>
    </row>
    <row r="939" spans="1:11" ht="15.75">
      <c r="A939" s="10"/>
      <c r="B939" s="10"/>
      <c r="C939" s="15"/>
      <c r="D939" s="15"/>
      <c r="E939" s="15"/>
      <c r="F939" s="11"/>
      <c r="G939" s="16"/>
      <c r="H939" s="12"/>
      <c r="I939" s="12"/>
      <c r="J939" s="12"/>
      <c r="K939" s="9"/>
    </row>
    <row r="940" spans="1:11">
      <c r="A940" s="10" t="s">
        <v>11</v>
      </c>
      <c r="B940" s="10"/>
      <c r="C940" s="10"/>
      <c r="D940" s="10"/>
      <c r="E940" s="10"/>
      <c r="F940" s="10"/>
      <c r="G940" s="10"/>
      <c r="H940" s="12"/>
      <c r="I940" s="12"/>
      <c r="J940" s="12"/>
      <c r="K940" s="9"/>
    </row>
    <row r="941" spans="1:11">
      <c r="A941" s="74" t="s">
        <v>12</v>
      </c>
      <c r="B941" s="74"/>
      <c r="C941" s="74"/>
      <c r="D941" s="74"/>
      <c r="E941" s="74"/>
      <c r="F941" s="74"/>
      <c r="G941" s="74"/>
      <c r="H941" s="74"/>
      <c r="I941" s="74"/>
      <c r="J941" s="74"/>
      <c r="K941" s="74"/>
    </row>
    <row r="942" spans="1:11" ht="60">
      <c r="A942" s="17" t="s">
        <v>13</v>
      </c>
      <c r="B942" s="18" t="s">
        <v>14</v>
      </c>
      <c r="C942" s="59" t="s">
        <v>15</v>
      </c>
      <c r="D942" s="60"/>
      <c r="E942" s="61"/>
      <c r="F942" s="19"/>
      <c r="G942" s="20" t="s">
        <v>16</v>
      </c>
      <c r="H942" s="21" t="s">
        <v>35</v>
      </c>
      <c r="I942" s="21"/>
      <c r="J942" s="31" t="s">
        <v>17</v>
      </c>
      <c r="K942" s="32" t="s">
        <v>18</v>
      </c>
    </row>
    <row r="943" spans="1:11">
      <c r="A943" s="27">
        <v>1</v>
      </c>
      <c r="B943" s="24"/>
      <c r="C943" s="28" t="s">
        <v>23</v>
      </c>
      <c r="D943" s="57"/>
      <c r="E943" s="26"/>
      <c r="F943" s="25"/>
      <c r="G943" s="54" t="s">
        <v>19</v>
      </c>
      <c r="H943" s="54" t="s">
        <v>19</v>
      </c>
      <c r="I943" s="54"/>
      <c r="J943" s="54" t="s">
        <v>19</v>
      </c>
      <c r="K943" s="54" t="s">
        <v>19</v>
      </c>
    </row>
    <row r="944" spans="1:11">
      <c r="A944" s="24"/>
      <c r="B944" s="55" t="s">
        <v>20</v>
      </c>
      <c r="C944" s="25" t="s">
        <v>24</v>
      </c>
      <c r="D944" s="10"/>
      <c r="E944" s="26"/>
      <c r="F944" s="25"/>
      <c r="G944" s="23">
        <v>45000000</v>
      </c>
      <c r="H944" s="56">
        <f>H898+J898</f>
        <v>4594298</v>
      </c>
      <c r="I944" s="56"/>
      <c r="J944" s="56">
        <v>0</v>
      </c>
      <c r="K944" s="58">
        <f t="shared" ref="K944:K947" si="38">G944-H944-J944</f>
        <v>40405702</v>
      </c>
    </row>
    <row r="945" spans="1:11">
      <c r="A945" s="24"/>
      <c r="B945" s="55" t="s">
        <v>21</v>
      </c>
      <c r="C945" s="62" t="s">
        <v>39</v>
      </c>
      <c r="D945" s="63"/>
      <c r="E945" s="64"/>
      <c r="F945" s="25"/>
      <c r="G945" s="23">
        <v>35000000</v>
      </c>
      <c r="H945" s="56">
        <f>H899+J899</f>
        <v>8010980</v>
      </c>
      <c r="I945" s="56"/>
      <c r="J945" s="56">
        <v>0</v>
      </c>
      <c r="K945" s="58">
        <f t="shared" si="38"/>
        <v>26989020</v>
      </c>
    </row>
    <row r="946" spans="1:11">
      <c r="A946" s="24"/>
      <c r="B946" s="55" t="s">
        <v>22</v>
      </c>
      <c r="C946" s="65" t="s">
        <v>40</v>
      </c>
      <c r="D946" s="66"/>
      <c r="E946" s="67"/>
      <c r="F946" s="25"/>
      <c r="G946" s="23">
        <v>30000000</v>
      </c>
      <c r="H946" s="56">
        <f t="shared" ref="H946" si="39">H900+J900</f>
        <v>9662000</v>
      </c>
      <c r="I946" s="22"/>
      <c r="J946" s="22">
        <v>410000</v>
      </c>
      <c r="K946" s="33">
        <f t="shared" si="38"/>
        <v>19928000</v>
      </c>
    </row>
    <row r="947" spans="1:11">
      <c r="A947" s="24"/>
      <c r="B947" s="55" t="s">
        <v>36</v>
      </c>
      <c r="C947" s="68" t="s">
        <v>41</v>
      </c>
      <c r="D947" s="69"/>
      <c r="E947" s="70"/>
      <c r="F947" s="25"/>
      <c r="G947" s="23">
        <v>28125000</v>
      </c>
      <c r="H947" s="56">
        <f>H901+J901</f>
        <v>4590650</v>
      </c>
      <c r="I947" s="22"/>
      <c r="J947" s="22">
        <v>0</v>
      </c>
      <c r="K947" s="33">
        <f t="shared" si="38"/>
        <v>23534350</v>
      </c>
    </row>
    <row r="948" spans="1:11">
      <c r="A948" s="34"/>
      <c r="B948" s="34"/>
      <c r="C948" s="34" t="s">
        <v>25</v>
      </c>
      <c r="D948" s="34"/>
      <c r="E948" s="34"/>
      <c r="F948" s="35"/>
      <c r="G948" s="36">
        <f>SUM(G943:G947)</f>
        <v>138125000</v>
      </c>
      <c r="H948" s="37">
        <f>SUM(H943:H947)</f>
        <v>26857928</v>
      </c>
      <c r="I948" s="37"/>
      <c r="J948" s="37">
        <f>SUM(J943:J947)</f>
        <v>410000</v>
      </c>
      <c r="K948" s="37">
        <f>SUM(K943:K947)</f>
        <v>110857072</v>
      </c>
    </row>
    <row r="949" spans="1:11">
      <c r="A949" s="38"/>
      <c r="B949" s="8"/>
      <c r="C949" s="8"/>
      <c r="D949" s="8"/>
      <c r="E949" s="8"/>
      <c r="F949" s="8"/>
      <c r="G949" s="39"/>
      <c r="H949" s="39"/>
      <c r="I949" s="39"/>
      <c r="J949" s="39"/>
      <c r="K949" s="39"/>
    </row>
    <row r="950" spans="1:11">
      <c r="A950" s="71" t="s">
        <v>26</v>
      </c>
      <c r="B950" s="71"/>
      <c r="C950" s="71"/>
      <c r="D950" s="11" t="s">
        <v>4</v>
      </c>
      <c r="E950" s="14">
        <f>J948</f>
        <v>410000</v>
      </c>
      <c r="F950" s="40"/>
      <c r="G950" s="41"/>
      <c r="H950" s="41"/>
      <c r="I950" s="41"/>
      <c r="J950" s="9"/>
      <c r="K950" s="9"/>
    </row>
    <row r="951" spans="1:11">
      <c r="A951" s="10" t="s">
        <v>27</v>
      </c>
      <c r="B951" s="10"/>
      <c r="C951" s="10"/>
      <c r="D951" s="11" t="s">
        <v>4</v>
      </c>
      <c r="E951" s="42"/>
      <c r="F951" s="42"/>
      <c r="G951" s="43"/>
      <c r="H951" s="12"/>
      <c r="I951" s="12"/>
      <c r="J951" s="9"/>
      <c r="K951" s="9"/>
    </row>
    <row r="952" spans="1:11">
      <c r="A952" s="10" t="s">
        <v>28</v>
      </c>
      <c r="B952" s="10"/>
      <c r="C952" s="10"/>
      <c r="D952" s="11" t="s">
        <v>4</v>
      </c>
      <c r="E952" s="44"/>
      <c r="F952" s="44"/>
      <c r="G952" s="43"/>
      <c r="H952" s="12"/>
      <c r="I952" s="12"/>
      <c r="J952" s="9"/>
      <c r="K952" s="9"/>
    </row>
    <row r="953" spans="1:11">
      <c r="A953" s="10" t="s">
        <v>29</v>
      </c>
      <c r="B953" s="10"/>
      <c r="C953" s="10"/>
      <c r="D953" s="11" t="s">
        <v>4</v>
      </c>
      <c r="E953" s="44">
        <f>E951+E952</f>
        <v>0</v>
      </c>
      <c r="F953" s="44"/>
      <c r="G953" s="10"/>
      <c r="H953" s="12"/>
      <c r="I953" s="12"/>
      <c r="J953" s="46"/>
      <c r="K953" s="46"/>
    </row>
    <row r="954" spans="1:11">
      <c r="A954" s="13"/>
      <c r="B954" s="13"/>
      <c r="C954" s="13"/>
      <c r="D954" s="11"/>
      <c r="E954" s="13"/>
      <c r="F954" s="13"/>
      <c r="G954" s="10"/>
      <c r="H954" s="12"/>
      <c r="I954" s="12"/>
      <c r="J954" s="46"/>
      <c r="K954" s="46"/>
    </row>
    <row r="955" spans="1:11">
      <c r="A955" s="71" t="s">
        <v>30</v>
      </c>
      <c r="B955" s="71"/>
      <c r="C955" s="71"/>
      <c r="D955" s="11" t="s">
        <v>4</v>
      </c>
      <c r="E955" s="40">
        <f>E950-E953</f>
        <v>410000</v>
      </c>
      <c r="F955" s="40"/>
      <c r="G955" s="10"/>
      <c r="H955" s="12"/>
      <c r="I955" s="12"/>
      <c r="J955" s="46"/>
      <c r="K955" s="46"/>
    </row>
    <row r="956" spans="1:11" ht="15.75">
      <c r="A956" s="13"/>
      <c r="B956" s="13"/>
      <c r="C956" s="10"/>
      <c r="D956" s="10"/>
      <c r="E956" s="16" t="str">
        <f>PROPER(IF(E955=0,"nol",IF(E955&lt;0,"minus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955),"000000000000000"),1,3)=0,"",MID(TEXT(ABS(E955),"000000000000000"),1,1)&amp;" ratus "&amp;MID(TEXT(ABS(E955),"000000000000000"),2,1)&amp;" puluh "&amp;MID(TEXT(ABS(E955),"000000000000000"),3,1)&amp;" trilyun ")&amp;IF(--MID(TEXT(ABS(E955),"000000000000000"),4,3)=0,"",MID(TEXT(ABS(E955),"000000000000000"),4,1)&amp;" ratus "&amp;MID(TEXT(ABS(E955),"000000000000000"),5,1)&amp;" puluh "&amp;MID(TEXT(ABS(E955),"000000000000000"),6,1)&amp;" milyar ")&amp;IF(--MID(TEXT(ABS(E955),"000000000000000"),7,3)=0,"",MID(TEXT(ABS(E955),"000000000000000"),7,1)&amp;" ratus "&amp;MID(TEXT(ABS(E955),"000000000000000"),8,1)&amp;" puluh "&amp;MID(TEXT(ABS(E955),"000000000000000"),9,1)&amp;" juta ")&amp;IF(--MID(TEXT(ABS(E955),"000000000000000"),10,3)=0,"",IF(--MID(TEXT(ABS(E955),"000000000000000"),10,3)=1,"*",MID(TEXT(ABS(E955),"000000000000000"),10,1)&amp;" ratus "&amp;MID(TEXT(ABS(E955),"000000000000000"),11,1)&amp;" puluh ")&amp;MID(TEXT(ABS(E955),"000000000000000"),12,1)&amp;" ribu ")&amp;IF(--MID(TEXT(ABS(E955),"000000000000000"),13,3)=0,"",MID(TEXT(ABS(E955),"000000000000000"),13,1)&amp;" ratus "&amp;MID(TEXT(ABS(E955),"000000000000000"),14,1)&amp;" puluh "&amp;MID(TEXT(ABS(E955),"000000000000000"),15,1)),1,"satu"),2,"dua"),3,"tiga"),4,"empat"),5,"lima"),6,"enam"),7,"tujuh"),8,"delapan"),9,"sembilan"),"0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Sepuluh Ribu Rupiah</v>
      </c>
      <c r="F956" s="10"/>
      <c r="G956" s="10"/>
      <c r="H956" s="10"/>
      <c r="I956" s="10"/>
      <c r="J956" s="46"/>
      <c r="K956" s="46"/>
    </row>
    <row r="957" spans="1:11">
      <c r="A957" s="45"/>
      <c r="B957" s="45"/>
      <c r="C957" s="45"/>
      <c r="D957" s="45"/>
      <c r="E957" s="45"/>
      <c r="F957" s="45"/>
      <c r="G957" s="29"/>
      <c r="H957" s="46"/>
      <c r="I957" s="46"/>
      <c r="J957" s="46"/>
      <c r="K957" s="46"/>
    </row>
    <row r="958" spans="1:11">
      <c r="A958" s="29"/>
      <c r="B958" s="29"/>
      <c r="C958" s="29"/>
      <c r="D958" s="29"/>
      <c r="E958" s="29"/>
      <c r="F958" s="29"/>
      <c r="G958" s="29"/>
      <c r="H958"/>
      <c r="I958"/>
      <c r="J958" s="46"/>
      <c r="K958" s="46"/>
    </row>
    <row r="959" spans="1:11">
      <c r="A959" s="13"/>
      <c r="B959" s="13"/>
      <c r="C959" s="10"/>
      <c r="D959" s="10"/>
      <c r="E959" s="10"/>
      <c r="F959" s="10"/>
      <c r="G959" s="10"/>
      <c r="I959" s="47"/>
      <c r="J959" s="47" t="s">
        <v>103</v>
      </c>
      <c r="K959" s="46"/>
    </row>
    <row r="960" spans="1:11">
      <c r="A960" s="12" t="s">
        <v>31</v>
      </c>
      <c r="B960" s="10"/>
      <c r="C960" s="10"/>
      <c r="D960" s="10"/>
      <c r="E960" s="10"/>
      <c r="F960" s="10"/>
      <c r="G960" s="10"/>
      <c r="I960" s="12"/>
      <c r="J960" s="12" t="s">
        <v>32</v>
      </c>
      <c r="K960" s="46"/>
    </row>
    <row r="961" spans="1:11">
      <c r="A961" s="10"/>
      <c r="B961" s="10"/>
      <c r="C961" s="10"/>
      <c r="D961" s="10"/>
      <c r="E961" s="10"/>
      <c r="F961" s="10"/>
      <c r="G961" s="10"/>
      <c r="I961" s="12"/>
      <c r="J961" s="12"/>
      <c r="K961" s="46"/>
    </row>
    <row r="962" spans="1:11">
      <c r="A962" s="10"/>
      <c r="B962" s="10"/>
      <c r="C962" s="10"/>
      <c r="D962" s="10"/>
      <c r="E962" s="10"/>
      <c r="F962" s="10"/>
      <c r="G962" s="10"/>
      <c r="I962" s="12"/>
      <c r="J962" s="12"/>
      <c r="K962" s="46"/>
    </row>
    <row r="963" spans="1:11">
      <c r="A963" s="10"/>
      <c r="B963" s="10"/>
      <c r="C963" s="10"/>
      <c r="D963" s="10"/>
      <c r="E963" s="10"/>
      <c r="F963" s="10"/>
      <c r="G963" s="10"/>
      <c r="I963" s="12"/>
      <c r="J963" s="12"/>
      <c r="K963" s="46"/>
    </row>
    <row r="964" spans="1:11">
      <c r="A964" s="10"/>
      <c r="B964" s="10"/>
      <c r="C964" s="10"/>
      <c r="D964" s="10"/>
      <c r="E964" s="10"/>
      <c r="F964" s="10"/>
      <c r="G964" s="10"/>
      <c r="I964" s="12"/>
      <c r="J964" s="12"/>
      <c r="K964" s="46"/>
    </row>
    <row r="965" spans="1:11">
      <c r="A965" s="48" t="s">
        <v>37</v>
      </c>
      <c r="B965" s="48"/>
      <c r="C965" s="49"/>
      <c r="D965" s="49"/>
      <c r="E965" s="49"/>
      <c r="F965" s="49"/>
      <c r="G965" s="10" t="s">
        <v>33</v>
      </c>
      <c r="I965" s="48"/>
      <c r="J965" s="48" t="s">
        <v>34</v>
      </c>
      <c r="K965" s="46"/>
    </row>
    <row r="970" spans="1:11" ht="15.75">
      <c r="C970" s="2"/>
      <c r="D970" s="2"/>
      <c r="E970" s="2"/>
      <c r="F970" s="2"/>
    </row>
    <row r="971" spans="1:11" ht="15.75">
      <c r="A971" s="3"/>
      <c r="B971" s="3"/>
      <c r="C971" s="2"/>
      <c r="D971" s="2"/>
      <c r="E971" s="2"/>
      <c r="F971" s="2"/>
      <c r="G971" s="3"/>
      <c r="H971" s="4"/>
      <c r="I971" s="4"/>
      <c r="J971" s="4"/>
      <c r="K971" s="5"/>
    </row>
    <row r="972" spans="1:11">
      <c r="H972" s="5"/>
      <c r="I972" s="5"/>
      <c r="J972" s="5"/>
      <c r="K972" s="5"/>
    </row>
    <row r="973" spans="1:11">
      <c r="H973" s="5"/>
      <c r="I973" s="5"/>
      <c r="J973" s="5"/>
      <c r="K973" s="5"/>
    </row>
    <row r="974" spans="1:11">
      <c r="A974" s="72" t="s">
        <v>0</v>
      </c>
      <c r="B974" s="72"/>
      <c r="C974" s="73"/>
      <c r="D974" s="73"/>
      <c r="E974" s="73"/>
      <c r="F974" s="73"/>
      <c r="G974" s="73"/>
      <c r="H974" s="73"/>
      <c r="I974" s="73"/>
      <c r="J974" s="73"/>
      <c r="K974" s="73"/>
    </row>
    <row r="975" spans="1:11">
      <c r="A975" s="73" t="s">
        <v>104</v>
      </c>
      <c r="B975" s="73"/>
      <c r="C975" s="73"/>
      <c r="D975" s="73"/>
      <c r="E975" s="73"/>
      <c r="F975" s="73"/>
      <c r="G975" s="73"/>
      <c r="H975" s="73"/>
      <c r="I975" s="73"/>
      <c r="J975" s="73"/>
      <c r="K975" s="73"/>
    </row>
    <row r="976" spans="1:11">
      <c r="A976" s="73" t="s">
        <v>1</v>
      </c>
      <c r="B976" s="73"/>
      <c r="C976" s="73"/>
      <c r="D976" s="73"/>
      <c r="E976" s="73"/>
      <c r="F976" s="73"/>
      <c r="G976" s="73"/>
      <c r="H976" s="73"/>
      <c r="I976" s="73"/>
      <c r="J976" s="73"/>
      <c r="K976" s="73"/>
    </row>
    <row r="977" spans="1:11">
      <c r="A977" s="73" t="s">
        <v>38</v>
      </c>
      <c r="B977" s="73"/>
      <c r="C977" s="73"/>
      <c r="D977" s="73"/>
      <c r="E977" s="73"/>
      <c r="F977" s="73"/>
      <c r="G977" s="73"/>
      <c r="H977" s="73"/>
      <c r="I977" s="73"/>
      <c r="J977" s="73"/>
      <c r="K977" s="73"/>
    </row>
    <row r="978" spans="1:11">
      <c r="A978" s="73" t="s">
        <v>2</v>
      </c>
      <c r="B978" s="73"/>
      <c r="C978" s="73"/>
      <c r="D978" s="73"/>
      <c r="E978" s="73"/>
      <c r="F978" s="73"/>
      <c r="G978" s="73"/>
      <c r="H978" s="73"/>
      <c r="I978" s="73"/>
      <c r="J978" s="73"/>
      <c r="K978" s="73"/>
    </row>
    <row r="979" spans="1:11">
      <c r="A979" s="6"/>
      <c r="B979" s="6"/>
      <c r="C979" s="7"/>
      <c r="D979" s="7"/>
      <c r="E979" s="7"/>
      <c r="F979" s="7"/>
      <c r="G979" s="8"/>
      <c r="H979" s="9"/>
      <c r="I979" s="9"/>
      <c r="J979" s="9"/>
      <c r="K979" s="9"/>
    </row>
    <row r="980" spans="1:11">
      <c r="A980" s="52" t="s">
        <v>3</v>
      </c>
      <c r="B980" s="10"/>
      <c r="C980" s="10"/>
      <c r="D980" s="53" t="s">
        <v>4</v>
      </c>
      <c r="E980" s="10" t="s">
        <v>5</v>
      </c>
      <c r="F980" s="11"/>
      <c r="G980" s="10"/>
      <c r="H980" s="12"/>
      <c r="I980" s="12"/>
      <c r="J980" s="12"/>
      <c r="K980" s="9"/>
    </row>
    <row r="981" spans="1:11">
      <c r="A981" s="52" t="s">
        <v>6</v>
      </c>
      <c r="B981" s="10"/>
      <c r="C981" s="10"/>
      <c r="D981" s="53" t="s">
        <v>4</v>
      </c>
      <c r="E981" s="10" t="s">
        <v>7</v>
      </c>
      <c r="F981" s="11"/>
      <c r="G981" s="10"/>
      <c r="H981" s="12"/>
      <c r="I981" s="12"/>
      <c r="J981" s="12"/>
      <c r="K981" s="9"/>
    </row>
    <row r="982" spans="1:11">
      <c r="A982" s="52" t="s">
        <v>8</v>
      </c>
      <c r="B982" s="10"/>
      <c r="C982" s="10"/>
      <c r="D982" s="53" t="s">
        <v>4</v>
      </c>
      <c r="E982" s="13">
        <v>2026</v>
      </c>
      <c r="F982" s="11"/>
      <c r="G982" s="13"/>
      <c r="H982" s="12"/>
      <c r="I982" s="12"/>
      <c r="J982" s="12"/>
      <c r="K982" s="9"/>
    </row>
    <row r="983" spans="1:11">
      <c r="A983" s="52" t="s">
        <v>9</v>
      </c>
      <c r="B983" s="10"/>
      <c r="C983" s="10"/>
      <c r="D983" s="53" t="s">
        <v>4</v>
      </c>
      <c r="E983" s="14">
        <f>J994</f>
        <v>930000</v>
      </c>
      <c r="F983" s="11"/>
      <c r="G983" s="14"/>
      <c r="H983" s="12"/>
      <c r="I983" s="12"/>
      <c r="J983" s="12"/>
      <c r="K983" s="9"/>
    </row>
    <row r="984" spans="1:11" ht="15.75">
      <c r="A984" s="10"/>
      <c r="B984" s="10"/>
      <c r="C984" s="15" t="s">
        <v>10</v>
      </c>
      <c r="D984" s="53" t="s">
        <v>4</v>
      </c>
      <c r="E984" s="16" t="str">
        <f>PROPER(IF(E983=0,"nol",IF(E983&lt;0,"minus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983),"000000000000000"),1,3)=0,"",MID(TEXT(ABS(E983),"000000000000000"),1,1)&amp;" ratus "&amp;MID(TEXT(ABS(E983),"000000000000000"),2,1)&amp;" puluh "&amp;MID(TEXT(ABS(E983),"000000000000000"),3,1)&amp;" trilyun ")&amp;IF(--MID(TEXT(ABS(E983),"000000000000000"),4,3)=0,"",MID(TEXT(ABS(E983),"000000000000000"),4,1)&amp;" ratus "&amp;MID(TEXT(ABS(E983),"000000000000000"),5,1)&amp;" puluh "&amp;MID(TEXT(ABS(E983),"000000000000000"),6,1)&amp;" milyar ")&amp;IF(--MID(TEXT(ABS(E983),"000000000000000"),7,3)=0,"",MID(TEXT(ABS(E983),"000000000000000"),7,1)&amp;" ratus "&amp;MID(TEXT(ABS(E983),"000000000000000"),8,1)&amp;" puluh "&amp;MID(TEXT(ABS(E983),"000000000000000"),9,1)&amp;" juta ")&amp;IF(--MID(TEXT(ABS(E983),"000000000000000"),10,3)=0,"",IF(--MID(TEXT(ABS(E983),"000000000000000"),10,3)=1,"*",MID(TEXT(ABS(E983),"000000000000000"),10,1)&amp;" ratus "&amp;MID(TEXT(ABS(E983),"000000000000000"),11,1)&amp;" puluh ")&amp;MID(TEXT(ABS(E983),"000000000000000"),12,1)&amp;" ribu ")&amp;IF(--MID(TEXT(ABS(E983),"000000000000000"),13,3)=0,"",MID(TEXT(ABS(E983),"000000000000000"),13,1)&amp;" ratus "&amp;MID(TEXT(ABS(E983),"000000000000000"),14,1)&amp;" puluh "&amp;MID(TEXT(ABS(E983),"000000000000000"),15,1)),1,"satu"),2,"dua"),3,"tiga"),4,"empat"),5,"lima"),6,"enam"),7,"tujuh"),8,"delapan"),9,"sembilan"),"0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Ratus Tiga Puluh Ribu Rupiah</v>
      </c>
      <c r="F984" s="11"/>
      <c r="G984" s="16"/>
      <c r="H984" s="12"/>
      <c r="I984" s="12"/>
      <c r="J984" s="12"/>
      <c r="K984" s="9"/>
    </row>
    <row r="985" spans="1:11" ht="15.75">
      <c r="A985" s="10"/>
      <c r="B985" s="10"/>
      <c r="C985" s="15"/>
      <c r="D985" s="15"/>
      <c r="E985" s="15"/>
      <c r="F985" s="11"/>
      <c r="G985" s="16"/>
      <c r="H985" s="12"/>
      <c r="I985" s="12"/>
      <c r="J985" s="12"/>
      <c r="K985" s="9"/>
    </row>
    <row r="986" spans="1:11">
      <c r="A986" s="10" t="s">
        <v>11</v>
      </c>
      <c r="B986" s="10"/>
      <c r="C986" s="10"/>
      <c r="D986" s="10"/>
      <c r="E986" s="10"/>
      <c r="F986" s="10"/>
      <c r="G986" s="10"/>
      <c r="H986" s="12"/>
      <c r="I986" s="12"/>
      <c r="J986" s="12"/>
      <c r="K986" s="9"/>
    </row>
    <row r="987" spans="1:11">
      <c r="A987" s="74" t="s">
        <v>12</v>
      </c>
      <c r="B987" s="74"/>
      <c r="C987" s="74"/>
      <c r="D987" s="74"/>
      <c r="E987" s="74"/>
      <c r="F987" s="74"/>
      <c r="G987" s="74"/>
      <c r="H987" s="74"/>
      <c r="I987" s="74"/>
      <c r="J987" s="74"/>
      <c r="K987" s="74"/>
    </row>
    <row r="988" spans="1:11" ht="60">
      <c r="A988" s="17" t="s">
        <v>13</v>
      </c>
      <c r="B988" s="18" t="s">
        <v>14</v>
      </c>
      <c r="C988" s="59" t="s">
        <v>15</v>
      </c>
      <c r="D988" s="60"/>
      <c r="E988" s="61"/>
      <c r="F988" s="19"/>
      <c r="G988" s="20" t="s">
        <v>16</v>
      </c>
      <c r="H988" s="21" t="s">
        <v>35</v>
      </c>
      <c r="I988" s="21"/>
      <c r="J988" s="31" t="s">
        <v>17</v>
      </c>
      <c r="K988" s="32" t="s">
        <v>18</v>
      </c>
    </row>
    <row r="989" spans="1:11">
      <c r="A989" s="27">
        <v>1</v>
      </c>
      <c r="B989" s="24"/>
      <c r="C989" s="28" t="s">
        <v>23</v>
      </c>
      <c r="D989" s="57"/>
      <c r="E989" s="26"/>
      <c r="F989" s="25"/>
      <c r="G989" s="54" t="s">
        <v>19</v>
      </c>
      <c r="H989" s="54" t="s">
        <v>19</v>
      </c>
      <c r="I989" s="54"/>
      <c r="J989" s="54" t="s">
        <v>19</v>
      </c>
      <c r="K989" s="54" t="s">
        <v>19</v>
      </c>
    </row>
    <row r="990" spans="1:11">
      <c r="A990" s="24"/>
      <c r="B990" s="55" t="s">
        <v>20</v>
      </c>
      <c r="C990" s="25" t="s">
        <v>24</v>
      </c>
      <c r="D990" s="10"/>
      <c r="E990" s="26"/>
      <c r="F990" s="25"/>
      <c r="G990" s="23">
        <v>45000000</v>
      </c>
      <c r="H990" s="56">
        <f>H944+J944</f>
        <v>4594298</v>
      </c>
      <c r="I990" s="56"/>
      <c r="J990" s="56">
        <v>0</v>
      </c>
      <c r="K990" s="58">
        <f t="shared" ref="K990:K993" si="40">G990-H990-J990</f>
        <v>40405702</v>
      </c>
    </row>
    <row r="991" spans="1:11">
      <c r="A991" s="24"/>
      <c r="B991" s="55" t="s">
        <v>21</v>
      </c>
      <c r="C991" s="62" t="s">
        <v>39</v>
      </c>
      <c r="D991" s="63"/>
      <c r="E991" s="64"/>
      <c r="F991" s="25"/>
      <c r="G991" s="23">
        <v>35000000</v>
      </c>
      <c r="H991" s="56">
        <f t="shared" ref="H991:H993" si="41">H945+J945</f>
        <v>8010980</v>
      </c>
      <c r="I991" s="56"/>
      <c r="J991" s="56">
        <v>0</v>
      </c>
      <c r="K991" s="58">
        <f t="shared" si="40"/>
        <v>26989020</v>
      </c>
    </row>
    <row r="992" spans="1:11">
      <c r="A992" s="24"/>
      <c r="B992" s="55" t="s">
        <v>22</v>
      </c>
      <c r="C992" s="65" t="s">
        <v>40</v>
      </c>
      <c r="D992" s="66"/>
      <c r="E992" s="67"/>
      <c r="F992" s="25"/>
      <c r="G992" s="23">
        <v>30000000</v>
      </c>
      <c r="H992" s="56">
        <f t="shared" si="41"/>
        <v>10072000</v>
      </c>
      <c r="I992" s="22"/>
      <c r="J992" s="22">
        <v>930000</v>
      </c>
      <c r="K992" s="33">
        <f t="shared" si="40"/>
        <v>18998000</v>
      </c>
    </row>
    <row r="993" spans="1:11">
      <c r="A993" s="24"/>
      <c r="B993" s="55" t="s">
        <v>36</v>
      </c>
      <c r="C993" s="68" t="s">
        <v>41</v>
      </c>
      <c r="D993" s="69"/>
      <c r="E993" s="70"/>
      <c r="F993" s="25"/>
      <c r="G993" s="23">
        <v>28125000</v>
      </c>
      <c r="H993" s="56">
        <f t="shared" si="41"/>
        <v>4590650</v>
      </c>
      <c r="I993" s="22"/>
      <c r="J993" s="22">
        <v>0</v>
      </c>
      <c r="K993" s="33">
        <f t="shared" si="40"/>
        <v>23534350</v>
      </c>
    </row>
    <row r="994" spans="1:11">
      <c r="A994" s="34"/>
      <c r="B994" s="34"/>
      <c r="C994" s="34" t="s">
        <v>25</v>
      </c>
      <c r="D994" s="34"/>
      <c r="E994" s="34"/>
      <c r="F994" s="35"/>
      <c r="G994" s="36">
        <f>SUM(G989:G993)</f>
        <v>138125000</v>
      </c>
      <c r="H994" s="37">
        <f>SUM(H989:H993)</f>
        <v>27267928</v>
      </c>
      <c r="I994" s="37"/>
      <c r="J994" s="37">
        <f>SUM(J989:J993)</f>
        <v>930000</v>
      </c>
      <c r="K994" s="37">
        <f>SUM(K989:K993)</f>
        <v>109927072</v>
      </c>
    </row>
    <row r="995" spans="1:11">
      <c r="A995" s="38"/>
      <c r="B995" s="8"/>
      <c r="C995" s="8"/>
      <c r="D995" s="8"/>
      <c r="E995" s="8"/>
      <c r="F995" s="8"/>
      <c r="G995" s="39"/>
      <c r="H995" s="39"/>
      <c r="I995" s="39"/>
      <c r="J995" s="39"/>
      <c r="K995" s="39"/>
    </row>
    <row r="996" spans="1:11">
      <c r="A996" s="71" t="s">
        <v>26</v>
      </c>
      <c r="B996" s="71"/>
      <c r="C996" s="71"/>
      <c r="D996" s="11" t="s">
        <v>4</v>
      </c>
      <c r="E996" s="14">
        <f>J994</f>
        <v>930000</v>
      </c>
      <c r="F996" s="40"/>
      <c r="G996" s="41"/>
      <c r="H996" s="41"/>
      <c r="I996" s="41"/>
      <c r="J996" s="9"/>
      <c r="K996" s="9"/>
    </row>
    <row r="997" spans="1:11">
      <c r="A997" s="10" t="s">
        <v>27</v>
      </c>
      <c r="B997" s="10"/>
      <c r="C997" s="10"/>
      <c r="D997" s="11" t="s">
        <v>4</v>
      </c>
      <c r="E997" s="42"/>
      <c r="F997" s="42"/>
      <c r="G997" s="43"/>
      <c r="H997" s="12"/>
      <c r="I997" s="12"/>
      <c r="J997" s="9"/>
      <c r="K997" s="9"/>
    </row>
    <row r="998" spans="1:11">
      <c r="A998" s="10" t="s">
        <v>28</v>
      </c>
      <c r="B998" s="10"/>
      <c r="C998" s="10"/>
      <c r="D998" s="11" t="s">
        <v>4</v>
      </c>
      <c r="E998" s="44"/>
      <c r="F998" s="44"/>
      <c r="G998" s="43"/>
      <c r="H998" s="12"/>
      <c r="I998" s="12"/>
      <c r="J998" s="9"/>
      <c r="K998" s="9"/>
    </row>
    <row r="999" spans="1:11">
      <c r="A999" s="10" t="s">
        <v>29</v>
      </c>
      <c r="B999" s="10"/>
      <c r="C999" s="10"/>
      <c r="D999" s="11" t="s">
        <v>4</v>
      </c>
      <c r="E999" s="44">
        <f>E997+E998</f>
        <v>0</v>
      </c>
      <c r="F999" s="44"/>
      <c r="G999" s="10"/>
      <c r="H999" s="12"/>
      <c r="I999" s="12"/>
      <c r="J999" s="46"/>
      <c r="K999" s="46"/>
    </row>
    <row r="1000" spans="1:11">
      <c r="A1000" s="13"/>
      <c r="B1000" s="13"/>
      <c r="C1000" s="13"/>
      <c r="D1000" s="11"/>
      <c r="E1000" s="13"/>
      <c r="F1000" s="13"/>
      <c r="G1000" s="10"/>
      <c r="H1000" s="12"/>
      <c r="I1000" s="12"/>
      <c r="J1000" s="46"/>
      <c r="K1000" s="46"/>
    </row>
    <row r="1001" spans="1:11">
      <c r="A1001" s="71" t="s">
        <v>30</v>
      </c>
      <c r="B1001" s="71"/>
      <c r="C1001" s="71"/>
      <c r="D1001" s="11" t="s">
        <v>4</v>
      </c>
      <c r="E1001" s="40">
        <f>E996-E999</f>
        <v>930000</v>
      </c>
      <c r="F1001" s="40"/>
      <c r="G1001" s="10"/>
      <c r="H1001" s="12"/>
      <c r="I1001" s="12"/>
      <c r="J1001" s="46"/>
      <c r="K1001" s="46"/>
    </row>
    <row r="1002" spans="1:11" ht="15.75">
      <c r="A1002" s="13"/>
      <c r="B1002" s="13"/>
      <c r="C1002" s="10"/>
      <c r="D1002" s="10"/>
      <c r="E1002" s="16" t="str">
        <f>PROPER(IF(E1001=0,"nol",IF(E1001&lt;0,"minus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1001),"000000000000000"),1,3)=0,"",MID(TEXT(ABS(E1001),"000000000000000"),1,1)&amp;" ratus "&amp;MID(TEXT(ABS(E1001),"000000000000000"),2,1)&amp;" puluh "&amp;MID(TEXT(ABS(E1001),"000000000000000"),3,1)&amp;" trilyun ")&amp;IF(--MID(TEXT(ABS(E1001),"000000000000000"),4,3)=0,"",MID(TEXT(ABS(E1001),"000000000000000"),4,1)&amp;" ratus "&amp;MID(TEXT(ABS(E1001),"000000000000000"),5,1)&amp;" puluh "&amp;MID(TEXT(ABS(E1001),"000000000000000"),6,1)&amp;" milyar ")&amp;IF(--MID(TEXT(ABS(E1001),"000000000000000"),7,3)=0,"",MID(TEXT(ABS(E1001),"000000000000000"),7,1)&amp;" ratus "&amp;MID(TEXT(ABS(E1001),"000000000000000"),8,1)&amp;" puluh "&amp;MID(TEXT(ABS(E1001),"000000000000000"),9,1)&amp;" juta ")&amp;IF(--MID(TEXT(ABS(E1001),"000000000000000"),10,3)=0,"",IF(--MID(TEXT(ABS(E1001),"000000000000000"),10,3)=1,"*",MID(TEXT(ABS(E1001),"000000000000000"),10,1)&amp;" ratus "&amp;MID(TEXT(ABS(E1001),"000000000000000"),11,1)&amp;" puluh ")&amp;MID(TEXT(ABS(E1001),"000000000000000"),12,1)&amp;" ribu ")&amp;IF(--MID(TEXT(ABS(E1001),"000000000000000"),13,3)=0,"",MID(TEXT(ABS(E1001),"000000000000000"),13,1)&amp;" ratus "&amp;MID(TEXT(ABS(E1001),"000000000000000"),14,1)&amp;" puluh "&amp;MID(TEXT(ABS(E1001),"000000000000000"),15,1)),1,"satu"),2,"dua"),3,"tiga"),4,"empat"),5,"lima"),6,"enam"),7,"tujuh"),8,"delapan"),9,"sembilan"),"0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Ratus Tiga Puluh Ribu Rupiah</v>
      </c>
      <c r="F1002" s="10"/>
      <c r="G1002" s="10"/>
      <c r="H1002" s="10"/>
      <c r="I1002" s="10"/>
      <c r="J1002" s="46"/>
      <c r="K1002" s="46"/>
    </row>
    <row r="1003" spans="1:11">
      <c r="A1003" s="45"/>
      <c r="B1003" s="45"/>
      <c r="C1003" s="45"/>
      <c r="D1003" s="45"/>
      <c r="E1003" s="45"/>
      <c r="F1003" s="45"/>
      <c r="G1003" s="29"/>
      <c r="H1003" s="46"/>
      <c r="I1003" s="46"/>
      <c r="J1003" s="46"/>
      <c r="K1003" s="46"/>
    </row>
    <row r="1004" spans="1:11">
      <c r="A1004" s="29"/>
      <c r="B1004" s="29"/>
      <c r="C1004" s="29"/>
      <c r="D1004" s="29"/>
      <c r="E1004" s="29"/>
      <c r="F1004" s="29"/>
      <c r="G1004" s="29"/>
      <c r="H1004"/>
      <c r="I1004"/>
      <c r="J1004" s="46"/>
      <c r="K1004" s="46"/>
    </row>
    <row r="1005" spans="1:11">
      <c r="A1005" s="13"/>
      <c r="B1005" s="13"/>
      <c r="C1005" s="10"/>
      <c r="D1005" s="10"/>
      <c r="E1005" s="10"/>
      <c r="F1005" s="10"/>
      <c r="G1005" s="10"/>
      <c r="I1005" s="47"/>
      <c r="J1005" s="47" t="s">
        <v>105</v>
      </c>
      <c r="K1005" s="46"/>
    </row>
    <row r="1006" spans="1:11">
      <c r="A1006" s="12" t="s">
        <v>31</v>
      </c>
      <c r="B1006" s="10"/>
      <c r="C1006" s="10"/>
      <c r="D1006" s="10"/>
      <c r="E1006" s="10"/>
      <c r="F1006" s="10"/>
      <c r="G1006" s="10"/>
      <c r="I1006" s="12"/>
      <c r="J1006" s="12" t="s">
        <v>32</v>
      </c>
      <c r="K1006" s="46"/>
    </row>
    <row r="1007" spans="1:11">
      <c r="A1007" s="10"/>
      <c r="B1007" s="10"/>
      <c r="C1007" s="10"/>
      <c r="D1007" s="10"/>
      <c r="E1007" s="10"/>
      <c r="F1007" s="10"/>
      <c r="G1007" s="10"/>
      <c r="I1007" s="12"/>
      <c r="J1007" s="12"/>
      <c r="K1007" s="46"/>
    </row>
    <row r="1008" spans="1:11">
      <c r="A1008" s="10"/>
      <c r="B1008" s="10"/>
      <c r="C1008" s="10"/>
      <c r="D1008" s="10"/>
      <c r="E1008" s="10"/>
      <c r="F1008" s="10"/>
      <c r="G1008" s="10"/>
      <c r="I1008" s="12"/>
      <c r="J1008" s="12"/>
      <c r="K1008" s="46"/>
    </row>
    <row r="1009" spans="1:11">
      <c r="A1009" s="10"/>
      <c r="B1009" s="10"/>
      <c r="C1009" s="10"/>
      <c r="D1009" s="10"/>
      <c r="E1009" s="10"/>
      <c r="F1009" s="10"/>
      <c r="G1009" s="10"/>
      <c r="I1009" s="12"/>
      <c r="J1009" s="12"/>
      <c r="K1009" s="46"/>
    </row>
    <row r="1010" spans="1:11">
      <c r="A1010" s="10"/>
      <c r="B1010" s="10"/>
      <c r="C1010" s="10"/>
      <c r="D1010" s="10"/>
      <c r="E1010" s="10"/>
      <c r="F1010" s="10"/>
      <c r="G1010" s="10"/>
      <c r="I1010" s="12"/>
      <c r="J1010" s="12"/>
      <c r="K1010" s="46"/>
    </row>
    <row r="1011" spans="1:11">
      <c r="A1011" s="48" t="s">
        <v>37</v>
      </c>
      <c r="B1011" s="48"/>
      <c r="C1011" s="49"/>
      <c r="D1011" s="49"/>
      <c r="E1011" s="49"/>
      <c r="F1011" s="49"/>
      <c r="G1011" s="10" t="s">
        <v>33</v>
      </c>
      <c r="I1011" s="48"/>
      <c r="J1011" s="48" t="s">
        <v>34</v>
      </c>
      <c r="K1011" s="46"/>
    </row>
    <row r="1016" spans="1:11" ht="15.75">
      <c r="C1016" s="2"/>
      <c r="D1016" s="2"/>
      <c r="E1016" s="2"/>
      <c r="F1016" s="2"/>
    </row>
    <row r="1017" spans="1:11" ht="15.75">
      <c r="A1017" s="3"/>
      <c r="B1017" s="3"/>
      <c r="C1017" s="2"/>
      <c r="D1017" s="2"/>
      <c r="E1017" s="2"/>
      <c r="F1017" s="2"/>
      <c r="G1017" s="3"/>
      <c r="H1017" s="4"/>
      <c r="I1017" s="4"/>
      <c r="J1017" s="4"/>
      <c r="K1017" s="5"/>
    </row>
    <row r="1018" spans="1:11">
      <c r="H1018" s="5"/>
      <c r="I1018" s="5"/>
      <c r="J1018" s="5"/>
      <c r="K1018" s="5"/>
    </row>
    <row r="1019" spans="1:11">
      <c r="H1019" s="5"/>
      <c r="I1019" s="5"/>
      <c r="J1019" s="5"/>
      <c r="K1019" s="5"/>
    </row>
    <row r="1020" spans="1:11">
      <c r="A1020" s="72" t="s">
        <v>0</v>
      </c>
      <c r="B1020" s="72"/>
      <c r="C1020" s="73"/>
      <c r="D1020" s="73"/>
      <c r="E1020" s="73"/>
      <c r="F1020" s="73"/>
      <c r="G1020" s="73"/>
      <c r="H1020" s="73"/>
      <c r="I1020" s="73"/>
      <c r="J1020" s="73"/>
      <c r="K1020" s="73"/>
    </row>
    <row r="1021" spans="1:11">
      <c r="A1021" s="73" t="s">
        <v>107</v>
      </c>
      <c r="B1021" s="73"/>
      <c r="C1021" s="73"/>
      <c r="D1021" s="73"/>
      <c r="E1021" s="73"/>
      <c r="F1021" s="73"/>
      <c r="G1021" s="73"/>
      <c r="H1021" s="73"/>
      <c r="I1021" s="73"/>
      <c r="J1021" s="73"/>
      <c r="K1021" s="73"/>
    </row>
    <row r="1022" spans="1:11">
      <c r="A1022" s="73" t="s">
        <v>1</v>
      </c>
      <c r="B1022" s="73"/>
      <c r="C1022" s="73"/>
      <c r="D1022" s="73"/>
      <c r="E1022" s="73"/>
      <c r="F1022" s="73"/>
      <c r="G1022" s="73"/>
      <c r="H1022" s="73"/>
      <c r="I1022" s="73"/>
      <c r="J1022" s="73"/>
      <c r="K1022" s="73"/>
    </row>
    <row r="1023" spans="1:11">
      <c r="A1023" s="73" t="s">
        <v>38</v>
      </c>
      <c r="B1023" s="73"/>
      <c r="C1023" s="73"/>
      <c r="D1023" s="73"/>
      <c r="E1023" s="73"/>
      <c r="F1023" s="73"/>
      <c r="G1023" s="73"/>
      <c r="H1023" s="73"/>
      <c r="I1023" s="73"/>
      <c r="J1023" s="73"/>
      <c r="K1023" s="73"/>
    </row>
    <row r="1024" spans="1:11">
      <c r="A1024" s="73" t="s">
        <v>2</v>
      </c>
      <c r="B1024" s="73"/>
      <c r="C1024" s="73"/>
      <c r="D1024" s="73"/>
      <c r="E1024" s="73"/>
      <c r="F1024" s="73"/>
      <c r="G1024" s="73"/>
      <c r="H1024" s="73"/>
      <c r="I1024" s="73"/>
      <c r="J1024" s="73"/>
      <c r="K1024" s="73"/>
    </row>
    <row r="1025" spans="1:11">
      <c r="A1025" s="6"/>
      <c r="B1025" s="6"/>
      <c r="C1025" s="7"/>
      <c r="D1025" s="7"/>
      <c r="E1025" s="7"/>
      <c r="F1025" s="7"/>
      <c r="G1025" s="8"/>
      <c r="H1025" s="9"/>
      <c r="I1025" s="9"/>
      <c r="J1025" s="9"/>
      <c r="K1025" s="9"/>
    </row>
    <row r="1026" spans="1:11">
      <c r="A1026" s="52" t="s">
        <v>3</v>
      </c>
      <c r="B1026" s="10"/>
      <c r="C1026" s="10"/>
      <c r="D1026" s="53" t="s">
        <v>4</v>
      </c>
      <c r="E1026" s="10" t="s">
        <v>5</v>
      </c>
      <c r="F1026" s="11"/>
      <c r="G1026" s="10"/>
      <c r="H1026" s="12"/>
      <c r="I1026" s="12"/>
      <c r="J1026" s="12"/>
      <c r="K1026" s="9"/>
    </row>
    <row r="1027" spans="1:11">
      <c r="A1027" s="52" t="s">
        <v>6</v>
      </c>
      <c r="B1027" s="10"/>
      <c r="C1027" s="10"/>
      <c r="D1027" s="53" t="s">
        <v>4</v>
      </c>
      <c r="E1027" s="10" t="s">
        <v>7</v>
      </c>
      <c r="F1027" s="11"/>
      <c r="G1027" s="10"/>
      <c r="H1027" s="12"/>
      <c r="I1027" s="12"/>
      <c r="J1027" s="12"/>
      <c r="K1027" s="9"/>
    </row>
    <row r="1028" spans="1:11">
      <c r="A1028" s="52" t="s">
        <v>8</v>
      </c>
      <c r="B1028" s="10"/>
      <c r="C1028" s="10"/>
      <c r="D1028" s="53" t="s">
        <v>4</v>
      </c>
      <c r="E1028" s="13">
        <v>2026</v>
      </c>
      <c r="F1028" s="11"/>
      <c r="G1028" s="13"/>
      <c r="H1028" s="12"/>
      <c r="I1028" s="12"/>
      <c r="J1028" s="12"/>
      <c r="K1028" s="9"/>
    </row>
    <row r="1029" spans="1:11">
      <c r="A1029" s="52" t="s">
        <v>9</v>
      </c>
      <c r="B1029" s="10"/>
      <c r="C1029" s="10"/>
      <c r="D1029" s="53" t="s">
        <v>4</v>
      </c>
      <c r="E1029" s="14">
        <f>J1040</f>
        <v>210000</v>
      </c>
      <c r="F1029" s="11"/>
      <c r="G1029" s="14"/>
      <c r="H1029" s="12"/>
      <c r="I1029" s="12"/>
      <c r="J1029" s="12"/>
      <c r="K1029" s="9"/>
    </row>
    <row r="1030" spans="1:11" ht="15.75">
      <c r="A1030" s="10"/>
      <c r="B1030" s="10"/>
      <c r="C1030" s="15" t="s">
        <v>10</v>
      </c>
      <c r="D1030" s="53" t="s">
        <v>4</v>
      </c>
      <c r="E1030" s="16" t="str">
        <f>PROPER(IF(E1029=0,"nol",IF(E1029&lt;0,"minus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1029),"000000000000000"),1,3)=0,"",MID(TEXT(ABS(E1029),"000000000000000"),1,1)&amp;" ratus "&amp;MID(TEXT(ABS(E1029),"000000000000000"),2,1)&amp;" puluh "&amp;MID(TEXT(ABS(E1029),"000000000000000"),3,1)&amp;" trilyun ")&amp;IF(--MID(TEXT(ABS(E1029),"000000000000000"),4,3)=0,"",MID(TEXT(ABS(E1029),"000000000000000"),4,1)&amp;" ratus "&amp;MID(TEXT(ABS(E1029),"000000000000000"),5,1)&amp;" puluh "&amp;MID(TEXT(ABS(E1029),"000000000000000"),6,1)&amp;" milyar ")&amp;IF(--MID(TEXT(ABS(E1029),"000000000000000"),7,3)=0,"",MID(TEXT(ABS(E1029),"000000000000000"),7,1)&amp;" ratus "&amp;MID(TEXT(ABS(E1029),"000000000000000"),8,1)&amp;" puluh "&amp;MID(TEXT(ABS(E1029),"000000000000000"),9,1)&amp;" juta ")&amp;IF(--MID(TEXT(ABS(E1029),"000000000000000"),10,3)=0,"",IF(--MID(TEXT(ABS(E1029),"000000000000000"),10,3)=1,"*",MID(TEXT(ABS(E1029),"000000000000000"),10,1)&amp;" ratus "&amp;MID(TEXT(ABS(E1029),"000000000000000"),11,1)&amp;" puluh ")&amp;MID(TEXT(ABS(E1029),"000000000000000"),12,1)&amp;" ribu ")&amp;IF(--MID(TEXT(ABS(E1029),"000000000000000"),13,3)=0,"",MID(TEXT(ABS(E1029),"000000000000000"),13,1)&amp;" ratus "&amp;MID(TEXT(ABS(E1029),"000000000000000"),14,1)&amp;" puluh "&amp;MID(TEXT(ABS(E1029),"000000000000000"),15,1)),1,"satu"),2,"dua"),3,"tiga"),4,"empat"),5,"lima"),6,"enam"),7,"tujuh"),8,"delapan"),9,"sembilan"),"0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Sepuluh Ribu Rupiah</v>
      </c>
      <c r="F1030" s="11"/>
      <c r="G1030" s="16"/>
      <c r="H1030" s="12"/>
      <c r="I1030" s="12"/>
      <c r="J1030" s="12"/>
      <c r="K1030" s="9"/>
    </row>
    <row r="1031" spans="1:11" ht="15.75">
      <c r="A1031" s="10"/>
      <c r="B1031" s="10"/>
      <c r="C1031" s="15"/>
      <c r="D1031" s="15"/>
      <c r="E1031" s="15"/>
      <c r="F1031" s="11"/>
      <c r="G1031" s="16"/>
      <c r="H1031" s="12"/>
      <c r="I1031" s="12"/>
      <c r="J1031" s="12"/>
      <c r="K1031" s="9"/>
    </row>
    <row r="1032" spans="1:11">
      <c r="A1032" s="10" t="s">
        <v>11</v>
      </c>
      <c r="B1032" s="10"/>
      <c r="C1032" s="10"/>
      <c r="D1032" s="10"/>
      <c r="E1032" s="10"/>
      <c r="F1032" s="10"/>
      <c r="G1032" s="10"/>
      <c r="H1032" s="12"/>
      <c r="I1032" s="12"/>
      <c r="J1032" s="12"/>
      <c r="K1032" s="9"/>
    </row>
    <row r="1033" spans="1:11">
      <c r="A1033" s="74" t="s">
        <v>12</v>
      </c>
      <c r="B1033" s="74"/>
      <c r="C1033" s="74"/>
      <c r="D1033" s="74"/>
      <c r="E1033" s="74"/>
      <c r="F1033" s="74"/>
      <c r="G1033" s="74"/>
      <c r="H1033" s="74"/>
      <c r="I1033" s="74"/>
      <c r="J1033" s="74"/>
      <c r="K1033" s="74"/>
    </row>
    <row r="1034" spans="1:11" ht="60">
      <c r="A1034" s="17" t="s">
        <v>13</v>
      </c>
      <c r="B1034" s="18" t="s">
        <v>14</v>
      </c>
      <c r="C1034" s="59" t="s">
        <v>15</v>
      </c>
      <c r="D1034" s="60"/>
      <c r="E1034" s="61"/>
      <c r="F1034" s="19"/>
      <c r="G1034" s="20" t="s">
        <v>16</v>
      </c>
      <c r="H1034" s="21" t="s">
        <v>35</v>
      </c>
      <c r="I1034" s="21"/>
      <c r="J1034" s="31" t="s">
        <v>17</v>
      </c>
      <c r="K1034" s="32" t="s">
        <v>18</v>
      </c>
    </row>
    <row r="1035" spans="1:11">
      <c r="A1035" s="27">
        <v>1</v>
      </c>
      <c r="B1035" s="24"/>
      <c r="C1035" s="28" t="s">
        <v>23</v>
      </c>
      <c r="D1035" s="57"/>
      <c r="E1035" s="26"/>
      <c r="F1035" s="25"/>
      <c r="G1035" s="54" t="s">
        <v>19</v>
      </c>
      <c r="H1035" s="54" t="s">
        <v>19</v>
      </c>
      <c r="I1035" s="54"/>
      <c r="J1035" s="54" t="s">
        <v>19</v>
      </c>
      <c r="K1035" s="54" t="s">
        <v>19</v>
      </c>
    </row>
    <row r="1036" spans="1:11">
      <c r="A1036" s="24"/>
      <c r="B1036" s="55" t="s">
        <v>20</v>
      </c>
      <c r="C1036" s="25" t="s">
        <v>24</v>
      </c>
      <c r="D1036" s="10"/>
      <c r="E1036" s="26"/>
      <c r="F1036" s="25"/>
      <c r="G1036" s="23">
        <v>45000000</v>
      </c>
      <c r="H1036" s="56">
        <f>H990+J990</f>
        <v>4594298</v>
      </c>
      <c r="I1036" s="56"/>
      <c r="J1036" s="56">
        <v>0</v>
      </c>
      <c r="K1036" s="58">
        <f t="shared" ref="K1036:K1039" si="42">G1036-H1036-J1036</f>
        <v>40405702</v>
      </c>
    </row>
    <row r="1037" spans="1:11">
      <c r="A1037" s="24"/>
      <c r="B1037" s="55" t="s">
        <v>21</v>
      </c>
      <c r="C1037" s="62" t="s">
        <v>39</v>
      </c>
      <c r="D1037" s="63"/>
      <c r="E1037" s="64"/>
      <c r="F1037" s="25"/>
      <c r="G1037" s="23">
        <v>35000000</v>
      </c>
      <c r="H1037" s="56">
        <f>H991+J991</f>
        <v>8010980</v>
      </c>
      <c r="I1037" s="56"/>
      <c r="J1037" s="56">
        <v>0</v>
      </c>
      <c r="K1037" s="58">
        <f t="shared" si="42"/>
        <v>26989020</v>
      </c>
    </row>
    <row r="1038" spans="1:11">
      <c r="A1038" s="24"/>
      <c r="B1038" s="55" t="s">
        <v>22</v>
      </c>
      <c r="C1038" s="65" t="s">
        <v>40</v>
      </c>
      <c r="D1038" s="66"/>
      <c r="E1038" s="67"/>
      <c r="F1038" s="25"/>
      <c r="G1038" s="23">
        <v>30000000</v>
      </c>
      <c r="H1038" s="56">
        <f>H992+J992</f>
        <v>11002000</v>
      </c>
      <c r="I1038" s="22"/>
      <c r="J1038" s="22">
        <v>210000</v>
      </c>
      <c r="K1038" s="33">
        <f t="shared" si="42"/>
        <v>18788000</v>
      </c>
    </row>
    <row r="1039" spans="1:11">
      <c r="A1039" s="24"/>
      <c r="B1039" s="55" t="s">
        <v>36</v>
      </c>
      <c r="C1039" s="68" t="s">
        <v>41</v>
      </c>
      <c r="D1039" s="69"/>
      <c r="E1039" s="70"/>
      <c r="F1039" s="25"/>
      <c r="G1039" s="23">
        <v>28125000</v>
      </c>
      <c r="H1039" s="56">
        <f>H993+J993</f>
        <v>4590650</v>
      </c>
      <c r="I1039" s="22"/>
      <c r="J1039" s="22">
        <v>0</v>
      </c>
      <c r="K1039" s="33">
        <f t="shared" si="42"/>
        <v>23534350</v>
      </c>
    </row>
    <row r="1040" spans="1:11">
      <c r="A1040" s="34"/>
      <c r="B1040" s="34"/>
      <c r="C1040" s="34" t="s">
        <v>25</v>
      </c>
      <c r="D1040" s="34"/>
      <c r="E1040" s="34"/>
      <c r="F1040" s="35"/>
      <c r="G1040" s="36">
        <f>SUM(G1035:G1039)</f>
        <v>138125000</v>
      </c>
      <c r="H1040" s="37">
        <f>SUM(H1035:H1039)</f>
        <v>28197928</v>
      </c>
      <c r="I1040" s="37"/>
      <c r="J1040" s="37">
        <f>SUM(J1035:J1039)</f>
        <v>210000</v>
      </c>
      <c r="K1040" s="37">
        <f>SUM(K1035:K1039)</f>
        <v>109717072</v>
      </c>
    </row>
    <row r="1041" spans="1:11">
      <c r="A1041" s="38"/>
      <c r="B1041" s="8"/>
      <c r="C1041" s="8"/>
      <c r="D1041" s="8"/>
      <c r="E1041" s="8"/>
      <c r="F1041" s="8"/>
      <c r="G1041" s="39"/>
      <c r="H1041" s="39"/>
      <c r="I1041" s="39"/>
      <c r="J1041" s="39"/>
      <c r="K1041" s="39"/>
    </row>
    <row r="1042" spans="1:11">
      <c r="A1042" s="71" t="s">
        <v>26</v>
      </c>
      <c r="B1042" s="71"/>
      <c r="C1042" s="71"/>
      <c r="D1042" s="11" t="s">
        <v>4</v>
      </c>
      <c r="E1042" s="14">
        <f>J1040</f>
        <v>210000</v>
      </c>
      <c r="F1042" s="40"/>
      <c r="G1042" s="41"/>
      <c r="H1042" s="41"/>
      <c r="I1042" s="41"/>
      <c r="J1042" s="9"/>
      <c r="K1042" s="9"/>
    </row>
    <row r="1043" spans="1:11">
      <c r="A1043" s="10" t="s">
        <v>27</v>
      </c>
      <c r="B1043" s="10"/>
      <c r="C1043" s="10"/>
      <c r="D1043" s="11" t="s">
        <v>4</v>
      </c>
      <c r="E1043" s="42"/>
      <c r="F1043" s="42"/>
      <c r="G1043" s="43"/>
      <c r="H1043" s="12"/>
      <c r="I1043" s="12"/>
      <c r="J1043" s="9"/>
      <c r="K1043" s="9"/>
    </row>
    <row r="1044" spans="1:11">
      <c r="A1044" s="10" t="s">
        <v>28</v>
      </c>
      <c r="B1044" s="10"/>
      <c r="C1044" s="10"/>
      <c r="D1044" s="11" t="s">
        <v>4</v>
      </c>
      <c r="E1044" s="44"/>
      <c r="F1044" s="44"/>
      <c r="G1044" s="43"/>
      <c r="H1044" s="12"/>
      <c r="I1044" s="12"/>
      <c r="J1044" s="9"/>
      <c r="K1044" s="9"/>
    </row>
    <row r="1045" spans="1:11">
      <c r="A1045" s="10" t="s">
        <v>29</v>
      </c>
      <c r="B1045" s="10"/>
      <c r="C1045" s="10"/>
      <c r="D1045" s="11" t="s">
        <v>4</v>
      </c>
      <c r="E1045" s="44">
        <f>E1043+E1044</f>
        <v>0</v>
      </c>
      <c r="F1045" s="44"/>
      <c r="G1045" s="10"/>
      <c r="H1045" s="12"/>
      <c r="I1045" s="12"/>
      <c r="J1045" s="46"/>
      <c r="K1045" s="46"/>
    </row>
    <row r="1046" spans="1:11">
      <c r="A1046" s="13"/>
      <c r="B1046" s="13"/>
      <c r="C1046" s="13"/>
      <c r="D1046" s="11"/>
      <c r="E1046" s="13"/>
      <c r="F1046" s="13"/>
      <c r="G1046" s="10"/>
      <c r="H1046" s="12"/>
      <c r="I1046" s="12"/>
      <c r="J1046" s="46"/>
      <c r="K1046" s="46"/>
    </row>
    <row r="1047" spans="1:11">
      <c r="A1047" s="71" t="s">
        <v>30</v>
      </c>
      <c r="B1047" s="71"/>
      <c r="C1047" s="71"/>
      <c r="D1047" s="11" t="s">
        <v>4</v>
      </c>
      <c r="E1047" s="40">
        <f>E1042-E1045</f>
        <v>210000</v>
      </c>
      <c r="F1047" s="40"/>
      <c r="G1047" s="10"/>
      <c r="H1047" s="12"/>
      <c r="I1047" s="12"/>
      <c r="J1047" s="46"/>
      <c r="K1047" s="46"/>
    </row>
    <row r="1048" spans="1:11" ht="15.75">
      <c r="A1048" s="13"/>
      <c r="B1048" s="13"/>
      <c r="C1048" s="10"/>
      <c r="D1048" s="10"/>
      <c r="E1048" s="16" t="str">
        <f>PROPER(IF(E1047=0,"nol",IF(E1047&lt;0,"minus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1047),"000000000000000"),1,3)=0,"",MID(TEXT(ABS(E1047),"000000000000000"),1,1)&amp;" ratus "&amp;MID(TEXT(ABS(E1047),"000000000000000"),2,1)&amp;" puluh "&amp;MID(TEXT(ABS(E1047),"000000000000000"),3,1)&amp;" trilyun ")&amp;IF(--MID(TEXT(ABS(E1047),"000000000000000"),4,3)=0,"",MID(TEXT(ABS(E1047),"000000000000000"),4,1)&amp;" ratus "&amp;MID(TEXT(ABS(E1047),"000000000000000"),5,1)&amp;" puluh "&amp;MID(TEXT(ABS(E1047),"000000000000000"),6,1)&amp;" milyar ")&amp;IF(--MID(TEXT(ABS(E1047),"000000000000000"),7,3)=0,"",MID(TEXT(ABS(E1047),"000000000000000"),7,1)&amp;" ratus "&amp;MID(TEXT(ABS(E1047),"000000000000000"),8,1)&amp;" puluh "&amp;MID(TEXT(ABS(E1047),"000000000000000"),9,1)&amp;" juta ")&amp;IF(--MID(TEXT(ABS(E1047),"000000000000000"),10,3)=0,"",IF(--MID(TEXT(ABS(E1047),"000000000000000"),10,3)=1,"*",MID(TEXT(ABS(E1047),"000000000000000"),10,1)&amp;" ratus "&amp;MID(TEXT(ABS(E1047),"000000000000000"),11,1)&amp;" puluh ")&amp;MID(TEXT(ABS(E1047),"000000000000000"),12,1)&amp;" ribu ")&amp;IF(--MID(TEXT(ABS(E1047),"000000000000000"),13,3)=0,"",MID(TEXT(ABS(E1047),"000000000000000"),13,1)&amp;" ratus "&amp;MID(TEXT(ABS(E1047),"000000000000000"),14,1)&amp;" puluh "&amp;MID(TEXT(ABS(E1047),"000000000000000"),15,1)),1,"satu"),2,"dua"),3,"tiga"),4,"empat"),5,"lima"),6,"enam"),7,"tujuh"),8,"delapan"),9,"sembilan"),"0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Sepuluh Ribu Rupiah</v>
      </c>
      <c r="F1048" s="10"/>
      <c r="G1048" s="10"/>
      <c r="H1048" s="10"/>
      <c r="I1048" s="10"/>
      <c r="J1048" s="46"/>
      <c r="K1048" s="46"/>
    </row>
    <row r="1049" spans="1:11">
      <c r="A1049" s="45"/>
      <c r="B1049" s="45"/>
      <c r="C1049" s="45"/>
      <c r="D1049" s="45"/>
      <c r="E1049" s="45"/>
      <c r="F1049" s="45"/>
      <c r="G1049" s="29"/>
      <c r="H1049" s="46"/>
      <c r="I1049" s="46"/>
      <c r="J1049" s="46"/>
      <c r="K1049" s="46"/>
    </row>
    <row r="1050" spans="1:11">
      <c r="A1050" s="29"/>
      <c r="B1050" s="29"/>
      <c r="C1050" s="29"/>
      <c r="D1050" s="29"/>
      <c r="E1050" s="29"/>
      <c r="F1050" s="29"/>
      <c r="G1050" s="29"/>
      <c r="H1050"/>
      <c r="I1050"/>
      <c r="J1050" s="46"/>
      <c r="K1050" s="46"/>
    </row>
    <row r="1051" spans="1:11">
      <c r="A1051" s="13"/>
      <c r="B1051" s="13"/>
      <c r="C1051" s="10"/>
      <c r="D1051" s="10"/>
      <c r="E1051" s="10"/>
      <c r="F1051" s="10"/>
      <c r="G1051" s="10"/>
      <c r="I1051" s="47"/>
      <c r="J1051" s="47" t="s">
        <v>108</v>
      </c>
      <c r="K1051" s="46"/>
    </row>
    <row r="1052" spans="1:11">
      <c r="A1052" s="12" t="s">
        <v>31</v>
      </c>
      <c r="B1052" s="10"/>
      <c r="C1052" s="10"/>
      <c r="D1052" s="10"/>
      <c r="E1052" s="10"/>
      <c r="F1052" s="10"/>
      <c r="G1052" s="10"/>
      <c r="I1052" s="12"/>
      <c r="J1052" s="12" t="s">
        <v>32</v>
      </c>
      <c r="K1052" s="46"/>
    </row>
    <row r="1053" spans="1:11">
      <c r="A1053" s="10"/>
      <c r="B1053" s="10"/>
      <c r="C1053" s="10"/>
      <c r="D1053" s="10"/>
      <c r="E1053" s="10"/>
      <c r="F1053" s="10"/>
      <c r="G1053" s="10"/>
      <c r="I1053" s="12"/>
      <c r="J1053" s="12"/>
      <c r="K1053" s="46"/>
    </row>
    <row r="1054" spans="1:11">
      <c r="A1054" s="10"/>
      <c r="B1054" s="10"/>
      <c r="C1054" s="10"/>
      <c r="D1054" s="10"/>
      <c r="E1054" s="10"/>
      <c r="F1054" s="10"/>
      <c r="G1054" s="10"/>
      <c r="I1054" s="12"/>
      <c r="J1054" s="12"/>
      <c r="K1054" s="46"/>
    </row>
    <row r="1055" spans="1:11">
      <c r="A1055" s="10"/>
      <c r="B1055" s="10"/>
      <c r="C1055" s="10"/>
      <c r="D1055" s="10"/>
      <c r="E1055" s="10"/>
      <c r="F1055" s="10"/>
      <c r="G1055" s="10"/>
      <c r="I1055" s="12"/>
      <c r="J1055" s="12"/>
      <c r="K1055" s="46"/>
    </row>
    <row r="1056" spans="1:11">
      <c r="A1056" s="10"/>
      <c r="B1056" s="10"/>
      <c r="C1056" s="10"/>
      <c r="D1056" s="10"/>
      <c r="E1056" s="10"/>
      <c r="F1056" s="10"/>
      <c r="G1056" s="10"/>
      <c r="I1056" s="12"/>
      <c r="J1056" s="12"/>
      <c r="K1056" s="46"/>
    </row>
    <row r="1057" spans="1:11">
      <c r="A1057" s="48" t="s">
        <v>37</v>
      </c>
      <c r="B1057" s="48"/>
      <c r="C1057" s="49"/>
      <c r="D1057" s="49"/>
      <c r="E1057" s="49"/>
      <c r="F1057" s="49"/>
      <c r="G1057" s="10" t="s">
        <v>33</v>
      </c>
      <c r="I1057" s="48"/>
      <c r="J1057" s="48" t="s">
        <v>34</v>
      </c>
      <c r="K1057" s="46"/>
    </row>
    <row r="1062" spans="1:11" ht="15.75">
      <c r="C1062" s="2"/>
      <c r="D1062" s="2"/>
      <c r="E1062" s="2"/>
      <c r="F1062" s="2"/>
    </row>
    <row r="1063" spans="1:11" ht="15.75">
      <c r="A1063" s="3"/>
      <c r="B1063" s="3"/>
      <c r="C1063" s="2"/>
      <c r="D1063" s="2"/>
      <c r="E1063" s="2"/>
      <c r="F1063" s="2"/>
      <c r="G1063" s="3"/>
      <c r="H1063" s="4"/>
      <c r="I1063" s="4"/>
      <c r="J1063" s="4"/>
      <c r="K1063" s="5"/>
    </row>
    <row r="1064" spans="1:11">
      <c r="H1064" s="5"/>
      <c r="I1064" s="5"/>
      <c r="J1064" s="5"/>
      <c r="K1064" s="5"/>
    </row>
    <row r="1065" spans="1:11">
      <c r="H1065" s="5"/>
      <c r="I1065" s="5"/>
      <c r="J1065" s="5"/>
      <c r="K1065" s="5"/>
    </row>
    <row r="1066" spans="1:11">
      <c r="A1066" s="72" t="s">
        <v>0</v>
      </c>
      <c r="B1066" s="72"/>
      <c r="C1066" s="73"/>
      <c r="D1066" s="73"/>
      <c r="E1066" s="73"/>
      <c r="F1066" s="73"/>
      <c r="G1066" s="73"/>
      <c r="H1066" s="73"/>
      <c r="I1066" s="73"/>
      <c r="J1066" s="73"/>
      <c r="K1066" s="73"/>
    </row>
    <row r="1067" spans="1:11">
      <c r="A1067" s="73" t="s">
        <v>109</v>
      </c>
      <c r="B1067" s="73"/>
      <c r="C1067" s="73"/>
      <c r="D1067" s="73"/>
      <c r="E1067" s="73"/>
      <c r="F1067" s="73"/>
      <c r="G1067" s="73"/>
      <c r="H1067" s="73"/>
      <c r="I1067" s="73"/>
      <c r="J1067" s="73"/>
      <c r="K1067" s="73"/>
    </row>
    <row r="1068" spans="1:11">
      <c r="A1068" s="73" t="s">
        <v>1</v>
      </c>
      <c r="B1068" s="73"/>
      <c r="C1068" s="73"/>
      <c r="D1068" s="73"/>
      <c r="E1068" s="73"/>
      <c r="F1068" s="73"/>
      <c r="G1068" s="73"/>
      <c r="H1068" s="73"/>
      <c r="I1068" s="73"/>
      <c r="J1068" s="73"/>
      <c r="K1068" s="73"/>
    </row>
    <row r="1069" spans="1:11">
      <c r="A1069" s="73" t="s">
        <v>38</v>
      </c>
      <c r="B1069" s="73"/>
      <c r="C1069" s="73"/>
      <c r="D1069" s="73"/>
      <c r="E1069" s="73"/>
      <c r="F1069" s="73"/>
      <c r="G1069" s="73"/>
      <c r="H1069" s="73"/>
      <c r="I1069" s="73"/>
      <c r="J1069" s="73"/>
      <c r="K1069" s="73"/>
    </row>
    <row r="1070" spans="1:11">
      <c r="A1070" s="73" t="s">
        <v>2</v>
      </c>
      <c r="B1070" s="73"/>
      <c r="C1070" s="73"/>
      <c r="D1070" s="73"/>
      <c r="E1070" s="73"/>
      <c r="F1070" s="73"/>
      <c r="G1070" s="73"/>
      <c r="H1070" s="73"/>
      <c r="I1070" s="73"/>
      <c r="J1070" s="73"/>
      <c r="K1070" s="73"/>
    </row>
    <row r="1071" spans="1:11">
      <c r="A1071" s="6"/>
      <c r="B1071" s="6"/>
      <c r="C1071" s="7"/>
      <c r="D1071" s="7"/>
      <c r="E1071" s="7"/>
      <c r="F1071" s="7"/>
      <c r="G1071" s="8"/>
      <c r="H1071" s="9"/>
      <c r="I1071" s="9"/>
      <c r="J1071" s="9"/>
      <c r="K1071" s="9"/>
    </row>
    <row r="1072" spans="1:11">
      <c r="A1072" s="52" t="s">
        <v>3</v>
      </c>
      <c r="B1072" s="10"/>
      <c r="C1072" s="10"/>
      <c r="D1072" s="53" t="s">
        <v>4</v>
      </c>
      <c r="E1072" s="10" t="s">
        <v>5</v>
      </c>
      <c r="F1072" s="11"/>
      <c r="G1072" s="10"/>
      <c r="H1072" s="12"/>
      <c r="I1072" s="12"/>
      <c r="J1072" s="12"/>
      <c r="K1072" s="9"/>
    </row>
    <row r="1073" spans="1:11">
      <c r="A1073" s="52" t="s">
        <v>6</v>
      </c>
      <c r="B1073" s="10"/>
      <c r="C1073" s="10"/>
      <c r="D1073" s="53" t="s">
        <v>4</v>
      </c>
      <c r="E1073" s="10" t="s">
        <v>7</v>
      </c>
      <c r="F1073" s="11"/>
      <c r="G1073" s="10"/>
      <c r="H1073" s="12"/>
      <c r="I1073" s="12"/>
      <c r="J1073" s="12"/>
      <c r="K1073" s="9"/>
    </row>
    <row r="1074" spans="1:11">
      <c r="A1074" s="52" t="s">
        <v>8</v>
      </c>
      <c r="B1074" s="10"/>
      <c r="C1074" s="10"/>
      <c r="D1074" s="53" t="s">
        <v>4</v>
      </c>
      <c r="E1074" s="13">
        <v>2026</v>
      </c>
      <c r="F1074" s="11"/>
      <c r="G1074" s="13"/>
      <c r="H1074" s="12"/>
      <c r="I1074" s="12"/>
      <c r="J1074" s="12"/>
      <c r="K1074" s="9"/>
    </row>
    <row r="1075" spans="1:11">
      <c r="A1075" s="52" t="s">
        <v>9</v>
      </c>
      <c r="B1075" s="10"/>
      <c r="C1075" s="10"/>
      <c r="D1075" s="53" t="s">
        <v>4</v>
      </c>
      <c r="E1075" s="14">
        <f>J1086</f>
        <v>375000</v>
      </c>
      <c r="F1075" s="11"/>
      <c r="G1075" s="14"/>
      <c r="H1075" s="12"/>
      <c r="I1075" s="12"/>
      <c r="J1075" s="12"/>
      <c r="K1075" s="9"/>
    </row>
    <row r="1076" spans="1:11" ht="15.75">
      <c r="A1076" s="10"/>
      <c r="B1076" s="10"/>
      <c r="C1076" s="15" t="s">
        <v>10</v>
      </c>
      <c r="D1076" s="53" t="s">
        <v>4</v>
      </c>
      <c r="E1076" s="16" t="str">
        <f>PROPER(IF(E1075=0,"nol",IF(E1075&lt;0,"minus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1075),"000000000000000"),1,3)=0,"",MID(TEXT(ABS(E1075),"000000000000000"),1,1)&amp;" ratus "&amp;MID(TEXT(ABS(E1075),"000000000000000"),2,1)&amp;" puluh "&amp;MID(TEXT(ABS(E1075),"000000000000000"),3,1)&amp;" trilyun ")&amp;IF(--MID(TEXT(ABS(E1075),"000000000000000"),4,3)=0,"",MID(TEXT(ABS(E1075),"000000000000000"),4,1)&amp;" ratus "&amp;MID(TEXT(ABS(E1075),"000000000000000"),5,1)&amp;" puluh "&amp;MID(TEXT(ABS(E1075),"000000000000000"),6,1)&amp;" milyar ")&amp;IF(--MID(TEXT(ABS(E1075),"000000000000000"),7,3)=0,"",MID(TEXT(ABS(E1075),"000000000000000"),7,1)&amp;" ratus "&amp;MID(TEXT(ABS(E1075),"000000000000000"),8,1)&amp;" puluh "&amp;MID(TEXT(ABS(E1075),"000000000000000"),9,1)&amp;" juta ")&amp;IF(--MID(TEXT(ABS(E1075),"000000000000000"),10,3)=0,"",IF(--MID(TEXT(ABS(E1075),"000000000000000"),10,3)=1,"*",MID(TEXT(ABS(E1075),"000000000000000"),10,1)&amp;" ratus "&amp;MID(TEXT(ABS(E1075),"000000000000000"),11,1)&amp;" puluh ")&amp;MID(TEXT(ABS(E1075),"000000000000000"),12,1)&amp;" ribu ")&amp;IF(--MID(TEXT(ABS(E1075),"000000000000000"),13,3)=0,"",MID(TEXT(ABS(E1075),"000000000000000"),13,1)&amp;" ratus "&amp;MID(TEXT(ABS(E1075),"000000000000000"),14,1)&amp;" puluh "&amp;MID(TEXT(ABS(E1075),"000000000000000"),15,1)),1,"satu"),2,"dua"),3,"tiga"),4,"empat"),5,"lima"),6,"enam"),7,"tujuh"),8,"delapan"),9,"sembilan"),"0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Tujuh Puluh Lima Ribu Rupiah</v>
      </c>
      <c r="F1076" s="11"/>
      <c r="G1076" s="16"/>
      <c r="H1076" s="12"/>
      <c r="I1076" s="12"/>
      <c r="J1076" s="12"/>
      <c r="K1076" s="9"/>
    </row>
    <row r="1077" spans="1:11" ht="15.75">
      <c r="A1077" s="10"/>
      <c r="B1077" s="10"/>
      <c r="C1077" s="15"/>
      <c r="D1077" s="15"/>
      <c r="E1077" s="15"/>
      <c r="F1077" s="11"/>
      <c r="G1077" s="16"/>
      <c r="H1077" s="12"/>
      <c r="I1077" s="12"/>
      <c r="J1077" s="12"/>
      <c r="K1077" s="9"/>
    </row>
    <row r="1078" spans="1:11">
      <c r="A1078" s="10" t="s">
        <v>11</v>
      </c>
      <c r="B1078" s="10"/>
      <c r="C1078" s="10"/>
      <c r="D1078" s="10"/>
      <c r="E1078" s="10"/>
      <c r="F1078" s="10"/>
      <c r="G1078" s="10"/>
      <c r="H1078" s="12"/>
      <c r="I1078" s="12"/>
      <c r="J1078" s="12"/>
      <c r="K1078" s="9"/>
    </row>
    <row r="1079" spans="1:11">
      <c r="A1079" s="74" t="s">
        <v>12</v>
      </c>
      <c r="B1079" s="74"/>
      <c r="C1079" s="74"/>
      <c r="D1079" s="74"/>
      <c r="E1079" s="74"/>
      <c r="F1079" s="74"/>
      <c r="G1079" s="74"/>
      <c r="H1079" s="74"/>
      <c r="I1079" s="74"/>
      <c r="J1079" s="74"/>
      <c r="K1079" s="74"/>
    </row>
    <row r="1080" spans="1:11" ht="60">
      <c r="A1080" s="17" t="s">
        <v>13</v>
      </c>
      <c r="B1080" s="18" t="s">
        <v>14</v>
      </c>
      <c r="C1080" s="59" t="s">
        <v>15</v>
      </c>
      <c r="D1080" s="60"/>
      <c r="E1080" s="61"/>
      <c r="F1080" s="19"/>
      <c r="G1080" s="20" t="s">
        <v>16</v>
      </c>
      <c r="H1080" s="21" t="s">
        <v>35</v>
      </c>
      <c r="I1080" s="21"/>
      <c r="J1080" s="31" t="s">
        <v>17</v>
      </c>
      <c r="K1080" s="32" t="s">
        <v>18</v>
      </c>
    </row>
    <row r="1081" spans="1:11">
      <c r="A1081" s="27">
        <v>1</v>
      </c>
      <c r="B1081" s="24"/>
      <c r="C1081" s="28" t="s">
        <v>23</v>
      </c>
      <c r="D1081" s="57"/>
      <c r="E1081" s="26"/>
      <c r="F1081" s="25"/>
      <c r="G1081" s="54" t="s">
        <v>19</v>
      </c>
      <c r="H1081" s="54" t="s">
        <v>19</v>
      </c>
      <c r="I1081" s="54"/>
      <c r="J1081" s="54" t="s">
        <v>19</v>
      </c>
      <c r="K1081" s="54" t="s">
        <v>19</v>
      </c>
    </row>
    <row r="1082" spans="1:11">
      <c r="A1082" s="24"/>
      <c r="B1082" s="55" t="s">
        <v>20</v>
      </c>
      <c r="C1082" s="25" t="s">
        <v>24</v>
      </c>
      <c r="D1082" s="10"/>
      <c r="E1082" s="26"/>
      <c r="F1082" s="25"/>
      <c r="G1082" s="23">
        <v>45000000</v>
      </c>
      <c r="H1082" s="56">
        <f>H1036+J1036</f>
        <v>4594298</v>
      </c>
      <c r="I1082" s="56"/>
      <c r="J1082" s="56">
        <v>0</v>
      </c>
      <c r="K1082" s="58">
        <f t="shared" ref="K1082:K1085" si="43">G1082-H1082-J1082</f>
        <v>40405702</v>
      </c>
    </row>
    <row r="1083" spans="1:11">
      <c r="A1083" s="24"/>
      <c r="B1083" s="55" t="s">
        <v>21</v>
      </c>
      <c r="C1083" s="62" t="s">
        <v>39</v>
      </c>
      <c r="D1083" s="63"/>
      <c r="E1083" s="64"/>
      <c r="F1083" s="25"/>
      <c r="G1083" s="23">
        <v>35000000</v>
      </c>
      <c r="H1083" s="56">
        <f>H1037+J1037</f>
        <v>8010980</v>
      </c>
      <c r="I1083" s="56"/>
      <c r="J1083" s="56">
        <v>0</v>
      </c>
      <c r="K1083" s="58">
        <f t="shared" si="43"/>
        <v>26989020</v>
      </c>
    </row>
    <row r="1084" spans="1:11">
      <c r="A1084" s="24"/>
      <c r="B1084" s="55" t="s">
        <v>22</v>
      </c>
      <c r="C1084" s="65" t="s">
        <v>40</v>
      </c>
      <c r="D1084" s="66"/>
      <c r="E1084" s="67"/>
      <c r="F1084" s="25"/>
      <c r="G1084" s="23">
        <v>30000000</v>
      </c>
      <c r="H1084" s="56">
        <f>H1038+J1038</f>
        <v>11212000</v>
      </c>
      <c r="I1084" s="22"/>
      <c r="J1084" s="22">
        <v>375000</v>
      </c>
      <c r="K1084" s="33">
        <f t="shared" si="43"/>
        <v>18413000</v>
      </c>
    </row>
    <row r="1085" spans="1:11">
      <c r="A1085" s="24"/>
      <c r="B1085" s="55" t="s">
        <v>36</v>
      </c>
      <c r="C1085" s="68" t="s">
        <v>41</v>
      </c>
      <c r="D1085" s="69"/>
      <c r="E1085" s="70"/>
      <c r="F1085" s="25"/>
      <c r="G1085" s="23">
        <v>28125000</v>
      </c>
      <c r="H1085" s="56">
        <f>H1039+J1039</f>
        <v>4590650</v>
      </c>
      <c r="I1085" s="22"/>
      <c r="J1085" s="22">
        <v>0</v>
      </c>
      <c r="K1085" s="33">
        <f t="shared" si="43"/>
        <v>23534350</v>
      </c>
    </row>
    <row r="1086" spans="1:11">
      <c r="A1086" s="34"/>
      <c r="B1086" s="34"/>
      <c r="C1086" s="34" t="s">
        <v>25</v>
      </c>
      <c r="D1086" s="34"/>
      <c r="E1086" s="34"/>
      <c r="F1086" s="35"/>
      <c r="G1086" s="36">
        <f>SUM(G1081:G1085)</f>
        <v>138125000</v>
      </c>
      <c r="H1086" s="37">
        <f>SUM(H1081:H1085)</f>
        <v>28407928</v>
      </c>
      <c r="I1086" s="37"/>
      <c r="J1086" s="37">
        <f>SUM(J1081:J1085)</f>
        <v>375000</v>
      </c>
      <c r="K1086" s="37">
        <f>SUM(K1081:K1085)</f>
        <v>109342072</v>
      </c>
    </row>
    <row r="1087" spans="1:11">
      <c r="A1087" s="38"/>
      <c r="B1087" s="8"/>
      <c r="C1087" s="8"/>
      <c r="D1087" s="8"/>
      <c r="E1087" s="8"/>
      <c r="F1087" s="8"/>
      <c r="G1087" s="39"/>
      <c r="H1087" s="39"/>
      <c r="I1087" s="39"/>
      <c r="J1087" s="39"/>
      <c r="K1087" s="39"/>
    </row>
    <row r="1088" spans="1:11">
      <c r="A1088" s="71" t="s">
        <v>26</v>
      </c>
      <c r="B1088" s="71"/>
      <c r="C1088" s="71"/>
      <c r="D1088" s="11" t="s">
        <v>4</v>
      </c>
      <c r="E1088" s="14">
        <f>J1086</f>
        <v>375000</v>
      </c>
      <c r="F1088" s="40"/>
      <c r="G1088" s="41"/>
      <c r="H1088" s="41"/>
      <c r="I1088" s="41"/>
      <c r="J1088" s="9"/>
      <c r="K1088" s="9"/>
    </row>
    <row r="1089" spans="1:11">
      <c r="A1089" s="10" t="s">
        <v>27</v>
      </c>
      <c r="B1089" s="10"/>
      <c r="C1089" s="10"/>
      <c r="D1089" s="11" t="s">
        <v>4</v>
      </c>
      <c r="E1089" s="42"/>
      <c r="F1089" s="42"/>
      <c r="G1089" s="43"/>
      <c r="H1089" s="12"/>
      <c r="I1089" s="12"/>
      <c r="J1089" s="9"/>
      <c r="K1089" s="9"/>
    </row>
    <row r="1090" spans="1:11">
      <c r="A1090" s="10" t="s">
        <v>28</v>
      </c>
      <c r="B1090" s="10"/>
      <c r="C1090" s="10"/>
      <c r="D1090" s="11" t="s">
        <v>4</v>
      </c>
      <c r="E1090" s="44"/>
      <c r="F1090" s="44"/>
      <c r="G1090" s="43"/>
      <c r="H1090" s="12"/>
      <c r="I1090" s="12"/>
      <c r="J1090" s="9"/>
      <c r="K1090" s="9"/>
    </row>
    <row r="1091" spans="1:11">
      <c r="A1091" s="10" t="s">
        <v>29</v>
      </c>
      <c r="B1091" s="10"/>
      <c r="C1091" s="10"/>
      <c r="D1091" s="11" t="s">
        <v>4</v>
      </c>
      <c r="E1091" s="44">
        <f>E1089+E1090</f>
        <v>0</v>
      </c>
      <c r="F1091" s="44"/>
      <c r="G1091" s="10"/>
      <c r="H1091" s="12"/>
      <c r="I1091" s="12"/>
      <c r="J1091" s="46"/>
      <c r="K1091" s="46"/>
    </row>
    <row r="1092" spans="1:11">
      <c r="A1092" s="13"/>
      <c r="B1092" s="13"/>
      <c r="C1092" s="13"/>
      <c r="D1092" s="11"/>
      <c r="E1092" s="13"/>
      <c r="F1092" s="13"/>
      <c r="G1092" s="10"/>
      <c r="H1092" s="12"/>
      <c r="I1092" s="12"/>
      <c r="J1092" s="46"/>
      <c r="K1092" s="46"/>
    </row>
    <row r="1093" spans="1:11">
      <c r="A1093" s="71" t="s">
        <v>30</v>
      </c>
      <c r="B1093" s="71"/>
      <c r="C1093" s="71"/>
      <c r="D1093" s="11" t="s">
        <v>4</v>
      </c>
      <c r="E1093" s="40">
        <f>E1088-E1091</f>
        <v>375000</v>
      </c>
      <c r="F1093" s="40"/>
      <c r="G1093" s="10"/>
      <c r="H1093" s="12"/>
      <c r="I1093" s="12"/>
      <c r="J1093" s="46"/>
      <c r="K1093" s="46"/>
    </row>
    <row r="1094" spans="1:11" ht="15.75">
      <c r="A1094" s="13"/>
      <c r="B1094" s="13"/>
      <c r="C1094" s="10"/>
      <c r="D1094" s="10"/>
      <c r="E1094" s="16" t="str">
        <f>PROPER(IF(E1093=0,"nol",IF(E1093&lt;0,"minus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1093),"000000000000000"),1,3)=0,"",MID(TEXT(ABS(E1093),"000000000000000"),1,1)&amp;" ratus "&amp;MID(TEXT(ABS(E1093),"000000000000000"),2,1)&amp;" puluh "&amp;MID(TEXT(ABS(E1093),"000000000000000"),3,1)&amp;" trilyun ")&amp;IF(--MID(TEXT(ABS(E1093),"000000000000000"),4,3)=0,"",MID(TEXT(ABS(E1093),"000000000000000"),4,1)&amp;" ratus "&amp;MID(TEXT(ABS(E1093),"000000000000000"),5,1)&amp;" puluh "&amp;MID(TEXT(ABS(E1093),"000000000000000"),6,1)&amp;" milyar ")&amp;IF(--MID(TEXT(ABS(E1093),"000000000000000"),7,3)=0,"",MID(TEXT(ABS(E1093),"000000000000000"),7,1)&amp;" ratus "&amp;MID(TEXT(ABS(E1093),"000000000000000"),8,1)&amp;" puluh "&amp;MID(TEXT(ABS(E1093),"000000000000000"),9,1)&amp;" juta ")&amp;IF(--MID(TEXT(ABS(E1093),"000000000000000"),10,3)=0,"",IF(--MID(TEXT(ABS(E1093),"000000000000000"),10,3)=1,"*",MID(TEXT(ABS(E1093),"000000000000000"),10,1)&amp;" ratus "&amp;MID(TEXT(ABS(E1093),"000000000000000"),11,1)&amp;" puluh ")&amp;MID(TEXT(ABS(E1093),"000000000000000"),12,1)&amp;" ribu ")&amp;IF(--MID(TEXT(ABS(E1093),"000000000000000"),13,3)=0,"",MID(TEXT(ABS(E1093),"000000000000000"),13,1)&amp;" ratus "&amp;MID(TEXT(ABS(E1093),"000000000000000"),14,1)&amp;" puluh "&amp;MID(TEXT(ABS(E1093),"000000000000000"),15,1)),1,"satu"),2,"dua"),3,"tiga"),4,"empat"),5,"lima"),6,"enam"),7,"tujuh"),8,"delapan"),9,"sembilan"),"0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Tujuh Puluh Lima Ribu Rupiah</v>
      </c>
      <c r="F1094" s="10"/>
      <c r="G1094" s="10"/>
      <c r="H1094" s="10"/>
      <c r="I1094" s="10"/>
      <c r="J1094" s="46"/>
      <c r="K1094" s="46"/>
    </row>
    <row r="1095" spans="1:11">
      <c r="A1095" s="45"/>
      <c r="B1095" s="45"/>
      <c r="C1095" s="45"/>
      <c r="D1095" s="45"/>
      <c r="E1095" s="45"/>
      <c r="F1095" s="45"/>
      <c r="G1095" s="29"/>
      <c r="H1095" s="46"/>
      <c r="I1095" s="46"/>
      <c r="J1095" s="46"/>
      <c r="K1095" s="46"/>
    </row>
    <row r="1096" spans="1:11">
      <c r="A1096" s="29"/>
      <c r="B1096" s="29"/>
      <c r="C1096" s="29"/>
      <c r="D1096" s="29"/>
      <c r="E1096" s="29"/>
      <c r="F1096" s="29"/>
      <c r="G1096" s="29"/>
      <c r="H1096"/>
      <c r="I1096"/>
      <c r="J1096" s="46"/>
      <c r="K1096" s="46"/>
    </row>
    <row r="1097" spans="1:11">
      <c r="A1097" s="13"/>
      <c r="B1097" s="13"/>
      <c r="C1097" s="10"/>
      <c r="D1097" s="10"/>
      <c r="E1097" s="10"/>
      <c r="F1097" s="10"/>
      <c r="G1097" s="10"/>
      <c r="I1097" s="47"/>
      <c r="J1097" s="47" t="s">
        <v>110</v>
      </c>
      <c r="K1097" s="46"/>
    </row>
    <row r="1098" spans="1:11">
      <c r="A1098" s="12" t="s">
        <v>31</v>
      </c>
      <c r="B1098" s="10"/>
      <c r="C1098" s="10"/>
      <c r="D1098" s="10"/>
      <c r="E1098" s="10"/>
      <c r="F1098" s="10"/>
      <c r="G1098" s="10"/>
      <c r="I1098" s="12"/>
      <c r="J1098" s="12" t="s">
        <v>32</v>
      </c>
      <c r="K1098" s="46"/>
    </row>
    <row r="1099" spans="1:11">
      <c r="A1099" s="10"/>
      <c r="B1099" s="10"/>
      <c r="C1099" s="10"/>
      <c r="D1099" s="10"/>
      <c r="E1099" s="10"/>
      <c r="F1099" s="10"/>
      <c r="G1099" s="10"/>
      <c r="I1099" s="12"/>
      <c r="J1099" s="12"/>
      <c r="K1099" s="46"/>
    </row>
    <row r="1100" spans="1:11">
      <c r="A1100" s="10"/>
      <c r="B1100" s="10"/>
      <c r="C1100" s="10"/>
      <c r="D1100" s="10"/>
      <c r="E1100" s="10"/>
      <c r="F1100" s="10"/>
      <c r="G1100" s="10"/>
      <c r="I1100" s="12"/>
      <c r="J1100" s="12"/>
      <c r="K1100" s="46"/>
    </row>
    <row r="1101" spans="1:11">
      <c r="A1101" s="10"/>
      <c r="B1101" s="10"/>
      <c r="C1101" s="10"/>
      <c r="D1101" s="10"/>
      <c r="E1101" s="10"/>
      <c r="F1101" s="10"/>
      <c r="G1101" s="10"/>
      <c r="I1101" s="12"/>
      <c r="J1101" s="12"/>
      <c r="K1101" s="46"/>
    </row>
    <row r="1102" spans="1:11">
      <c r="A1102" s="10"/>
      <c r="B1102" s="10"/>
      <c r="C1102" s="10"/>
      <c r="D1102" s="10"/>
      <c r="E1102" s="10"/>
      <c r="F1102" s="10"/>
      <c r="G1102" s="10"/>
      <c r="I1102" s="12"/>
      <c r="J1102" s="12"/>
      <c r="K1102" s="46"/>
    </row>
    <row r="1103" spans="1:11">
      <c r="A1103" s="48" t="s">
        <v>37</v>
      </c>
      <c r="B1103" s="48"/>
      <c r="C1103" s="49"/>
      <c r="D1103" s="49"/>
      <c r="E1103" s="49"/>
      <c r="F1103" s="49"/>
      <c r="G1103" s="10" t="s">
        <v>33</v>
      </c>
      <c r="I1103" s="48"/>
      <c r="J1103" s="48" t="s">
        <v>34</v>
      </c>
      <c r="K1103" s="46"/>
    </row>
  </sheetData>
  <mergeCells count="288">
    <mergeCell ref="C22:E22"/>
    <mergeCell ref="C25:E25"/>
    <mergeCell ref="C26:E26"/>
    <mergeCell ref="C27:E27"/>
    <mergeCell ref="A30:C30"/>
    <mergeCell ref="A35:C35"/>
    <mergeCell ref="A8:K8"/>
    <mergeCell ref="A9:K9"/>
    <mergeCell ref="A10:K10"/>
    <mergeCell ref="A11:K11"/>
    <mergeCell ref="A12:K12"/>
    <mergeCell ref="A21:K21"/>
    <mergeCell ref="C68:E68"/>
    <mergeCell ref="C71:E71"/>
    <mergeCell ref="C72:E72"/>
    <mergeCell ref="C73:E73"/>
    <mergeCell ref="A76:C76"/>
    <mergeCell ref="A81:C81"/>
    <mergeCell ref="A54:K54"/>
    <mergeCell ref="A55:K55"/>
    <mergeCell ref="A56:K56"/>
    <mergeCell ref="A57:K57"/>
    <mergeCell ref="A58:K58"/>
    <mergeCell ref="A67:K67"/>
    <mergeCell ref="C114:E114"/>
    <mergeCell ref="C117:E117"/>
    <mergeCell ref="C118:E118"/>
    <mergeCell ref="C119:E119"/>
    <mergeCell ref="A122:C122"/>
    <mergeCell ref="A127:C127"/>
    <mergeCell ref="A100:K100"/>
    <mergeCell ref="A101:K101"/>
    <mergeCell ref="A102:K102"/>
    <mergeCell ref="A103:K103"/>
    <mergeCell ref="A104:K104"/>
    <mergeCell ref="A113:K113"/>
    <mergeCell ref="C160:E160"/>
    <mergeCell ref="C163:E163"/>
    <mergeCell ref="C164:E164"/>
    <mergeCell ref="C165:E165"/>
    <mergeCell ref="A168:C168"/>
    <mergeCell ref="A173:C173"/>
    <mergeCell ref="A146:K146"/>
    <mergeCell ref="A147:K147"/>
    <mergeCell ref="A148:K148"/>
    <mergeCell ref="A149:K149"/>
    <mergeCell ref="A150:K150"/>
    <mergeCell ref="A159:K159"/>
    <mergeCell ref="C206:E206"/>
    <mergeCell ref="C209:E209"/>
    <mergeCell ref="C210:E210"/>
    <mergeCell ref="C211:E211"/>
    <mergeCell ref="A214:C214"/>
    <mergeCell ref="A219:C219"/>
    <mergeCell ref="A192:K192"/>
    <mergeCell ref="A193:K193"/>
    <mergeCell ref="A194:K194"/>
    <mergeCell ref="A195:K195"/>
    <mergeCell ref="A196:K196"/>
    <mergeCell ref="A205:K205"/>
    <mergeCell ref="C252:E252"/>
    <mergeCell ref="C255:E255"/>
    <mergeCell ref="C256:E256"/>
    <mergeCell ref="C257:E257"/>
    <mergeCell ref="A260:C260"/>
    <mergeCell ref="A265:C265"/>
    <mergeCell ref="A238:K238"/>
    <mergeCell ref="A239:K239"/>
    <mergeCell ref="A240:K240"/>
    <mergeCell ref="A241:K241"/>
    <mergeCell ref="A242:K242"/>
    <mergeCell ref="A251:K251"/>
    <mergeCell ref="C298:E298"/>
    <mergeCell ref="C301:E301"/>
    <mergeCell ref="C302:E302"/>
    <mergeCell ref="C303:E303"/>
    <mergeCell ref="A306:C306"/>
    <mergeCell ref="A311:C311"/>
    <mergeCell ref="A284:K284"/>
    <mergeCell ref="A285:K285"/>
    <mergeCell ref="A286:K286"/>
    <mergeCell ref="A287:K287"/>
    <mergeCell ref="A288:K288"/>
    <mergeCell ref="A297:K297"/>
    <mergeCell ref="C344:E344"/>
    <mergeCell ref="C347:E347"/>
    <mergeCell ref="C348:E348"/>
    <mergeCell ref="C349:E349"/>
    <mergeCell ref="A352:C352"/>
    <mergeCell ref="A357:C357"/>
    <mergeCell ref="A330:K330"/>
    <mergeCell ref="A331:K331"/>
    <mergeCell ref="A332:K332"/>
    <mergeCell ref="A333:K333"/>
    <mergeCell ref="A334:K334"/>
    <mergeCell ref="A343:K343"/>
    <mergeCell ref="C390:E390"/>
    <mergeCell ref="C393:E393"/>
    <mergeCell ref="C394:E394"/>
    <mergeCell ref="C395:E395"/>
    <mergeCell ref="A398:C398"/>
    <mergeCell ref="A403:C403"/>
    <mergeCell ref="A376:K376"/>
    <mergeCell ref="A377:K377"/>
    <mergeCell ref="A378:K378"/>
    <mergeCell ref="A379:K379"/>
    <mergeCell ref="A380:K380"/>
    <mergeCell ref="A389:K389"/>
    <mergeCell ref="C436:E436"/>
    <mergeCell ref="C439:E439"/>
    <mergeCell ref="C440:E440"/>
    <mergeCell ref="C441:E441"/>
    <mergeCell ref="A444:C444"/>
    <mergeCell ref="A449:C449"/>
    <mergeCell ref="A422:K422"/>
    <mergeCell ref="A423:K423"/>
    <mergeCell ref="A424:K424"/>
    <mergeCell ref="A425:K425"/>
    <mergeCell ref="A426:K426"/>
    <mergeCell ref="A435:K435"/>
    <mergeCell ref="C482:E482"/>
    <mergeCell ref="C485:E485"/>
    <mergeCell ref="C486:E486"/>
    <mergeCell ref="C487:E487"/>
    <mergeCell ref="A490:C490"/>
    <mergeCell ref="A495:C495"/>
    <mergeCell ref="A468:K468"/>
    <mergeCell ref="A469:K469"/>
    <mergeCell ref="A470:K470"/>
    <mergeCell ref="A471:K471"/>
    <mergeCell ref="A472:K472"/>
    <mergeCell ref="A481:K481"/>
    <mergeCell ref="C528:E528"/>
    <mergeCell ref="C531:E531"/>
    <mergeCell ref="C532:E532"/>
    <mergeCell ref="C533:E533"/>
    <mergeCell ref="A536:C536"/>
    <mergeCell ref="A541:C541"/>
    <mergeCell ref="A514:K514"/>
    <mergeCell ref="A515:K515"/>
    <mergeCell ref="A516:K516"/>
    <mergeCell ref="A517:K517"/>
    <mergeCell ref="A518:K518"/>
    <mergeCell ref="A527:K527"/>
    <mergeCell ref="C574:E574"/>
    <mergeCell ref="C577:E577"/>
    <mergeCell ref="C578:E578"/>
    <mergeCell ref="C579:E579"/>
    <mergeCell ref="A582:C582"/>
    <mergeCell ref="A587:C587"/>
    <mergeCell ref="A560:K560"/>
    <mergeCell ref="A561:K561"/>
    <mergeCell ref="A562:K562"/>
    <mergeCell ref="A563:K563"/>
    <mergeCell ref="A564:K564"/>
    <mergeCell ref="A573:K573"/>
    <mergeCell ref="C620:E620"/>
    <mergeCell ref="C623:E623"/>
    <mergeCell ref="C624:E624"/>
    <mergeCell ref="C625:E625"/>
    <mergeCell ref="A628:C628"/>
    <mergeCell ref="A633:C633"/>
    <mergeCell ref="A606:K606"/>
    <mergeCell ref="A607:K607"/>
    <mergeCell ref="A608:K608"/>
    <mergeCell ref="A609:K609"/>
    <mergeCell ref="A610:K610"/>
    <mergeCell ref="A619:K619"/>
    <mergeCell ref="C666:E666"/>
    <mergeCell ref="C669:E669"/>
    <mergeCell ref="C670:E670"/>
    <mergeCell ref="C671:E671"/>
    <mergeCell ref="A674:C674"/>
    <mergeCell ref="A679:C679"/>
    <mergeCell ref="A652:K652"/>
    <mergeCell ref="A653:K653"/>
    <mergeCell ref="A654:K654"/>
    <mergeCell ref="A655:K655"/>
    <mergeCell ref="A656:K656"/>
    <mergeCell ref="A665:K665"/>
    <mergeCell ref="C712:E712"/>
    <mergeCell ref="C715:E715"/>
    <mergeCell ref="C716:E716"/>
    <mergeCell ref="C717:E717"/>
    <mergeCell ref="A720:C720"/>
    <mergeCell ref="A725:C725"/>
    <mergeCell ref="A698:K698"/>
    <mergeCell ref="A699:K699"/>
    <mergeCell ref="A700:K700"/>
    <mergeCell ref="A701:K701"/>
    <mergeCell ref="A702:K702"/>
    <mergeCell ref="A711:K711"/>
    <mergeCell ref="C758:E758"/>
    <mergeCell ref="C761:E761"/>
    <mergeCell ref="C762:E762"/>
    <mergeCell ref="C763:E763"/>
    <mergeCell ref="A766:C766"/>
    <mergeCell ref="A771:C771"/>
    <mergeCell ref="A744:K744"/>
    <mergeCell ref="A745:K745"/>
    <mergeCell ref="A746:K746"/>
    <mergeCell ref="A747:K747"/>
    <mergeCell ref="A748:K748"/>
    <mergeCell ref="A757:K757"/>
    <mergeCell ref="C804:E804"/>
    <mergeCell ref="C807:E807"/>
    <mergeCell ref="C808:E808"/>
    <mergeCell ref="C809:E809"/>
    <mergeCell ref="A812:C812"/>
    <mergeCell ref="A817:C817"/>
    <mergeCell ref="A790:K790"/>
    <mergeCell ref="A791:K791"/>
    <mergeCell ref="A792:K792"/>
    <mergeCell ref="A793:K793"/>
    <mergeCell ref="A794:K794"/>
    <mergeCell ref="A803:K803"/>
    <mergeCell ref="C850:E850"/>
    <mergeCell ref="C853:E853"/>
    <mergeCell ref="C854:E854"/>
    <mergeCell ref="C855:E855"/>
    <mergeCell ref="A858:C858"/>
    <mergeCell ref="A863:C863"/>
    <mergeCell ref="A836:K836"/>
    <mergeCell ref="A837:K837"/>
    <mergeCell ref="A838:K838"/>
    <mergeCell ref="A839:K839"/>
    <mergeCell ref="A840:K840"/>
    <mergeCell ref="A849:K849"/>
    <mergeCell ref="C896:E896"/>
    <mergeCell ref="C899:E899"/>
    <mergeCell ref="C900:E900"/>
    <mergeCell ref="C901:E901"/>
    <mergeCell ref="A904:C904"/>
    <mergeCell ref="A909:C909"/>
    <mergeCell ref="A882:K882"/>
    <mergeCell ref="A883:K883"/>
    <mergeCell ref="A884:K884"/>
    <mergeCell ref="A885:K885"/>
    <mergeCell ref="A886:K886"/>
    <mergeCell ref="A895:K895"/>
    <mergeCell ref="C942:E942"/>
    <mergeCell ref="C945:E945"/>
    <mergeCell ref="C946:E946"/>
    <mergeCell ref="C947:E947"/>
    <mergeCell ref="A950:C950"/>
    <mergeCell ref="A955:C955"/>
    <mergeCell ref="A928:K928"/>
    <mergeCell ref="A929:K929"/>
    <mergeCell ref="A930:K930"/>
    <mergeCell ref="A931:K931"/>
    <mergeCell ref="A932:K932"/>
    <mergeCell ref="A941:K941"/>
    <mergeCell ref="C988:E988"/>
    <mergeCell ref="C991:E991"/>
    <mergeCell ref="C992:E992"/>
    <mergeCell ref="C993:E993"/>
    <mergeCell ref="A996:C996"/>
    <mergeCell ref="A1001:C1001"/>
    <mergeCell ref="A974:K974"/>
    <mergeCell ref="A975:K975"/>
    <mergeCell ref="A976:K976"/>
    <mergeCell ref="A977:K977"/>
    <mergeCell ref="A978:K978"/>
    <mergeCell ref="A987:K987"/>
    <mergeCell ref="C1034:E1034"/>
    <mergeCell ref="C1037:E1037"/>
    <mergeCell ref="C1038:E1038"/>
    <mergeCell ref="C1039:E1039"/>
    <mergeCell ref="A1042:C1042"/>
    <mergeCell ref="A1047:C1047"/>
    <mergeCell ref="A1020:K1020"/>
    <mergeCell ref="A1021:K1021"/>
    <mergeCell ref="A1022:K1022"/>
    <mergeCell ref="A1023:K1023"/>
    <mergeCell ref="A1024:K1024"/>
    <mergeCell ref="A1033:K1033"/>
    <mergeCell ref="C1080:E1080"/>
    <mergeCell ref="C1083:E1083"/>
    <mergeCell ref="C1084:E1084"/>
    <mergeCell ref="C1085:E1085"/>
    <mergeCell ref="A1088:C1088"/>
    <mergeCell ref="A1093:C1093"/>
    <mergeCell ref="A1066:K1066"/>
    <mergeCell ref="A1067:K1067"/>
    <mergeCell ref="A1068:K1068"/>
    <mergeCell ref="A1069:K1069"/>
    <mergeCell ref="A1070:K1070"/>
    <mergeCell ref="A1079:K1079"/>
  </mergeCells>
  <pageMargins left="0.23622047244094491" right="0.23622047244094491" top="0.15748031496062992" bottom="0.74803149606299213" header="0.31496062992125984" footer="0.31496062992125984"/>
  <pageSetup paperSize="9" scale="79" orientation="portrait" horizontalDpi="4294967293" r:id="rId1"/>
  <rowBreaks count="23" manualBreakCount="23">
    <brk id="46" max="10" man="1"/>
    <brk id="92" max="10" man="1"/>
    <brk id="138" max="10" man="1"/>
    <brk id="184" max="10" man="1"/>
    <brk id="230" max="10" man="1"/>
    <brk id="276" max="10" man="1"/>
    <brk id="322" max="10" man="1"/>
    <brk id="368" max="10" man="1"/>
    <brk id="414" max="10" man="1"/>
    <brk id="460" max="10" man="1"/>
    <brk id="506" max="10" man="1"/>
    <brk id="552" max="10" man="1"/>
    <brk id="598" max="10" man="1"/>
    <brk id="644" max="10" man="1"/>
    <brk id="690" max="10" man="1"/>
    <brk id="736" max="10" man="1"/>
    <brk id="782" max="10" man="1"/>
    <brk id="828" max="10" man="1"/>
    <brk id="874" max="10" man="1"/>
    <brk id="920" max="10" man="1"/>
    <brk id="966" max="10" man="1"/>
    <brk id="1012" max="10" man="1"/>
    <brk id="1058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JANUARI</vt:lpstr>
      <vt:lpstr>FEBRUARI</vt:lpstr>
      <vt:lpstr>MARET</vt:lpstr>
      <vt:lpstr>FEBRUARI!Print_Area</vt:lpstr>
      <vt:lpstr>JANUARI!Print_Area</vt:lpstr>
      <vt:lpstr>MARET!Print_Area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2026-03-27T06:56:32Z</cp:lastPrinted>
  <dcterms:created xsi:type="dcterms:W3CDTF">2017-02-01T01:06:00Z</dcterms:created>
  <dcterms:modified xsi:type="dcterms:W3CDTF">2026-03-27T07:21:34Z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DE23324BCA84430FAFA59EF0E6CBE3D1_12</vt:lpwstr>
  </property>
  <property fmtid="{D5CDD505-2E9C-101B-9397-08002B2CF9AE}" pid="3" name="KSOProductBuildVer">
    <vt:lpwstr>1033-12.2.0.22549</vt:lpwstr>
  </property>
</Properties>
</file>