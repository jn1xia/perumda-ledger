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NPD 2026\Beban Umum dan Keuangan\"/>
    </mc:Choice>
  </mc:AlternateContent>
  <xr:revisionPtr revIDLastSave="0" documentId="13_ncr:1_{B3E2695F-5B70-4FA1-A595-9742C8E241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BRUARI" sheetId="14" r:id="rId1"/>
    <sheet name="MARET" sheetId="15" r:id="rId2"/>
  </sheets>
  <definedNames>
    <definedName name="_xlnm.Print_Area" localSheetId="0">FEBRUARI!$A$1:$K$45</definedName>
    <definedName name="_xlnm.Print_Area" localSheetId="1">MARET!$A$1:$K$45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5" l="1"/>
  <c r="H26" i="15"/>
  <c r="H24" i="15"/>
  <c r="E32" i="15"/>
  <c r="J27" i="15"/>
  <c r="H27" i="15"/>
  <c r="G27" i="15"/>
  <c r="K26" i="15"/>
  <c r="K25" i="15"/>
  <c r="K24" i="15"/>
  <c r="E32" i="14"/>
  <c r="J27" i="14"/>
  <c r="E17" i="14" s="1"/>
  <c r="E18" i="14" s="1"/>
  <c r="G27" i="14"/>
  <c r="K25" i="14"/>
  <c r="K27" i="15" l="1"/>
  <c r="E29" i="15"/>
  <c r="E34" i="15" s="1"/>
  <c r="E35" i="15" s="1"/>
  <c r="E17" i="15"/>
  <c r="E18" i="15" s="1"/>
  <c r="K24" i="14"/>
  <c r="E29" i="14"/>
  <c r="E34" i="14" s="1"/>
  <c r="E35" i="14" s="1"/>
  <c r="H27" i="14"/>
  <c r="K26" i="14"/>
  <c r="K27" i="14" l="1"/>
</calcChain>
</file>

<file path=xl/sharedStrings.xml><?xml version="1.0" encoding="utf-8"?>
<sst xmlns="http://schemas.openxmlformats.org/spreadsheetml/2006/main" count="108" uniqueCount="44">
  <si>
    <t>NOTA PENCIRAN DANA (NPD)</t>
  </si>
  <si>
    <t>BENDAHARA PENGELUARAN</t>
  </si>
  <si>
    <t>Supaya Mencairkan Dana</t>
  </si>
  <si>
    <t xml:space="preserve">1. Sub Kegiatan                                                       </t>
  </si>
  <si>
    <t>:</t>
  </si>
  <si>
    <t>Beban Umum &amp; Keuangan</t>
  </si>
  <si>
    <t xml:space="preserve">2. Nomor                                                          </t>
  </si>
  <si>
    <t>2.1.4</t>
  </si>
  <si>
    <t xml:space="preserve">3. Tahun Anggaran                                           </t>
  </si>
  <si>
    <t xml:space="preserve">4. Jumlah Yang Diminta                                    </t>
  </si>
  <si>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</si>
  <si>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</si>
  <si>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</si>
  <si>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</si>
  <si>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Kode</t>
  </si>
  <si>
    <t>Uraian</t>
  </si>
  <si>
    <t>Anggaran</t>
  </si>
  <si>
    <t>Pencairan Saat ini</t>
  </si>
  <si>
    <t>Sisa Anggaran</t>
  </si>
  <si>
    <t>---------------</t>
  </si>
  <si>
    <t>1.1</t>
  </si>
  <si>
    <t>1.2</t>
  </si>
  <si>
    <t>1.3</t>
  </si>
  <si>
    <t>Beban Pendidikan, Pelatihan dan Bimbingan Teknik</t>
  </si>
  <si>
    <t>Diklat/Bimtek Dewan Pengawas</t>
  </si>
  <si>
    <t>Diklat/Bimtek/Pelatihan Pedagang</t>
  </si>
  <si>
    <t>JUMLAH</t>
  </si>
  <si>
    <t xml:space="preserve">Jumlah  Yang Diminta          </t>
  </si>
  <si>
    <t xml:space="preserve">PPN                                                </t>
  </si>
  <si>
    <t xml:space="preserve">PPh Psl 21/22/23/4(2)                    </t>
  </si>
  <si>
    <t xml:space="preserve">Jumlah Potongan                 </t>
  </si>
  <si>
    <t xml:space="preserve">Jumlah yang dibayarkan        </t>
  </si>
  <si>
    <t>MENGETAHUI</t>
  </si>
  <si>
    <t>YANG MEMBUAT</t>
  </si>
  <si>
    <t xml:space="preserve">                                  </t>
  </si>
  <si>
    <t>M. ZULKIFLI</t>
  </si>
  <si>
    <t>Akumulasi Pencairan dana Bulan Januari s/d Desember</t>
  </si>
  <si>
    <t>Diklat/Bimtek Direksi dan Karyawan</t>
  </si>
  <si>
    <t>IRNA WAHYUNI N.</t>
  </si>
  <si>
    <t>PERUMDA PASAR BANJARMASIN</t>
  </si>
  <si>
    <r>
      <t>Nomor : 052/DIV-KEU/PPB/I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</si>
  <si>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10 Februari 2026</t>
  </si>
  <si>
    <r>
      <t>Nomor : 014/DIV-KEU/PPB/I</t>
    </r>
    <r>
      <rPr>
        <sz val="11"/>
        <rFont val="Times New Roman"/>
        <family val="1"/>
      </rPr>
      <t>II</t>
    </r>
    <r>
      <rPr>
        <sz val="11"/>
        <color theme="1"/>
        <rFont val="Times New Roman"/>
        <family val="1"/>
      </rPr>
      <t>/2026</t>
    </r>
  </si>
  <si>
    <t>Banjarmasin, 04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</si>
</sst>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&quot;Rp&quot;* #,##0_);_(&quot;Rp&quot;* \(#,##0\);_(&quot;Rp&quot;* &quot;-&quot;_);_(@_)"/>
    <numFmt numFmtId="167" formatCode="_(* #,##0_);_(* \(#,##0\);_(* &quot;-&quot;??_);_(@_)"/>
    <numFmt numFmtId="168" formatCode="_-[$Rp-421]* #,##0_-;\-[$Rp-421]* #,##0_-;_-[$Rp-421]* &quot;-&quot;_-;_-@_-"/>
  </numFmts>
  <fonts count="16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1"/>
      <color indexed="8"/>
      <name val="Times New Roman"/>
      <family val="1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>
      <alignment vertical="top"/>
      <protection locked="0"/>
    </xf>
    <xf numFmtId="166" fontId="12" fillId="0" borderId="0" applyFont="0" applyFill="0" applyBorder="0" applyAlignment="0" applyProtection="0"/>
    <xf numFmtId="0" fontId="14" fillId="0" borderId="0"/>
  </cellStyleXfs>
  <cellXfs count="65">
    <xf numFmtId="0" fontId="0" fillId="0" borderId="0" xfId="0"/>
    <xf numFmtId="164" fontId="0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/>
    </xf>
    <xf numFmtId="164" fontId="0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4" fontId="3" fillId="0" borderId="0" xfId="1" applyFont="1" applyBorder="1"/>
    <xf numFmtId="0" fontId="3" fillId="0" borderId="0" xfId="0" applyFont="1" applyAlignment="1">
      <alignment horizontal="left"/>
    </xf>
    <xf numFmtId="42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2" xfId="4" applyNumberFormat="1" applyFont="1" applyBorder="1" applyAlignment="1">
      <alignment horizontal="left" vertical="center"/>
    </xf>
    <xf numFmtId="0" fontId="3" fillId="0" borderId="3" xfId="4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5" fontId="8" fillId="0" borderId="7" xfId="3" applyFont="1" applyBorder="1" applyAlignment="1" applyProtection="1">
      <alignment horizontal="center"/>
    </xf>
    <xf numFmtId="167" fontId="3" fillId="0" borderId="8" xfId="1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7" fillId="0" borderId="2" xfId="0" applyFont="1" applyBorder="1" applyAlignment="1">
      <alignment horizontal="center" vertical="center"/>
    </xf>
    <xf numFmtId="0" fontId="7" fillId="0" borderId="6" xfId="0" applyFont="1" applyBorder="1"/>
    <xf numFmtId="0" fontId="9" fillId="0" borderId="0" xfId="0" applyFont="1"/>
    <xf numFmtId="0" fontId="10" fillId="0" borderId="0" xfId="0" applyFont="1"/>
    <xf numFmtId="164" fontId="3" fillId="0" borderId="2" xfId="1" applyFont="1" applyFill="1" applyBorder="1" applyAlignment="1">
      <alignment horizontal="center" vertical="center" wrapText="1"/>
    </xf>
    <xf numFmtId="164" fontId="3" fillId="0" borderId="2" xfId="1" applyFont="1" applyFill="1" applyBorder="1" applyAlignment="1">
      <alignment horizontal="center" vertical="center"/>
    </xf>
    <xf numFmtId="167" fontId="3" fillId="0" borderId="8" xfId="1" applyNumberFormat="1" applyFont="1" applyBorder="1" applyAlignment="1">
      <alignment horizontal="right"/>
    </xf>
    <xf numFmtId="167" fontId="3" fillId="0" borderId="8" xfId="1" applyNumberFormat="1" applyFont="1" applyBorder="1"/>
    <xf numFmtId="0" fontId="3" fillId="0" borderId="2" xfId="0" applyFont="1" applyBorder="1"/>
    <xf numFmtId="0" fontId="3" fillId="0" borderId="3" xfId="0" applyFont="1" applyBorder="1"/>
    <xf numFmtId="168" fontId="3" fillId="0" borderId="5" xfId="2" applyNumberFormat="1" applyFont="1" applyBorder="1"/>
    <xf numFmtId="168" fontId="3" fillId="0" borderId="2" xfId="2" applyNumberFormat="1" applyFont="1" applyBorder="1"/>
    <xf numFmtId="0" fontId="4" fillId="0" borderId="4" xfId="0" applyFont="1" applyBorder="1"/>
    <xf numFmtId="168" fontId="4" fillId="0" borderId="4" xfId="2" applyNumberFormat="1" applyFont="1" applyBorder="1"/>
    <xf numFmtId="168" fontId="3" fillId="0" borderId="0" xfId="0" applyNumberFormat="1" applyFont="1" applyAlignment="1">
      <alignment horizontal="left"/>
    </xf>
    <xf numFmtId="164" fontId="3" fillId="0" borderId="0" xfId="1" applyFont="1" applyBorder="1" applyAlignme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9" fillId="0" borderId="0" xfId="0" applyFont="1" applyAlignment="1">
      <alignment horizontal="left"/>
    </xf>
    <xf numFmtId="164" fontId="9" fillId="0" borderId="0" xfId="1" applyFont="1" applyBorder="1"/>
    <xf numFmtId="0" fontId="3" fillId="0" borderId="0" xfId="1" applyNumberFormat="1" applyFont="1" applyBorder="1"/>
    <xf numFmtId="164" fontId="11" fillId="0" borderId="0" xfId="1" applyFont="1" applyBorder="1" applyAlignment="1">
      <alignment horizontal="left"/>
    </xf>
    <xf numFmtId="0" fontId="11" fillId="0" borderId="0" xfId="0" applyFont="1"/>
    <xf numFmtId="164" fontId="7" fillId="0" borderId="0" xfId="1" applyFont="1" applyBorder="1"/>
    <xf numFmtId="0" fontId="7" fillId="0" borderId="0" xfId="0" applyFont="1"/>
    <xf numFmtId="0" fontId="3" fillId="0" borderId="0" xfId="0" quotePrefix="1" applyFont="1"/>
    <xf numFmtId="0" fontId="3" fillId="0" borderId="0" xfId="0" quotePrefix="1" applyFont="1" applyAlignment="1">
      <alignment horizontal="center" vertical="center"/>
    </xf>
    <xf numFmtId="165" fontId="8" fillId="0" borderId="7" xfId="3" quotePrefix="1" applyFont="1" applyBorder="1" applyAlignment="1" applyProtection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6">
    <cellStyle name="Comma" xfId="1" builtinId="3"/>
    <cellStyle name="Comma [0]" xfId="2" builtinId="6"/>
    <cellStyle name="Comma [0] 2 2" xfId="3" xr:uid="{00000000-0005-0000-0000-000031000000}"/>
    <cellStyle name="Currency [0] 7" xfId="4" xr:uid="{00000000-0005-0000-0000-000032000000}"/>
    <cellStyle name="Normal" xfId="0" builtinId="0"/>
    <cellStyle name="Normal 2" xfId="5" xr:uid="{00000000-0005-0000-0000-000033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28576</xdr:rowOff>
    </xdr:from>
    <xdr:to>
      <xdr:col>10</xdr:col>
      <xdr:colOff>1162050</xdr:colOff>
      <xdr:row>10</xdr:row>
      <xdr:rowOff>37473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893EE9B-A615-44E1-BE2E-A48E82499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28576"/>
          <a:ext cx="8467726" cy="19329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0568901-27F9-40FC-8A2B-C4C906F439CD}"/>
            </a:ext>
          </a:extLst>
        </xdr:cNvPr>
        <xdr:cNvCxnSpPr/>
      </xdr:nvCxnSpPr>
      <xdr:spPr>
        <a:xfrm>
          <a:off x="19050" y="1409700"/>
          <a:ext cx="101822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28576</xdr:rowOff>
    </xdr:from>
    <xdr:to>
      <xdr:col>10</xdr:col>
      <xdr:colOff>1162050</xdr:colOff>
      <xdr:row>10</xdr:row>
      <xdr:rowOff>37473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2F8D5-C916-4DF9-B928-14448196E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4" y="28576"/>
          <a:ext cx="8467726" cy="19329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10</xdr:col>
      <xdr:colOff>1162050</xdr:colOff>
      <xdr:row>6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EADC1E-BB52-46FF-9CB5-6BFE26A7059E}"/>
            </a:ext>
          </a:extLst>
        </xdr:cNvPr>
        <xdr:cNvCxnSpPr/>
      </xdr:nvCxnSpPr>
      <xdr:spPr>
        <a:xfrm>
          <a:off x="19050" y="1209675"/>
          <a:ext cx="84772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524B-1276-4331-A4EA-D8DC921448C2}">
  <dimension ref="A1:W45"/>
  <sheetViews>
    <sheetView view="pageBreakPreview" zoomScaleNormal="100" workbookViewId="0">
      <selection activeCell="K44" sqref="A1:K4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5.425781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2" t="s">
        <v>0</v>
      </c>
      <c r="B8" s="62"/>
      <c r="C8" s="63"/>
      <c r="D8" s="63"/>
      <c r="E8" s="63"/>
      <c r="F8" s="63"/>
      <c r="G8" s="63"/>
      <c r="H8" s="63"/>
      <c r="I8" s="63"/>
      <c r="J8" s="63"/>
      <c r="K8" s="63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63" t="s">
        <v>40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63" t="s">
        <v>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63" t="s">
        <v>39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63" t="s">
        <v>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J27</f>
        <v>3000000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4" t="s">
        <v>12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59" t="s">
        <v>15</v>
      </c>
      <c r="D22" s="60"/>
      <c r="E22" s="61"/>
      <c r="F22" s="19"/>
      <c r="G22" s="20" t="s">
        <v>16</v>
      </c>
      <c r="H22" s="21" t="s">
        <v>36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37</v>
      </c>
      <c r="D24" s="10"/>
      <c r="E24" s="26"/>
      <c r="F24" s="25"/>
      <c r="G24" s="22">
        <v>200000000</v>
      </c>
      <c r="H24" s="23">
        <v>0</v>
      </c>
      <c r="I24" s="23"/>
      <c r="J24" s="33">
        <v>3000000</v>
      </c>
      <c r="K24" s="34">
        <f t="shared" ref="K24:K26" si="0">G24-H24-J24</f>
        <v>197000000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24</v>
      </c>
      <c r="D25" s="10"/>
      <c r="E25" s="26"/>
      <c r="F25" s="25"/>
      <c r="G25" s="22">
        <v>50000000</v>
      </c>
      <c r="H25" s="23">
        <v>0</v>
      </c>
      <c r="I25" s="23"/>
      <c r="J25" s="33">
        <v>0</v>
      </c>
      <c r="K25" s="34">
        <f t="shared" si="0"/>
        <v>50000000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25</v>
      </c>
      <c r="D26" s="10"/>
      <c r="E26" s="26"/>
      <c r="F26" s="25"/>
      <c r="G26" s="22">
        <v>50000000</v>
      </c>
      <c r="H26" s="23">
        <v>0</v>
      </c>
      <c r="I26" s="23"/>
      <c r="J26" s="33">
        <v>0</v>
      </c>
      <c r="K26" s="34">
        <f t="shared" si="0"/>
        <v>50000000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5"/>
      <c r="B27" s="35"/>
      <c r="C27" s="35" t="s">
        <v>26</v>
      </c>
      <c r="D27" s="35"/>
      <c r="E27" s="35"/>
      <c r="F27" s="36"/>
      <c r="G27" s="37">
        <f>SUM(G23:G26)</f>
        <v>300000000</v>
      </c>
      <c r="H27" s="38">
        <f>SUM(H23:H26)</f>
        <v>0</v>
      </c>
      <c r="I27" s="38"/>
      <c r="J27" s="38">
        <f>SUM(J23:J26)</f>
        <v>3000000</v>
      </c>
      <c r="K27" s="38">
        <f>SUM(K23:K26)</f>
        <v>297000000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9"/>
      <c r="B28" s="8"/>
      <c r="C28" s="8"/>
      <c r="D28" s="8"/>
      <c r="E28" s="8"/>
      <c r="F28" s="8"/>
      <c r="G28" s="40"/>
      <c r="H28" s="40"/>
      <c r="I28" s="40"/>
      <c r="J28" s="40"/>
      <c r="K28" s="40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58" t="s">
        <v>27</v>
      </c>
      <c r="B29" s="58"/>
      <c r="C29" s="58"/>
      <c r="D29" s="11" t="s">
        <v>4</v>
      </c>
      <c r="E29" s="14">
        <f>J27</f>
        <v>3000000</v>
      </c>
      <c r="F29" s="41"/>
      <c r="G29" s="42"/>
      <c r="H29" s="42"/>
      <c r="I29" s="4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28</v>
      </c>
      <c r="B30" s="10"/>
      <c r="C30" s="10"/>
      <c r="D30" s="11" t="s">
        <v>4</v>
      </c>
      <c r="E30" s="43"/>
      <c r="F30" s="43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29</v>
      </c>
      <c r="B31" s="10"/>
      <c r="C31" s="10"/>
      <c r="D31" s="11" t="s">
        <v>4</v>
      </c>
      <c r="E31" s="45"/>
      <c r="F31" s="45"/>
      <c r="G31" s="44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30</v>
      </c>
      <c r="B32" s="10"/>
      <c r="C32" s="10"/>
      <c r="D32" s="11" t="s">
        <v>4</v>
      </c>
      <c r="E32" s="45">
        <f>E30+E31</f>
        <v>0</v>
      </c>
      <c r="F32" s="45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58" t="s">
        <v>31</v>
      </c>
      <c r="B34" s="58"/>
      <c r="C34" s="58"/>
      <c r="D34" s="11" t="s">
        <v>4</v>
      </c>
      <c r="E34" s="41">
        <f>E29-E32</f>
        <v>3000000</v>
      </c>
      <c r="F34" s="41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Rupiah</v>
      </c>
      <c r="F35" s="10"/>
      <c r="G35" s="10"/>
      <c r="H35" s="10"/>
      <c r="I35" s="10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6"/>
      <c r="B36" s="46"/>
      <c r="C36" s="46"/>
      <c r="D36" s="46"/>
      <c r="E36" s="46"/>
      <c r="F36" s="46"/>
      <c r="G36" s="29"/>
      <c r="H36" s="47"/>
      <c r="I36" s="47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I38" s="48"/>
      <c r="J38" s="48" t="s">
        <v>41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32</v>
      </c>
      <c r="B39" s="10"/>
      <c r="C39" s="10"/>
      <c r="D39" s="10"/>
      <c r="E39" s="10"/>
      <c r="F39" s="10"/>
      <c r="G39" s="10"/>
      <c r="I39" s="12"/>
      <c r="J39" s="12" t="s">
        <v>33</v>
      </c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49" t="s">
        <v>38</v>
      </c>
      <c r="B44" s="49"/>
      <c r="C44" s="50"/>
      <c r="D44" s="50"/>
      <c r="E44" s="50"/>
      <c r="F44" s="50"/>
      <c r="G44" s="10" t="s">
        <v>34</v>
      </c>
      <c r="I44" s="49"/>
      <c r="J44" s="49" t="s">
        <v>35</v>
      </c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1"/>
      <c r="B45" s="51"/>
      <c r="C45" s="52"/>
      <c r="D45" s="52"/>
      <c r="E45" s="52"/>
      <c r="F45" s="52"/>
      <c r="G45" s="52"/>
      <c r="H45" s="51"/>
      <c r="I45" s="51"/>
      <c r="J45" s="51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</sheetData>
  <mergeCells count="9">
    <mergeCell ref="A29:C29"/>
    <mergeCell ref="A34:C34"/>
    <mergeCell ref="C22:E22"/>
    <mergeCell ref="A8:K8"/>
    <mergeCell ref="A9:K9"/>
    <mergeCell ref="A10:K10"/>
    <mergeCell ref="A11:K11"/>
    <mergeCell ref="A12:K12"/>
    <mergeCell ref="A21:K21"/>
  </mergeCells>
  <pageMargins left="0.23622047244094491" right="0.23622047244094491" top="0.15748031496062992" bottom="0.74803149606299213" header="0.31496062992125984" footer="0.31496062992125984"/>
  <pageSetup paperSize="9" scale="7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B483-DB19-4BA0-9CA3-8EB0D547CACB}">
  <dimension ref="A1:W45"/>
  <sheetViews>
    <sheetView tabSelected="1" view="pageBreakPreview" zoomScaleNormal="100" workbookViewId="0">
      <selection activeCell="K44" sqref="A1:K44"/>
    </sheetView>
  </sheetViews>
  <sheetFormatPr defaultColWidth="9" defaultRowHeight="15"/>
  <cols>
    <col min="1" max="1" width="3.5703125" customWidth="1"/>
    <col min="2" max="2" width="5.5703125" customWidth="1"/>
    <col min="3" max="3" width="12.28515625" customWidth="1"/>
    <col min="4" max="4" width="1.85546875" customWidth="1"/>
    <col min="5" max="5" width="35.42578125" customWidth="1"/>
    <col min="6" max="6" width="1.140625" customWidth="1"/>
    <col min="7" max="7" width="18" customWidth="1"/>
    <col min="8" max="8" width="16.5703125" style="1" customWidth="1"/>
    <col min="9" max="9" width="16.5703125" style="1" hidden="1" customWidth="1"/>
    <col min="10" max="10" width="15.5703125" style="1" customWidth="1"/>
    <col min="11" max="11" width="18" style="1" customWidth="1"/>
    <col min="12" max="12" width="0.28515625" hidden="1" customWidth="1"/>
    <col min="13" max="13" width="2.85546875" customWidth="1"/>
    <col min="14" max="14" width="2.5703125" customWidth="1"/>
    <col min="15" max="15" width="2.7109375" customWidth="1"/>
    <col min="16" max="16" width="2.5703125" customWidth="1"/>
    <col min="17" max="17" width="2.7109375" customWidth="1"/>
    <col min="18" max="18" width="2.85546875" customWidth="1"/>
    <col min="19" max="19" width="44.7109375" customWidth="1"/>
    <col min="20" max="20" width="12.28515625" customWidth="1"/>
    <col min="21" max="21" width="11.7109375" customWidth="1"/>
    <col min="22" max="22" width="10.85546875" customWidth="1"/>
    <col min="23" max="23" width="11.5703125" customWidth="1"/>
    <col min="24" max="24" width="11.7109375" customWidth="1"/>
  </cols>
  <sheetData>
    <row r="1" spans="1:23">
      <c r="L1" s="29"/>
      <c r="M1" s="30"/>
      <c r="N1" s="30"/>
      <c r="O1" s="30"/>
      <c r="P1" s="30"/>
      <c r="Q1" s="30"/>
      <c r="R1" s="30"/>
      <c r="S1" s="30"/>
      <c r="T1" s="30"/>
      <c r="U1" s="30"/>
      <c r="V1" s="30"/>
      <c r="W1" s="29"/>
    </row>
    <row r="2" spans="1:23">
      <c r="L2" s="29"/>
      <c r="M2" s="30"/>
      <c r="N2" s="30"/>
      <c r="O2" s="30"/>
      <c r="P2" s="30"/>
      <c r="Q2" s="30"/>
      <c r="R2" s="30"/>
      <c r="S2" s="30"/>
      <c r="T2" s="30"/>
      <c r="U2" s="30"/>
      <c r="V2" s="30"/>
      <c r="W2" s="29"/>
    </row>
    <row r="3" spans="1:23">
      <c r="L3" s="29"/>
      <c r="M3" s="30"/>
      <c r="N3" s="30"/>
      <c r="O3" s="30"/>
      <c r="P3" s="30"/>
      <c r="Q3" s="30"/>
      <c r="R3" s="30"/>
      <c r="S3" s="30"/>
      <c r="T3" s="30"/>
      <c r="U3" s="30"/>
      <c r="V3" s="30"/>
      <c r="W3" s="29"/>
    </row>
    <row r="4" spans="1:23" ht="15.75">
      <c r="C4" s="2"/>
      <c r="D4" s="2"/>
      <c r="E4" s="2"/>
      <c r="F4" s="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29"/>
    </row>
    <row r="5" spans="1:23" ht="15.75">
      <c r="A5" s="3"/>
      <c r="B5" s="3"/>
      <c r="C5" s="2"/>
      <c r="D5" s="2"/>
      <c r="E5" s="2"/>
      <c r="F5" s="2"/>
      <c r="G5" s="3"/>
      <c r="H5" s="4"/>
      <c r="I5" s="4"/>
      <c r="J5" s="4"/>
      <c r="K5" s="5"/>
      <c r="L5" s="29"/>
      <c r="M5" s="30"/>
      <c r="N5" s="30"/>
      <c r="O5" s="30"/>
      <c r="P5" s="30"/>
      <c r="Q5" s="30"/>
      <c r="R5" s="30"/>
      <c r="S5" s="30"/>
      <c r="T5" s="30"/>
      <c r="U5" s="30"/>
      <c r="V5" s="30"/>
      <c r="W5" s="29"/>
    </row>
    <row r="6" spans="1:23">
      <c r="H6" s="5"/>
      <c r="I6" s="5"/>
      <c r="J6" s="5"/>
      <c r="K6" s="5"/>
      <c r="L6" s="29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</row>
    <row r="7" spans="1:23">
      <c r="H7" s="5"/>
      <c r="I7" s="5"/>
      <c r="J7" s="5"/>
      <c r="K7" s="5"/>
      <c r="L7" s="29"/>
      <c r="M7" s="30"/>
      <c r="N7" s="30"/>
      <c r="O7" s="30"/>
      <c r="P7" s="30"/>
      <c r="Q7" s="30"/>
      <c r="R7" s="30"/>
      <c r="S7" s="30"/>
      <c r="T7" s="30"/>
      <c r="U7" s="30"/>
      <c r="V7" s="30"/>
      <c r="W7" s="29"/>
    </row>
    <row r="8" spans="1:23" ht="15" customHeight="1">
      <c r="A8" s="62" t="s">
        <v>0</v>
      </c>
      <c r="B8" s="62"/>
      <c r="C8" s="63"/>
      <c r="D8" s="63"/>
      <c r="E8" s="63"/>
      <c r="F8" s="63"/>
      <c r="G8" s="63"/>
      <c r="H8" s="63"/>
      <c r="I8" s="63"/>
      <c r="J8" s="63"/>
      <c r="K8" s="63"/>
      <c r="L8" s="29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</row>
    <row r="9" spans="1:23" ht="15" customHeight="1">
      <c r="A9" s="63" t="s">
        <v>42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29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</row>
    <row r="10" spans="1:23" ht="15" customHeight="1">
      <c r="A10" s="63" t="s">
        <v>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</row>
    <row r="11" spans="1:23" ht="15" customHeight="1">
      <c r="A11" s="63" t="s">
        <v>39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29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29"/>
    </row>
    <row r="12" spans="1:23" ht="15" customHeight="1">
      <c r="A12" s="63" t="s">
        <v>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29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29"/>
    </row>
    <row r="13" spans="1:23">
      <c r="A13" s="6"/>
      <c r="B13" s="6"/>
      <c r="C13" s="7"/>
      <c r="D13" s="7"/>
      <c r="E13" s="7"/>
      <c r="F13" s="7"/>
      <c r="G13" s="8"/>
      <c r="H13" s="9"/>
      <c r="I13" s="9"/>
      <c r="J13" s="9"/>
      <c r="K13" s="9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29"/>
    </row>
    <row r="14" spans="1:23">
      <c r="A14" s="53" t="s">
        <v>3</v>
      </c>
      <c r="B14" s="10"/>
      <c r="C14" s="10"/>
      <c r="D14" s="54" t="s">
        <v>4</v>
      </c>
      <c r="E14" s="10" t="s">
        <v>5</v>
      </c>
      <c r="F14" s="11"/>
      <c r="G14" s="10"/>
      <c r="H14" s="12"/>
      <c r="I14" s="12"/>
      <c r="J14" s="12"/>
      <c r="K14" s="9"/>
      <c r="L14" s="29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</row>
    <row r="15" spans="1:23">
      <c r="A15" s="53" t="s">
        <v>6</v>
      </c>
      <c r="B15" s="10"/>
      <c r="C15" s="10"/>
      <c r="D15" s="54" t="s">
        <v>4</v>
      </c>
      <c r="E15" s="10" t="s">
        <v>7</v>
      </c>
      <c r="F15" s="11"/>
      <c r="G15" s="10"/>
      <c r="H15" s="12"/>
      <c r="I15" s="12"/>
      <c r="J15" s="12"/>
      <c r="K15" s="9"/>
      <c r="L15" s="29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29"/>
    </row>
    <row r="16" spans="1:23">
      <c r="A16" s="53" t="s">
        <v>8</v>
      </c>
      <c r="B16" s="10"/>
      <c r="C16" s="10"/>
      <c r="D16" s="54" t="s">
        <v>4</v>
      </c>
      <c r="E16" s="13">
        <v>2026</v>
      </c>
      <c r="F16" s="11"/>
      <c r="G16" s="13"/>
      <c r="H16" s="12"/>
      <c r="I16" s="12"/>
      <c r="J16" s="12"/>
      <c r="K16" s="9"/>
      <c r="L16" s="29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29"/>
    </row>
    <row r="17" spans="1:23">
      <c r="A17" s="53" t="s">
        <v>9</v>
      </c>
      <c r="B17" s="10"/>
      <c r="C17" s="10"/>
      <c r="D17" s="54" t="s">
        <v>4</v>
      </c>
      <c r="E17" s="14">
        <f>J27</f>
        <v>450000</v>
      </c>
      <c r="F17" s="11"/>
      <c r="G17" s="14"/>
      <c r="H17" s="12"/>
      <c r="I17" s="12"/>
      <c r="J17" s="12"/>
      <c r="K17" s="9"/>
      <c r="L17" s="29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29"/>
    </row>
    <row r="18" spans="1:23" ht="15.75">
      <c r="A18" s="10"/>
      <c r="B18" s="10"/>
      <c r="C18" s="15" t="s">
        <v>10</v>
      </c>
      <c r="D18" s="54" t="s">
        <v>4</v>
      </c>
      <c r="E18" s="16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Lima Puluh Ribu Rupiah</v>
      </c>
      <c r="F18" s="11"/>
      <c r="G18" s="16"/>
      <c r="H18" s="12"/>
      <c r="I18" s="12"/>
      <c r="J18" s="12"/>
      <c r="K18" s="9"/>
      <c r="L18" s="29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</row>
    <row r="19" spans="1:23" ht="15.75">
      <c r="A19" s="10"/>
      <c r="B19" s="10"/>
      <c r="C19" s="15"/>
      <c r="D19" s="15"/>
      <c r="E19" s="15"/>
      <c r="F19" s="11"/>
      <c r="G19" s="16"/>
      <c r="H19" s="12"/>
      <c r="I19" s="12"/>
      <c r="J19" s="12"/>
      <c r="K19" s="9"/>
      <c r="L19" s="29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</row>
    <row r="20" spans="1:23">
      <c r="A20" s="10" t="s">
        <v>11</v>
      </c>
      <c r="B20" s="10"/>
      <c r="C20" s="10"/>
      <c r="D20" s="10"/>
      <c r="E20" s="10"/>
      <c r="F20" s="10"/>
      <c r="G20" s="10"/>
      <c r="H20" s="12"/>
      <c r="I20" s="12"/>
      <c r="J20" s="12"/>
      <c r="K20" s="9"/>
      <c r="L20" s="29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</row>
    <row r="21" spans="1:23">
      <c r="A21" s="64" t="s">
        <v>12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29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9"/>
    </row>
    <row r="22" spans="1:23" ht="61.5" customHeight="1">
      <c r="A22" s="17" t="s">
        <v>13</v>
      </c>
      <c r="B22" s="18" t="s">
        <v>14</v>
      </c>
      <c r="C22" s="59" t="s">
        <v>15</v>
      </c>
      <c r="D22" s="60"/>
      <c r="E22" s="61"/>
      <c r="F22" s="19"/>
      <c r="G22" s="20" t="s">
        <v>16</v>
      </c>
      <c r="H22" s="21" t="s">
        <v>36</v>
      </c>
      <c r="I22" s="21"/>
      <c r="J22" s="31" t="s">
        <v>17</v>
      </c>
      <c r="K22" s="32" t="s">
        <v>18</v>
      </c>
      <c r="L22" s="29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</row>
    <row r="23" spans="1:23">
      <c r="A23" s="27">
        <v>1</v>
      </c>
      <c r="B23" s="24"/>
      <c r="C23" s="28" t="s">
        <v>23</v>
      </c>
      <c r="D23" s="57"/>
      <c r="E23" s="26"/>
      <c r="F23" s="25"/>
      <c r="G23" s="55" t="s">
        <v>19</v>
      </c>
      <c r="H23" s="55" t="s">
        <v>19</v>
      </c>
      <c r="I23" s="55"/>
      <c r="J23" s="55" t="s">
        <v>19</v>
      </c>
      <c r="K23" s="55" t="s">
        <v>19</v>
      </c>
      <c r="L23" s="29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</row>
    <row r="24" spans="1:23">
      <c r="A24" s="24"/>
      <c r="B24" s="56" t="s">
        <v>20</v>
      </c>
      <c r="C24" s="25" t="s">
        <v>37</v>
      </c>
      <c r="D24" s="10"/>
      <c r="E24" s="26"/>
      <c r="F24" s="25"/>
      <c r="G24" s="22">
        <v>200000000</v>
      </c>
      <c r="H24" s="23">
        <f>FEBRUARI!H24+FEBRUARI!J24</f>
        <v>3000000</v>
      </c>
      <c r="I24" s="23"/>
      <c r="J24" s="33">
        <v>450000</v>
      </c>
      <c r="K24" s="34">
        <f t="shared" ref="K24:K26" si="0">G24-H24-J24</f>
        <v>196550000</v>
      </c>
      <c r="L24" s="29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</row>
    <row r="25" spans="1:23">
      <c r="A25" s="24"/>
      <c r="B25" s="56" t="s">
        <v>21</v>
      </c>
      <c r="C25" s="25" t="s">
        <v>24</v>
      </c>
      <c r="D25" s="10"/>
      <c r="E25" s="26"/>
      <c r="F25" s="25"/>
      <c r="G25" s="22">
        <v>50000000</v>
      </c>
      <c r="H25" s="23">
        <f>FEBRUARI!H25+FEBRUARI!J25</f>
        <v>0</v>
      </c>
      <c r="I25" s="23"/>
      <c r="J25" s="33">
        <v>0</v>
      </c>
      <c r="K25" s="34">
        <f t="shared" si="0"/>
        <v>50000000</v>
      </c>
      <c r="L25" s="29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29"/>
    </row>
    <row r="26" spans="1:23">
      <c r="A26" s="24"/>
      <c r="B26" s="56" t="s">
        <v>22</v>
      </c>
      <c r="C26" s="25" t="s">
        <v>25</v>
      </c>
      <c r="D26" s="10"/>
      <c r="E26" s="26"/>
      <c r="F26" s="25"/>
      <c r="G26" s="22">
        <v>50000000</v>
      </c>
      <c r="H26" s="23">
        <f>FEBRUARI!H26+FEBRUARI!J26</f>
        <v>0</v>
      </c>
      <c r="I26" s="23"/>
      <c r="J26" s="33">
        <v>0</v>
      </c>
      <c r="K26" s="34">
        <f t="shared" si="0"/>
        <v>50000000</v>
      </c>
      <c r="L26" s="29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29"/>
    </row>
    <row r="27" spans="1:23">
      <c r="A27" s="35"/>
      <c r="B27" s="35"/>
      <c r="C27" s="35" t="s">
        <v>26</v>
      </c>
      <c r="D27" s="35"/>
      <c r="E27" s="35"/>
      <c r="F27" s="36"/>
      <c r="G27" s="37">
        <f>SUM(G23:G26)</f>
        <v>300000000</v>
      </c>
      <c r="H27" s="38">
        <f>SUM(H23:H26)</f>
        <v>3000000</v>
      </c>
      <c r="I27" s="38"/>
      <c r="J27" s="38">
        <f>SUM(J23:J26)</f>
        <v>450000</v>
      </c>
      <c r="K27" s="38">
        <f>SUM(K23:K26)</f>
        <v>296550000</v>
      </c>
      <c r="L27" s="29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>
      <c r="A28" s="39"/>
      <c r="B28" s="8"/>
      <c r="C28" s="8"/>
      <c r="D28" s="8"/>
      <c r="E28" s="8"/>
      <c r="F28" s="8"/>
      <c r="G28" s="40"/>
      <c r="H28" s="40"/>
      <c r="I28" s="40"/>
      <c r="J28" s="40"/>
      <c r="K28" s="40"/>
      <c r="L28" s="29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29"/>
    </row>
    <row r="29" spans="1:23">
      <c r="A29" s="58" t="s">
        <v>27</v>
      </c>
      <c r="B29" s="58"/>
      <c r="C29" s="58"/>
      <c r="D29" s="11" t="s">
        <v>4</v>
      </c>
      <c r="E29" s="14">
        <f>J27</f>
        <v>450000</v>
      </c>
      <c r="F29" s="41"/>
      <c r="G29" s="42"/>
      <c r="H29" s="42"/>
      <c r="I29" s="42"/>
      <c r="J29" s="9"/>
      <c r="K29" s="9"/>
      <c r="L29" s="29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9"/>
    </row>
    <row r="30" spans="1:23">
      <c r="A30" s="10" t="s">
        <v>28</v>
      </c>
      <c r="B30" s="10"/>
      <c r="C30" s="10"/>
      <c r="D30" s="11" t="s">
        <v>4</v>
      </c>
      <c r="E30" s="43"/>
      <c r="F30" s="43"/>
      <c r="G30" s="44"/>
      <c r="H30" s="12"/>
      <c r="I30" s="12"/>
      <c r="J30" s="9"/>
      <c r="K30" s="9"/>
      <c r="L30" s="29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29"/>
    </row>
    <row r="31" spans="1:23">
      <c r="A31" s="10" t="s">
        <v>29</v>
      </c>
      <c r="B31" s="10"/>
      <c r="C31" s="10"/>
      <c r="D31" s="11" t="s">
        <v>4</v>
      </c>
      <c r="E31" s="45"/>
      <c r="F31" s="45"/>
      <c r="G31" s="44"/>
      <c r="H31" s="12"/>
      <c r="I31" s="12"/>
      <c r="J31" s="9"/>
      <c r="K31" s="9"/>
      <c r="L31" s="29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29"/>
    </row>
    <row r="32" spans="1:23">
      <c r="A32" s="10" t="s">
        <v>30</v>
      </c>
      <c r="B32" s="10"/>
      <c r="C32" s="10"/>
      <c r="D32" s="11" t="s">
        <v>4</v>
      </c>
      <c r="E32" s="45">
        <f>E30+E31</f>
        <v>0</v>
      </c>
      <c r="F32" s="45"/>
      <c r="G32" s="10"/>
      <c r="H32" s="12"/>
      <c r="I32" s="12"/>
      <c r="J32" s="47"/>
      <c r="K32" s="47"/>
      <c r="L32" s="29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29"/>
    </row>
    <row r="33" spans="1:23">
      <c r="A33" s="13"/>
      <c r="B33" s="13"/>
      <c r="C33" s="13"/>
      <c r="D33" s="11"/>
      <c r="E33" s="13"/>
      <c r="F33" s="13"/>
      <c r="G33" s="10"/>
      <c r="H33" s="12"/>
      <c r="I33" s="12"/>
      <c r="J33" s="47"/>
      <c r="K33" s="47"/>
      <c r="L33" s="29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29"/>
    </row>
    <row r="34" spans="1:23">
      <c r="A34" s="58" t="s">
        <v>31</v>
      </c>
      <c r="B34" s="58"/>
      <c r="C34" s="58"/>
      <c r="D34" s="11" t="s">
        <v>4</v>
      </c>
      <c r="E34" s="41">
        <f>E29-E32</f>
        <v>450000</v>
      </c>
      <c r="F34" s="41"/>
      <c r="G34" s="10"/>
      <c r="H34" s="12"/>
      <c r="I34" s="12"/>
      <c r="J34" s="47"/>
      <c r="K34" s="47"/>
      <c r="L34" s="29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29"/>
    </row>
    <row r="35" spans="1:23" ht="15.75">
      <c r="A35" s="13"/>
      <c r="B35" s="13"/>
      <c r="C35" s="10"/>
      <c r="D35" s="10"/>
      <c r="E35" s="16" t="str">
        <f>PROPER(IF(E34=0,"nol",IF(E34&lt;0,"minus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34),"000000000000000"),1,3)=0,"",MID(TEXT(ABS(E34),"000000000000000"),1,1)&amp;" ratus "&amp;MID(TEXT(ABS(E34),"000000000000000"),2,1)&amp;" puluh "&amp;MID(TEXT(ABS(E34),"000000000000000"),3,1)&amp;" trilyun ")&amp;IF(--MID(TEXT(ABS(E34),"000000000000000"),4,3)=0,"",MID(TEXT(ABS(E34),"000000000000000"),4,1)&amp;" ratus "&amp;MID(TEXT(ABS(E34),"000000000000000"),5,1)&amp;" puluh "&amp;MID(TEXT(ABS(E34),"000000000000000"),6,1)&amp;" milyar ")&amp;IF(--MID(TEXT(ABS(E34),"000000000000000"),7,3)=0,"",MID(TEXT(ABS(E34),"000000000000000"),7,1)&amp;" ratus "&amp;MID(TEXT(ABS(E34),"000000000000000"),8,1)&amp;" puluh "&amp;MID(TEXT(ABS(E34),"000000000000000"),9,1)&amp;" juta ")&amp;IF(--MID(TEXT(ABS(E34),"000000000000000"),10,3)=0,"",IF(--MID(TEXT(ABS(E34),"000000000000000"),10,3)=1,"*",MID(TEXT(ABS(E34),"000000000000000"),10,1)&amp;" ratus "&amp;MID(TEXT(ABS(E34),"000000000000000"),11,1)&amp;" puluh ")&amp;MID(TEXT(ABS(E34),"000000000000000"),12,1)&amp;" ribu ")&amp;IF(--MID(TEXT(ABS(E34),"000000000000000"),13,3)=0,"",MID(TEXT(ABS(E34),"000000000000000"),13,1)&amp;" ratus "&amp;MID(TEXT(ABS(E34),"000000000000000"),14,1)&amp;" puluh "&amp;MID(TEXT(ABS(E34),"000000000000000"),15,1)),1,"satu"),2,"dua"),3,"tiga"),4,"empat"),5,"lima"),6,"enam"),7,"tujuh"),8,"delapan"),9,"sembilan"),"0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Ratus Lima Puluh Ribu Rupiah</v>
      </c>
      <c r="F35" s="10"/>
      <c r="G35" s="10"/>
      <c r="H35" s="10"/>
      <c r="I35" s="10"/>
      <c r="J35" s="47"/>
      <c r="K35" s="47"/>
      <c r="L35" s="29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29"/>
    </row>
    <row r="36" spans="1:23">
      <c r="A36" s="46"/>
      <c r="B36" s="46"/>
      <c r="C36" s="46"/>
      <c r="D36" s="46"/>
      <c r="E36" s="46"/>
      <c r="F36" s="46"/>
      <c r="G36" s="29"/>
      <c r="H36" s="47"/>
      <c r="I36" s="47"/>
      <c r="J36" s="47"/>
      <c r="K36" s="47"/>
      <c r="L36" s="29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29"/>
    </row>
    <row r="37" spans="1:23">
      <c r="A37" s="29"/>
      <c r="B37" s="29"/>
      <c r="C37" s="29"/>
      <c r="D37" s="29"/>
      <c r="E37" s="29"/>
      <c r="F37" s="29"/>
      <c r="G37" s="29"/>
      <c r="H37"/>
      <c r="I37"/>
      <c r="J37" s="47"/>
      <c r="K37" s="47"/>
      <c r="L37" s="29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29"/>
    </row>
    <row r="38" spans="1:23">
      <c r="A38" s="13"/>
      <c r="B38" s="13"/>
      <c r="C38" s="10"/>
      <c r="D38" s="10"/>
      <c r="E38" s="10"/>
      <c r="F38" s="10"/>
      <c r="G38" s="10"/>
      <c r="I38" s="48"/>
      <c r="J38" s="48" t="s">
        <v>43</v>
      </c>
      <c r="K38" s="47"/>
      <c r="L38" s="29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29"/>
    </row>
    <row r="39" spans="1:23">
      <c r="A39" s="12" t="s">
        <v>32</v>
      </c>
      <c r="B39" s="10"/>
      <c r="C39" s="10"/>
      <c r="D39" s="10"/>
      <c r="E39" s="10"/>
      <c r="F39" s="10"/>
      <c r="G39" s="10"/>
      <c r="I39" s="12"/>
      <c r="J39" s="12" t="s">
        <v>33</v>
      </c>
      <c r="K39" s="47"/>
      <c r="L39" s="29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29"/>
    </row>
    <row r="40" spans="1:23">
      <c r="A40" s="10"/>
      <c r="B40" s="10"/>
      <c r="C40" s="10"/>
      <c r="D40" s="10"/>
      <c r="E40" s="10"/>
      <c r="F40" s="10"/>
      <c r="G40" s="10"/>
      <c r="I40" s="12"/>
      <c r="J40" s="12"/>
      <c r="K40" s="47"/>
      <c r="L40" s="29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29"/>
    </row>
    <row r="41" spans="1:23">
      <c r="A41" s="10"/>
      <c r="B41" s="10"/>
      <c r="C41" s="10"/>
      <c r="D41" s="10"/>
      <c r="E41" s="10"/>
      <c r="F41" s="10"/>
      <c r="G41" s="10"/>
      <c r="I41" s="12"/>
      <c r="J41" s="12"/>
      <c r="K41" s="47"/>
      <c r="L41" s="29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29"/>
    </row>
    <row r="42" spans="1:23">
      <c r="A42" s="10"/>
      <c r="B42" s="10"/>
      <c r="C42" s="10"/>
      <c r="D42" s="10"/>
      <c r="E42" s="10"/>
      <c r="F42" s="10"/>
      <c r="G42" s="10"/>
      <c r="I42" s="12"/>
      <c r="J42" s="12"/>
      <c r="K42" s="47"/>
      <c r="L42" s="29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29"/>
    </row>
    <row r="43" spans="1:23">
      <c r="A43" s="10"/>
      <c r="B43" s="10"/>
      <c r="C43" s="10"/>
      <c r="D43" s="10"/>
      <c r="E43" s="10"/>
      <c r="F43" s="10"/>
      <c r="G43" s="10"/>
      <c r="I43" s="12"/>
      <c r="J43" s="12"/>
      <c r="K43" s="47"/>
      <c r="L43" s="29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29"/>
    </row>
    <row r="44" spans="1:23">
      <c r="A44" s="49" t="s">
        <v>38</v>
      </c>
      <c r="B44" s="49"/>
      <c r="C44" s="50"/>
      <c r="D44" s="50"/>
      <c r="E44" s="50"/>
      <c r="F44" s="50"/>
      <c r="G44" s="10" t="s">
        <v>34</v>
      </c>
      <c r="I44" s="49"/>
      <c r="J44" s="49" t="s">
        <v>35</v>
      </c>
      <c r="K44" s="47"/>
      <c r="L44" s="29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29"/>
    </row>
    <row r="45" spans="1:23">
      <c r="A45" s="51"/>
      <c r="B45" s="51"/>
      <c r="C45" s="52"/>
      <c r="D45" s="52"/>
      <c r="E45" s="52"/>
      <c r="F45" s="52"/>
      <c r="G45" s="52"/>
      <c r="H45" s="51"/>
      <c r="I45" s="51"/>
      <c r="J45" s="51"/>
      <c r="K45" s="47"/>
      <c r="L45" s="29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29"/>
    </row>
  </sheetData>
  <mergeCells count="9">
    <mergeCell ref="C22:E22"/>
    <mergeCell ref="A29:C29"/>
    <mergeCell ref="A34:C34"/>
    <mergeCell ref="A8:K8"/>
    <mergeCell ref="A9:K9"/>
    <mergeCell ref="A10:K10"/>
    <mergeCell ref="A11:K11"/>
    <mergeCell ref="A12:K12"/>
    <mergeCell ref="A21:K21"/>
  </mergeCells>
  <pageMargins left="0.23622047244094491" right="0.23622047244094491" top="0.15748031496062992" bottom="0.74803149606299213" header="0.31496062992125984" footer="0.31496062992125984"/>
  <pageSetup paperSize="9" scale="77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FEBRUARI</vt:lpstr>
      <vt:lpstr>MARET</vt:lpstr>
      <vt:lpstr>FEBRUARI!Print_Area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2026-03-04T06:11:08Z</cp:lastPrinted>
  <dcterms:created xsi:type="dcterms:W3CDTF">2017-02-01T01:06:00Z</dcterms:created>
  <dcterms:modified xsi:type="dcterms:W3CDTF">2026-03-04T06:12:44Z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DE23324BCA84430FAFA59EF0E6CBE3D1_12</vt:lpwstr>
  </property>
  <property fmtid="{D5CDD505-2E9C-101B-9397-08002B2CF9AE}" pid="3" name="KSOProductBuildVer">
    <vt:lpwstr>1033-12.2.0.22549</vt:lpwstr>
  </property>
</Properties>
</file>