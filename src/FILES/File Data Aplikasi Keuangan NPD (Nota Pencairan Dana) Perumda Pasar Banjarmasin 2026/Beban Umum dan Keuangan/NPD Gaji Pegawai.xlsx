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NPD 2026\Beban Umum dan Keuangan\"/>
    </mc:Choice>
  </mc:AlternateContent>
  <xr:revisionPtr revIDLastSave="0" documentId="13_ncr:1_{37D7744E-A4D1-40F4-A03D-6B695323FF0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5" r:id="rId1"/>
    <sheet name="FEBRUARI" sheetId="16" r:id="rId2"/>
    <sheet name="MARET" sheetId="17" r:id="rId3"/>
  </sheets>
  <definedNames>
    <definedName name="_xlnm.Print_Area" localSheetId="1">FEBRUARI!$A$1:$K$135</definedName>
    <definedName name="_xlnm.Print_Area" localSheetId="0">JANUARI!$A$1:$K$141</definedName>
    <definedName name="_xlnm.Print_Area" localSheetId="2">MARET!$A$1:$K$292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0" i="17" l="1"/>
  <c r="H25" i="17"/>
  <c r="H26" i="17"/>
  <c r="H24" i="17"/>
  <c r="E122" i="17"/>
  <c r="J117" i="17"/>
  <c r="E119" i="17" s="1"/>
  <c r="E124" i="17" s="1"/>
  <c r="E125" i="17" s="1"/>
  <c r="G117" i="17"/>
  <c r="E107" i="17"/>
  <c r="E108" i="17" s="1"/>
  <c r="E77" i="17"/>
  <c r="J72" i="17"/>
  <c r="E74" i="17" s="1"/>
  <c r="E79" i="17" s="1"/>
  <c r="E80" i="17" s="1"/>
  <c r="G72" i="17"/>
  <c r="E62" i="17"/>
  <c r="E63" i="17" s="1"/>
  <c r="E32" i="17"/>
  <c r="J27" i="17"/>
  <c r="G27" i="17"/>
  <c r="H25" i="16"/>
  <c r="K25" i="16" s="1"/>
  <c r="H26" i="16"/>
  <c r="K26" i="16" s="1"/>
  <c r="H24" i="16"/>
  <c r="E122" i="16"/>
  <c r="J117" i="16"/>
  <c r="G117" i="16"/>
  <c r="E77" i="16"/>
  <c r="J72" i="16"/>
  <c r="E74" i="16" s="1"/>
  <c r="E79" i="16" s="1"/>
  <c r="E80" i="16" s="1"/>
  <c r="G72" i="16"/>
  <c r="H71" i="16"/>
  <c r="H70" i="16"/>
  <c r="E62" i="16"/>
  <c r="E63" i="16" s="1"/>
  <c r="E32" i="16"/>
  <c r="J27" i="16"/>
  <c r="G27" i="16"/>
  <c r="E122" i="15"/>
  <c r="J117" i="15"/>
  <c r="E119" i="15" s="1"/>
  <c r="E124" i="15" s="1"/>
  <c r="E125" i="15" s="1"/>
  <c r="G117" i="15"/>
  <c r="H116" i="15"/>
  <c r="K116" i="15" s="1"/>
  <c r="H115" i="15"/>
  <c r="K115" i="15" s="1"/>
  <c r="H114" i="15"/>
  <c r="H117" i="15" s="1"/>
  <c r="H70" i="15"/>
  <c r="H72" i="15" s="1"/>
  <c r="H71" i="15"/>
  <c r="K71" i="15" s="1"/>
  <c r="H69" i="15"/>
  <c r="E77" i="15"/>
  <c r="J72" i="15"/>
  <c r="E74" i="15" s="1"/>
  <c r="E79" i="15" s="1"/>
  <c r="E80" i="15" s="1"/>
  <c r="G72" i="15"/>
  <c r="K69" i="15"/>
  <c r="K25" i="15"/>
  <c r="K26" i="15"/>
  <c r="E32" i="15"/>
  <c r="J27" i="15"/>
  <c r="E17" i="15" s="1"/>
  <c r="E18" i="15" s="1"/>
  <c r="G27" i="15"/>
  <c r="E29" i="17" l="1"/>
  <c r="E34" i="17" s="1"/>
  <c r="E35" i="17" s="1"/>
  <c r="E17" i="17"/>
  <c r="E18" i="17" s="1"/>
  <c r="K26" i="17"/>
  <c r="H71" i="17"/>
  <c r="K25" i="17"/>
  <c r="H27" i="17"/>
  <c r="K24" i="17"/>
  <c r="K27" i="17" s="1"/>
  <c r="H69" i="17"/>
  <c r="H116" i="16"/>
  <c r="K116" i="16" s="1"/>
  <c r="K71" i="16"/>
  <c r="K70" i="16"/>
  <c r="H115" i="16"/>
  <c r="K115" i="16" s="1"/>
  <c r="K24" i="16"/>
  <c r="K27" i="16" s="1"/>
  <c r="H69" i="16"/>
  <c r="H72" i="16" s="1"/>
  <c r="H27" i="16"/>
  <c r="E119" i="16"/>
  <c r="E124" i="16" s="1"/>
  <c r="E125" i="16" s="1"/>
  <c r="E107" i="16"/>
  <c r="E108" i="16" s="1"/>
  <c r="H114" i="16"/>
  <c r="K69" i="16"/>
  <c r="E17" i="16"/>
  <c r="E18" i="16" s="1"/>
  <c r="E29" i="16"/>
  <c r="E34" i="16" s="1"/>
  <c r="E35" i="16" s="1"/>
  <c r="K114" i="15"/>
  <c r="K117" i="15" s="1"/>
  <c r="E107" i="15"/>
  <c r="E108" i="15" s="1"/>
  <c r="K70" i="15"/>
  <c r="K72" i="15"/>
  <c r="E62" i="15"/>
  <c r="E63" i="15" s="1"/>
  <c r="K24" i="15"/>
  <c r="K27" i="15" s="1"/>
  <c r="H27" i="15"/>
  <c r="E29" i="15"/>
  <c r="E34" i="15" s="1"/>
  <c r="E35" i="15" s="1"/>
  <c r="K71" i="17" l="1"/>
  <c r="H116" i="17"/>
  <c r="K116" i="17" s="1"/>
  <c r="H115" i="17"/>
  <c r="K115" i="17" s="1"/>
  <c r="K70" i="17"/>
  <c r="K69" i="17"/>
  <c r="H72" i="17"/>
  <c r="H114" i="17"/>
  <c r="K72" i="16"/>
  <c r="K114" i="16"/>
  <c r="K117" i="16" s="1"/>
  <c r="H117" i="16"/>
  <c r="K72" i="17" l="1"/>
  <c r="K114" i="17"/>
  <c r="K117" i="17" s="1"/>
  <c r="H117" i="17"/>
</calcChain>
</file>

<file path=xl/sharedStrings.xml><?xml version="1.0" encoding="utf-8"?>
<sst xmlns="http://schemas.openxmlformats.org/spreadsheetml/2006/main" count="486" uniqueCount="53">
  <si>
    <t>NOTA PENCIRAN DANA (NPD)</t>
  </si>
  <si>
    <t>BENDAHARA PENGELUARAN</t>
  </si>
  <si>
    <t>Supaya Mencairkan Dana</t>
  </si>
  <si>
    <t xml:space="preserve">1. Sub Kegiatan                                                       </t>
  </si>
  <si>
    <t>:</t>
  </si>
  <si>
    <t>Beban Umum &amp; Keuangan</t>
  </si>
  <si>
    <t xml:space="preserve">2. Nomor                                                          </t>
  </si>
  <si>
    <t>2.1.4</t>
  </si>
  <si>
    <t xml:space="preserve">3. Tahun Anggaran                                           </t>
  </si>
  <si>
    <t xml:space="preserve">4. Jumlah Yang Diminta                                    </t>
  </si>
  <si>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</si>
  <si>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</si>
  <si>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</si>
  <si>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</si>
  <si>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Kode</t>
  </si>
  <si>
    <t>Uraian</t>
  </si>
  <si>
    <t>Anggaran</t>
  </si>
  <si>
    <t>Pencairan Saat ini</t>
  </si>
  <si>
    <t>Sisa Anggaran</t>
  </si>
  <si>
    <t>Gaji Pegawai</t>
  </si>
  <si>
    <t>---------------</t>
  </si>
  <si>
    <t>1.1</t>
  </si>
  <si>
    <t>1.2</t>
  </si>
  <si>
    <t>1.3</t>
  </si>
  <si>
    <t>Honor Dewas (Katua + Anggota + Sekretaris) (4)</t>
  </si>
  <si>
    <t>JUMLAH</t>
  </si>
  <si>
    <t xml:space="preserve">Jumlah  Yang Diminta          </t>
  </si>
  <si>
    <t xml:space="preserve">PPN                                                </t>
  </si>
  <si>
    <t xml:space="preserve">PPh Psl 21/22/23/4(2)                    </t>
  </si>
  <si>
    <t xml:space="preserve">Jumlah Potongan                 </t>
  </si>
  <si>
    <t xml:space="preserve">Jumlah yang dibayarkan        </t>
  </si>
  <si>
    <t>MENGETAHUI</t>
  </si>
  <si>
    <t>YANG MEMBUAT</t>
  </si>
  <si>
    <t xml:space="preserve">                                  </t>
  </si>
  <si>
    <t>M. ZULKIFLI</t>
  </si>
  <si>
    <t>Akumulasi Pencairan dana Bulan Januari s/d Desember</t>
  </si>
  <si>
    <t>Gaji Direksi</t>
  </si>
  <si>
    <t>PERUMDA PASAR BANJARMASIN</t>
  </si>
  <si>
    <t>IRNA WAHYUNI N.</t>
  </si>
  <si>
    <t>Gaji Pokok Karyawan</t>
  </si>
  <si>
    <t>Banjarmasin, 23 Januari 2026</t>
  </si>
  <si>
    <r>
      <t>Nomor : 71/DIV-KEU/PPB/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</si>
  <si>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72/DIV-KEU/PPB/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</si>
  <si>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73/DIV-KEU/PPB/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</si>
  <si>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094/DIV-KEU/PPB/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</si>
  <si>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24 Februari 2026</t>
  </si>
  <si>
    <r>
      <t>Nomor : 094A/DIV-KEU/PPB/I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</si>
  <si>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094B/DIV-KEU/PPB/I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</si>
  <si>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003/DIV-KEU/PPB/</t>
    </r>
    <r>
      <rPr>
        <sz val="11"/>
        <rFont val="Times New Roman"/>
        <family val="1"/>
      </rPr>
      <t>III</t>
    </r>
    <r>
      <rPr>
        <sz val="11"/>
        <color theme="1"/>
        <rFont val="Times New Roman"/>
        <family val="1"/>
      </rPr>
      <t>/2026</t>
    </r>
  </si>
  <si>
    <t>Banjarmasin, 03 Maret 2026</t>
  </si>
  <si>
    <r>
      <t>Nomor : 006/DIV-KEU/PPB/II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</si>
  <si>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050/DIV-KEU/PPB/I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</si>
  <si>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25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</si>
</sst>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Rp&quot;* #,##0_-;\-&quot;Rp&quot;* #,##0_-;_-&quot;Rp&quot;* &quot;-&quot;_-;_-@_-"/>
    <numFmt numFmtId="41" formatCode="_-* #,##0_-;\-* #,##0_-;_-* &quot;-&quot;_-;_-@_-"/>
    <numFmt numFmtId="164" formatCode="_(* #,##0.00_);_(* \(#,##0.00\);_(* &quot;-&quot;??_);_(@_)"/>
    <numFmt numFmtId="165" formatCode="_(* #,##0_);_(* \(#,##0\);_(* &quot;-&quot;_);_(@_)"/>
    <numFmt numFmtId="166" formatCode="_(&quot;Rp&quot;* #,##0_);_(&quot;Rp&quot;* \(#,##0\);_(&quot;Rp&quot;* &quot;-&quot;_);_(@_)"/>
    <numFmt numFmtId="167" formatCode="_(* #,##0_);_(* \(#,##0\);_(* &quot;-&quot;??_);_(@_)"/>
    <numFmt numFmtId="168" formatCode="_-[$Rp-421]* #,##0_-;\-[$Rp-421]* #,##0_-;_-[$Rp-421]* &quot;-&quot;_-;_-@_-"/>
  </numFmts>
  <fonts count="17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Times New Roman"/>
      <family val="1"/>
    </font>
    <font>
      <b/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>
      <alignment vertical="top"/>
      <protection locked="0"/>
    </xf>
    <xf numFmtId="166" fontId="12" fillId="0" borderId="0" applyFont="0" applyFill="0" applyBorder="0" applyAlignment="0" applyProtection="0"/>
    <xf numFmtId="0" fontId="14" fillId="0" borderId="0"/>
  </cellStyleXfs>
  <cellXfs count="72">
    <xf numFmtId="0" fontId="0" fillId="0" borderId="0" xfId="0"/>
    <xf numFmtId="164" fontId="0" fillId="0" borderId="0" xfId="1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Font="1" applyBorder="1"/>
    <xf numFmtId="0" fontId="3" fillId="0" borderId="0" xfId="0" applyFont="1" applyAlignment="1">
      <alignment horizontal="left"/>
    </xf>
    <xf numFmtId="42" fontId="3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2" xfId="4" applyNumberFormat="1" applyFont="1" applyBorder="1" applyAlignment="1">
      <alignment horizontal="left" vertical="center"/>
    </xf>
    <xf numFmtId="0" fontId="3" fillId="0" borderId="3" xfId="4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0" fontId="7" fillId="0" borderId="2" xfId="4" applyNumberFormat="1" applyFont="1" applyBorder="1" applyAlignment="1">
      <alignment horizontal="center" vertical="center"/>
    </xf>
    <xf numFmtId="0" fontId="3" fillId="0" borderId="6" xfId="4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65" fontId="8" fillId="0" borderId="9" xfId="3" applyFont="1" applyBorder="1" applyAlignment="1" applyProtection="1">
      <alignment horizontal="center"/>
    </xf>
    <xf numFmtId="0" fontId="3" fillId="0" borderId="2" xfId="4" applyNumberFormat="1" applyFont="1" applyBorder="1" applyAlignment="1">
      <alignment horizontal="center" vertical="center"/>
    </xf>
    <xf numFmtId="167" fontId="3" fillId="0" borderId="10" xfId="1" applyNumberFormat="1" applyFont="1" applyBorder="1" applyAlignment="1">
      <alignment horizontal="right" vertical="center"/>
    </xf>
    <xf numFmtId="165" fontId="8" fillId="0" borderId="9" xfId="3" applyFont="1" applyBorder="1" applyAlignment="1" applyProtection="1">
      <alignment horizontal="center" vertical="center"/>
    </xf>
    <xf numFmtId="0" fontId="9" fillId="0" borderId="0" xfId="0" applyFont="1"/>
    <xf numFmtId="0" fontId="10" fillId="0" borderId="0" xfId="0" applyFont="1"/>
    <xf numFmtId="164" fontId="3" fillId="0" borderId="2" xfId="1" applyFont="1" applyFill="1" applyBorder="1" applyAlignment="1">
      <alignment horizontal="center" vertical="center" wrapText="1"/>
    </xf>
    <xf numFmtId="164" fontId="3" fillId="0" borderId="2" xfId="1" applyFont="1" applyFill="1" applyBorder="1" applyAlignment="1">
      <alignment horizontal="center" vertical="center"/>
    </xf>
    <xf numFmtId="167" fontId="3" fillId="0" borderId="10" xfId="1" applyNumberFormat="1" applyFont="1" applyBorder="1" applyAlignment="1">
      <alignment vertical="center"/>
    </xf>
    <xf numFmtId="0" fontId="3" fillId="0" borderId="2" xfId="0" applyFont="1" applyBorder="1"/>
    <xf numFmtId="0" fontId="3" fillId="0" borderId="3" xfId="0" applyFont="1" applyBorder="1"/>
    <xf numFmtId="168" fontId="3" fillId="0" borderId="5" xfId="2" applyNumberFormat="1" applyFont="1" applyBorder="1"/>
    <xf numFmtId="168" fontId="3" fillId="0" borderId="2" xfId="2" applyNumberFormat="1" applyFont="1" applyBorder="1"/>
    <xf numFmtId="0" fontId="4" fillId="0" borderId="4" xfId="0" applyFont="1" applyBorder="1"/>
    <xf numFmtId="168" fontId="4" fillId="0" borderId="4" xfId="2" applyNumberFormat="1" applyFont="1" applyBorder="1"/>
    <xf numFmtId="168" fontId="3" fillId="0" borderId="0" xfId="0" applyNumberFormat="1" applyFont="1" applyAlignment="1">
      <alignment horizontal="left"/>
    </xf>
    <xf numFmtId="164" fontId="3" fillId="0" borderId="0" xfId="1" applyFont="1" applyBorder="1" applyAlignment="1"/>
    <xf numFmtId="168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9" fillId="0" borderId="0" xfId="0" applyFont="1" applyAlignment="1">
      <alignment horizontal="left"/>
    </xf>
    <xf numFmtId="164" fontId="9" fillId="0" borderId="0" xfId="1" applyFont="1" applyBorder="1"/>
    <xf numFmtId="0" fontId="3" fillId="0" borderId="0" xfId="1" applyNumberFormat="1" applyFont="1" applyBorder="1"/>
    <xf numFmtId="164" fontId="11" fillId="0" borderId="0" xfId="1" applyFont="1" applyBorder="1" applyAlignment="1">
      <alignment horizontal="left"/>
    </xf>
    <xf numFmtId="0" fontId="11" fillId="0" borderId="0" xfId="0" applyFont="1"/>
    <xf numFmtId="164" fontId="7" fillId="0" borderId="0" xfId="1" applyFont="1" applyBorder="1"/>
    <xf numFmtId="0" fontId="7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 vertical="center"/>
    </xf>
    <xf numFmtId="165" fontId="8" fillId="0" borderId="9" xfId="3" quotePrefix="1" applyFont="1" applyBorder="1" applyAlignment="1" applyProtection="1">
      <alignment horizontal="center"/>
    </xf>
    <xf numFmtId="0" fontId="3" fillId="0" borderId="2" xfId="4" quotePrefix="1" applyNumberFormat="1" applyFont="1" applyBorder="1" applyAlignment="1">
      <alignment horizontal="center" vertical="center"/>
    </xf>
    <xf numFmtId="164" fontId="16" fillId="0" borderId="0" xfId="1" applyFont="1" applyBorder="1" applyAlignment="1">
      <alignment horizontal="left"/>
    </xf>
    <xf numFmtId="41" fontId="0" fillId="0" borderId="0" xfId="0" applyNumberFormat="1"/>
    <xf numFmtId="165" fontId="0" fillId="0" borderId="0" xfId="0" applyNumberFormat="1"/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3" xr:uid="{00000000-0005-0000-0000-000031000000}"/>
    <cellStyle name="Currency [0] 7" xfId="4" xr:uid="{00000000-0005-0000-0000-000032000000}"/>
    <cellStyle name="Normal" xfId="0" builtinId="0"/>
    <cellStyle name="Normal 2" xfId="5" xr:uid="{00000000-0005-0000-0000-000033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90</xdr:row>
      <xdr:rowOff>9525</xdr:rowOff>
    </xdr:from>
    <xdr:to>
      <xdr:col>10</xdr:col>
      <xdr:colOff>1162050</xdr:colOff>
      <xdr:row>99</xdr:row>
      <xdr:rowOff>108904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D0D454-9FA3-4A7A-A416-2F22E5853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8421350"/>
          <a:ext cx="8029575" cy="18329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45</xdr:row>
      <xdr:rowOff>9525</xdr:rowOff>
    </xdr:from>
    <xdr:to>
      <xdr:col>10</xdr:col>
      <xdr:colOff>1162050</xdr:colOff>
      <xdr:row>54</xdr:row>
      <xdr:rowOff>108904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79818E-DB92-487D-A07B-AFEF6C03C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229725"/>
          <a:ext cx="8029575" cy="18329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9526</xdr:rowOff>
    </xdr:from>
    <xdr:to>
      <xdr:col>10</xdr:col>
      <xdr:colOff>1162050</xdr:colOff>
      <xdr:row>9</xdr:row>
      <xdr:rowOff>108905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738ADE-C123-4037-BF0F-B655C9407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526"/>
          <a:ext cx="8029575" cy="18329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802E5F4-3D2D-4F9A-9EF7-EBADDB0AE371}"/>
            </a:ext>
          </a:extLst>
        </xdr:cNvPr>
        <xdr:cNvCxnSpPr/>
      </xdr:nvCxnSpPr>
      <xdr:spPr>
        <a:xfrm>
          <a:off x="19050" y="1209675"/>
          <a:ext cx="80391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</xdr:row>
      <xdr:rowOff>47625</xdr:rowOff>
    </xdr:from>
    <xdr:to>
      <xdr:col>10</xdr:col>
      <xdr:colOff>1162050</xdr:colOff>
      <xdr:row>51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B1A77D9-195B-47CA-9646-749A6399A41A}"/>
            </a:ext>
          </a:extLst>
        </xdr:cNvPr>
        <xdr:cNvCxnSpPr/>
      </xdr:nvCxnSpPr>
      <xdr:spPr>
        <a:xfrm>
          <a:off x="19050" y="1209675"/>
          <a:ext cx="80391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96</xdr:row>
      <xdr:rowOff>47625</xdr:rowOff>
    </xdr:from>
    <xdr:to>
      <xdr:col>10</xdr:col>
      <xdr:colOff>1162050</xdr:colOff>
      <xdr:row>96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4828D49-6543-4B44-B279-5BD8E462C9F9}"/>
            </a:ext>
          </a:extLst>
        </xdr:cNvPr>
        <xdr:cNvCxnSpPr/>
      </xdr:nvCxnSpPr>
      <xdr:spPr>
        <a:xfrm>
          <a:off x="19050" y="10429875"/>
          <a:ext cx="80391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90</xdr:row>
      <xdr:rowOff>9525</xdr:rowOff>
    </xdr:from>
    <xdr:to>
      <xdr:col>10</xdr:col>
      <xdr:colOff>1162050</xdr:colOff>
      <xdr:row>99</xdr:row>
      <xdr:rowOff>108904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B03B1D-8ED8-48BE-AD9C-5E16C593C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8421350"/>
          <a:ext cx="8029575" cy="18329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45</xdr:row>
      <xdr:rowOff>9525</xdr:rowOff>
    </xdr:from>
    <xdr:to>
      <xdr:col>10</xdr:col>
      <xdr:colOff>1162050</xdr:colOff>
      <xdr:row>54</xdr:row>
      <xdr:rowOff>108904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9E3564-F76D-4973-86C3-5ACFB448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229725"/>
          <a:ext cx="8029575" cy="18329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9526</xdr:rowOff>
    </xdr:from>
    <xdr:to>
      <xdr:col>10</xdr:col>
      <xdr:colOff>1162050</xdr:colOff>
      <xdr:row>9</xdr:row>
      <xdr:rowOff>108905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24F6C1-EDC1-48B6-8E66-9957CB86A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526"/>
          <a:ext cx="8029575" cy="18329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B377455-43A3-470B-9836-7CC31775420D}"/>
            </a:ext>
          </a:extLst>
        </xdr:cNvPr>
        <xdr:cNvCxnSpPr/>
      </xdr:nvCxnSpPr>
      <xdr:spPr>
        <a:xfrm>
          <a:off x="19050" y="1209675"/>
          <a:ext cx="80391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</xdr:row>
      <xdr:rowOff>47625</xdr:rowOff>
    </xdr:from>
    <xdr:to>
      <xdr:col>10</xdr:col>
      <xdr:colOff>1162050</xdr:colOff>
      <xdr:row>51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BF60FCB-5306-4227-A8D6-881D67F0007C}"/>
            </a:ext>
          </a:extLst>
        </xdr:cNvPr>
        <xdr:cNvCxnSpPr/>
      </xdr:nvCxnSpPr>
      <xdr:spPr>
        <a:xfrm>
          <a:off x="19050" y="10429875"/>
          <a:ext cx="80391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96</xdr:row>
      <xdr:rowOff>47625</xdr:rowOff>
    </xdr:from>
    <xdr:to>
      <xdr:col>10</xdr:col>
      <xdr:colOff>1162050</xdr:colOff>
      <xdr:row>96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71023E0-E62A-4EE8-B610-9A779B3CE9E5}"/>
            </a:ext>
          </a:extLst>
        </xdr:cNvPr>
        <xdr:cNvCxnSpPr/>
      </xdr:nvCxnSpPr>
      <xdr:spPr>
        <a:xfrm>
          <a:off x="19050" y="19621500"/>
          <a:ext cx="80391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90</xdr:row>
      <xdr:rowOff>9525</xdr:rowOff>
    </xdr:from>
    <xdr:to>
      <xdr:col>10</xdr:col>
      <xdr:colOff>1162050</xdr:colOff>
      <xdr:row>99</xdr:row>
      <xdr:rowOff>108904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9A50E3-516E-4CD7-8B2D-3CE2B1A8B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8421350"/>
          <a:ext cx="8029575" cy="18329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45</xdr:row>
      <xdr:rowOff>9525</xdr:rowOff>
    </xdr:from>
    <xdr:to>
      <xdr:col>10</xdr:col>
      <xdr:colOff>1162050</xdr:colOff>
      <xdr:row>54</xdr:row>
      <xdr:rowOff>108904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36F376-1C56-4334-AFD2-6E9E94BF4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229725"/>
          <a:ext cx="8029575" cy="18329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9526</xdr:rowOff>
    </xdr:from>
    <xdr:to>
      <xdr:col>10</xdr:col>
      <xdr:colOff>1162050</xdr:colOff>
      <xdr:row>9</xdr:row>
      <xdr:rowOff>108905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339AC2-73DC-41FC-995A-975A36FE6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526"/>
          <a:ext cx="8029575" cy="18329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3FED189-3D3A-4BE0-92E2-E6948CB5BCD2}"/>
            </a:ext>
          </a:extLst>
        </xdr:cNvPr>
        <xdr:cNvCxnSpPr/>
      </xdr:nvCxnSpPr>
      <xdr:spPr>
        <a:xfrm>
          <a:off x="19050" y="1209675"/>
          <a:ext cx="80391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</xdr:row>
      <xdr:rowOff>47625</xdr:rowOff>
    </xdr:from>
    <xdr:to>
      <xdr:col>10</xdr:col>
      <xdr:colOff>1162050</xdr:colOff>
      <xdr:row>51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2CAF679-CFAA-4F06-9CFD-9CA1A4FE981E}"/>
            </a:ext>
          </a:extLst>
        </xdr:cNvPr>
        <xdr:cNvCxnSpPr/>
      </xdr:nvCxnSpPr>
      <xdr:spPr>
        <a:xfrm>
          <a:off x="19050" y="10429875"/>
          <a:ext cx="80391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96</xdr:row>
      <xdr:rowOff>47625</xdr:rowOff>
    </xdr:from>
    <xdr:to>
      <xdr:col>10</xdr:col>
      <xdr:colOff>1162050</xdr:colOff>
      <xdr:row>96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86C2CBC-D3AC-4FA4-A369-ACB2144C99A1}"/>
            </a:ext>
          </a:extLst>
        </xdr:cNvPr>
        <xdr:cNvCxnSpPr/>
      </xdr:nvCxnSpPr>
      <xdr:spPr>
        <a:xfrm>
          <a:off x="19050" y="19621500"/>
          <a:ext cx="80391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5279-1FB8-4823-B5EC-CB5B61B089CE}">
  <dimension ref="A1:W134"/>
  <sheetViews>
    <sheetView view="pageBreakPreview" topLeftCell="A102" zoomScaleNormal="100" workbookViewId="0">
      <selection activeCell="N115" sqref="N115:N118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8.8554687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16.710937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70" t="s">
        <v>0</v>
      </c>
      <c r="B8" s="70"/>
      <c r="C8" s="71"/>
      <c r="D8" s="71"/>
      <c r="E8" s="71"/>
      <c r="F8" s="71"/>
      <c r="G8" s="71"/>
      <c r="H8" s="71"/>
      <c r="I8" s="71"/>
      <c r="J8" s="71"/>
      <c r="K8" s="71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71" t="s">
        <v>41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71" t="s">
        <v>1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71" t="s">
        <v>37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71" t="s">
        <v>2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2" t="s">
        <v>3</v>
      </c>
      <c r="B14" s="10"/>
      <c r="C14" s="10"/>
      <c r="D14" s="53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2" t="s">
        <v>6</v>
      </c>
      <c r="B15" s="10"/>
      <c r="C15" s="10"/>
      <c r="D15" s="53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2" t="s">
        <v>8</v>
      </c>
      <c r="B16" s="10"/>
      <c r="C16" s="10"/>
      <c r="D16" s="53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2" t="s">
        <v>9</v>
      </c>
      <c r="B17" s="10"/>
      <c r="C17" s="10"/>
      <c r="D17" s="53" t="s">
        <v>4</v>
      </c>
      <c r="E17" s="14">
        <f>J27</f>
        <v>56676000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3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Enam Juta Enam Ratus Tujuh Puluh Enam Ribu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63" t="s">
        <v>12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64" t="s">
        <v>15</v>
      </c>
      <c r="D22" s="65"/>
      <c r="E22" s="66"/>
      <c r="F22" s="19"/>
      <c r="G22" s="20" t="s">
        <v>16</v>
      </c>
      <c r="H22" s="21" t="s">
        <v>35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 ht="15" customHeight="1">
      <c r="A23" s="22">
        <v>1</v>
      </c>
      <c r="B23" s="23"/>
      <c r="C23" s="67" t="s">
        <v>19</v>
      </c>
      <c r="D23" s="68"/>
      <c r="E23" s="69"/>
      <c r="F23" s="24"/>
      <c r="G23" s="54" t="s">
        <v>20</v>
      </c>
      <c r="H23" s="54" t="s">
        <v>20</v>
      </c>
      <c r="I23" s="54"/>
      <c r="J23" s="54" t="s">
        <v>20</v>
      </c>
      <c r="K23" s="54" t="s">
        <v>20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 ht="15" customHeight="1">
      <c r="A24" s="26"/>
      <c r="B24" s="55" t="s">
        <v>21</v>
      </c>
      <c r="C24" s="59" t="s">
        <v>36</v>
      </c>
      <c r="D24" s="60"/>
      <c r="E24" s="61"/>
      <c r="F24" s="24"/>
      <c r="G24" s="25">
        <v>698400000</v>
      </c>
      <c r="H24" s="27">
        <v>0</v>
      </c>
      <c r="I24" s="27"/>
      <c r="J24" s="27">
        <v>56676000</v>
      </c>
      <c r="K24" s="33">
        <f t="shared" ref="K24:K26" si="0">G24-H24-J24</f>
        <v>641724000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6"/>
      <c r="B25" s="55" t="s">
        <v>22</v>
      </c>
      <c r="C25" s="59" t="s">
        <v>39</v>
      </c>
      <c r="D25" s="60"/>
      <c r="E25" s="61"/>
      <c r="F25" s="24"/>
      <c r="G25" s="28">
        <v>1231299821</v>
      </c>
      <c r="H25" s="27">
        <v>0</v>
      </c>
      <c r="I25" s="27"/>
      <c r="J25" s="27">
        <v>0</v>
      </c>
      <c r="K25" s="33">
        <f t="shared" si="0"/>
        <v>1231299821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 ht="15.75" customHeight="1">
      <c r="A26" s="26"/>
      <c r="B26" s="55" t="s">
        <v>23</v>
      </c>
      <c r="C26" s="59" t="s">
        <v>24</v>
      </c>
      <c r="D26" s="60"/>
      <c r="E26" s="61"/>
      <c r="F26" s="24"/>
      <c r="G26" s="25">
        <v>358099104</v>
      </c>
      <c r="H26" s="27">
        <v>0</v>
      </c>
      <c r="I26" s="27"/>
      <c r="J26" s="27">
        <v>0</v>
      </c>
      <c r="K26" s="33">
        <f t="shared" si="0"/>
        <v>358099104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34"/>
      <c r="B27" s="34"/>
      <c r="C27" s="34" t="s">
        <v>25</v>
      </c>
      <c r="D27" s="34"/>
      <c r="E27" s="34"/>
      <c r="F27" s="35"/>
      <c r="G27" s="36">
        <f>SUM(G23:G26)</f>
        <v>2287798925</v>
      </c>
      <c r="H27" s="37">
        <f>SUM(H24:H26)</f>
        <v>0</v>
      </c>
      <c r="I27" s="37"/>
      <c r="J27" s="37">
        <f>SUM(J24:J26)</f>
        <v>56676000</v>
      </c>
      <c r="K27" s="37">
        <f>SUM(K24:K26)</f>
        <v>2231122925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38"/>
      <c r="B28" s="8"/>
      <c r="C28" s="8"/>
      <c r="D28" s="8"/>
      <c r="E28" s="8"/>
      <c r="F28" s="8"/>
      <c r="G28" s="39"/>
      <c r="H28" s="39"/>
      <c r="I28" s="39"/>
      <c r="J28" s="39"/>
      <c r="K28" s="39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62" t="s">
        <v>26</v>
      </c>
      <c r="B29" s="62"/>
      <c r="C29" s="62"/>
      <c r="D29" s="11" t="s">
        <v>4</v>
      </c>
      <c r="E29" s="14">
        <f>J27</f>
        <v>56676000</v>
      </c>
      <c r="F29" s="40"/>
      <c r="G29" s="41"/>
      <c r="H29" s="41"/>
      <c r="I29" s="41"/>
      <c r="J29" s="9"/>
      <c r="K29" s="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10" t="s">
        <v>27</v>
      </c>
      <c r="B30" s="10"/>
      <c r="C30" s="10"/>
      <c r="D30" s="11" t="s">
        <v>4</v>
      </c>
      <c r="E30" s="42"/>
      <c r="F30" s="42"/>
      <c r="G30" s="43"/>
      <c r="H30" s="12"/>
      <c r="I30" s="12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28</v>
      </c>
      <c r="B31" s="10"/>
      <c r="C31" s="10"/>
      <c r="D31" s="11" t="s">
        <v>4</v>
      </c>
      <c r="E31" s="44"/>
      <c r="F31" s="44"/>
      <c r="G31" s="43"/>
      <c r="H31" s="12"/>
      <c r="I31" s="1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29</v>
      </c>
      <c r="B32" s="10"/>
      <c r="C32" s="10"/>
      <c r="D32" s="11" t="s">
        <v>4</v>
      </c>
      <c r="E32" s="44">
        <f>E30+E31</f>
        <v>0</v>
      </c>
      <c r="F32" s="44"/>
      <c r="G32" s="10"/>
      <c r="H32" s="12"/>
      <c r="I32" s="12"/>
      <c r="J32" s="46"/>
      <c r="K32" s="46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3"/>
      <c r="B33" s="13"/>
      <c r="C33" s="13"/>
      <c r="D33" s="11"/>
      <c r="E33" s="13"/>
      <c r="F33" s="13"/>
      <c r="G33" s="10"/>
      <c r="H33" s="12"/>
      <c r="I33" s="12"/>
      <c r="J33" s="46"/>
      <c r="K33" s="46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62" t="s">
        <v>30</v>
      </c>
      <c r="B34" s="62"/>
      <c r="C34" s="62"/>
      <c r="D34" s="11" t="s">
        <v>4</v>
      </c>
      <c r="E34" s="40">
        <f>E29-E32</f>
        <v>56676000</v>
      </c>
      <c r="F34" s="40"/>
      <c r="G34" s="10"/>
      <c r="H34" s="12"/>
      <c r="I34" s="12"/>
      <c r="J34" s="46"/>
      <c r="K34" s="46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 ht="15.75">
      <c r="A35" s="13"/>
      <c r="B35" s="13"/>
      <c r="C35" s="10"/>
      <c r="D35" s="10"/>
      <c r="E35" s="16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Enam Juta Enam Ratus Tujuh Puluh Enam Ribu Rupiah</v>
      </c>
      <c r="F35" s="10"/>
      <c r="G35" s="10"/>
      <c r="H35" s="10"/>
      <c r="I35" s="10"/>
      <c r="J35" s="46"/>
      <c r="K35" s="46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45"/>
      <c r="B36" s="45"/>
      <c r="C36" s="45"/>
      <c r="D36" s="45"/>
      <c r="E36" s="45"/>
      <c r="F36" s="45"/>
      <c r="G36" s="29"/>
      <c r="H36" s="46"/>
      <c r="I36" s="46"/>
      <c r="J36" s="46"/>
      <c r="K36" s="46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29"/>
      <c r="B37" s="29"/>
      <c r="C37" s="29"/>
      <c r="D37" s="29"/>
      <c r="E37" s="29"/>
      <c r="F37" s="29"/>
      <c r="G37" s="29"/>
      <c r="H37"/>
      <c r="I37"/>
      <c r="J37" s="46"/>
      <c r="K37" s="46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13"/>
      <c r="B38" s="13"/>
      <c r="C38" s="10"/>
      <c r="D38" s="10"/>
      <c r="E38" s="10"/>
      <c r="F38" s="10"/>
      <c r="G38" s="10"/>
      <c r="I38" s="47"/>
      <c r="J38" s="47" t="s">
        <v>40</v>
      </c>
      <c r="K38" s="46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2" t="s">
        <v>31</v>
      </c>
      <c r="B39" s="10"/>
      <c r="C39" s="10"/>
      <c r="D39" s="10"/>
      <c r="E39" s="10"/>
      <c r="F39" s="10"/>
      <c r="G39" s="10"/>
      <c r="I39" s="12"/>
      <c r="J39" s="12" t="s">
        <v>32</v>
      </c>
      <c r="K39" s="46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0"/>
      <c r="B40" s="10"/>
      <c r="C40" s="10"/>
      <c r="D40" s="10"/>
      <c r="E40" s="10"/>
      <c r="F40" s="10"/>
      <c r="G40" s="10"/>
      <c r="I40" s="12"/>
      <c r="J40" s="12"/>
      <c r="K40" s="46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I41" s="12"/>
      <c r="J41" s="12"/>
      <c r="K41" s="46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6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6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56" t="s">
        <v>38</v>
      </c>
      <c r="B44" s="48"/>
      <c r="C44" s="49"/>
      <c r="D44" s="49"/>
      <c r="E44" s="49"/>
      <c r="F44" s="49"/>
      <c r="G44" s="10" t="s">
        <v>33</v>
      </c>
      <c r="I44" s="48"/>
      <c r="J44" s="48" t="s">
        <v>34</v>
      </c>
      <c r="K44" s="46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50"/>
      <c r="B45" s="50"/>
      <c r="C45" s="51"/>
      <c r="D45" s="51"/>
      <c r="E45" s="51"/>
      <c r="F45" s="51"/>
      <c r="G45" s="51"/>
      <c r="H45" s="50"/>
      <c r="I45" s="50"/>
      <c r="J45" s="50"/>
      <c r="K45" s="46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9" spans="1:11" ht="15.75">
      <c r="C49" s="2"/>
      <c r="D49" s="2"/>
      <c r="E49" s="2"/>
      <c r="F49" s="2"/>
    </row>
    <row r="50" spans="1:11" ht="15.75">
      <c r="A50" s="3"/>
      <c r="B50" s="3"/>
      <c r="C50" s="2"/>
      <c r="D50" s="2"/>
      <c r="E50" s="2"/>
      <c r="F50" s="2"/>
      <c r="G50" s="3"/>
      <c r="H50" s="4"/>
      <c r="I50" s="4"/>
      <c r="J50" s="4"/>
      <c r="K50" s="5"/>
    </row>
    <row r="51" spans="1:11">
      <c r="H51" s="5"/>
      <c r="I51" s="5"/>
      <c r="J51" s="5"/>
      <c r="K51" s="5"/>
    </row>
    <row r="52" spans="1:11">
      <c r="H52" s="5"/>
      <c r="I52" s="5"/>
      <c r="J52" s="5"/>
      <c r="K52" s="5"/>
    </row>
    <row r="53" spans="1:11">
      <c r="A53" s="70" t="s">
        <v>0</v>
      </c>
      <c r="B53" s="70"/>
      <c r="C53" s="71"/>
      <c r="D53" s="71"/>
      <c r="E53" s="71"/>
      <c r="F53" s="71"/>
      <c r="G53" s="71"/>
      <c r="H53" s="71"/>
      <c r="I53" s="71"/>
      <c r="J53" s="71"/>
      <c r="K53" s="71"/>
    </row>
    <row r="54" spans="1:11">
      <c r="A54" s="71" t="s">
        <v>42</v>
      </c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spans="1:11">
      <c r="A55" s="71" t="s">
        <v>1</v>
      </c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spans="1:11">
      <c r="A56" s="71" t="s">
        <v>37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spans="1:11">
      <c r="A57" s="71" t="s">
        <v>2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spans="1:11">
      <c r="A58" s="6"/>
      <c r="B58" s="6"/>
      <c r="C58" s="7"/>
      <c r="D58" s="7"/>
      <c r="E58" s="7"/>
      <c r="F58" s="7"/>
      <c r="G58" s="8"/>
      <c r="H58" s="9"/>
      <c r="I58" s="9"/>
      <c r="J58" s="9"/>
      <c r="K58" s="9"/>
    </row>
    <row r="59" spans="1:11">
      <c r="A59" s="52" t="s">
        <v>3</v>
      </c>
      <c r="B59" s="10"/>
      <c r="C59" s="10"/>
      <c r="D59" s="53" t="s">
        <v>4</v>
      </c>
      <c r="E59" s="10" t="s">
        <v>5</v>
      </c>
      <c r="F59" s="11"/>
      <c r="G59" s="10"/>
      <c r="H59" s="12"/>
      <c r="I59" s="12"/>
      <c r="J59" s="12"/>
      <c r="K59" s="9"/>
    </row>
    <row r="60" spans="1:11">
      <c r="A60" s="52" t="s">
        <v>6</v>
      </c>
      <c r="B60" s="10"/>
      <c r="C60" s="10"/>
      <c r="D60" s="53" t="s">
        <v>4</v>
      </c>
      <c r="E60" s="10" t="s">
        <v>7</v>
      </c>
      <c r="F60" s="11"/>
      <c r="G60" s="10"/>
      <c r="H60" s="12"/>
      <c r="I60" s="12"/>
      <c r="J60" s="12"/>
      <c r="K60" s="9"/>
    </row>
    <row r="61" spans="1:11">
      <c r="A61" s="52" t="s">
        <v>8</v>
      </c>
      <c r="B61" s="10"/>
      <c r="C61" s="10"/>
      <c r="D61" s="53" t="s">
        <v>4</v>
      </c>
      <c r="E61" s="13">
        <v>2026</v>
      </c>
      <c r="F61" s="11"/>
      <c r="G61" s="13"/>
      <c r="H61" s="12"/>
      <c r="I61" s="12"/>
      <c r="J61" s="12"/>
      <c r="K61" s="9"/>
    </row>
    <row r="62" spans="1:11">
      <c r="A62" s="52" t="s">
        <v>9</v>
      </c>
      <c r="B62" s="10"/>
      <c r="C62" s="10"/>
      <c r="D62" s="53" t="s">
        <v>4</v>
      </c>
      <c r="E62" s="14">
        <f>J72</f>
        <v>29592912</v>
      </c>
      <c r="F62" s="11"/>
      <c r="G62" s="14"/>
      <c r="H62" s="12"/>
      <c r="I62" s="12"/>
      <c r="J62" s="12"/>
      <c r="K62" s="9"/>
    </row>
    <row r="63" spans="1:11" ht="15.75">
      <c r="A63" s="10"/>
      <c r="B63" s="10"/>
      <c r="C63" s="15" t="s">
        <v>10</v>
      </c>
      <c r="D63" s="53" t="s">
        <v>4</v>
      </c>
      <c r="E63" s="16" t="str">
        <f>PROPER(IF(E62=0,"nol",IF(E62&lt;0,"minus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62),"000000000000000"),1,3)=0,"",MID(TEXT(ABS(E62),"000000000000000"),1,1)&amp;" ratus "&amp;MID(TEXT(ABS(E62),"000000000000000"),2,1)&amp;" puluh "&amp;MID(TEXT(ABS(E62),"000000000000000"),3,1)&amp;" trilyun ")&amp;IF(--MID(TEXT(ABS(E62),"000000000000000"),4,3)=0,"",MID(TEXT(ABS(E62),"000000000000000"),4,1)&amp;" ratus "&amp;MID(TEXT(ABS(E62),"000000000000000"),5,1)&amp;" puluh "&amp;MID(TEXT(ABS(E62),"000000000000000"),6,1)&amp;" milyar ")&amp;IF(--MID(TEXT(ABS(E62),"000000000000000"),7,3)=0,"",MID(TEXT(ABS(E62),"000000000000000"),7,1)&amp;" ratus "&amp;MID(TEXT(ABS(E62),"000000000000000"),8,1)&amp;" puluh "&amp;MID(TEXT(ABS(E62),"000000000000000"),9,1)&amp;" juta ")&amp;IF(--MID(TEXT(ABS(E62),"000000000000000"),10,3)=0,"",IF(--MID(TEXT(ABS(E62),"000000000000000"),10,3)=1,"*",MID(TEXT(ABS(E62),"000000000000000"),10,1)&amp;" ratus "&amp;MID(TEXT(ABS(E62),"000000000000000"),11,1)&amp;" puluh ")&amp;MID(TEXT(ABS(E62),"000000000000000"),12,1)&amp;" ribu ")&amp;IF(--MID(TEXT(ABS(E62),"000000000000000"),13,3)=0,"",MID(TEXT(ABS(E62),"000000000000000"),13,1)&amp;" ratus "&amp;MID(TEXT(ABS(E62),"000000000000000"),14,1)&amp;" puluh "&amp;MID(TEXT(ABS(E62),"000000000000000"),15,1)),1,"satu"),2,"dua"),3,"tiga"),4,"empat"),5,"lima"),6,"enam"),7,"tujuh"),8,"delapan"),9,"sembilan"),"0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Sembilan Juta Lima Ratus Sembilan Puluh Dua Ribu Sembilan Ratus Duabelas Rupiah</v>
      </c>
      <c r="F63" s="11"/>
      <c r="G63" s="16"/>
      <c r="H63" s="12"/>
      <c r="I63" s="12"/>
      <c r="J63" s="12"/>
      <c r="K63" s="9"/>
    </row>
    <row r="64" spans="1:11" ht="15.75">
      <c r="A64" s="10"/>
      <c r="B64" s="10"/>
      <c r="C64" s="15"/>
      <c r="D64" s="15"/>
      <c r="E64" s="15"/>
      <c r="F64" s="11"/>
      <c r="G64" s="16"/>
      <c r="H64" s="12"/>
      <c r="I64" s="12"/>
      <c r="J64" s="12"/>
      <c r="K64" s="9"/>
    </row>
    <row r="65" spans="1:11">
      <c r="A65" s="10" t="s">
        <v>11</v>
      </c>
      <c r="B65" s="10"/>
      <c r="C65" s="10"/>
      <c r="D65" s="10"/>
      <c r="E65" s="10"/>
      <c r="F65" s="10"/>
      <c r="G65" s="10"/>
      <c r="H65" s="12"/>
      <c r="I65" s="12"/>
      <c r="J65" s="12"/>
      <c r="K65" s="9"/>
    </row>
    <row r="66" spans="1:11">
      <c r="A66" s="63" t="s">
        <v>12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</row>
    <row r="67" spans="1:11" ht="60">
      <c r="A67" s="17" t="s">
        <v>13</v>
      </c>
      <c r="B67" s="18" t="s">
        <v>14</v>
      </c>
      <c r="C67" s="64" t="s">
        <v>15</v>
      </c>
      <c r="D67" s="65"/>
      <c r="E67" s="66"/>
      <c r="F67" s="19"/>
      <c r="G67" s="20" t="s">
        <v>16</v>
      </c>
      <c r="H67" s="21" t="s">
        <v>35</v>
      </c>
      <c r="I67" s="21"/>
      <c r="J67" s="31" t="s">
        <v>17</v>
      </c>
      <c r="K67" s="32" t="s">
        <v>18</v>
      </c>
    </row>
    <row r="68" spans="1:11">
      <c r="A68" s="22">
        <v>1</v>
      </c>
      <c r="B68" s="23"/>
      <c r="C68" s="67" t="s">
        <v>19</v>
      </c>
      <c r="D68" s="68"/>
      <c r="E68" s="69"/>
      <c r="F68" s="24"/>
      <c r="G68" s="54" t="s">
        <v>20</v>
      </c>
      <c r="H68" s="54" t="s">
        <v>20</v>
      </c>
      <c r="I68" s="54"/>
      <c r="J68" s="54" t="s">
        <v>20</v>
      </c>
      <c r="K68" s="54" t="s">
        <v>20</v>
      </c>
    </row>
    <row r="69" spans="1:11">
      <c r="A69" s="26"/>
      <c r="B69" s="55" t="s">
        <v>21</v>
      </c>
      <c r="C69" s="59" t="s">
        <v>36</v>
      </c>
      <c r="D69" s="60"/>
      <c r="E69" s="61"/>
      <c r="F69" s="24"/>
      <c r="G69" s="25">
        <v>698400000</v>
      </c>
      <c r="H69" s="27">
        <f>H24+J24</f>
        <v>56676000</v>
      </c>
      <c r="I69" s="27"/>
      <c r="J69" s="27">
        <v>0</v>
      </c>
      <c r="K69" s="33">
        <f t="shared" ref="K69:K71" si="1">G69-H69-J69</f>
        <v>641724000</v>
      </c>
    </row>
    <row r="70" spans="1:11">
      <c r="A70" s="26"/>
      <c r="B70" s="55" t="s">
        <v>22</v>
      </c>
      <c r="C70" s="59" t="s">
        <v>39</v>
      </c>
      <c r="D70" s="60"/>
      <c r="E70" s="61"/>
      <c r="F70" s="24"/>
      <c r="G70" s="28">
        <v>1231299821</v>
      </c>
      <c r="H70" s="27">
        <f t="shared" ref="H70:H71" si="2">H25+J25</f>
        <v>0</v>
      </c>
      <c r="I70" s="27"/>
      <c r="J70" s="27">
        <v>0</v>
      </c>
      <c r="K70" s="33">
        <f t="shared" si="1"/>
        <v>1231299821</v>
      </c>
    </row>
    <row r="71" spans="1:11">
      <c r="A71" s="26"/>
      <c r="B71" s="55" t="s">
        <v>23</v>
      </c>
      <c r="C71" s="59" t="s">
        <v>24</v>
      </c>
      <c r="D71" s="60"/>
      <c r="E71" s="61"/>
      <c r="F71" s="24"/>
      <c r="G71" s="25">
        <v>358099104</v>
      </c>
      <c r="H71" s="27">
        <f t="shared" si="2"/>
        <v>0</v>
      </c>
      <c r="I71" s="27"/>
      <c r="J71" s="27">
        <v>29592912</v>
      </c>
      <c r="K71" s="33">
        <f t="shared" si="1"/>
        <v>328506192</v>
      </c>
    </row>
    <row r="72" spans="1:11">
      <c r="A72" s="34"/>
      <c r="B72" s="34"/>
      <c r="C72" s="34" t="s">
        <v>25</v>
      </c>
      <c r="D72" s="34"/>
      <c r="E72" s="34"/>
      <c r="F72" s="35"/>
      <c r="G72" s="36">
        <f>SUM(G68:G71)</f>
        <v>2287798925</v>
      </c>
      <c r="H72" s="37">
        <f>SUM(H69:H71)</f>
        <v>56676000</v>
      </c>
      <c r="I72" s="37"/>
      <c r="J72" s="37">
        <f>SUM(J69:J71)</f>
        <v>29592912</v>
      </c>
      <c r="K72" s="37">
        <f>SUM(K69:K71)</f>
        <v>2201530013</v>
      </c>
    </row>
    <row r="73" spans="1:11">
      <c r="A73" s="38"/>
      <c r="B73" s="8"/>
      <c r="C73" s="8"/>
      <c r="D73" s="8"/>
      <c r="E73" s="8"/>
      <c r="F73" s="8"/>
      <c r="G73" s="39"/>
      <c r="H73" s="39"/>
      <c r="I73" s="39"/>
      <c r="J73" s="39"/>
      <c r="K73" s="39"/>
    </row>
    <row r="74" spans="1:11">
      <c r="A74" s="62" t="s">
        <v>26</v>
      </c>
      <c r="B74" s="62"/>
      <c r="C74" s="62"/>
      <c r="D74" s="11" t="s">
        <v>4</v>
      </c>
      <c r="E74" s="14">
        <f>J72</f>
        <v>29592912</v>
      </c>
      <c r="F74" s="40"/>
      <c r="G74" s="41"/>
      <c r="H74" s="41"/>
      <c r="I74" s="41"/>
      <c r="J74" s="9"/>
      <c r="K74" s="9"/>
    </row>
    <row r="75" spans="1:11">
      <c r="A75" s="10" t="s">
        <v>27</v>
      </c>
      <c r="B75" s="10"/>
      <c r="C75" s="10"/>
      <c r="D75" s="11" t="s">
        <v>4</v>
      </c>
      <c r="E75" s="42"/>
      <c r="F75" s="42"/>
      <c r="G75" s="43"/>
      <c r="H75" s="12"/>
      <c r="I75" s="12"/>
      <c r="J75" s="9"/>
      <c r="K75" s="9"/>
    </row>
    <row r="76" spans="1:11">
      <c r="A76" s="10" t="s">
        <v>28</v>
      </c>
      <c r="B76" s="10"/>
      <c r="C76" s="10"/>
      <c r="D76" s="11" t="s">
        <v>4</v>
      </c>
      <c r="E76" s="44"/>
      <c r="F76" s="44"/>
      <c r="G76" s="43"/>
      <c r="H76" s="12"/>
      <c r="I76" s="12"/>
      <c r="J76" s="9"/>
      <c r="K76" s="9"/>
    </row>
    <row r="77" spans="1:11">
      <c r="A77" s="10" t="s">
        <v>29</v>
      </c>
      <c r="B77" s="10"/>
      <c r="C77" s="10"/>
      <c r="D77" s="11" t="s">
        <v>4</v>
      </c>
      <c r="E77" s="44">
        <f>E75+E76</f>
        <v>0</v>
      </c>
      <c r="F77" s="44"/>
      <c r="G77" s="10"/>
      <c r="H77" s="12"/>
      <c r="I77" s="12"/>
      <c r="J77" s="46"/>
      <c r="K77" s="46"/>
    </row>
    <row r="78" spans="1:11">
      <c r="A78" s="13"/>
      <c r="B78" s="13"/>
      <c r="C78" s="13"/>
      <c r="D78" s="11"/>
      <c r="E78" s="13"/>
      <c r="F78" s="13"/>
      <c r="G78" s="10"/>
      <c r="H78" s="12"/>
      <c r="I78" s="12"/>
      <c r="J78" s="46"/>
      <c r="K78" s="46"/>
    </row>
    <row r="79" spans="1:11">
      <c r="A79" s="62" t="s">
        <v>30</v>
      </c>
      <c r="B79" s="62"/>
      <c r="C79" s="62"/>
      <c r="D79" s="11" t="s">
        <v>4</v>
      </c>
      <c r="E79" s="40">
        <f>E74-E77</f>
        <v>29592912</v>
      </c>
      <c r="F79" s="40"/>
      <c r="G79" s="10"/>
      <c r="H79" s="12"/>
      <c r="I79" s="12"/>
      <c r="J79" s="46"/>
      <c r="K79" s="46"/>
    </row>
    <row r="80" spans="1:11" ht="15.75">
      <c r="A80" s="13"/>
      <c r="B80" s="13"/>
      <c r="C80" s="10"/>
      <c r="D80" s="10"/>
      <c r="E80" s="16" t="str">
        <f>PROPER(IF(E79=0,"nol",IF(E79&lt;0,"minus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79),"000000000000000"),1,3)=0,"",MID(TEXT(ABS(E79),"000000000000000"),1,1)&amp;" ratus "&amp;MID(TEXT(ABS(E79),"000000000000000"),2,1)&amp;" puluh "&amp;MID(TEXT(ABS(E79),"000000000000000"),3,1)&amp;" trilyun ")&amp;IF(--MID(TEXT(ABS(E79),"000000000000000"),4,3)=0,"",MID(TEXT(ABS(E79),"000000000000000"),4,1)&amp;" ratus "&amp;MID(TEXT(ABS(E79),"000000000000000"),5,1)&amp;" puluh "&amp;MID(TEXT(ABS(E79),"000000000000000"),6,1)&amp;" milyar ")&amp;IF(--MID(TEXT(ABS(E79),"000000000000000"),7,3)=0,"",MID(TEXT(ABS(E79),"000000000000000"),7,1)&amp;" ratus "&amp;MID(TEXT(ABS(E79),"000000000000000"),8,1)&amp;" puluh "&amp;MID(TEXT(ABS(E79),"000000000000000"),9,1)&amp;" juta ")&amp;IF(--MID(TEXT(ABS(E79),"000000000000000"),10,3)=0,"",IF(--MID(TEXT(ABS(E79),"000000000000000"),10,3)=1,"*",MID(TEXT(ABS(E79),"000000000000000"),10,1)&amp;" ratus "&amp;MID(TEXT(ABS(E79),"000000000000000"),11,1)&amp;" puluh ")&amp;MID(TEXT(ABS(E79),"000000000000000"),12,1)&amp;" ribu ")&amp;IF(--MID(TEXT(ABS(E79),"000000000000000"),13,3)=0,"",MID(TEXT(ABS(E79),"000000000000000"),13,1)&amp;" ratus "&amp;MID(TEXT(ABS(E79),"000000000000000"),14,1)&amp;" puluh "&amp;MID(TEXT(ABS(E79),"000000000000000"),15,1)),1,"satu"),2,"dua"),3,"tiga"),4,"empat"),5,"lima"),6,"enam"),7,"tujuh"),8,"delapan"),9,"sembilan"),"0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Sembilan Juta Lima Ratus Sembilan Puluh Dua Ribu Sembilan Ratus Duabelas Rupiah</v>
      </c>
      <c r="F80" s="10"/>
      <c r="G80" s="10"/>
      <c r="H80" s="10"/>
      <c r="I80" s="10"/>
      <c r="J80" s="46"/>
      <c r="K80" s="46"/>
    </row>
    <row r="81" spans="1:11">
      <c r="A81" s="45"/>
      <c r="B81" s="45"/>
      <c r="C81" s="45"/>
      <c r="D81" s="45"/>
      <c r="E81" s="45"/>
      <c r="F81" s="45"/>
      <c r="G81" s="29"/>
      <c r="H81" s="46"/>
      <c r="I81" s="46"/>
      <c r="J81" s="46"/>
      <c r="K81" s="46"/>
    </row>
    <row r="82" spans="1:11">
      <c r="A82" s="29"/>
      <c r="B82" s="29"/>
      <c r="C82" s="29"/>
      <c r="D82" s="29"/>
      <c r="E82" s="29"/>
      <c r="F82" s="29"/>
      <c r="G82" s="29"/>
      <c r="H82"/>
      <c r="I82"/>
      <c r="J82" s="46"/>
      <c r="K82" s="46"/>
    </row>
    <row r="83" spans="1:11">
      <c r="A83" s="13"/>
      <c r="B83" s="13"/>
      <c r="C83" s="10"/>
      <c r="D83" s="10"/>
      <c r="E83" s="10"/>
      <c r="F83" s="10"/>
      <c r="G83" s="10"/>
      <c r="I83" s="47"/>
      <c r="J83" s="47" t="s">
        <v>40</v>
      </c>
      <c r="K83" s="46"/>
    </row>
    <row r="84" spans="1:11">
      <c r="A84" s="12" t="s">
        <v>31</v>
      </c>
      <c r="B84" s="10"/>
      <c r="C84" s="10"/>
      <c r="D84" s="10"/>
      <c r="E84" s="10"/>
      <c r="F84" s="10"/>
      <c r="G84" s="10"/>
      <c r="I84" s="12"/>
      <c r="J84" s="12" t="s">
        <v>32</v>
      </c>
      <c r="K84" s="46"/>
    </row>
    <row r="85" spans="1:11">
      <c r="A85" s="10"/>
      <c r="B85" s="10"/>
      <c r="C85" s="10"/>
      <c r="D85" s="10"/>
      <c r="E85" s="10"/>
      <c r="F85" s="10"/>
      <c r="G85" s="10"/>
      <c r="I85" s="12"/>
      <c r="J85" s="12"/>
      <c r="K85" s="46"/>
    </row>
    <row r="86" spans="1:11">
      <c r="A86" s="10"/>
      <c r="B86" s="10"/>
      <c r="C86" s="10"/>
      <c r="D86" s="10"/>
      <c r="E86" s="10"/>
      <c r="F86" s="10"/>
      <c r="G86" s="10"/>
      <c r="I86" s="12"/>
      <c r="J86" s="12"/>
      <c r="K86" s="46"/>
    </row>
    <row r="87" spans="1:11">
      <c r="A87" s="10"/>
      <c r="B87" s="10"/>
      <c r="C87" s="10"/>
      <c r="D87" s="10"/>
      <c r="E87" s="10"/>
      <c r="F87" s="10"/>
      <c r="G87" s="10"/>
      <c r="I87" s="12"/>
      <c r="J87" s="12"/>
      <c r="K87" s="46"/>
    </row>
    <row r="88" spans="1:11">
      <c r="A88" s="10"/>
      <c r="B88" s="10"/>
      <c r="C88" s="10"/>
      <c r="D88" s="10"/>
      <c r="E88" s="10"/>
      <c r="F88" s="10"/>
      <c r="G88" s="10"/>
      <c r="I88" s="12"/>
      <c r="J88" s="12"/>
      <c r="K88" s="46"/>
    </row>
    <row r="89" spans="1:11">
      <c r="A89" s="56" t="s">
        <v>38</v>
      </c>
      <c r="B89" s="48"/>
      <c r="C89" s="49"/>
      <c r="D89" s="49"/>
      <c r="E89" s="49"/>
      <c r="F89" s="49"/>
      <c r="G89" s="10" t="s">
        <v>33</v>
      </c>
      <c r="I89" s="48"/>
      <c r="J89" s="48" t="s">
        <v>34</v>
      </c>
      <c r="K89" s="46"/>
    </row>
    <row r="94" spans="1:11" ht="15.75">
      <c r="C94" s="2"/>
      <c r="D94" s="2"/>
      <c r="E94" s="2"/>
      <c r="F94" s="2"/>
    </row>
    <row r="95" spans="1:11" ht="15.75">
      <c r="A95" s="3"/>
      <c r="B95" s="3"/>
      <c r="C95" s="2"/>
      <c r="D95" s="2"/>
      <c r="E95" s="2"/>
      <c r="F95" s="2"/>
      <c r="G95" s="3"/>
      <c r="H95" s="4"/>
      <c r="I95" s="4"/>
      <c r="J95" s="4"/>
      <c r="K95" s="5"/>
    </row>
    <row r="96" spans="1:11">
      <c r="H96" s="5"/>
      <c r="I96" s="5"/>
      <c r="J96" s="5"/>
      <c r="K96" s="5"/>
    </row>
    <row r="97" spans="1:11">
      <c r="H97" s="5"/>
      <c r="I97" s="5"/>
      <c r="J97" s="5"/>
      <c r="K97" s="5"/>
    </row>
    <row r="98" spans="1:11">
      <c r="A98" s="70" t="s">
        <v>0</v>
      </c>
      <c r="B98" s="70"/>
      <c r="C98" s="71"/>
      <c r="D98" s="71"/>
      <c r="E98" s="71"/>
      <c r="F98" s="71"/>
      <c r="G98" s="71"/>
      <c r="H98" s="71"/>
      <c r="I98" s="71"/>
      <c r="J98" s="71"/>
      <c r="K98" s="71"/>
    </row>
    <row r="99" spans="1:11">
      <c r="A99" s="71" t="s">
        <v>43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spans="1:11">
      <c r="A100" s="71" t="s">
        <v>1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spans="1:11">
      <c r="A101" s="71" t="s">
        <v>37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spans="1:11">
      <c r="A102" s="71" t="s">
        <v>2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spans="1:11">
      <c r="A103" s="6"/>
      <c r="B103" s="6"/>
      <c r="C103" s="7"/>
      <c r="D103" s="7"/>
      <c r="E103" s="7"/>
      <c r="F103" s="7"/>
      <c r="G103" s="8"/>
      <c r="H103" s="9"/>
      <c r="I103" s="9"/>
      <c r="J103" s="9"/>
      <c r="K103" s="9"/>
    </row>
    <row r="104" spans="1:11">
      <c r="A104" s="52" t="s">
        <v>3</v>
      </c>
      <c r="B104" s="10"/>
      <c r="C104" s="10"/>
      <c r="D104" s="53" t="s">
        <v>4</v>
      </c>
      <c r="E104" s="10" t="s">
        <v>5</v>
      </c>
      <c r="F104" s="11"/>
      <c r="G104" s="10"/>
      <c r="H104" s="12"/>
      <c r="I104" s="12"/>
      <c r="J104" s="12"/>
      <c r="K104" s="9"/>
    </row>
    <row r="105" spans="1:11">
      <c r="A105" s="52" t="s">
        <v>6</v>
      </c>
      <c r="B105" s="10"/>
      <c r="C105" s="10"/>
      <c r="D105" s="53" t="s">
        <v>4</v>
      </c>
      <c r="E105" s="10" t="s">
        <v>7</v>
      </c>
      <c r="F105" s="11"/>
      <c r="G105" s="10"/>
      <c r="H105" s="12"/>
      <c r="I105" s="12"/>
      <c r="J105" s="12"/>
      <c r="K105" s="9"/>
    </row>
    <row r="106" spans="1:11">
      <c r="A106" s="52" t="s">
        <v>8</v>
      </c>
      <c r="B106" s="10"/>
      <c r="C106" s="10"/>
      <c r="D106" s="53" t="s">
        <v>4</v>
      </c>
      <c r="E106" s="13">
        <v>2026</v>
      </c>
      <c r="F106" s="11"/>
      <c r="G106" s="13"/>
      <c r="H106" s="12"/>
      <c r="I106" s="12"/>
      <c r="J106" s="12"/>
      <c r="K106" s="9"/>
    </row>
    <row r="107" spans="1:11">
      <c r="A107" s="52" t="s">
        <v>9</v>
      </c>
      <c r="B107" s="10"/>
      <c r="C107" s="10"/>
      <c r="D107" s="53" t="s">
        <v>4</v>
      </c>
      <c r="E107" s="14">
        <f>J117</f>
        <v>92159216</v>
      </c>
      <c r="F107" s="11"/>
      <c r="G107" s="14"/>
      <c r="H107" s="12"/>
      <c r="I107" s="12"/>
      <c r="J107" s="12"/>
      <c r="K107" s="9"/>
    </row>
    <row r="108" spans="1:11" ht="15.75">
      <c r="A108" s="10"/>
      <c r="B108" s="10"/>
      <c r="C108" s="15" t="s">
        <v>10</v>
      </c>
      <c r="D108" s="53" t="s">
        <v>4</v>
      </c>
      <c r="E108" s="16" t="str">
        <f>PROPER(IF(E107=0,"nol",IF(E107&lt;0,"minus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107),"000000000000000"),1,3)=0,"",MID(TEXT(ABS(E107),"000000000000000"),1,1)&amp;" ratus "&amp;MID(TEXT(ABS(E107),"000000000000000"),2,1)&amp;" puluh "&amp;MID(TEXT(ABS(E107),"000000000000000"),3,1)&amp;" trilyun ")&amp;IF(--MID(TEXT(ABS(E107),"000000000000000"),4,3)=0,"",MID(TEXT(ABS(E107),"000000000000000"),4,1)&amp;" ratus "&amp;MID(TEXT(ABS(E107),"000000000000000"),5,1)&amp;" puluh "&amp;MID(TEXT(ABS(E107),"000000000000000"),6,1)&amp;" milyar ")&amp;IF(--MID(TEXT(ABS(E107),"000000000000000"),7,3)=0,"",MID(TEXT(ABS(E107),"000000000000000"),7,1)&amp;" ratus "&amp;MID(TEXT(ABS(E107),"000000000000000"),8,1)&amp;" puluh "&amp;MID(TEXT(ABS(E107),"000000000000000"),9,1)&amp;" juta ")&amp;IF(--MID(TEXT(ABS(E107),"000000000000000"),10,3)=0,"",IF(--MID(TEXT(ABS(E107),"000000000000000"),10,3)=1,"*",MID(TEXT(ABS(E107),"000000000000000"),10,1)&amp;" ratus "&amp;MID(TEXT(ABS(E107),"000000000000000"),11,1)&amp;" puluh ")&amp;MID(TEXT(ABS(E107),"000000000000000"),12,1)&amp;" ribu ")&amp;IF(--MID(TEXT(ABS(E107),"000000000000000"),13,3)=0,"",MID(TEXT(ABS(E107),"000000000000000"),13,1)&amp;" ratus "&amp;MID(TEXT(ABS(E107),"000000000000000"),14,1)&amp;" puluh "&amp;MID(TEXT(ABS(E107),"000000000000000"),15,1)),1,"satu"),2,"dua"),3,"tiga"),4,"empat"),5,"lima"),6,"enam"),7,"tujuh"),8,"delapan"),9,"sembilan"),"0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Dua Juta Seratus Lima Puluh Sembilan Ribu Dua Ratus Enambelas Rupiah</v>
      </c>
      <c r="F108" s="11"/>
      <c r="G108" s="16"/>
      <c r="H108" s="12"/>
      <c r="I108" s="12"/>
      <c r="J108" s="12"/>
      <c r="K108" s="9"/>
    </row>
    <row r="109" spans="1:11" ht="15.75">
      <c r="A109" s="10"/>
      <c r="B109" s="10"/>
      <c r="C109" s="15"/>
      <c r="D109" s="15"/>
      <c r="E109" s="15"/>
      <c r="F109" s="11"/>
      <c r="G109" s="16"/>
      <c r="H109" s="12"/>
      <c r="I109" s="12"/>
      <c r="J109" s="12"/>
      <c r="K109" s="9"/>
    </row>
    <row r="110" spans="1:11">
      <c r="A110" s="10" t="s">
        <v>11</v>
      </c>
      <c r="B110" s="10"/>
      <c r="C110" s="10"/>
      <c r="D110" s="10"/>
      <c r="E110" s="10"/>
      <c r="F110" s="10"/>
      <c r="G110" s="10"/>
      <c r="H110" s="12"/>
      <c r="I110" s="12"/>
      <c r="J110" s="12"/>
      <c r="K110" s="9"/>
    </row>
    <row r="111" spans="1:11">
      <c r="A111" s="63" t="s">
        <v>12</v>
      </c>
      <c r="B111" s="63"/>
      <c r="C111" s="63"/>
      <c r="D111" s="63"/>
      <c r="E111" s="63"/>
      <c r="F111" s="63"/>
      <c r="G111" s="63"/>
      <c r="H111" s="63"/>
      <c r="I111" s="63"/>
      <c r="J111" s="63"/>
      <c r="K111" s="63"/>
    </row>
    <row r="112" spans="1:11" ht="60">
      <c r="A112" s="17" t="s">
        <v>13</v>
      </c>
      <c r="B112" s="18" t="s">
        <v>14</v>
      </c>
      <c r="C112" s="64" t="s">
        <v>15</v>
      </c>
      <c r="D112" s="65"/>
      <c r="E112" s="66"/>
      <c r="F112" s="19"/>
      <c r="G112" s="20" t="s">
        <v>16</v>
      </c>
      <c r="H112" s="21" t="s">
        <v>35</v>
      </c>
      <c r="I112" s="21"/>
      <c r="J112" s="31" t="s">
        <v>17</v>
      </c>
      <c r="K112" s="32" t="s">
        <v>18</v>
      </c>
    </row>
    <row r="113" spans="1:14">
      <c r="A113" s="22">
        <v>1</v>
      </c>
      <c r="B113" s="23"/>
      <c r="C113" s="67" t="s">
        <v>19</v>
      </c>
      <c r="D113" s="68"/>
      <c r="E113" s="69"/>
      <c r="F113" s="24"/>
      <c r="G113" s="54" t="s">
        <v>20</v>
      </c>
      <c r="H113" s="54" t="s">
        <v>20</v>
      </c>
      <c r="I113" s="54"/>
      <c r="J113" s="54" t="s">
        <v>20</v>
      </c>
      <c r="K113" s="54" t="s">
        <v>20</v>
      </c>
    </row>
    <row r="114" spans="1:14">
      <c r="A114" s="26"/>
      <c r="B114" s="55" t="s">
        <v>21</v>
      </c>
      <c r="C114" s="59" t="s">
        <v>36</v>
      </c>
      <c r="D114" s="60"/>
      <c r="E114" s="61"/>
      <c r="F114" s="24"/>
      <c r="G114" s="25">
        <v>698400000</v>
      </c>
      <c r="H114" s="27">
        <f>H69+J69</f>
        <v>56676000</v>
      </c>
      <c r="I114" s="27"/>
      <c r="J114" s="27">
        <v>0</v>
      </c>
      <c r="K114" s="33">
        <f t="shared" ref="K114:K116" si="3">G114-H114-J114</f>
        <v>641724000</v>
      </c>
    </row>
    <row r="115" spans="1:14">
      <c r="A115" s="26"/>
      <c r="B115" s="55" t="s">
        <v>22</v>
      </c>
      <c r="C115" s="59" t="s">
        <v>39</v>
      </c>
      <c r="D115" s="60"/>
      <c r="E115" s="61"/>
      <c r="F115" s="24"/>
      <c r="G115" s="28">
        <v>1231299821</v>
      </c>
      <c r="H115" s="27">
        <f t="shared" ref="H115:H116" si="4">H70+J70</f>
        <v>0</v>
      </c>
      <c r="I115" s="27"/>
      <c r="J115" s="27">
        <v>92159216</v>
      </c>
      <c r="K115" s="33">
        <f t="shared" si="3"/>
        <v>1139140605</v>
      </c>
      <c r="N115" s="57"/>
    </row>
    <row r="116" spans="1:14">
      <c r="A116" s="26"/>
      <c r="B116" s="55" t="s">
        <v>23</v>
      </c>
      <c r="C116" s="59" t="s">
        <v>24</v>
      </c>
      <c r="D116" s="60"/>
      <c r="E116" s="61"/>
      <c r="F116" s="24"/>
      <c r="G116" s="25">
        <v>358099104</v>
      </c>
      <c r="H116" s="27">
        <f t="shared" si="4"/>
        <v>29592912</v>
      </c>
      <c r="I116" s="27"/>
      <c r="J116" s="27">
        <v>0</v>
      </c>
      <c r="K116" s="33">
        <f t="shared" si="3"/>
        <v>328506192</v>
      </c>
      <c r="N116" s="58"/>
    </row>
    <row r="117" spans="1:14">
      <c r="A117" s="34"/>
      <c r="B117" s="34"/>
      <c r="C117" s="34" t="s">
        <v>25</v>
      </c>
      <c r="D117" s="34"/>
      <c r="E117" s="34"/>
      <c r="F117" s="35"/>
      <c r="G117" s="36">
        <f>SUM(G113:G116)</f>
        <v>2287798925</v>
      </c>
      <c r="H117" s="37">
        <f>SUM(H114:H116)</f>
        <v>86268912</v>
      </c>
      <c r="I117" s="37"/>
      <c r="J117" s="37">
        <f>SUM(J114:J116)</f>
        <v>92159216</v>
      </c>
      <c r="K117" s="37">
        <f>SUM(K114:K116)</f>
        <v>2109370797</v>
      </c>
      <c r="N117" s="58"/>
    </row>
    <row r="118" spans="1:14">
      <c r="A118" s="38"/>
      <c r="B118" s="8"/>
      <c r="C118" s="8"/>
      <c r="D118" s="8"/>
      <c r="E118" s="8"/>
      <c r="F118" s="8"/>
      <c r="G118" s="39"/>
      <c r="H118" s="39"/>
      <c r="I118" s="39"/>
      <c r="J118" s="39"/>
      <c r="K118" s="39"/>
      <c r="N118" s="58"/>
    </row>
    <row r="119" spans="1:14">
      <c r="A119" s="62" t="s">
        <v>26</v>
      </c>
      <c r="B119" s="62"/>
      <c r="C119" s="62"/>
      <c r="D119" s="11" t="s">
        <v>4</v>
      </c>
      <c r="E119" s="14">
        <f>J117</f>
        <v>92159216</v>
      </c>
      <c r="F119" s="40"/>
      <c r="G119" s="41"/>
      <c r="H119" s="41"/>
      <c r="I119" s="41"/>
      <c r="J119" s="9"/>
      <c r="K119" s="9"/>
    </row>
    <row r="120" spans="1:14">
      <c r="A120" s="10" t="s">
        <v>27</v>
      </c>
      <c r="B120" s="10"/>
      <c r="C120" s="10"/>
      <c r="D120" s="11" t="s">
        <v>4</v>
      </c>
      <c r="E120" s="42"/>
      <c r="F120" s="42"/>
      <c r="G120" s="43"/>
      <c r="H120" s="12"/>
      <c r="I120" s="12"/>
      <c r="J120" s="9"/>
      <c r="K120" s="9"/>
    </row>
    <row r="121" spans="1:14">
      <c r="A121" s="10" t="s">
        <v>28</v>
      </c>
      <c r="B121" s="10"/>
      <c r="C121" s="10"/>
      <c r="D121" s="11" t="s">
        <v>4</v>
      </c>
      <c r="E121" s="44"/>
      <c r="F121" s="44"/>
      <c r="G121" s="43"/>
      <c r="H121" s="12"/>
      <c r="I121" s="12"/>
      <c r="J121" s="9"/>
      <c r="K121" s="9"/>
    </row>
    <row r="122" spans="1:14">
      <c r="A122" s="10" t="s">
        <v>29</v>
      </c>
      <c r="B122" s="10"/>
      <c r="C122" s="10"/>
      <c r="D122" s="11" t="s">
        <v>4</v>
      </c>
      <c r="E122" s="44">
        <f>E120+E121</f>
        <v>0</v>
      </c>
      <c r="F122" s="44"/>
      <c r="G122" s="10"/>
      <c r="H122" s="12"/>
      <c r="I122" s="12"/>
      <c r="J122" s="46"/>
      <c r="K122" s="46"/>
    </row>
    <row r="123" spans="1:14">
      <c r="A123" s="13"/>
      <c r="B123" s="13"/>
      <c r="C123" s="13"/>
      <c r="D123" s="11"/>
      <c r="E123" s="13"/>
      <c r="F123" s="13"/>
      <c r="G123" s="10"/>
      <c r="H123" s="12"/>
      <c r="I123" s="12"/>
      <c r="J123" s="46"/>
      <c r="K123" s="46"/>
    </row>
    <row r="124" spans="1:14">
      <c r="A124" s="62" t="s">
        <v>30</v>
      </c>
      <c r="B124" s="62"/>
      <c r="C124" s="62"/>
      <c r="D124" s="11" t="s">
        <v>4</v>
      </c>
      <c r="E124" s="40">
        <f>E119-E122</f>
        <v>92159216</v>
      </c>
      <c r="F124" s="40"/>
      <c r="G124" s="10"/>
      <c r="H124" s="12"/>
      <c r="I124" s="12"/>
      <c r="J124" s="46"/>
      <c r="K124" s="46"/>
    </row>
    <row r="125" spans="1:14" ht="15.75">
      <c r="A125" s="13"/>
      <c r="B125" s="13"/>
      <c r="C125" s="10"/>
      <c r="D125" s="10"/>
      <c r="E125" s="16" t="str">
        <f>PROPER(IF(E124=0,"nol",IF(E124&lt;0,"minus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124),"000000000000000"),1,3)=0,"",MID(TEXT(ABS(E124),"000000000000000"),1,1)&amp;" ratus "&amp;MID(TEXT(ABS(E124),"000000000000000"),2,1)&amp;" puluh "&amp;MID(TEXT(ABS(E124),"000000000000000"),3,1)&amp;" trilyun ")&amp;IF(--MID(TEXT(ABS(E124),"000000000000000"),4,3)=0,"",MID(TEXT(ABS(E124),"000000000000000"),4,1)&amp;" ratus "&amp;MID(TEXT(ABS(E124),"000000000000000"),5,1)&amp;" puluh "&amp;MID(TEXT(ABS(E124),"000000000000000"),6,1)&amp;" milyar ")&amp;IF(--MID(TEXT(ABS(E124),"000000000000000"),7,3)=0,"",MID(TEXT(ABS(E124),"000000000000000"),7,1)&amp;" ratus "&amp;MID(TEXT(ABS(E124),"000000000000000"),8,1)&amp;" puluh "&amp;MID(TEXT(ABS(E124),"000000000000000"),9,1)&amp;" juta ")&amp;IF(--MID(TEXT(ABS(E124),"000000000000000"),10,3)=0,"",IF(--MID(TEXT(ABS(E124),"000000000000000"),10,3)=1,"*",MID(TEXT(ABS(E124),"000000000000000"),10,1)&amp;" ratus "&amp;MID(TEXT(ABS(E124),"000000000000000"),11,1)&amp;" puluh ")&amp;MID(TEXT(ABS(E124),"000000000000000"),12,1)&amp;" ribu ")&amp;IF(--MID(TEXT(ABS(E124),"000000000000000"),13,3)=0,"",MID(TEXT(ABS(E124),"000000000000000"),13,1)&amp;" ratus "&amp;MID(TEXT(ABS(E124),"000000000000000"),14,1)&amp;" puluh "&amp;MID(TEXT(ABS(E124),"000000000000000"),15,1)),1,"satu"),2,"dua"),3,"tiga"),4,"empat"),5,"lima"),6,"enam"),7,"tujuh"),8,"delapan"),9,"sembilan"),"0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Dua Juta Seratus Lima Puluh Sembilan Ribu Dua Ratus Enambelas Rupiah</v>
      </c>
      <c r="F125" s="10"/>
      <c r="G125" s="10"/>
      <c r="H125" s="10"/>
      <c r="I125" s="10"/>
      <c r="J125" s="46"/>
      <c r="K125" s="46"/>
    </row>
    <row r="126" spans="1:14">
      <c r="A126" s="45"/>
      <c r="B126" s="45"/>
      <c r="C126" s="45"/>
      <c r="D126" s="45"/>
      <c r="E126" s="45"/>
      <c r="F126" s="45"/>
      <c r="G126" s="29"/>
      <c r="H126" s="46"/>
      <c r="I126" s="46"/>
      <c r="J126" s="46"/>
      <c r="K126" s="46"/>
    </row>
    <row r="127" spans="1:14">
      <c r="A127" s="29"/>
      <c r="B127" s="29"/>
      <c r="C127" s="29"/>
      <c r="D127" s="29"/>
      <c r="E127" s="29"/>
      <c r="F127" s="29"/>
      <c r="G127" s="29"/>
      <c r="H127"/>
      <c r="I127"/>
      <c r="J127" s="46"/>
      <c r="K127" s="46"/>
    </row>
    <row r="128" spans="1:14">
      <c r="A128" s="13"/>
      <c r="B128" s="13"/>
      <c r="C128" s="10"/>
      <c r="D128" s="10"/>
      <c r="E128" s="10"/>
      <c r="F128" s="10"/>
      <c r="G128" s="10"/>
      <c r="I128" s="47"/>
      <c r="J128" s="47" t="s">
        <v>40</v>
      </c>
      <c r="K128" s="46"/>
    </row>
    <row r="129" spans="1:11">
      <c r="A129" s="12" t="s">
        <v>31</v>
      </c>
      <c r="B129" s="10"/>
      <c r="C129" s="10"/>
      <c r="D129" s="10"/>
      <c r="E129" s="10"/>
      <c r="F129" s="10"/>
      <c r="G129" s="10"/>
      <c r="I129" s="12"/>
      <c r="J129" s="12" t="s">
        <v>32</v>
      </c>
      <c r="K129" s="46"/>
    </row>
    <row r="130" spans="1:11">
      <c r="A130" s="10"/>
      <c r="B130" s="10"/>
      <c r="C130" s="10"/>
      <c r="D130" s="10"/>
      <c r="E130" s="10"/>
      <c r="F130" s="10"/>
      <c r="G130" s="10"/>
      <c r="I130" s="12"/>
      <c r="J130" s="12"/>
      <c r="K130" s="46"/>
    </row>
    <row r="131" spans="1:11">
      <c r="A131" s="10"/>
      <c r="B131" s="10"/>
      <c r="C131" s="10"/>
      <c r="D131" s="10"/>
      <c r="E131" s="10"/>
      <c r="F131" s="10"/>
      <c r="G131" s="10"/>
      <c r="I131" s="12"/>
      <c r="J131" s="12"/>
      <c r="K131" s="46"/>
    </row>
    <row r="132" spans="1:11">
      <c r="A132" s="10"/>
      <c r="B132" s="10"/>
      <c r="C132" s="10"/>
      <c r="D132" s="10"/>
      <c r="E132" s="10"/>
      <c r="F132" s="10"/>
      <c r="G132" s="10"/>
      <c r="I132" s="12"/>
      <c r="J132" s="12"/>
      <c r="K132" s="46"/>
    </row>
    <row r="133" spans="1:11">
      <c r="A133" s="10"/>
      <c r="B133" s="10"/>
      <c r="C133" s="10"/>
      <c r="D133" s="10"/>
      <c r="E133" s="10"/>
      <c r="F133" s="10"/>
      <c r="G133" s="10"/>
      <c r="I133" s="12"/>
      <c r="J133" s="12"/>
      <c r="K133" s="46"/>
    </row>
    <row r="134" spans="1:11">
      <c r="A134" s="56" t="s">
        <v>38</v>
      </c>
      <c r="B134" s="48"/>
      <c r="C134" s="49"/>
      <c r="D134" s="49"/>
      <c r="E134" s="49"/>
      <c r="F134" s="49"/>
      <c r="G134" s="10" t="s">
        <v>33</v>
      </c>
      <c r="I134" s="48"/>
      <c r="J134" s="48" t="s">
        <v>34</v>
      </c>
      <c r="K134" s="46"/>
    </row>
  </sheetData>
  <mergeCells count="39">
    <mergeCell ref="A21:K21"/>
    <mergeCell ref="A8:K8"/>
    <mergeCell ref="A9:K9"/>
    <mergeCell ref="A10:K10"/>
    <mergeCell ref="A11:K11"/>
    <mergeCell ref="A12:K12"/>
    <mergeCell ref="C22:E22"/>
    <mergeCell ref="C23:E23"/>
    <mergeCell ref="C24:E24"/>
    <mergeCell ref="C25:E25"/>
    <mergeCell ref="C26:E26"/>
    <mergeCell ref="A29:C29"/>
    <mergeCell ref="A34:C34"/>
    <mergeCell ref="A53:K53"/>
    <mergeCell ref="A54:K54"/>
    <mergeCell ref="A55:K55"/>
    <mergeCell ref="A56:K56"/>
    <mergeCell ref="A57:K57"/>
    <mergeCell ref="A66:K66"/>
    <mergeCell ref="C67:E67"/>
    <mergeCell ref="C68:E68"/>
    <mergeCell ref="C69:E69"/>
    <mergeCell ref="C70:E70"/>
    <mergeCell ref="C71:E71"/>
    <mergeCell ref="A74:C74"/>
    <mergeCell ref="A79:C79"/>
    <mergeCell ref="A98:K98"/>
    <mergeCell ref="A99:K99"/>
    <mergeCell ref="A100:K100"/>
    <mergeCell ref="A101:K101"/>
    <mergeCell ref="A102:K102"/>
    <mergeCell ref="C116:E116"/>
    <mergeCell ref="A119:C119"/>
    <mergeCell ref="A124:C124"/>
    <mergeCell ref="A111:K111"/>
    <mergeCell ref="C112:E112"/>
    <mergeCell ref="C113:E113"/>
    <mergeCell ref="C114:E114"/>
    <mergeCell ref="C115:E115"/>
  </mergeCells>
  <pageMargins left="0.23622047244094491" right="0.23622047244094491" top="0.15748031496062992" bottom="0.74803149606299213" header="0.31496062992125984" footer="0.31496062992125984"/>
  <pageSetup paperSize="9" scale="81" orientation="portrait" horizontalDpi="4294967293" r:id="rId1"/>
  <rowBreaks count="2" manualBreakCount="2">
    <brk id="45" max="10" man="1"/>
    <brk id="90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BE4E-9BD6-49B6-96E8-ED0A41B35138}">
  <dimension ref="A1:W134"/>
  <sheetViews>
    <sheetView view="pageBreakPreview" zoomScaleNormal="100" workbookViewId="0">
      <selection activeCell="K134" sqref="A91:K134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8.8554687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16.710937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70" t="s">
        <v>0</v>
      </c>
      <c r="B8" s="70"/>
      <c r="C8" s="71"/>
      <c r="D8" s="71"/>
      <c r="E8" s="71"/>
      <c r="F8" s="71"/>
      <c r="G8" s="71"/>
      <c r="H8" s="71"/>
      <c r="I8" s="71"/>
      <c r="J8" s="71"/>
      <c r="K8" s="71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71" t="s">
        <v>44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71" t="s">
        <v>1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71" t="s">
        <v>37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71" t="s">
        <v>2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2" t="s">
        <v>3</v>
      </c>
      <c r="B14" s="10"/>
      <c r="C14" s="10"/>
      <c r="D14" s="53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2" t="s">
        <v>6</v>
      </c>
      <c r="B15" s="10"/>
      <c r="C15" s="10"/>
      <c r="D15" s="53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2" t="s">
        <v>8</v>
      </c>
      <c r="B16" s="10"/>
      <c r="C16" s="10"/>
      <c r="D16" s="53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2" t="s">
        <v>9</v>
      </c>
      <c r="B17" s="10"/>
      <c r="C17" s="10"/>
      <c r="D17" s="53" t="s">
        <v>4</v>
      </c>
      <c r="E17" s="14">
        <f>J27</f>
        <v>56676000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3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Enam Juta Enam Ratus Tujuh Puluh Enam Ribu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63" t="s">
        <v>12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64" t="s">
        <v>15</v>
      </c>
      <c r="D22" s="65"/>
      <c r="E22" s="66"/>
      <c r="F22" s="19"/>
      <c r="G22" s="20" t="s">
        <v>16</v>
      </c>
      <c r="H22" s="21" t="s">
        <v>35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 ht="15" customHeight="1">
      <c r="A23" s="22">
        <v>1</v>
      </c>
      <c r="B23" s="23"/>
      <c r="C23" s="67" t="s">
        <v>19</v>
      </c>
      <c r="D23" s="68"/>
      <c r="E23" s="69"/>
      <c r="F23" s="24"/>
      <c r="G23" s="54" t="s">
        <v>20</v>
      </c>
      <c r="H23" s="54" t="s">
        <v>20</v>
      </c>
      <c r="I23" s="54"/>
      <c r="J23" s="54" t="s">
        <v>20</v>
      </c>
      <c r="K23" s="54" t="s">
        <v>20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 ht="15" customHeight="1">
      <c r="A24" s="26"/>
      <c r="B24" s="55" t="s">
        <v>21</v>
      </c>
      <c r="C24" s="59" t="s">
        <v>36</v>
      </c>
      <c r="D24" s="60"/>
      <c r="E24" s="61"/>
      <c r="F24" s="24"/>
      <c r="G24" s="25">
        <v>698400000</v>
      </c>
      <c r="H24" s="27">
        <f>JANUARI!H114+JANUARI!J114</f>
        <v>56676000</v>
      </c>
      <c r="I24" s="27"/>
      <c r="J24" s="27">
        <v>56676000</v>
      </c>
      <c r="K24" s="33">
        <f t="shared" ref="K24:K26" si="0">G24-H24-J24</f>
        <v>585048000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6"/>
      <c r="B25" s="55" t="s">
        <v>22</v>
      </c>
      <c r="C25" s="59" t="s">
        <v>39</v>
      </c>
      <c r="D25" s="60"/>
      <c r="E25" s="61"/>
      <c r="F25" s="24"/>
      <c r="G25" s="28">
        <v>1231299821</v>
      </c>
      <c r="H25" s="27">
        <f>JANUARI!H115+JANUARI!J115</f>
        <v>92159216</v>
      </c>
      <c r="I25" s="27"/>
      <c r="J25" s="27">
        <v>0</v>
      </c>
      <c r="K25" s="33">
        <f t="shared" si="0"/>
        <v>1139140605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 ht="15.75" customHeight="1">
      <c r="A26" s="26"/>
      <c r="B26" s="55" t="s">
        <v>23</v>
      </c>
      <c r="C26" s="59" t="s">
        <v>24</v>
      </c>
      <c r="D26" s="60"/>
      <c r="E26" s="61"/>
      <c r="F26" s="24"/>
      <c r="G26" s="25">
        <v>358099104</v>
      </c>
      <c r="H26" s="27">
        <f>JANUARI!H116+JANUARI!J116</f>
        <v>29592912</v>
      </c>
      <c r="I26" s="27"/>
      <c r="J26" s="27">
        <v>0</v>
      </c>
      <c r="K26" s="33">
        <f t="shared" si="0"/>
        <v>328506192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34"/>
      <c r="B27" s="34"/>
      <c r="C27" s="34" t="s">
        <v>25</v>
      </c>
      <c r="D27" s="34"/>
      <c r="E27" s="34"/>
      <c r="F27" s="35"/>
      <c r="G27" s="36">
        <f>SUM(G23:G26)</f>
        <v>2287798925</v>
      </c>
      <c r="H27" s="37">
        <f>SUM(H24:H26)</f>
        <v>178428128</v>
      </c>
      <c r="I27" s="37"/>
      <c r="J27" s="37">
        <f>SUM(J24:J26)</f>
        <v>56676000</v>
      </c>
      <c r="K27" s="37">
        <f>SUM(K24:K26)</f>
        <v>2052694797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38"/>
      <c r="B28" s="8"/>
      <c r="C28" s="8"/>
      <c r="D28" s="8"/>
      <c r="E28" s="8"/>
      <c r="F28" s="8"/>
      <c r="G28" s="39"/>
      <c r="H28" s="39"/>
      <c r="I28" s="39"/>
      <c r="J28" s="39"/>
      <c r="K28" s="39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62" t="s">
        <v>26</v>
      </c>
      <c r="B29" s="62"/>
      <c r="C29" s="62"/>
      <c r="D29" s="11" t="s">
        <v>4</v>
      </c>
      <c r="E29" s="14">
        <f>J27</f>
        <v>56676000</v>
      </c>
      <c r="F29" s="40"/>
      <c r="G29" s="41"/>
      <c r="H29" s="41"/>
      <c r="I29" s="41"/>
      <c r="J29" s="9"/>
      <c r="K29" s="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10" t="s">
        <v>27</v>
      </c>
      <c r="B30" s="10"/>
      <c r="C30" s="10"/>
      <c r="D30" s="11" t="s">
        <v>4</v>
      </c>
      <c r="E30" s="42"/>
      <c r="F30" s="42"/>
      <c r="G30" s="43"/>
      <c r="H30" s="12"/>
      <c r="I30" s="12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28</v>
      </c>
      <c r="B31" s="10"/>
      <c r="C31" s="10"/>
      <c r="D31" s="11" t="s">
        <v>4</v>
      </c>
      <c r="E31" s="44"/>
      <c r="F31" s="44"/>
      <c r="G31" s="43"/>
      <c r="H31" s="12"/>
      <c r="I31" s="1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29</v>
      </c>
      <c r="B32" s="10"/>
      <c r="C32" s="10"/>
      <c r="D32" s="11" t="s">
        <v>4</v>
      </c>
      <c r="E32" s="44">
        <f>E30+E31</f>
        <v>0</v>
      </c>
      <c r="F32" s="44"/>
      <c r="G32" s="10"/>
      <c r="H32" s="12"/>
      <c r="I32" s="12"/>
      <c r="J32" s="46"/>
      <c r="K32" s="46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3"/>
      <c r="B33" s="13"/>
      <c r="C33" s="13"/>
      <c r="D33" s="11"/>
      <c r="E33" s="13"/>
      <c r="F33" s="13"/>
      <c r="G33" s="10"/>
      <c r="H33" s="12"/>
      <c r="I33" s="12"/>
      <c r="J33" s="46"/>
      <c r="K33" s="46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62" t="s">
        <v>30</v>
      </c>
      <c r="B34" s="62"/>
      <c r="C34" s="62"/>
      <c r="D34" s="11" t="s">
        <v>4</v>
      </c>
      <c r="E34" s="40">
        <f>E29-E32</f>
        <v>56676000</v>
      </c>
      <c r="F34" s="40"/>
      <c r="G34" s="10"/>
      <c r="H34" s="12"/>
      <c r="I34" s="12"/>
      <c r="J34" s="46"/>
      <c r="K34" s="46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 ht="15.75">
      <c r="A35" s="13"/>
      <c r="B35" s="13"/>
      <c r="C35" s="10"/>
      <c r="D35" s="10"/>
      <c r="E35" s="16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Enam Juta Enam Ratus Tujuh Puluh Enam Ribu Rupiah</v>
      </c>
      <c r="F35" s="10"/>
      <c r="G35" s="10"/>
      <c r="H35" s="10"/>
      <c r="I35" s="10"/>
      <c r="J35" s="46"/>
      <c r="K35" s="46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45"/>
      <c r="B36" s="45"/>
      <c r="C36" s="45"/>
      <c r="D36" s="45"/>
      <c r="E36" s="45"/>
      <c r="F36" s="45"/>
      <c r="G36" s="29"/>
      <c r="H36" s="46"/>
      <c r="I36" s="46"/>
      <c r="J36" s="46"/>
      <c r="K36" s="46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29"/>
      <c r="B37" s="29"/>
      <c r="C37" s="29"/>
      <c r="D37" s="29"/>
      <c r="E37" s="29"/>
      <c r="F37" s="29"/>
      <c r="G37" s="29"/>
      <c r="H37"/>
      <c r="I37"/>
      <c r="J37" s="46"/>
      <c r="K37" s="46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13"/>
      <c r="B38" s="13"/>
      <c r="C38" s="10"/>
      <c r="D38" s="10"/>
      <c r="E38" s="10"/>
      <c r="F38" s="10"/>
      <c r="G38" s="10"/>
      <c r="I38" s="47"/>
      <c r="J38" s="47" t="s">
        <v>45</v>
      </c>
      <c r="K38" s="46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2" t="s">
        <v>31</v>
      </c>
      <c r="B39" s="10"/>
      <c r="C39" s="10"/>
      <c r="D39" s="10"/>
      <c r="E39" s="10"/>
      <c r="F39" s="10"/>
      <c r="G39" s="10"/>
      <c r="I39" s="12"/>
      <c r="J39" s="12" t="s">
        <v>32</v>
      </c>
      <c r="K39" s="46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0"/>
      <c r="B40" s="10"/>
      <c r="C40" s="10"/>
      <c r="D40" s="10"/>
      <c r="E40" s="10"/>
      <c r="F40" s="10"/>
      <c r="G40" s="10"/>
      <c r="I40" s="12"/>
      <c r="J40" s="12"/>
      <c r="K40" s="46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I41" s="12"/>
      <c r="J41" s="12"/>
      <c r="K41" s="46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6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6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56" t="s">
        <v>38</v>
      </c>
      <c r="B44" s="48"/>
      <c r="C44" s="49"/>
      <c r="D44" s="49"/>
      <c r="E44" s="49"/>
      <c r="F44" s="49"/>
      <c r="G44" s="10" t="s">
        <v>33</v>
      </c>
      <c r="I44" s="48"/>
      <c r="J44" s="48" t="s">
        <v>34</v>
      </c>
      <c r="K44" s="46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50"/>
      <c r="B45" s="50"/>
      <c r="C45" s="51"/>
      <c r="D45" s="51"/>
      <c r="E45" s="51"/>
      <c r="F45" s="51"/>
      <c r="G45" s="51"/>
      <c r="H45" s="50"/>
      <c r="I45" s="50"/>
      <c r="J45" s="50"/>
      <c r="K45" s="46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9" spans="1:11" ht="15.75">
      <c r="C49" s="2"/>
      <c r="D49" s="2"/>
      <c r="E49" s="2"/>
      <c r="F49" s="2"/>
    </row>
    <row r="50" spans="1:11" ht="15.75">
      <c r="A50" s="3"/>
      <c r="B50" s="3"/>
      <c r="C50" s="2"/>
      <c r="D50" s="2"/>
      <c r="E50" s="2"/>
      <c r="F50" s="2"/>
      <c r="G50" s="3"/>
      <c r="H50" s="4"/>
      <c r="I50" s="4"/>
      <c r="J50" s="4"/>
      <c r="K50" s="5"/>
    </row>
    <row r="51" spans="1:11">
      <c r="H51" s="5"/>
      <c r="I51" s="5"/>
      <c r="J51" s="5"/>
      <c r="K51" s="5"/>
    </row>
    <row r="52" spans="1:11">
      <c r="H52" s="5"/>
      <c r="I52" s="5"/>
      <c r="J52" s="5"/>
      <c r="K52" s="5"/>
    </row>
    <row r="53" spans="1:11">
      <c r="A53" s="70" t="s">
        <v>0</v>
      </c>
      <c r="B53" s="70"/>
      <c r="C53" s="71"/>
      <c r="D53" s="71"/>
      <c r="E53" s="71"/>
      <c r="F53" s="71"/>
      <c r="G53" s="71"/>
      <c r="H53" s="71"/>
      <c r="I53" s="71"/>
      <c r="J53" s="71"/>
      <c r="K53" s="71"/>
    </row>
    <row r="54" spans="1:11">
      <c r="A54" s="71" t="s">
        <v>46</v>
      </c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spans="1:11">
      <c r="A55" s="71" t="s">
        <v>1</v>
      </c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spans="1:11">
      <c r="A56" s="71" t="s">
        <v>37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spans="1:11">
      <c r="A57" s="71" t="s">
        <v>2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spans="1:11">
      <c r="A58" s="6"/>
      <c r="B58" s="6"/>
      <c r="C58" s="7"/>
      <c r="D58" s="7"/>
      <c r="E58" s="7"/>
      <c r="F58" s="7"/>
      <c r="G58" s="8"/>
      <c r="H58" s="9"/>
      <c r="I58" s="9"/>
      <c r="J58" s="9"/>
      <c r="K58" s="9"/>
    </row>
    <row r="59" spans="1:11">
      <c r="A59" s="52" t="s">
        <v>3</v>
      </c>
      <c r="B59" s="10"/>
      <c r="C59" s="10"/>
      <c r="D59" s="53" t="s">
        <v>4</v>
      </c>
      <c r="E59" s="10" t="s">
        <v>5</v>
      </c>
      <c r="F59" s="11"/>
      <c r="G59" s="10"/>
      <c r="H59" s="12"/>
      <c r="I59" s="12"/>
      <c r="J59" s="12"/>
      <c r="K59" s="9"/>
    </row>
    <row r="60" spans="1:11">
      <c r="A60" s="52" t="s">
        <v>6</v>
      </c>
      <c r="B60" s="10"/>
      <c r="C60" s="10"/>
      <c r="D60" s="53" t="s">
        <v>4</v>
      </c>
      <c r="E60" s="10" t="s">
        <v>7</v>
      </c>
      <c r="F60" s="11"/>
      <c r="G60" s="10"/>
      <c r="H60" s="12"/>
      <c r="I60" s="12"/>
      <c r="J60" s="12"/>
      <c r="K60" s="9"/>
    </row>
    <row r="61" spans="1:11">
      <c r="A61" s="52" t="s">
        <v>8</v>
      </c>
      <c r="B61" s="10"/>
      <c r="C61" s="10"/>
      <c r="D61" s="53" t="s">
        <v>4</v>
      </c>
      <c r="E61" s="13">
        <v>2026</v>
      </c>
      <c r="F61" s="11"/>
      <c r="G61" s="13"/>
      <c r="H61" s="12"/>
      <c r="I61" s="12"/>
      <c r="J61" s="12"/>
      <c r="K61" s="9"/>
    </row>
    <row r="62" spans="1:11">
      <c r="A62" s="52" t="s">
        <v>9</v>
      </c>
      <c r="B62" s="10"/>
      <c r="C62" s="10"/>
      <c r="D62" s="53" t="s">
        <v>4</v>
      </c>
      <c r="E62" s="14">
        <f>J72</f>
        <v>29592912</v>
      </c>
      <c r="F62" s="11"/>
      <c r="G62" s="14"/>
      <c r="H62" s="12"/>
      <c r="I62" s="12"/>
      <c r="J62" s="12"/>
      <c r="K62" s="9"/>
    </row>
    <row r="63" spans="1:11" ht="15.75">
      <c r="A63" s="10"/>
      <c r="B63" s="10"/>
      <c r="C63" s="15" t="s">
        <v>10</v>
      </c>
      <c r="D63" s="53" t="s">
        <v>4</v>
      </c>
      <c r="E63" s="16" t="str">
        <f>PROPER(IF(E62=0,"nol",IF(E62&lt;0,"minus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62),"000000000000000"),1,3)=0,"",MID(TEXT(ABS(E62),"000000000000000"),1,1)&amp;" ratus "&amp;MID(TEXT(ABS(E62),"000000000000000"),2,1)&amp;" puluh "&amp;MID(TEXT(ABS(E62),"000000000000000"),3,1)&amp;" trilyun ")&amp;IF(--MID(TEXT(ABS(E62),"000000000000000"),4,3)=0,"",MID(TEXT(ABS(E62),"000000000000000"),4,1)&amp;" ratus "&amp;MID(TEXT(ABS(E62),"000000000000000"),5,1)&amp;" puluh "&amp;MID(TEXT(ABS(E62),"000000000000000"),6,1)&amp;" milyar ")&amp;IF(--MID(TEXT(ABS(E62),"000000000000000"),7,3)=0,"",MID(TEXT(ABS(E62),"000000000000000"),7,1)&amp;" ratus "&amp;MID(TEXT(ABS(E62),"000000000000000"),8,1)&amp;" puluh "&amp;MID(TEXT(ABS(E62),"000000000000000"),9,1)&amp;" juta ")&amp;IF(--MID(TEXT(ABS(E62),"000000000000000"),10,3)=0,"",IF(--MID(TEXT(ABS(E62),"000000000000000"),10,3)=1,"*",MID(TEXT(ABS(E62),"000000000000000"),10,1)&amp;" ratus "&amp;MID(TEXT(ABS(E62),"000000000000000"),11,1)&amp;" puluh ")&amp;MID(TEXT(ABS(E62),"000000000000000"),12,1)&amp;" ribu ")&amp;IF(--MID(TEXT(ABS(E62),"000000000000000"),13,3)=0,"",MID(TEXT(ABS(E62),"000000000000000"),13,1)&amp;" ratus "&amp;MID(TEXT(ABS(E62),"000000000000000"),14,1)&amp;" puluh "&amp;MID(TEXT(ABS(E62),"000000000000000"),15,1)),1,"satu"),2,"dua"),3,"tiga"),4,"empat"),5,"lima"),6,"enam"),7,"tujuh"),8,"delapan"),9,"sembilan"),"0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Sembilan Juta Lima Ratus Sembilan Puluh Dua Ribu Sembilan Ratus Duabelas Rupiah</v>
      </c>
      <c r="F63" s="11"/>
      <c r="G63" s="16"/>
      <c r="H63" s="12"/>
      <c r="I63" s="12"/>
      <c r="J63" s="12"/>
      <c r="K63" s="9"/>
    </row>
    <row r="64" spans="1:11" ht="15.75">
      <c r="A64" s="10"/>
      <c r="B64" s="10"/>
      <c r="C64" s="15"/>
      <c r="D64" s="15"/>
      <c r="E64" s="15"/>
      <c r="F64" s="11"/>
      <c r="G64" s="16"/>
      <c r="H64" s="12"/>
      <c r="I64" s="12"/>
      <c r="J64" s="12"/>
      <c r="K64" s="9"/>
    </row>
    <row r="65" spans="1:11">
      <c r="A65" s="10" t="s">
        <v>11</v>
      </c>
      <c r="B65" s="10"/>
      <c r="C65" s="10"/>
      <c r="D65" s="10"/>
      <c r="E65" s="10"/>
      <c r="F65" s="10"/>
      <c r="G65" s="10"/>
      <c r="H65" s="12"/>
      <c r="I65" s="12"/>
      <c r="J65" s="12"/>
      <c r="K65" s="9"/>
    </row>
    <row r="66" spans="1:11">
      <c r="A66" s="63" t="s">
        <v>12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</row>
    <row r="67" spans="1:11" ht="60">
      <c r="A67" s="17" t="s">
        <v>13</v>
      </c>
      <c r="B67" s="18" t="s">
        <v>14</v>
      </c>
      <c r="C67" s="64" t="s">
        <v>15</v>
      </c>
      <c r="D67" s="65"/>
      <c r="E67" s="66"/>
      <c r="F67" s="19"/>
      <c r="G67" s="20" t="s">
        <v>16</v>
      </c>
      <c r="H67" s="21" t="s">
        <v>35</v>
      </c>
      <c r="I67" s="21"/>
      <c r="J67" s="31" t="s">
        <v>17</v>
      </c>
      <c r="K67" s="32" t="s">
        <v>18</v>
      </c>
    </row>
    <row r="68" spans="1:11">
      <c r="A68" s="22">
        <v>1</v>
      </c>
      <c r="B68" s="23"/>
      <c r="C68" s="67" t="s">
        <v>19</v>
      </c>
      <c r="D68" s="68"/>
      <c r="E68" s="69"/>
      <c r="F68" s="24"/>
      <c r="G68" s="54" t="s">
        <v>20</v>
      </c>
      <c r="H68" s="54" t="s">
        <v>20</v>
      </c>
      <c r="I68" s="54"/>
      <c r="J68" s="54" t="s">
        <v>20</v>
      </c>
      <c r="K68" s="54" t="s">
        <v>20</v>
      </c>
    </row>
    <row r="69" spans="1:11">
      <c r="A69" s="26"/>
      <c r="B69" s="55" t="s">
        <v>21</v>
      </c>
      <c r="C69" s="59" t="s">
        <v>36</v>
      </c>
      <c r="D69" s="60"/>
      <c r="E69" s="61"/>
      <c r="F69" s="24"/>
      <c r="G69" s="25">
        <v>698400000</v>
      </c>
      <c r="H69" s="27">
        <f>H24+J24</f>
        <v>113352000</v>
      </c>
      <c r="I69" s="27"/>
      <c r="J69" s="27">
        <v>0</v>
      </c>
      <c r="K69" s="33">
        <f t="shared" ref="K69:K71" si="1">G69-H69-J69</f>
        <v>585048000</v>
      </c>
    </row>
    <row r="70" spans="1:11">
      <c r="A70" s="26"/>
      <c r="B70" s="55" t="s">
        <v>22</v>
      </c>
      <c r="C70" s="59" t="s">
        <v>39</v>
      </c>
      <c r="D70" s="60"/>
      <c r="E70" s="61"/>
      <c r="F70" s="24"/>
      <c r="G70" s="28">
        <v>1231299821</v>
      </c>
      <c r="H70" s="27">
        <f t="shared" ref="H70:H71" si="2">H25+J25</f>
        <v>92159216</v>
      </c>
      <c r="I70" s="27"/>
      <c r="J70" s="27">
        <v>0</v>
      </c>
      <c r="K70" s="33">
        <f t="shared" si="1"/>
        <v>1139140605</v>
      </c>
    </row>
    <row r="71" spans="1:11">
      <c r="A71" s="26"/>
      <c r="B71" s="55" t="s">
        <v>23</v>
      </c>
      <c r="C71" s="59" t="s">
        <v>24</v>
      </c>
      <c r="D71" s="60"/>
      <c r="E71" s="61"/>
      <c r="F71" s="24"/>
      <c r="G71" s="25">
        <v>358099104</v>
      </c>
      <c r="H71" s="27">
        <f t="shared" si="2"/>
        <v>29592912</v>
      </c>
      <c r="I71" s="27"/>
      <c r="J71" s="27">
        <v>29592912</v>
      </c>
      <c r="K71" s="33">
        <f t="shared" si="1"/>
        <v>298913280</v>
      </c>
    </row>
    <row r="72" spans="1:11">
      <c r="A72" s="34"/>
      <c r="B72" s="34"/>
      <c r="C72" s="34" t="s">
        <v>25</v>
      </c>
      <c r="D72" s="34"/>
      <c r="E72" s="34"/>
      <c r="F72" s="35"/>
      <c r="G72" s="36">
        <f>SUM(G68:G71)</f>
        <v>2287798925</v>
      </c>
      <c r="H72" s="37">
        <f>SUM(H69:H71)</f>
        <v>235104128</v>
      </c>
      <c r="I72" s="37"/>
      <c r="J72" s="37">
        <f>SUM(J69:J71)</f>
        <v>29592912</v>
      </c>
      <c r="K72" s="37">
        <f>SUM(K69:K71)</f>
        <v>2023101885</v>
      </c>
    </row>
    <row r="73" spans="1:11">
      <c r="A73" s="38"/>
      <c r="B73" s="8"/>
      <c r="C73" s="8"/>
      <c r="D73" s="8"/>
      <c r="E73" s="8"/>
      <c r="F73" s="8"/>
      <c r="G73" s="39"/>
      <c r="H73" s="39"/>
      <c r="I73" s="39"/>
      <c r="J73" s="39"/>
      <c r="K73" s="39"/>
    </row>
    <row r="74" spans="1:11">
      <c r="A74" s="62" t="s">
        <v>26</v>
      </c>
      <c r="B74" s="62"/>
      <c r="C74" s="62"/>
      <c r="D74" s="11" t="s">
        <v>4</v>
      </c>
      <c r="E74" s="14">
        <f>J72</f>
        <v>29592912</v>
      </c>
      <c r="F74" s="40"/>
      <c r="G74" s="41"/>
      <c r="H74" s="41"/>
      <c r="I74" s="41"/>
      <c r="J74" s="9"/>
      <c r="K74" s="9"/>
    </row>
    <row r="75" spans="1:11">
      <c r="A75" s="10" t="s">
        <v>27</v>
      </c>
      <c r="B75" s="10"/>
      <c r="C75" s="10"/>
      <c r="D75" s="11" t="s">
        <v>4</v>
      </c>
      <c r="E75" s="42"/>
      <c r="F75" s="42"/>
      <c r="G75" s="43"/>
      <c r="H75" s="12"/>
      <c r="I75" s="12"/>
      <c r="J75" s="9"/>
      <c r="K75" s="9"/>
    </row>
    <row r="76" spans="1:11">
      <c r="A76" s="10" t="s">
        <v>28</v>
      </c>
      <c r="B76" s="10"/>
      <c r="C76" s="10"/>
      <c r="D76" s="11" t="s">
        <v>4</v>
      </c>
      <c r="E76" s="44"/>
      <c r="F76" s="44"/>
      <c r="G76" s="43"/>
      <c r="H76" s="12"/>
      <c r="I76" s="12"/>
      <c r="J76" s="9"/>
      <c r="K76" s="9"/>
    </row>
    <row r="77" spans="1:11">
      <c r="A77" s="10" t="s">
        <v>29</v>
      </c>
      <c r="B77" s="10"/>
      <c r="C77" s="10"/>
      <c r="D77" s="11" t="s">
        <v>4</v>
      </c>
      <c r="E77" s="44">
        <f>E75+E76</f>
        <v>0</v>
      </c>
      <c r="F77" s="44"/>
      <c r="G77" s="10"/>
      <c r="H77" s="12"/>
      <c r="I77" s="12"/>
      <c r="J77" s="46"/>
      <c r="K77" s="46"/>
    </row>
    <row r="78" spans="1:11">
      <c r="A78" s="13"/>
      <c r="B78" s="13"/>
      <c r="C78" s="13"/>
      <c r="D78" s="11"/>
      <c r="E78" s="13"/>
      <c r="F78" s="13"/>
      <c r="G78" s="10"/>
      <c r="H78" s="12"/>
      <c r="I78" s="12"/>
      <c r="J78" s="46"/>
      <c r="K78" s="46"/>
    </row>
    <row r="79" spans="1:11">
      <c r="A79" s="62" t="s">
        <v>30</v>
      </c>
      <c r="B79" s="62"/>
      <c r="C79" s="62"/>
      <c r="D79" s="11" t="s">
        <v>4</v>
      </c>
      <c r="E79" s="40">
        <f>E74-E77</f>
        <v>29592912</v>
      </c>
      <c r="F79" s="40"/>
      <c r="G79" s="10"/>
      <c r="H79" s="12"/>
      <c r="I79" s="12"/>
      <c r="J79" s="46"/>
      <c r="K79" s="46"/>
    </row>
    <row r="80" spans="1:11" ht="15.75">
      <c r="A80" s="13"/>
      <c r="B80" s="13"/>
      <c r="C80" s="10"/>
      <c r="D80" s="10"/>
      <c r="E80" s="16" t="str">
        <f>PROPER(IF(E79=0,"nol",IF(E79&lt;0,"minus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79),"000000000000000"),1,3)=0,"",MID(TEXT(ABS(E79),"000000000000000"),1,1)&amp;" ratus "&amp;MID(TEXT(ABS(E79),"000000000000000"),2,1)&amp;" puluh "&amp;MID(TEXT(ABS(E79),"000000000000000"),3,1)&amp;" trilyun ")&amp;IF(--MID(TEXT(ABS(E79),"000000000000000"),4,3)=0,"",MID(TEXT(ABS(E79),"000000000000000"),4,1)&amp;" ratus "&amp;MID(TEXT(ABS(E79),"000000000000000"),5,1)&amp;" puluh "&amp;MID(TEXT(ABS(E79),"000000000000000"),6,1)&amp;" milyar ")&amp;IF(--MID(TEXT(ABS(E79),"000000000000000"),7,3)=0,"",MID(TEXT(ABS(E79),"000000000000000"),7,1)&amp;" ratus "&amp;MID(TEXT(ABS(E79),"000000000000000"),8,1)&amp;" puluh "&amp;MID(TEXT(ABS(E79),"000000000000000"),9,1)&amp;" juta ")&amp;IF(--MID(TEXT(ABS(E79),"000000000000000"),10,3)=0,"",IF(--MID(TEXT(ABS(E79),"000000000000000"),10,3)=1,"*",MID(TEXT(ABS(E79),"000000000000000"),10,1)&amp;" ratus "&amp;MID(TEXT(ABS(E79),"000000000000000"),11,1)&amp;" puluh ")&amp;MID(TEXT(ABS(E79),"000000000000000"),12,1)&amp;" ribu ")&amp;IF(--MID(TEXT(ABS(E79),"000000000000000"),13,3)=0,"",MID(TEXT(ABS(E79),"000000000000000"),13,1)&amp;" ratus "&amp;MID(TEXT(ABS(E79),"000000000000000"),14,1)&amp;" puluh "&amp;MID(TEXT(ABS(E79),"000000000000000"),15,1)),1,"satu"),2,"dua"),3,"tiga"),4,"empat"),5,"lima"),6,"enam"),7,"tujuh"),8,"delapan"),9,"sembilan"),"0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Sembilan Juta Lima Ratus Sembilan Puluh Dua Ribu Sembilan Ratus Duabelas Rupiah</v>
      </c>
      <c r="F80" s="10"/>
      <c r="G80" s="10"/>
      <c r="H80" s="10"/>
      <c r="I80" s="10"/>
      <c r="J80" s="46"/>
      <c r="K80" s="46"/>
    </row>
    <row r="81" spans="1:11">
      <c r="A81" s="45"/>
      <c r="B81" s="45"/>
      <c r="C81" s="45"/>
      <c r="D81" s="45"/>
      <c r="E81" s="45"/>
      <c r="F81" s="45"/>
      <c r="G81" s="29"/>
      <c r="H81" s="46"/>
      <c r="I81" s="46"/>
      <c r="J81" s="46"/>
      <c r="K81" s="46"/>
    </row>
    <row r="82" spans="1:11">
      <c r="A82" s="29"/>
      <c r="B82" s="29"/>
      <c r="C82" s="29"/>
      <c r="D82" s="29"/>
      <c r="E82" s="29"/>
      <c r="F82" s="29"/>
      <c r="G82" s="29"/>
      <c r="H82"/>
      <c r="I82"/>
      <c r="J82" s="46"/>
      <c r="K82" s="46"/>
    </row>
    <row r="83" spans="1:11">
      <c r="A83" s="13"/>
      <c r="B83" s="13"/>
      <c r="C83" s="10"/>
      <c r="D83" s="10"/>
      <c r="E83" s="10"/>
      <c r="F83" s="10"/>
      <c r="G83" s="10"/>
      <c r="I83" s="47"/>
      <c r="J83" s="47" t="s">
        <v>45</v>
      </c>
      <c r="K83" s="46"/>
    </row>
    <row r="84" spans="1:11">
      <c r="A84" s="12" t="s">
        <v>31</v>
      </c>
      <c r="B84" s="10"/>
      <c r="C84" s="10"/>
      <c r="D84" s="10"/>
      <c r="E84" s="10"/>
      <c r="F84" s="10"/>
      <c r="G84" s="10"/>
      <c r="I84" s="12"/>
      <c r="J84" s="12" t="s">
        <v>32</v>
      </c>
      <c r="K84" s="46"/>
    </row>
    <row r="85" spans="1:11">
      <c r="A85" s="10"/>
      <c r="B85" s="10"/>
      <c r="C85" s="10"/>
      <c r="D85" s="10"/>
      <c r="E85" s="10"/>
      <c r="F85" s="10"/>
      <c r="G85" s="10"/>
      <c r="I85" s="12"/>
      <c r="J85" s="12"/>
      <c r="K85" s="46"/>
    </row>
    <row r="86" spans="1:11">
      <c r="A86" s="10"/>
      <c r="B86" s="10"/>
      <c r="C86" s="10"/>
      <c r="D86" s="10"/>
      <c r="E86" s="10"/>
      <c r="F86" s="10"/>
      <c r="G86" s="10"/>
      <c r="I86" s="12"/>
      <c r="J86" s="12"/>
      <c r="K86" s="46"/>
    </row>
    <row r="87" spans="1:11">
      <c r="A87" s="10"/>
      <c r="B87" s="10"/>
      <c r="C87" s="10"/>
      <c r="D87" s="10"/>
      <c r="E87" s="10"/>
      <c r="F87" s="10"/>
      <c r="G87" s="10"/>
      <c r="I87" s="12"/>
      <c r="J87" s="12"/>
      <c r="K87" s="46"/>
    </row>
    <row r="88" spans="1:11">
      <c r="A88" s="10"/>
      <c r="B88" s="10"/>
      <c r="C88" s="10"/>
      <c r="D88" s="10"/>
      <c r="E88" s="10"/>
      <c r="F88" s="10"/>
      <c r="G88" s="10"/>
      <c r="I88" s="12"/>
      <c r="J88" s="12"/>
      <c r="K88" s="46"/>
    </row>
    <row r="89" spans="1:11">
      <c r="A89" s="56" t="s">
        <v>38</v>
      </c>
      <c r="B89" s="48"/>
      <c r="C89" s="49"/>
      <c r="D89" s="49"/>
      <c r="E89" s="49"/>
      <c r="F89" s="49"/>
      <c r="G89" s="10" t="s">
        <v>33</v>
      </c>
      <c r="I89" s="48"/>
      <c r="J89" s="48" t="s">
        <v>34</v>
      </c>
      <c r="K89" s="46"/>
    </row>
    <row r="94" spans="1:11" ht="15.75">
      <c r="C94" s="2"/>
      <c r="D94" s="2"/>
      <c r="E94" s="2"/>
      <c r="F94" s="2"/>
    </row>
    <row r="95" spans="1:11" ht="15.75">
      <c r="A95" s="3"/>
      <c r="B95" s="3"/>
      <c r="C95" s="2"/>
      <c r="D95" s="2"/>
      <c r="E95" s="2"/>
      <c r="F95" s="2"/>
      <c r="G95" s="3"/>
      <c r="H95" s="4"/>
      <c r="I95" s="4"/>
      <c r="J95" s="4"/>
      <c r="K95" s="5"/>
    </row>
    <row r="96" spans="1:11">
      <c r="H96" s="5"/>
      <c r="I96" s="5"/>
      <c r="J96" s="5"/>
      <c r="K96" s="5"/>
    </row>
    <row r="97" spans="1:11">
      <c r="H97" s="5"/>
      <c r="I97" s="5"/>
      <c r="J97" s="5"/>
      <c r="K97" s="5"/>
    </row>
    <row r="98" spans="1:11">
      <c r="A98" s="70" t="s">
        <v>0</v>
      </c>
      <c r="B98" s="70"/>
      <c r="C98" s="71"/>
      <c r="D98" s="71"/>
      <c r="E98" s="71"/>
      <c r="F98" s="71"/>
      <c r="G98" s="71"/>
      <c r="H98" s="71"/>
      <c r="I98" s="71"/>
      <c r="J98" s="71"/>
      <c r="K98" s="71"/>
    </row>
    <row r="99" spans="1:11">
      <c r="A99" s="71" t="s">
        <v>47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spans="1:11">
      <c r="A100" s="71" t="s">
        <v>1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spans="1:11">
      <c r="A101" s="71" t="s">
        <v>37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spans="1:11">
      <c r="A102" s="71" t="s">
        <v>2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spans="1:11">
      <c r="A103" s="6"/>
      <c r="B103" s="6"/>
      <c r="C103" s="7"/>
      <c r="D103" s="7"/>
      <c r="E103" s="7"/>
      <c r="F103" s="7"/>
      <c r="G103" s="8"/>
      <c r="H103" s="9"/>
      <c r="I103" s="9"/>
      <c r="J103" s="9"/>
      <c r="K103" s="9"/>
    </row>
    <row r="104" spans="1:11">
      <c r="A104" s="52" t="s">
        <v>3</v>
      </c>
      <c r="B104" s="10"/>
      <c r="C104" s="10"/>
      <c r="D104" s="53" t="s">
        <v>4</v>
      </c>
      <c r="E104" s="10" t="s">
        <v>5</v>
      </c>
      <c r="F104" s="11"/>
      <c r="G104" s="10"/>
      <c r="H104" s="12"/>
      <c r="I104" s="12"/>
      <c r="J104" s="12"/>
      <c r="K104" s="9"/>
    </row>
    <row r="105" spans="1:11">
      <c r="A105" s="52" t="s">
        <v>6</v>
      </c>
      <c r="B105" s="10"/>
      <c r="C105" s="10"/>
      <c r="D105" s="53" t="s">
        <v>4</v>
      </c>
      <c r="E105" s="10" t="s">
        <v>7</v>
      </c>
      <c r="F105" s="11"/>
      <c r="G105" s="10"/>
      <c r="H105" s="12"/>
      <c r="I105" s="12"/>
      <c r="J105" s="12"/>
      <c r="K105" s="9"/>
    </row>
    <row r="106" spans="1:11">
      <c r="A106" s="52" t="s">
        <v>8</v>
      </c>
      <c r="B106" s="10"/>
      <c r="C106" s="10"/>
      <c r="D106" s="53" t="s">
        <v>4</v>
      </c>
      <c r="E106" s="13">
        <v>2026</v>
      </c>
      <c r="F106" s="11"/>
      <c r="G106" s="13"/>
      <c r="H106" s="12"/>
      <c r="I106" s="12"/>
      <c r="J106" s="12"/>
      <c r="K106" s="9"/>
    </row>
    <row r="107" spans="1:11">
      <c r="A107" s="52" t="s">
        <v>9</v>
      </c>
      <c r="B107" s="10"/>
      <c r="C107" s="10"/>
      <c r="D107" s="53" t="s">
        <v>4</v>
      </c>
      <c r="E107" s="14">
        <f>J117</f>
        <v>94504671</v>
      </c>
      <c r="F107" s="11"/>
      <c r="G107" s="14"/>
      <c r="H107" s="12"/>
      <c r="I107" s="12"/>
      <c r="J107" s="12"/>
      <c r="K107" s="9"/>
    </row>
    <row r="108" spans="1:11" ht="15.75">
      <c r="A108" s="10"/>
      <c r="B108" s="10"/>
      <c r="C108" s="15" t="s">
        <v>10</v>
      </c>
      <c r="D108" s="53" t="s">
        <v>4</v>
      </c>
      <c r="E108" s="16" t="str">
        <f>PROPER(IF(E107=0,"nol",IF(E107&lt;0,"minus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107),"000000000000000"),1,3)=0,"",MID(TEXT(ABS(E107),"000000000000000"),1,1)&amp;" ratus "&amp;MID(TEXT(ABS(E107),"000000000000000"),2,1)&amp;" puluh "&amp;MID(TEXT(ABS(E107),"000000000000000"),3,1)&amp;" trilyun ")&amp;IF(--MID(TEXT(ABS(E107),"000000000000000"),4,3)=0,"",MID(TEXT(ABS(E107),"000000000000000"),4,1)&amp;" ratus "&amp;MID(TEXT(ABS(E107),"000000000000000"),5,1)&amp;" puluh "&amp;MID(TEXT(ABS(E107),"000000000000000"),6,1)&amp;" milyar ")&amp;IF(--MID(TEXT(ABS(E107),"000000000000000"),7,3)=0,"",MID(TEXT(ABS(E107),"000000000000000"),7,1)&amp;" ratus "&amp;MID(TEXT(ABS(E107),"000000000000000"),8,1)&amp;" puluh "&amp;MID(TEXT(ABS(E107),"000000000000000"),9,1)&amp;" juta ")&amp;IF(--MID(TEXT(ABS(E107),"000000000000000"),10,3)=0,"",IF(--MID(TEXT(ABS(E107),"000000000000000"),10,3)=1,"*",MID(TEXT(ABS(E107),"000000000000000"),10,1)&amp;" ratus "&amp;MID(TEXT(ABS(E107),"000000000000000"),11,1)&amp;" puluh ")&amp;MID(TEXT(ABS(E107),"000000000000000"),12,1)&amp;" ribu ")&amp;IF(--MID(TEXT(ABS(E107),"000000000000000"),13,3)=0,"",MID(TEXT(ABS(E107),"000000000000000"),13,1)&amp;" ratus "&amp;MID(TEXT(ABS(E107),"000000000000000"),14,1)&amp;" puluh "&amp;MID(TEXT(ABS(E107),"000000000000000"),15,1)),1,"satu"),2,"dua"),3,"tiga"),4,"empat"),5,"lima"),6,"enam"),7,"tujuh"),8,"delapan"),9,"sembilan"),"0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Empat Juta Lima Ratus Empat Ribu Enam Ratus Tujuh Puluh Satu Rupiah</v>
      </c>
      <c r="F108" s="11"/>
      <c r="G108" s="16"/>
      <c r="H108" s="12"/>
      <c r="I108" s="12"/>
      <c r="J108" s="12"/>
      <c r="K108" s="9"/>
    </row>
    <row r="109" spans="1:11" ht="15.75">
      <c r="A109" s="10"/>
      <c r="B109" s="10"/>
      <c r="C109" s="15"/>
      <c r="D109" s="15"/>
      <c r="E109" s="15"/>
      <c r="F109" s="11"/>
      <c r="G109" s="16"/>
      <c r="H109" s="12"/>
      <c r="I109" s="12"/>
      <c r="J109" s="12"/>
      <c r="K109" s="9"/>
    </row>
    <row r="110" spans="1:11">
      <c r="A110" s="10" t="s">
        <v>11</v>
      </c>
      <c r="B110" s="10"/>
      <c r="C110" s="10"/>
      <c r="D110" s="10"/>
      <c r="E110" s="10"/>
      <c r="F110" s="10"/>
      <c r="G110" s="10"/>
      <c r="H110" s="12"/>
      <c r="I110" s="12"/>
      <c r="J110" s="12"/>
      <c r="K110" s="9"/>
    </row>
    <row r="111" spans="1:11">
      <c r="A111" s="63" t="s">
        <v>12</v>
      </c>
      <c r="B111" s="63"/>
      <c r="C111" s="63"/>
      <c r="D111" s="63"/>
      <c r="E111" s="63"/>
      <c r="F111" s="63"/>
      <c r="G111" s="63"/>
      <c r="H111" s="63"/>
      <c r="I111" s="63"/>
      <c r="J111" s="63"/>
      <c r="K111" s="63"/>
    </row>
    <row r="112" spans="1:11" ht="60">
      <c r="A112" s="17" t="s">
        <v>13</v>
      </c>
      <c r="B112" s="18" t="s">
        <v>14</v>
      </c>
      <c r="C112" s="64" t="s">
        <v>15</v>
      </c>
      <c r="D112" s="65"/>
      <c r="E112" s="66"/>
      <c r="F112" s="19"/>
      <c r="G112" s="20" t="s">
        <v>16</v>
      </c>
      <c r="H112" s="21" t="s">
        <v>35</v>
      </c>
      <c r="I112" s="21"/>
      <c r="J112" s="31" t="s">
        <v>17</v>
      </c>
      <c r="K112" s="32" t="s">
        <v>18</v>
      </c>
    </row>
    <row r="113" spans="1:14">
      <c r="A113" s="22">
        <v>1</v>
      </c>
      <c r="B113" s="23"/>
      <c r="C113" s="67" t="s">
        <v>19</v>
      </c>
      <c r="D113" s="68"/>
      <c r="E113" s="69"/>
      <c r="F113" s="24"/>
      <c r="G113" s="54" t="s">
        <v>20</v>
      </c>
      <c r="H113" s="54" t="s">
        <v>20</v>
      </c>
      <c r="I113" s="54"/>
      <c r="J113" s="54" t="s">
        <v>20</v>
      </c>
      <c r="K113" s="54" t="s">
        <v>20</v>
      </c>
    </row>
    <row r="114" spans="1:14">
      <c r="A114" s="26"/>
      <c r="B114" s="55" t="s">
        <v>21</v>
      </c>
      <c r="C114" s="59" t="s">
        <v>36</v>
      </c>
      <c r="D114" s="60"/>
      <c r="E114" s="61"/>
      <c r="F114" s="24"/>
      <c r="G114" s="25">
        <v>698400000</v>
      </c>
      <c r="H114" s="27">
        <f>H69+J69</f>
        <v>113352000</v>
      </c>
      <c r="I114" s="27"/>
      <c r="J114" s="27">
        <v>0</v>
      </c>
      <c r="K114" s="33">
        <f t="shared" ref="K114:K116" si="3">G114-H114-J114</f>
        <v>585048000</v>
      </c>
    </row>
    <row r="115" spans="1:14">
      <c r="A115" s="26"/>
      <c r="B115" s="55" t="s">
        <v>22</v>
      </c>
      <c r="C115" s="59" t="s">
        <v>39</v>
      </c>
      <c r="D115" s="60"/>
      <c r="E115" s="61"/>
      <c r="F115" s="24"/>
      <c r="G115" s="28">
        <v>1231299821</v>
      </c>
      <c r="H115" s="27">
        <f t="shared" ref="H115:H116" si="4">H70+J70</f>
        <v>92159216</v>
      </c>
      <c r="I115" s="27"/>
      <c r="J115" s="27">
        <v>94504671</v>
      </c>
      <c r="K115" s="33">
        <f t="shared" si="3"/>
        <v>1044635934</v>
      </c>
      <c r="N115" s="57"/>
    </row>
    <row r="116" spans="1:14">
      <c r="A116" s="26"/>
      <c r="B116" s="55" t="s">
        <v>23</v>
      </c>
      <c r="C116" s="59" t="s">
        <v>24</v>
      </c>
      <c r="D116" s="60"/>
      <c r="E116" s="61"/>
      <c r="F116" s="24"/>
      <c r="G116" s="25">
        <v>358099104</v>
      </c>
      <c r="H116" s="27">
        <f t="shared" si="4"/>
        <v>59185824</v>
      </c>
      <c r="I116" s="27"/>
      <c r="J116" s="27">
        <v>0</v>
      </c>
      <c r="K116" s="33">
        <f t="shared" si="3"/>
        <v>298913280</v>
      </c>
    </row>
    <row r="117" spans="1:14">
      <c r="A117" s="34"/>
      <c r="B117" s="34"/>
      <c r="C117" s="34" t="s">
        <v>25</v>
      </c>
      <c r="D117" s="34"/>
      <c r="E117" s="34"/>
      <c r="F117" s="35"/>
      <c r="G117" s="36">
        <f>SUM(G113:G116)</f>
        <v>2287798925</v>
      </c>
      <c r="H117" s="37">
        <f>SUM(H114:H116)</f>
        <v>264697040</v>
      </c>
      <c r="I117" s="37"/>
      <c r="J117" s="37">
        <f>SUM(J114:J116)</f>
        <v>94504671</v>
      </c>
      <c r="K117" s="37">
        <f>SUM(K114:K116)</f>
        <v>1928597214</v>
      </c>
    </row>
    <row r="118" spans="1:14">
      <c r="A118" s="38"/>
      <c r="B118" s="8"/>
      <c r="C118" s="8"/>
      <c r="D118" s="8"/>
      <c r="E118" s="8"/>
      <c r="F118" s="8"/>
      <c r="G118" s="39"/>
      <c r="H118" s="39"/>
      <c r="I118" s="39"/>
      <c r="J118" s="39"/>
      <c r="K118" s="39"/>
    </row>
    <row r="119" spans="1:14">
      <c r="A119" s="62" t="s">
        <v>26</v>
      </c>
      <c r="B119" s="62"/>
      <c r="C119" s="62"/>
      <c r="D119" s="11" t="s">
        <v>4</v>
      </c>
      <c r="E119" s="14">
        <f>J117</f>
        <v>94504671</v>
      </c>
      <c r="F119" s="40"/>
      <c r="G119" s="41"/>
      <c r="H119" s="41"/>
      <c r="I119" s="41"/>
      <c r="J119" s="9"/>
      <c r="K119" s="9"/>
    </row>
    <row r="120" spans="1:14">
      <c r="A120" s="10" t="s">
        <v>27</v>
      </c>
      <c r="B120" s="10"/>
      <c r="C120" s="10"/>
      <c r="D120" s="11" t="s">
        <v>4</v>
      </c>
      <c r="E120" s="42"/>
      <c r="F120" s="42"/>
      <c r="G120" s="43"/>
      <c r="H120" s="12"/>
      <c r="I120" s="12"/>
      <c r="J120" s="9"/>
      <c r="K120" s="9"/>
    </row>
    <row r="121" spans="1:14">
      <c r="A121" s="10" t="s">
        <v>28</v>
      </c>
      <c r="B121" s="10"/>
      <c r="C121" s="10"/>
      <c r="D121" s="11" t="s">
        <v>4</v>
      </c>
      <c r="E121" s="44"/>
      <c r="F121" s="44"/>
      <c r="G121" s="43"/>
      <c r="H121" s="12"/>
      <c r="I121" s="12"/>
      <c r="J121" s="9"/>
      <c r="K121" s="9"/>
    </row>
    <row r="122" spans="1:14">
      <c r="A122" s="10" t="s">
        <v>29</v>
      </c>
      <c r="B122" s="10"/>
      <c r="C122" s="10"/>
      <c r="D122" s="11" t="s">
        <v>4</v>
      </c>
      <c r="E122" s="44">
        <f>E120+E121</f>
        <v>0</v>
      </c>
      <c r="F122" s="44"/>
      <c r="G122" s="10"/>
      <c r="H122" s="12"/>
      <c r="I122" s="12"/>
      <c r="J122" s="46"/>
      <c r="K122" s="46"/>
    </row>
    <row r="123" spans="1:14">
      <c r="A123" s="13"/>
      <c r="B123" s="13"/>
      <c r="C123" s="13"/>
      <c r="D123" s="11"/>
      <c r="E123" s="13"/>
      <c r="F123" s="13"/>
      <c r="G123" s="10"/>
      <c r="H123" s="12"/>
      <c r="I123" s="12"/>
      <c r="J123" s="46"/>
      <c r="K123" s="46"/>
    </row>
    <row r="124" spans="1:14">
      <c r="A124" s="62" t="s">
        <v>30</v>
      </c>
      <c r="B124" s="62"/>
      <c r="C124" s="62"/>
      <c r="D124" s="11" t="s">
        <v>4</v>
      </c>
      <c r="E124" s="40">
        <f>E119-E122</f>
        <v>94504671</v>
      </c>
      <c r="F124" s="40"/>
      <c r="G124" s="10"/>
      <c r="H124" s="12"/>
      <c r="I124" s="12"/>
      <c r="J124" s="46"/>
      <c r="K124" s="46"/>
    </row>
    <row r="125" spans="1:14" ht="15.75">
      <c r="A125" s="13"/>
      <c r="B125" s="13"/>
      <c r="C125" s="10"/>
      <c r="D125" s="10"/>
      <c r="E125" s="16" t="str">
        <f>PROPER(IF(E124=0,"nol",IF(E124&lt;0,"minus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124),"000000000000000"),1,3)=0,"",MID(TEXT(ABS(E124),"000000000000000"),1,1)&amp;" ratus "&amp;MID(TEXT(ABS(E124),"000000000000000"),2,1)&amp;" puluh "&amp;MID(TEXT(ABS(E124),"000000000000000"),3,1)&amp;" trilyun ")&amp;IF(--MID(TEXT(ABS(E124),"000000000000000"),4,3)=0,"",MID(TEXT(ABS(E124),"000000000000000"),4,1)&amp;" ratus "&amp;MID(TEXT(ABS(E124),"000000000000000"),5,1)&amp;" puluh "&amp;MID(TEXT(ABS(E124),"000000000000000"),6,1)&amp;" milyar ")&amp;IF(--MID(TEXT(ABS(E124),"000000000000000"),7,3)=0,"",MID(TEXT(ABS(E124),"000000000000000"),7,1)&amp;" ratus "&amp;MID(TEXT(ABS(E124),"000000000000000"),8,1)&amp;" puluh "&amp;MID(TEXT(ABS(E124),"000000000000000"),9,1)&amp;" juta ")&amp;IF(--MID(TEXT(ABS(E124),"000000000000000"),10,3)=0,"",IF(--MID(TEXT(ABS(E124),"000000000000000"),10,3)=1,"*",MID(TEXT(ABS(E124),"000000000000000"),10,1)&amp;" ratus "&amp;MID(TEXT(ABS(E124),"000000000000000"),11,1)&amp;" puluh ")&amp;MID(TEXT(ABS(E124),"000000000000000"),12,1)&amp;" ribu ")&amp;IF(--MID(TEXT(ABS(E124),"000000000000000"),13,3)=0,"",MID(TEXT(ABS(E124),"000000000000000"),13,1)&amp;" ratus "&amp;MID(TEXT(ABS(E124),"000000000000000"),14,1)&amp;" puluh "&amp;MID(TEXT(ABS(E124),"000000000000000"),15,1)),1,"satu"),2,"dua"),3,"tiga"),4,"empat"),5,"lima"),6,"enam"),7,"tujuh"),8,"delapan"),9,"sembilan"),"0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Empat Juta Lima Ratus Empat Ribu Enam Ratus Tujuh Puluh Satu Rupiah</v>
      </c>
      <c r="F125" s="10"/>
      <c r="G125" s="10"/>
      <c r="H125" s="10"/>
      <c r="I125" s="10"/>
      <c r="J125" s="46"/>
      <c r="K125" s="46"/>
    </row>
    <row r="126" spans="1:14">
      <c r="A126" s="45"/>
      <c r="B126" s="45"/>
      <c r="C126" s="45"/>
      <c r="D126" s="45"/>
      <c r="E126" s="45"/>
      <c r="F126" s="45"/>
      <c r="G126" s="29"/>
      <c r="H126" s="46"/>
      <c r="I126" s="46"/>
      <c r="J126" s="46"/>
      <c r="K126" s="46"/>
    </row>
    <row r="127" spans="1:14">
      <c r="A127" s="29"/>
      <c r="B127" s="29"/>
      <c r="C127" s="29"/>
      <c r="D127" s="29"/>
      <c r="E127" s="29"/>
      <c r="F127" s="29"/>
      <c r="G127" s="29"/>
      <c r="H127"/>
      <c r="I127"/>
      <c r="J127" s="46"/>
      <c r="K127" s="46"/>
    </row>
    <row r="128" spans="1:14">
      <c r="A128" s="13"/>
      <c r="B128" s="13"/>
      <c r="C128" s="10"/>
      <c r="D128" s="10"/>
      <c r="E128" s="10"/>
      <c r="F128" s="10"/>
      <c r="G128" s="10"/>
      <c r="I128" s="47"/>
      <c r="J128" s="47" t="s">
        <v>45</v>
      </c>
      <c r="K128" s="46"/>
    </row>
    <row r="129" spans="1:11">
      <c r="A129" s="12" t="s">
        <v>31</v>
      </c>
      <c r="B129" s="10"/>
      <c r="C129" s="10"/>
      <c r="D129" s="10"/>
      <c r="E129" s="10"/>
      <c r="F129" s="10"/>
      <c r="G129" s="10"/>
      <c r="I129" s="12"/>
      <c r="J129" s="12" t="s">
        <v>32</v>
      </c>
      <c r="K129" s="46"/>
    </row>
    <row r="130" spans="1:11">
      <c r="A130" s="10"/>
      <c r="B130" s="10"/>
      <c r="C130" s="10"/>
      <c r="D130" s="10"/>
      <c r="E130" s="10"/>
      <c r="F130" s="10"/>
      <c r="G130" s="10"/>
      <c r="I130" s="12"/>
      <c r="J130" s="12"/>
      <c r="K130" s="46"/>
    </row>
    <row r="131" spans="1:11">
      <c r="A131" s="10"/>
      <c r="B131" s="10"/>
      <c r="C131" s="10"/>
      <c r="D131" s="10"/>
      <c r="E131" s="10"/>
      <c r="F131" s="10"/>
      <c r="G131" s="10"/>
      <c r="I131" s="12"/>
      <c r="J131" s="12"/>
      <c r="K131" s="46"/>
    </row>
    <row r="132" spans="1:11">
      <c r="A132" s="10"/>
      <c r="B132" s="10"/>
      <c r="C132" s="10"/>
      <c r="D132" s="10"/>
      <c r="E132" s="10"/>
      <c r="F132" s="10"/>
      <c r="G132" s="10"/>
      <c r="I132" s="12"/>
      <c r="J132" s="12"/>
      <c r="K132" s="46"/>
    </row>
    <row r="133" spans="1:11">
      <c r="A133" s="10"/>
      <c r="B133" s="10"/>
      <c r="C133" s="10"/>
      <c r="D133" s="10"/>
      <c r="E133" s="10"/>
      <c r="F133" s="10"/>
      <c r="G133" s="10"/>
      <c r="I133" s="12"/>
      <c r="J133" s="12"/>
      <c r="K133" s="46"/>
    </row>
    <row r="134" spans="1:11">
      <c r="A134" s="56" t="s">
        <v>38</v>
      </c>
      <c r="B134" s="48"/>
      <c r="C134" s="49"/>
      <c r="D134" s="49"/>
      <c r="E134" s="49"/>
      <c r="F134" s="49"/>
      <c r="G134" s="10" t="s">
        <v>33</v>
      </c>
      <c r="I134" s="48"/>
      <c r="J134" s="48" t="s">
        <v>34</v>
      </c>
      <c r="K134" s="46"/>
    </row>
  </sheetData>
  <mergeCells count="39">
    <mergeCell ref="A21:K21"/>
    <mergeCell ref="A8:K8"/>
    <mergeCell ref="A9:K9"/>
    <mergeCell ref="A10:K10"/>
    <mergeCell ref="A11:K11"/>
    <mergeCell ref="A12:K12"/>
    <mergeCell ref="A57:K57"/>
    <mergeCell ref="C22:E22"/>
    <mergeCell ref="C23:E23"/>
    <mergeCell ref="C24:E24"/>
    <mergeCell ref="C25:E25"/>
    <mergeCell ref="C26:E26"/>
    <mergeCell ref="A29:C29"/>
    <mergeCell ref="A34:C34"/>
    <mergeCell ref="A53:K53"/>
    <mergeCell ref="A54:K54"/>
    <mergeCell ref="A55:K55"/>
    <mergeCell ref="A56:K56"/>
    <mergeCell ref="A101:K101"/>
    <mergeCell ref="A66:K66"/>
    <mergeCell ref="C67:E67"/>
    <mergeCell ref="C68:E68"/>
    <mergeCell ref="C69:E69"/>
    <mergeCell ref="C70:E70"/>
    <mergeCell ref="C71:E71"/>
    <mergeCell ref="A74:C74"/>
    <mergeCell ref="A79:C79"/>
    <mergeCell ref="A98:K98"/>
    <mergeCell ref="A99:K99"/>
    <mergeCell ref="A100:K100"/>
    <mergeCell ref="C116:E116"/>
    <mergeCell ref="A119:C119"/>
    <mergeCell ref="A124:C124"/>
    <mergeCell ref="A102:K102"/>
    <mergeCell ref="A111:K111"/>
    <mergeCell ref="C112:E112"/>
    <mergeCell ref="C113:E113"/>
    <mergeCell ref="C114:E114"/>
    <mergeCell ref="C115:E115"/>
  </mergeCells>
  <pageMargins left="0.23622047244094491" right="0.23622047244094491" top="0.15748031496062992" bottom="0.74803149606299213" header="0.31496062992125984" footer="0.31496062992125984"/>
  <pageSetup paperSize="9" scale="81" orientation="portrait" horizontalDpi="4294967293" r:id="rId1"/>
  <rowBreaks count="2" manualBreakCount="2">
    <brk id="45" max="10" man="1"/>
    <brk id="90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2431-A562-4D99-B6D9-90399B00AD03}">
  <dimension ref="A1:W134"/>
  <sheetViews>
    <sheetView tabSelected="1" view="pageBreakPreview" topLeftCell="A86" zoomScaleNormal="100" workbookViewId="0">
      <selection activeCell="K134" sqref="A91:K134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8.8554687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16.710937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70" t="s">
        <v>0</v>
      </c>
      <c r="B8" s="70"/>
      <c r="C8" s="71"/>
      <c r="D8" s="71"/>
      <c r="E8" s="71"/>
      <c r="F8" s="71"/>
      <c r="G8" s="71"/>
      <c r="H8" s="71"/>
      <c r="I8" s="71"/>
      <c r="J8" s="71"/>
      <c r="K8" s="71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71" t="s">
        <v>48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71" t="s">
        <v>1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71" t="s">
        <v>37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71" t="s">
        <v>2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2" t="s">
        <v>3</v>
      </c>
      <c r="B14" s="10"/>
      <c r="C14" s="10"/>
      <c r="D14" s="53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2" t="s">
        <v>6</v>
      </c>
      <c r="B15" s="10"/>
      <c r="C15" s="10"/>
      <c r="D15" s="53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2" t="s">
        <v>8</v>
      </c>
      <c r="B16" s="10"/>
      <c r="C16" s="10"/>
      <c r="D16" s="53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2" t="s">
        <v>9</v>
      </c>
      <c r="B17" s="10"/>
      <c r="C17" s="10"/>
      <c r="D17" s="53" t="s">
        <v>4</v>
      </c>
      <c r="E17" s="14">
        <f>J27</f>
        <v>1431818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3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Empat Ratus Tiga Puluh Satu Ribu Delapan Ratus Delapanbelas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63" t="s">
        <v>12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64" t="s">
        <v>15</v>
      </c>
      <c r="D22" s="65"/>
      <c r="E22" s="66"/>
      <c r="F22" s="19"/>
      <c r="G22" s="20" t="s">
        <v>16</v>
      </c>
      <c r="H22" s="21" t="s">
        <v>35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 ht="15" customHeight="1">
      <c r="A23" s="22">
        <v>1</v>
      </c>
      <c r="B23" s="23"/>
      <c r="C23" s="67" t="s">
        <v>19</v>
      </c>
      <c r="D23" s="68"/>
      <c r="E23" s="69"/>
      <c r="F23" s="24"/>
      <c r="G23" s="54" t="s">
        <v>20</v>
      </c>
      <c r="H23" s="54" t="s">
        <v>20</v>
      </c>
      <c r="I23" s="54"/>
      <c r="J23" s="54" t="s">
        <v>20</v>
      </c>
      <c r="K23" s="54" t="s">
        <v>20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 ht="15" customHeight="1">
      <c r="A24" s="26"/>
      <c r="B24" s="55" t="s">
        <v>21</v>
      </c>
      <c r="C24" s="59" t="s">
        <v>36</v>
      </c>
      <c r="D24" s="60"/>
      <c r="E24" s="61"/>
      <c r="F24" s="24"/>
      <c r="G24" s="25">
        <v>698400000</v>
      </c>
      <c r="H24" s="27">
        <f>FEBRUARI!H114+FEBRUARI!J114</f>
        <v>113352000</v>
      </c>
      <c r="I24" s="27"/>
      <c r="J24" s="27">
        <v>0</v>
      </c>
      <c r="K24" s="33">
        <f t="shared" ref="K24:K26" si="0">G24-H24-J24</f>
        <v>585048000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6"/>
      <c r="B25" s="55" t="s">
        <v>22</v>
      </c>
      <c r="C25" s="59" t="s">
        <v>39</v>
      </c>
      <c r="D25" s="60"/>
      <c r="E25" s="61"/>
      <c r="F25" s="24"/>
      <c r="G25" s="28">
        <v>1231299821</v>
      </c>
      <c r="H25" s="27">
        <f>FEBRUARI!H115+FEBRUARI!J115</f>
        <v>186663887</v>
      </c>
      <c r="I25" s="27"/>
      <c r="J25" s="27">
        <v>1431818</v>
      </c>
      <c r="K25" s="33">
        <f t="shared" si="0"/>
        <v>1043204116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 ht="15.75" customHeight="1">
      <c r="A26" s="26"/>
      <c r="B26" s="55" t="s">
        <v>23</v>
      </c>
      <c r="C26" s="59" t="s">
        <v>24</v>
      </c>
      <c r="D26" s="60"/>
      <c r="E26" s="61"/>
      <c r="F26" s="24"/>
      <c r="G26" s="25">
        <v>358099104</v>
      </c>
      <c r="H26" s="27">
        <f>FEBRUARI!H116+FEBRUARI!J116</f>
        <v>59185824</v>
      </c>
      <c r="I26" s="27"/>
      <c r="J26" s="27">
        <v>0</v>
      </c>
      <c r="K26" s="33">
        <f t="shared" si="0"/>
        <v>298913280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34"/>
      <c r="B27" s="34"/>
      <c r="C27" s="34" t="s">
        <v>25</v>
      </c>
      <c r="D27" s="34"/>
      <c r="E27" s="34"/>
      <c r="F27" s="35"/>
      <c r="G27" s="36">
        <f>SUM(G23:G26)</f>
        <v>2287798925</v>
      </c>
      <c r="H27" s="37">
        <f>SUM(H24:H26)</f>
        <v>359201711</v>
      </c>
      <c r="I27" s="37"/>
      <c r="J27" s="37">
        <f>SUM(J24:J26)</f>
        <v>1431818</v>
      </c>
      <c r="K27" s="37">
        <f>SUM(K24:K26)</f>
        <v>1927165396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38"/>
      <c r="B28" s="8"/>
      <c r="C28" s="8"/>
      <c r="D28" s="8"/>
      <c r="E28" s="8"/>
      <c r="F28" s="8"/>
      <c r="G28" s="39"/>
      <c r="H28" s="39"/>
      <c r="I28" s="39"/>
      <c r="J28" s="39"/>
      <c r="K28" s="39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62" t="s">
        <v>26</v>
      </c>
      <c r="B29" s="62"/>
      <c r="C29" s="62"/>
      <c r="D29" s="11" t="s">
        <v>4</v>
      </c>
      <c r="E29" s="14">
        <f>J27</f>
        <v>1431818</v>
      </c>
      <c r="F29" s="40"/>
      <c r="G29" s="41"/>
      <c r="H29" s="41"/>
      <c r="I29" s="41"/>
      <c r="J29" s="9"/>
      <c r="K29" s="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10" t="s">
        <v>27</v>
      </c>
      <c r="B30" s="10"/>
      <c r="C30" s="10"/>
      <c r="D30" s="11" t="s">
        <v>4</v>
      </c>
      <c r="E30" s="42"/>
      <c r="F30" s="42"/>
      <c r="G30" s="43"/>
      <c r="H30" s="12"/>
      <c r="I30" s="12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28</v>
      </c>
      <c r="B31" s="10"/>
      <c r="C31" s="10"/>
      <c r="D31" s="11" t="s">
        <v>4</v>
      </c>
      <c r="E31" s="44"/>
      <c r="F31" s="44"/>
      <c r="G31" s="43"/>
      <c r="H31" s="12"/>
      <c r="I31" s="1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29</v>
      </c>
      <c r="B32" s="10"/>
      <c r="C32" s="10"/>
      <c r="D32" s="11" t="s">
        <v>4</v>
      </c>
      <c r="E32" s="44">
        <f>E30+E31</f>
        <v>0</v>
      </c>
      <c r="F32" s="44"/>
      <c r="G32" s="10"/>
      <c r="H32" s="12"/>
      <c r="I32" s="12"/>
      <c r="J32" s="46"/>
      <c r="K32" s="46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3"/>
      <c r="B33" s="13"/>
      <c r="C33" s="13"/>
      <c r="D33" s="11"/>
      <c r="E33" s="13"/>
      <c r="F33" s="13"/>
      <c r="G33" s="10"/>
      <c r="H33" s="12"/>
      <c r="I33" s="12"/>
      <c r="J33" s="46"/>
      <c r="K33" s="46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62" t="s">
        <v>30</v>
      </c>
      <c r="B34" s="62"/>
      <c r="C34" s="62"/>
      <c r="D34" s="11" t="s">
        <v>4</v>
      </c>
      <c r="E34" s="40">
        <f>E29-E32</f>
        <v>1431818</v>
      </c>
      <c r="F34" s="40"/>
      <c r="G34" s="10"/>
      <c r="H34" s="12"/>
      <c r="I34" s="12"/>
      <c r="J34" s="46"/>
      <c r="K34" s="46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 ht="15.75">
      <c r="A35" s="13"/>
      <c r="B35" s="13"/>
      <c r="C35" s="10"/>
      <c r="D35" s="10"/>
      <c r="E35" s="16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Empat Ratus Tiga Puluh Satu Ribu Delapan Ratus Delapanbelas Rupiah</v>
      </c>
      <c r="F35" s="10"/>
      <c r="G35" s="10"/>
      <c r="H35" s="10"/>
      <c r="I35" s="10"/>
      <c r="J35" s="46"/>
      <c r="K35" s="46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45"/>
      <c r="B36" s="45"/>
      <c r="C36" s="45"/>
      <c r="D36" s="45"/>
      <c r="E36" s="45"/>
      <c r="F36" s="45"/>
      <c r="G36" s="29"/>
      <c r="H36" s="46"/>
      <c r="I36" s="46"/>
      <c r="J36" s="46"/>
      <c r="K36" s="46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29"/>
      <c r="B37" s="29"/>
      <c r="C37" s="29"/>
      <c r="D37" s="29"/>
      <c r="E37" s="29"/>
      <c r="F37" s="29"/>
      <c r="G37" s="29"/>
      <c r="H37"/>
      <c r="I37"/>
      <c r="J37" s="46"/>
      <c r="K37" s="46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13"/>
      <c r="B38" s="13"/>
      <c r="C38" s="10"/>
      <c r="D38" s="10"/>
      <c r="E38" s="10"/>
      <c r="F38" s="10"/>
      <c r="G38" s="10"/>
      <c r="I38" s="47"/>
      <c r="J38" s="47" t="s">
        <v>49</v>
      </c>
      <c r="K38" s="46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2" t="s">
        <v>31</v>
      </c>
      <c r="B39" s="10"/>
      <c r="C39" s="10"/>
      <c r="D39" s="10"/>
      <c r="E39" s="10"/>
      <c r="F39" s="10"/>
      <c r="G39" s="10"/>
      <c r="I39" s="12"/>
      <c r="J39" s="12" t="s">
        <v>32</v>
      </c>
      <c r="K39" s="46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0"/>
      <c r="B40" s="10"/>
      <c r="C40" s="10"/>
      <c r="D40" s="10"/>
      <c r="E40" s="10"/>
      <c r="F40" s="10"/>
      <c r="G40" s="10"/>
      <c r="I40" s="12"/>
      <c r="J40" s="12"/>
      <c r="K40" s="46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I41" s="12"/>
      <c r="J41" s="12"/>
      <c r="K41" s="46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6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6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56" t="s">
        <v>38</v>
      </c>
      <c r="B44" s="48"/>
      <c r="C44" s="49"/>
      <c r="D44" s="49"/>
      <c r="E44" s="49"/>
      <c r="F44" s="49"/>
      <c r="G44" s="10" t="s">
        <v>33</v>
      </c>
      <c r="I44" s="48"/>
      <c r="J44" s="48" t="s">
        <v>34</v>
      </c>
      <c r="K44" s="46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50"/>
      <c r="B45" s="50"/>
      <c r="C45" s="51"/>
      <c r="D45" s="51"/>
      <c r="E45" s="51"/>
      <c r="F45" s="51"/>
      <c r="G45" s="51"/>
      <c r="H45" s="50"/>
      <c r="I45" s="50"/>
      <c r="J45" s="50"/>
      <c r="K45" s="46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9" spans="1:11" ht="15.75">
      <c r="C49" s="2"/>
      <c r="D49" s="2"/>
      <c r="E49" s="2"/>
      <c r="F49" s="2"/>
    </row>
    <row r="50" spans="1:11" ht="15.75">
      <c r="A50" s="3"/>
      <c r="B50" s="3"/>
      <c r="C50" s="2"/>
      <c r="D50" s="2"/>
      <c r="E50" s="2"/>
      <c r="F50" s="2"/>
      <c r="G50" s="3"/>
      <c r="H50" s="4"/>
      <c r="I50" s="4"/>
      <c r="J50" s="4"/>
      <c r="K50" s="5"/>
    </row>
    <row r="51" spans="1:11">
      <c r="H51" s="5"/>
      <c r="I51" s="5"/>
      <c r="J51" s="5"/>
      <c r="K51" s="5"/>
    </row>
    <row r="52" spans="1:11">
      <c r="H52" s="5"/>
      <c r="I52" s="5"/>
      <c r="J52" s="5"/>
      <c r="K52" s="5"/>
    </row>
    <row r="53" spans="1:11">
      <c r="A53" s="70" t="s">
        <v>0</v>
      </c>
      <c r="B53" s="70"/>
      <c r="C53" s="71"/>
      <c r="D53" s="71"/>
      <c r="E53" s="71"/>
      <c r="F53" s="71"/>
      <c r="G53" s="71"/>
      <c r="H53" s="71"/>
      <c r="I53" s="71"/>
      <c r="J53" s="71"/>
      <c r="K53" s="71"/>
    </row>
    <row r="54" spans="1:11">
      <c r="A54" s="71" t="s">
        <v>50</v>
      </c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spans="1:11">
      <c r="A55" s="71" t="s">
        <v>1</v>
      </c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spans="1:11">
      <c r="A56" s="71" t="s">
        <v>37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spans="1:11">
      <c r="A57" s="71" t="s">
        <v>2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spans="1:11">
      <c r="A58" s="6"/>
      <c r="B58" s="6"/>
      <c r="C58" s="7"/>
      <c r="D58" s="7"/>
      <c r="E58" s="7"/>
      <c r="F58" s="7"/>
      <c r="G58" s="8"/>
      <c r="H58" s="9"/>
      <c r="I58" s="9"/>
      <c r="J58" s="9"/>
      <c r="K58" s="9"/>
    </row>
    <row r="59" spans="1:11">
      <c r="A59" s="52" t="s">
        <v>3</v>
      </c>
      <c r="B59" s="10"/>
      <c r="C59" s="10"/>
      <c r="D59" s="53" t="s">
        <v>4</v>
      </c>
      <c r="E59" s="10" t="s">
        <v>5</v>
      </c>
      <c r="F59" s="11"/>
      <c r="G59" s="10"/>
      <c r="H59" s="12"/>
      <c r="I59" s="12"/>
      <c r="J59" s="12"/>
      <c r="K59" s="9"/>
    </row>
    <row r="60" spans="1:11">
      <c r="A60" s="52" t="s">
        <v>6</v>
      </c>
      <c r="B60" s="10"/>
      <c r="C60" s="10"/>
      <c r="D60" s="53" t="s">
        <v>4</v>
      </c>
      <c r="E60" s="10" t="s">
        <v>7</v>
      </c>
      <c r="F60" s="11"/>
      <c r="G60" s="10"/>
      <c r="H60" s="12"/>
      <c r="I60" s="12"/>
      <c r="J60" s="12"/>
      <c r="K60" s="9"/>
    </row>
    <row r="61" spans="1:11">
      <c r="A61" s="52" t="s">
        <v>8</v>
      </c>
      <c r="B61" s="10"/>
      <c r="C61" s="10"/>
      <c r="D61" s="53" t="s">
        <v>4</v>
      </c>
      <c r="E61" s="13">
        <v>2026</v>
      </c>
      <c r="F61" s="11"/>
      <c r="G61" s="13"/>
      <c r="H61" s="12"/>
      <c r="I61" s="12"/>
      <c r="J61" s="12"/>
      <c r="K61" s="9"/>
    </row>
    <row r="62" spans="1:11">
      <c r="A62" s="52" t="s">
        <v>9</v>
      </c>
      <c r="B62" s="10"/>
      <c r="C62" s="10"/>
      <c r="D62" s="53" t="s">
        <v>4</v>
      </c>
      <c r="E62" s="14">
        <f>J72</f>
        <v>4500000</v>
      </c>
      <c r="F62" s="11"/>
      <c r="G62" s="14"/>
      <c r="H62" s="12"/>
      <c r="I62" s="12"/>
      <c r="J62" s="12"/>
      <c r="K62" s="9"/>
    </row>
    <row r="63" spans="1:11" ht="15.75">
      <c r="A63" s="10"/>
      <c r="B63" s="10"/>
      <c r="C63" s="15" t="s">
        <v>10</v>
      </c>
      <c r="D63" s="53" t="s">
        <v>4</v>
      </c>
      <c r="E63" s="16" t="str">
        <f>PROPER(IF(E62=0,"nol",IF(E62&lt;0,"minus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62),"000000000000000"),1,3)=0,"",MID(TEXT(ABS(E62),"000000000000000"),1,1)&amp;" ratus "&amp;MID(TEXT(ABS(E62),"000000000000000"),2,1)&amp;" puluh "&amp;MID(TEXT(ABS(E62),"000000000000000"),3,1)&amp;" trilyun ")&amp;IF(--MID(TEXT(ABS(E62),"000000000000000"),4,3)=0,"",MID(TEXT(ABS(E62),"000000000000000"),4,1)&amp;" ratus "&amp;MID(TEXT(ABS(E62),"000000000000000"),5,1)&amp;" puluh "&amp;MID(TEXT(ABS(E62),"000000000000000"),6,1)&amp;" milyar ")&amp;IF(--MID(TEXT(ABS(E62),"000000000000000"),7,3)=0,"",MID(TEXT(ABS(E62),"000000000000000"),7,1)&amp;" ratus "&amp;MID(TEXT(ABS(E62),"000000000000000"),8,1)&amp;" puluh "&amp;MID(TEXT(ABS(E62),"000000000000000"),9,1)&amp;" juta ")&amp;IF(--MID(TEXT(ABS(E62),"000000000000000"),10,3)=0,"",IF(--MID(TEXT(ABS(E62),"000000000000000"),10,3)=1,"*",MID(TEXT(ABS(E62),"000000000000000"),10,1)&amp;" ratus "&amp;MID(TEXT(ABS(E62),"000000000000000"),11,1)&amp;" puluh ")&amp;MID(TEXT(ABS(E62),"000000000000000"),12,1)&amp;" ribu ")&amp;IF(--MID(TEXT(ABS(E62),"000000000000000"),13,3)=0,"",MID(TEXT(ABS(E62),"000000000000000"),13,1)&amp;" ratus "&amp;MID(TEXT(ABS(E62),"000000000000000"),14,1)&amp;" puluh "&amp;MID(TEXT(ABS(E62),"000000000000000"),15,1)),1,"satu"),2,"dua"),3,"tiga"),4,"empat"),5,"lima"),6,"enam"),7,"tujuh"),8,"delapan"),9,"sembilan"),"0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Lima Ratus Ribu Rupiah</v>
      </c>
      <c r="F63" s="11"/>
      <c r="G63" s="16"/>
      <c r="H63" s="12"/>
      <c r="I63" s="12"/>
      <c r="J63" s="12"/>
      <c r="K63" s="9"/>
    </row>
    <row r="64" spans="1:11" ht="15.75">
      <c r="A64" s="10"/>
      <c r="B64" s="10"/>
      <c r="C64" s="15"/>
      <c r="D64" s="15"/>
      <c r="E64" s="15"/>
      <c r="F64" s="11"/>
      <c r="G64" s="16"/>
      <c r="H64" s="12"/>
      <c r="I64" s="12"/>
      <c r="J64" s="12"/>
      <c r="K64" s="9"/>
    </row>
    <row r="65" spans="1:11">
      <c r="A65" s="10" t="s">
        <v>11</v>
      </c>
      <c r="B65" s="10"/>
      <c r="C65" s="10"/>
      <c r="D65" s="10"/>
      <c r="E65" s="10"/>
      <c r="F65" s="10"/>
      <c r="G65" s="10"/>
      <c r="H65" s="12"/>
      <c r="I65" s="12"/>
      <c r="J65" s="12"/>
      <c r="K65" s="9"/>
    </row>
    <row r="66" spans="1:11">
      <c r="A66" s="63" t="s">
        <v>12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</row>
    <row r="67" spans="1:11" ht="60">
      <c r="A67" s="17" t="s">
        <v>13</v>
      </c>
      <c r="B67" s="18" t="s">
        <v>14</v>
      </c>
      <c r="C67" s="64" t="s">
        <v>15</v>
      </c>
      <c r="D67" s="65"/>
      <c r="E67" s="66"/>
      <c r="F67" s="19"/>
      <c r="G67" s="20" t="s">
        <v>16</v>
      </c>
      <c r="H67" s="21" t="s">
        <v>35</v>
      </c>
      <c r="I67" s="21"/>
      <c r="J67" s="31" t="s">
        <v>17</v>
      </c>
      <c r="K67" s="32" t="s">
        <v>18</v>
      </c>
    </row>
    <row r="68" spans="1:11">
      <c r="A68" s="22">
        <v>1</v>
      </c>
      <c r="B68" s="23"/>
      <c r="C68" s="67" t="s">
        <v>19</v>
      </c>
      <c r="D68" s="68"/>
      <c r="E68" s="69"/>
      <c r="F68" s="24"/>
      <c r="G68" s="54" t="s">
        <v>20</v>
      </c>
      <c r="H68" s="54" t="s">
        <v>20</v>
      </c>
      <c r="I68" s="54"/>
      <c r="J68" s="54" t="s">
        <v>20</v>
      </c>
      <c r="K68" s="54" t="s">
        <v>20</v>
      </c>
    </row>
    <row r="69" spans="1:11">
      <c r="A69" s="26"/>
      <c r="B69" s="55" t="s">
        <v>21</v>
      </c>
      <c r="C69" s="59" t="s">
        <v>36</v>
      </c>
      <c r="D69" s="60"/>
      <c r="E69" s="61"/>
      <c r="F69" s="24"/>
      <c r="G69" s="25">
        <v>698400000</v>
      </c>
      <c r="H69" s="27">
        <f>H24+J24</f>
        <v>113352000</v>
      </c>
      <c r="I69" s="27"/>
      <c r="J69" s="27">
        <v>0</v>
      </c>
      <c r="K69" s="33">
        <f t="shared" ref="K69:K71" si="1">G69-H69-J69</f>
        <v>585048000</v>
      </c>
    </row>
    <row r="70" spans="1:11">
      <c r="A70" s="26"/>
      <c r="B70" s="55" t="s">
        <v>22</v>
      </c>
      <c r="C70" s="59" t="s">
        <v>39</v>
      </c>
      <c r="D70" s="60"/>
      <c r="E70" s="61"/>
      <c r="F70" s="24"/>
      <c r="G70" s="28">
        <v>1231299821</v>
      </c>
      <c r="H70" s="27">
        <f>H25+J25</f>
        <v>188095705</v>
      </c>
      <c r="I70" s="27"/>
      <c r="J70" s="27">
        <v>4500000</v>
      </c>
      <c r="K70" s="33">
        <f t="shared" si="1"/>
        <v>1038704116</v>
      </c>
    </row>
    <row r="71" spans="1:11">
      <c r="A71" s="26"/>
      <c r="B71" s="55" t="s">
        <v>23</v>
      </c>
      <c r="C71" s="59" t="s">
        <v>24</v>
      </c>
      <c r="D71" s="60"/>
      <c r="E71" s="61"/>
      <c r="F71" s="24"/>
      <c r="G71" s="25">
        <v>358099104</v>
      </c>
      <c r="H71" s="27">
        <f t="shared" ref="H71" si="2">H26+J26</f>
        <v>59185824</v>
      </c>
      <c r="I71" s="27"/>
      <c r="J71" s="27">
        <v>0</v>
      </c>
      <c r="K71" s="33">
        <f t="shared" si="1"/>
        <v>298913280</v>
      </c>
    </row>
    <row r="72" spans="1:11">
      <c r="A72" s="34"/>
      <c r="B72" s="34"/>
      <c r="C72" s="34" t="s">
        <v>25</v>
      </c>
      <c r="D72" s="34"/>
      <c r="E72" s="34"/>
      <c r="F72" s="35"/>
      <c r="G72" s="36">
        <f>SUM(G68:G71)</f>
        <v>2287798925</v>
      </c>
      <c r="H72" s="37">
        <f>SUM(H69:H71)</f>
        <v>360633529</v>
      </c>
      <c r="I72" s="37"/>
      <c r="J72" s="37">
        <f>SUM(J69:J71)</f>
        <v>4500000</v>
      </c>
      <c r="K72" s="37">
        <f>SUM(K69:K71)</f>
        <v>1922665396</v>
      </c>
    </row>
    <row r="73" spans="1:11">
      <c r="A73" s="38"/>
      <c r="B73" s="8"/>
      <c r="C73" s="8"/>
      <c r="D73" s="8"/>
      <c r="E73" s="8"/>
      <c r="F73" s="8"/>
      <c r="G73" s="39"/>
      <c r="H73" s="39"/>
      <c r="I73" s="39"/>
      <c r="J73" s="39"/>
      <c r="K73" s="39"/>
    </row>
    <row r="74" spans="1:11">
      <c r="A74" s="62" t="s">
        <v>26</v>
      </c>
      <c r="B74" s="62"/>
      <c r="C74" s="62"/>
      <c r="D74" s="11" t="s">
        <v>4</v>
      </c>
      <c r="E74" s="14">
        <f>J72</f>
        <v>4500000</v>
      </c>
      <c r="F74" s="40"/>
      <c r="G74" s="41"/>
      <c r="H74" s="41"/>
      <c r="I74" s="41"/>
      <c r="J74" s="9"/>
      <c r="K74" s="9"/>
    </row>
    <row r="75" spans="1:11">
      <c r="A75" s="10" t="s">
        <v>27</v>
      </c>
      <c r="B75" s="10"/>
      <c r="C75" s="10"/>
      <c r="D75" s="11" t="s">
        <v>4</v>
      </c>
      <c r="E75" s="42"/>
      <c r="F75" s="42"/>
      <c r="G75" s="43"/>
      <c r="H75" s="12"/>
      <c r="I75" s="12"/>
      <c r="J75" s="9"/>
      <c r="K75" s="9"/>
    </row>
    <row r="76" spans="1:11">
      <c r="A76" s="10" t="s">
        <v>28</v>
      </c>
      <c r="B76" s="10"/>
      <c r="C76" s="10"/>
      <c r="D76" s="11" t="s">
        <v>4</v>
      </c>
      <c r="E76" s="44"/>
      <c r="F76" s="44"/>
      <c r="G76" s="43"/>
      <c r="H76" s="12"/>
      <c r="I76" s="12"/>
      <c r="J76" s="9"/>
      <c r="K76" s="9"/>
    </row>
    <row r="77" spans="1:11">
      <c r="A77" s="10" t="s">
        <v>29</v>
      </c>
      <c r="B77" s="10"/>
      <c r="C77" s="10"/>
      <c r="D77" s="11" t="s">
        <v>4</v>
      </c>
      <c r="E77" s="44">
        <f>E75+E76</f>
        <v>0</v>
      </c>
      <c r="F77" s="44"/>
      <c r="G77" s="10"/>
      <c r="H77" s="12"/>
      <c r="I77" s="12"/>
      <c r="J77" s="46"/>
      <c r="K77" s="46"/>
    </row>
    <row r="78" spans="1:11">
      <c r="A78" s="13"/>
      <c r="B78" s="13"/>
      <c r="C78" s="13"/>
      <c r="D78" s="11"/>
      <c r="E78" s="13"/>
      <c r="F78" s="13"/>
      <c r="G78" s="10"/>
      <c r="H78" s="12"/>
      <c r="I78" s="12"/>
      <c r="J78" s="46"/>
      <c r="K78" s="46"/>
    </row>
    <row r="79" spans="1:11">
      <c r="A79" s="62" t="s">
        <v>30</v>
      </c>
      <c r="B79" s="62"/>
      <c r="C79" s="62"/>
      <c r="D79" s="11" t="s">
        <v>4</v>
      </c>
      <c r="E79" s="40">
        <f>E74-E77</f>
        <v>4500000</v>
      </c>
      <c r="F79" s="40"/>
      <c r="G79" s="10"/>
      <c r="H79" s="12"/>
      <c r="I79" s="12"/>
      <c r="J79" s="46"/>
      <c r="K79" s="46"/>
    </row>
    <row r="80" spans="1:11" ht="15.75">
      <c r="A80" s="13"/>
      <c r="B80" s="13"/>
      <c r="C80" s="10"/>
      <c r="D80" s="10"/>
      <c r="E80" s="16" t="str">
        <f>PROPER(IF(E79=0,"nol",IF(E79&lt;0,"minus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79),"000000000000000"),1,3)=0,"",MID(TEXT(ABS(E79),"000000000000000"),1,1)&amp;" ratus "&amp;MID(TEXT(ABS(E79),"000000000000000"),2,1)&amp;" puluh "&amp;MID(TEXT(ABS(E79),"000000000000000"),3,1)&amp;" trilyun ")&amp;IF(--MID(TEXT(ABS(E79),"000000000000000"),4,3)=0,"",MID(TEXT(ABS(E79),"000000000000000"),4,1)&amp;" ratus "&amp;MID(TEXT(ABS(E79),"000000000000000"),5,1)&amp;" puluh "&amp;MID(TEXT(ABS(E79),"000000000000000"),6,1)&amp;" milyar ")&amp;IF(--MID(TEXT(ABS(E79),"000000000000000"),7,3)=0,"",MID(TEXT(ABS(E79),"000000000000000"),7,1)&amp;" ratus "&amp;MID(TEXT(ABS(E79),"000000000000000"),8,1)&amp;" puluh "&amp;MID(TEXT(ABS(E79),"000000000000000"),9,1)&amp;" juta ")&amp;IF(--MID(TEXT(ABS(E79),"000000000000000"),10,3)=0,"",IF(--MID(TEXT(ABS(E79),"000000000000000"),10,3)=1,"*",MID(TEXT(ABS(E79),"000000000000000"),10,1)&amp;" ratus "&amp;MID(TEXT(ABS(E79),"000000000000000"),11,1)&amp;" puluh ")&amp;MID(TEXT(ABS(E79),"000000000000000"),12,1)&amp;" ribu ")&amp;IF(--MID(TEXT(ABS(E79),"000000000000000"),13,3)=0,"",MID(TEXT(ABS(E79),"000000000000000"),13,1)&amp;" ratus "&amp;MID(TEXT(ABS(E79),"000000000000000"),14,1)&amp;" puluh "&amp;MID(TEXT(ABS(E79),"000000000000000"),15,1)),1,"satu"),2,"dua"),3,"tiga"),4,"empat"),5,"lima"),6,"enam"),7,"tujuh"),8,"delapan"),9,"sembilan"),"0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Lima Ratus Ribu Rupiah</v>
      </c>
      <c r="F80" s="10"/>
      <c r="G80" s="10"/>
      <c r="H80" s="10"/>
      <c r="I80" s="10"/>
      <c r="J80" s="46"/>
      <c r="K80" s="46"/>
    </row>
    <row r="81" spans="1:11">
      <c r="A81" s="45"/>
      <c r="B81" s="45"/>
      <c r="C81" s="45"/>
      <c r="D81" s="45"/>
      <c r="E81" s="45"/>
      <c r="F81" s="45"/>
      <c r="G81" s="29"/>
      <c r="H81" s="46"/>
      <c r="I81" s="46"/>
      <c r="J81" s="46"/>
      <c r="K81" s="46"/>
    </row>
    <row r="82" spans="1:11">
      <c r="A82" s="29"/>
      <c r="B82" s="29"/>
      <c r="C82" s="29"/>
      <c r="D82" s="29"/>
      <c r="E82" s="29"/>
      <c r="F82" s="29"/>
      <c r="G82" s="29"/>
      <c r="H82"/>
      <c r="I82"/>
      <c r="J82" s="46"/>
      <c r="K82" s="46"/>
    </row>
    <row r="83" spans="1:11">
      <c r="A83" s="13"/>
      <c r="B83" s="13"/>
      <c r="C83" s="10"/>
      <c r="D83" s="10"/>
      <c r="E83" s="10"/>
      <c r="F83" s="10"/>
      <c r="G83" s="10"/>
      <c r="I83" s="47"/>
      <c r="J83" s="47" t="s">
        <v>49</v>
      </c>
      <c r="K83" s="46"/>
    </row>
    <row r="84" spans="1:11">
      <c r="A84" s="12" t="s">
        <v>31</v>
      </c>
      <c r="B84" s="10"/>
      <c r="C84" s="10"/>
      <c r="D84" s="10"/>
      <c r="E84" s="10"/>
      <c r="F84" s="10"/>
      <c r="G84" s="10"/>
      <c r="I84" s="12"/>
      <c r="J84" s="12" t="s">
        <v>32</v>
      </c>
      <c r="K84" s="46"/>
    </row>
    <row r="85" spans="1:11">
      <c r="A85" s="10"/>
      <c r="B85" s="10"/>
      <c r="C85" s="10"/>
      <c r="D85" s="10"/>
      <c r="E85" s="10"/>
      <c r="F85" s="10"/>
      <c r="G85" s="10"/>
      <c r="I85" s="12"/>
      <c r="J85" s="12"/>
      <c r="K85" s="46"/>
    </row>
    <row r="86" spans="1:11">
      <c r="A86" s="10"/>
      <c r="B86" s="10"/>
      <c r="C86" s="10"/>
      <c r="D86" s="10"/>
      <c r="E86" s="10"/>
      <c r="F86" s="10"/>
      <c r="G86" s="10"/>
      <c r="I86" s="12"/>
      <c r="J86" s="12"/>
      <c r="K86" s="46"/>
    </row>
    <row r="87" spans="1:11">
      <c r="A87" s="10"/>
      <c r="B87" s="10"/>
      <c r="C87" s="10"/>
      <c r="D87" s="10"/>
      <c r="E87" s="10"/>
      <c r="F87" s="10"/>
      <c r="G87" s="10"/>
      <c r="I87" s="12"/>
      <c r="J87" s="12"/>
      <c r="K87" s="46"/>
    </row>
    <row r="88" spans="1:11">
      <c r="A88" s="10"/>
      <c r="B88" s="10"/>
      <c r="C88" s="10"/>
      <c r="D88" s="10"/>
      <c r="E88" s="10"/>
      <c r="F88" s="10"/>
      <c r="G88" s="10"/>
      <c r="I88" s="12"/>
      <c r="J88" s="12"/>
      <c r="K88" s="46"/>
    </row>
    <row r="89" spans="1:11">
      <c r="A89" s="56" t="s">
        <v>38</v>
      </c>
      <c r="B89" s="48"/>
      <c r="C89" s="49"/>
      <c r="D89" s="49"/>
      <c r="E89" s="49"/>
      <c r="F89" s="49"/>
      <c r="G89" s="10" t="s">
        <v>33</v>
      </c>
      <c r="I89" s="48"/>
      <c r="J89" s="48" t="s">
        <v>34</v>
      </c>
      <c r="K89" s="46"/>
    </row>
    <row r="94" spans="1:11" ht="15.75">
      <c r="C94" s="2"/>
      <c r="D94" s="2"/>
      <c r="E94" s="2"/>
      <c r="F94" s="2"/>
    </row>
    <row r="95" spans="1:11" ht="15.75">
      <c r="A95" s="3"/>
      <c r="B95" s="3"/>
      <c r="C95" s="2"/>
      <c r="D95" s="2"/>
      <c r="E95" s="2"/>
      <c r="F95" s="2"/>
      <c r="G95" s="3"/>
      <c r="H95" s="4"/>
      <c r="I95" s="4"/>
      <c r="J95" s="4"/>
      <c r="K95" s="5"/>
    </row>
    <row r="96" spans="1:11">
      <c r="H96" s="5"/>
      <c r="I96" s="5"/>
      <c r="J96" s="5"/>
      <c r="K96" s="5"/>
    </row>
    <row r="97" spans="1:11">
      <c r="H97" s="5"/>
      <c r="I97" s="5"/>
      <c r="J97" s="5"/>
      <c r="K97" s="5"/>
    </row>
    <row r="98" spans="1:11">
      <c r="A98" s="70" t="s">
        <v>0</v>
      </c>
      <c r="B98" s="70"/>
      <c r="C98" s="71"/>
      <c r="D98" s="71"/>
      <c r="E98" s="71"/>
      <c r="F98" s="71"/>
      <c r="G98" s="71"/>
      <c r="H98" s="71"/>
      <c r="I98" s="71"/>
      <c r="J98" s="71"/>
      <c r="K98" s="71"/>
    </row>
    <row r="99" spans="1:11">
      <c r="A99" s="71" t="s">
        <v>51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spans="1:11">
      <c r="A100" s="71" t="s">
        <v>1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spans="1:11">
      <c r="A101" s="71" t="s">
        <v>37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spans="1:11">
      <c r="A102" s="71" t="s">
        <v>2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spans="1:11">
      <c r="A103" s="6"/>
      <c r="B103" s="6"/>
      <c r="C103" s="7"/>
      <c r="D103" s="7"/>
      <c r="E103" s="7"/>
      <c r="F103" s="7"/>
      <c r="G103" s="8"/>
      <c r="H103" s="9"/>
      <c r="I103" s="9"/>
      <c r="J103" s="9"/>
      <c r="K103" s="9"/>
    </row>
    <row r="104" spans="1:11">
      <c r="A104" s="52" t="s">
        <v>3</v>
      </c>
      <c r="B104" s="10"/>
      <c r="C104" s="10"/>
      <c r="D104" s="53" t="s">
        <v>4</v>
      </c>
      <c r="E104" s="10" t="s">
        <v>5</v>
      </c>
      <c r="F104" s="11"/>
      <c r="G104" s="10"/>
      <c r="H104" s="12"/>
      <c r="I104" s="12"/>
      <c r="J104" s="12"/>
      <c r="K104" s="9"/>
    </row>
    <row r="105" spans="1:11">
      <c r="A105" s="52" t="s">
        <v>6</v>
      </c>
      <c r="B105" s="10"/>
      <c r="C105" s="10"/>
      <c r="D105" s="53" t="s">
        <v>4</v>
      </c>
      <c r="E105" s="10" t="s">
        <v>7</v>
      </c>
      <c r="F105" s="11"/>
      <c r="G105" s="10"/>
      <c r="H105" s="12"/>
      <c r="I105" s="12"/>
      <c r="J105" s="12"/>
      <c r="K105" s="9"/>
    </row>
    <row r="106" spans="1:11">
      <c r="A106" s="52" t="s">
        <v>8</v>
      </c>
      <c r="B106" s="10"/>
      <c r="C106" s="10"/>
      <c r="D106" s="53" t="s">
        <v>4</v>
      </c>
      <c r="E106" s="13">
        <v>2026</v>
      </c>
      <c r="F106" s="11"/>
      <c r="G106" s="13"/>
      <c r="H106" s="12"/>
      <c r="I106" s="12"/>
      <c r="J106" s="12"/>
      <c r="K106" s="9"/>
    </row>
    <row r="107" spans="1:11">
      <c r="A107" s="52" t="s">
        <v>9</v>
      </c>
      <c r="B107" s="10"/>
      <c r="C107" s="10"/>
      <c r="D107" s="53" t="s">
        <v>4</v>
      </c>
      <c r="E107" s="14">
        <f>J117</f>
        <v>164543696</v>
      </c>
      <c r="F107" s="11"/>
      <c r="G107" s="14"/>
      <c r="H107" s="12"/>
      <c r="I107" s="12"/>
      <c r="J107" s="12"/>
      <c r="K107" s="9"/>
    </row>
    <row r="108" spans="1:11" ht="15.75">
      <c r="A108" s="10"/>
      <c r="B108" s="10"/>
      <c r="C108" s="15" t="s">
        <v>10</v>
      </c>
      <c r="D108" s="53" t="s">
        <v>4</v>
      </c>
      <c r="E108" s="16" t="str">
        <f>PROPER(IF(E107=0,"nol",IF(E107&lt;0,"minus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107),"000000000000000"),1,3)=0,"",MID(TEXT(ABS(E107),"000000000000000"),1,1)&amp;" ratus "&amp;MID(TEXT(ABS(E107),"000000000000000"),2,1)&amp;" puluh "&amp;MID(TEXT(ABS(E107),"000000000000000"),3,1)&amp;" trilyun ")&amp;IF(--MID(TEXT(ABS(E107),"000000000000000"),4,3)=0,"",MID(TEXT(ABS(E107),"000000000000000"),4,1)&amp;" ratus "&amp;MID(TEXT(ABS(E107),"000000000000000"),5,1)&amp;" puluh "&amp;MID(TEXT(ABS(E107),"000000000000000"),6,1)&amp;" milyar ")&amp;IF(--MID(TEXT(ABS(E107),"000000000000000"),7,3)=0,"",MID(TEXT(ABS(E107),"000000000000000"),7,1)&amp;" ratus "&amp;MID(TEXT(ABS(E107),"000000000000000"),8,1)&amp;" puluh "&amp;MID(TEXT(ABS(E107),"000000000000000"),9,1)&amp;" juta ")&amp;IF(--MID(TEXT(ABS(E107),"000000000000000"),10,3)=0,"",IF(--MID(TEXT(ABS(E107),"000000000000000"),10,3)=1,"*",MID(TEXT(ABS(E107),"000000000000000"),10,1)&amp;" ratus "&amp;MID(TEXT(ABS(E107),"000000000000000"),11,1)&amp;" puluh ")&amp;MID(TEXT(ABS(E107),"000000000000000"),12,1)&amp;" ribu ")&amp;IF(--MID(TEXT(ABS(E107),"000000000000000"),13,3)=0,"",MID(TEXT(ABS(E107),"000000000000000"),13,1)&amp;" ratus "&amp;MID(TEXT(ABS(E107),"000000000000000"),14,1)&amp;" puluh "&amp;MID(TEXT(ABS(E107),"000000000000000"),15,1)),1,"satu"),2,"dua"),3,"tiga"),4,"empat"),5,"lima"),6,"enam"),7,"tujuh"),8,"delapan"),9,"sembilan"),"0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Enam Puluh Empat Juta Lima Ratus Empat Puluh Tiga Ribu Enam Ratus Sembilan Puluh Enam Rupiah</v>
      </c>
      <c r="F108" s="11"/>
      <c r="G108" s="16"/>
      <c r="H108" s="12"/>
      <c r="I108" s="12"/>
      <c r="J108" s="12"/>
      <c r="K108" s="9"/>
    </row>
    <row r="109" spans="1:11" ht="15.75">
      <c r="A109" s="10"/>
      <c r="B109" s="10"/>
      <c r="C109" s="15"/>
      <c r="D109" s="15"/>
      <c r="E109" s="15"/>
      <c r="F109" s="11"/>
      <c r="G109" s="16"/>
      <c r="H109" s="12"/>
      <c r="I109" s="12"/>
      <c r="J109" s="12"/>
      <c r="K109" s="9"/>
    </row>
    <row r="110" spans="1:11">
      <c r="A110" s="10" t="s">
        <v>11</v>
      </c>
      <c r="B110" s="10"/>
      <c r="C110" s="10"/>
      <c r="D110" s="10"/>
      <c r="E110" s="10"/>
      <c r="F110" s="10"/>
      <c r="G110" s="10"/>
      <c r="H110" s="12"/>
      <c r="I110" s="12"/>
      <c r="J110" s="12"/>
      <c r="K110" s="9"/>
    </row>
    <row r="111" spans="1:11">
      <c r="A111" s="63" t="s">
        <v>12</v>
      </c>
      <c r="B111" s="63"/>
      <c r="C111" s="63"/>
      <c r="D111" s="63"/>
      <c r="E111" s="63"/>
      <c r="F111" s="63"/>
      <c r="G111" s="63"/>
      <c r="H111" s="63"/>
      <c r="I111" s="63"/>
      <c r="J111" s="63"/>
      <c r="K111" s="63"/>
    </row>
    <row r="112" spans="1:11" ht="60">
      <c r="A112" s="17" t="s">
        <v>13</v>
      </c>
      <c r="B112" s="18" t="s">
        <v>14</v>
      </c>
      <c r="C112" s="64" t="s">
        <v>15</v>
      </c>
      <c r="D112" s="65"/>
      <c r="E112" s="66"/>
      <c r="F112" s="19"/>
      <c r="G112" s="20" t="s">
        <v>16</v>
      </c>
      <c r="H112" s="21" t="s">
        <v>35</v>
      </c>
      <c r="I112" s="21"/>
      <c r="J112" s="31" t="s">
        <v>17</v>
      </c>
      <c r="K112" s="32" t="s">
        <v>18</v>
      </c>
    </row>
    <row r="113" spans="1:14">
      <c r="A113" s="22">
        <v>1</v>
      </c>
      <c r="B113" s="23"/>
      <c r="C113" s="67" t="s">
        <v>19</v>
      </c>
      <c r="D113" s="68"/>
      <c r="E113" s="69"/>
      <c r="F113" s="24"/>
      <c r="G113" s="54" t="s">
        <v>20</v>
      </c>
      <c r="H113" s="54" t="s">
        <v>20</v>
      </c>
      <c r="I113" s="54"/>
      <c r="J113" s="54" t="s">
        <v>20</v>
      </c>
      <c r="K113" s="54" t="s">
        <v>20</v>
      </c>
    </row>
    <row r="114" spans="1:14">
      <c r="A114" s="26"/>
      <c r="B114" s="55" t="s">
        <v>21</v>
      </c>
      <c r="C114" s="59" t="s">
        <v>36</v>
      </c>
      <c r="D114" s="60"/>
      <c r="E114" s="61"/>
      <c r="F114" s="24"/>
      <c r="G114" s="25">
        <v>698400000</v>
      </c>
      <c r="H114" s="27">
        <f>H69+J69</f>
        <v>113352000</v>
      </c>
      <c r="I114" s="27"/>
      <c r="J114" s="27">
        <v>56676000</v>
      </c>
      <c r="K114" s="33">
        <f t="shared" ref="K114:K116" si="3">G114-H114-J114</f>
        <v>528372000</v>
      </c>
    </row>
    <row r="115" spans="1:14">
      <c r="A115" s="26"/>
      <c r="B115" s="55" t="s">
        <v>22</v>
      </c>
      <c r="C115" s="59" t="s">
        <v>39</v>
      </c>
      <c r="D115" s="60"/>
      <c r="E115" s="61"/>
      <c r="F115" s="24"/>
      <c r="G115" s="28">
        <v>1231299821</v>
      </c>
      <c r="H115" s="27">
        <f t="shared" ref="H115:H116" si="4">H70+J70</f>
        <v>192595705</v>
      </c>
      <c r="I115" s="27"/>
      <c r="J115" s="27">
        <v>93195580</v>
      </c>
      <c r="K115" s="33">
        <f t="shared" si="3"/>
        <v>945508536</v>
      </c>
      <c r="N115" s="57"/>
    </row>
    <row r="116" spans="1:14">
      <c r="A116" s="26"/>
      <c r="B116" s="55" t="s">
        <v>23</v>
      </c>
      <c r="C116" s="59" t="s">
        <v>24</v>
      </c>
      <c r="D116" s="60"/>
      <c r="E116" s="61"/>
      <c r="F116" s="24"/>
      <c r="G116" s="25">
        <v>358099104</v>
      </c>
      <c r="H116" s="27">
        <f t="shared" si="4"/>
        <v>59185824</v>
      </c>
      <c r="I116" s="27"/>
      <c r="J116" s="27">
        <v>14672116</v>
      </c>
      <c r="K116" s="33">
        <f t="shared" si="3"/>
        <v>284241164</v>
      </c>
    </row>
    <row r="117" spans="1:14">
      <c r="A117" s="34"/>
      <c r="B117" s="34"/>
      <c r="C117" s="34" t="s">
        <v>25</v>
      </c>
      <c r="D117" s="34"/>
      <c r="E117" s="34"/>
      <c r="F117" s="35"/>
      <c r="G117" s="36">
        <f>SUM(G113:G116)</f>
        <v>2287798925</v>
      </c>
      <c r="H117" s="37">
        <f>SUM(H114:H116)</f>
        <v>365133529</v>
      </c>
      <c r="I117" s="37"/>
      <c r="J117" s="37">
        <f>SUM(J114:J116)</f>
        <v>164543696</v>
      </c>
      <c r="K117" s="37">
        <f>SUM(K114:K116)</f>
        <v>1758121700</v>
      </c>
    </row>
    <row r="118" spans="1:14">
      <c r="A118" s="38"/>
      <c r="B118" s="8"/>
      <c r="C118" s="8"/>
      <c r="D118" s="8"/>
      <c r="E118" s="8"/>
      <c r="F118" s="8"/>
      <c r="G118" s="39"/>
      <c r="H118" s="39"/>
      <c r="I118" s="39"/>
      <c r="J118" s="39"/>
      <c r="K118" s="39"/>
    </row>
    <row r="119" spans="1:14">
      <c r="A119" s="62" t="s">
        <v>26</v>
      </c>
      <c r="B119" s="62"/>
      <c r="C119" s="62"/>
      <c r="D119" s="11" t="s">
        <v>4</v>
      </c>
      <c r="E119" s="14">
        <f>J117</f>
        <v>164543696</v>
      </c>
      <c r="F119" s="40"/>
      <c r="G119" s="41"/>
      <c r="H119" s="41"/>
      <c r="I119" s="41"/>
      <c r="J119" s="9"/>
      <c r="K119" s="9"/>
    </row>
    <row r="120" spans="1:14">
      <c r="A120" s="10" t="s">
        <v>27</v>
      </c>
      <c r="B120" s="10"/>
      <c r="C120" s="10"/>
      <c r="D120" s="11" t="s">
        <v>4</v>
      </c>
      <c r="E120" s="42"/>
      <c r="F120" s="42"/>
      <c r="G120" s="43"/>
      <c r="H120" s="12"/>
      <c r="I120" s="12"/>
      <c r="J120" s="9"/>
      <c r="K120" s="9"/>
    </row>
    <row r="121" spans="1:14">
      <c r="A121" s="10" t="s">
        <v>28</v>
      </c>
      <c r="B121" s="10"/>
      <c r="C121" s="10"/>
      <c r="D121" s="11" t="s">
        <v>4</v>
      </c>
      <c r="E121" s="44"/>
      <c r="F121" s="44"/>
      <c r="G121" s="43"/>
      <c r="H121" s="12"/>
      <c r="I121" s="12"/>
      <c r="J121" s="9"/>
      <c r="K121" s="9"/>
    </row>
    <row r="122" spans="1:14">
      <c r="A122" s="10" t="s">
        <v>29</v>
      </c>
      <c r="B122" s="10"/>
      <c r="C122" s="10"/>
      <c r="D122" s="11" t="s">
        <v>4</v>
      </c>
      <c r="E122" s="44">
        <f>E120+E121</f>
        <v>0</v>
      </c>
      <c r="F122" s="44"/>
      <c r="G122" s="10"/>
      <c r="H122" s="12"/>
      <c r="I122" s="12"/>
      <c r="J122" s="46"/>
      <c r="K122" s="46"/>
    </row>
    <row r="123" spans="1:14">
      <c r="A123" s="13"/>
      <c r="B123" s="13"/>
      <c r="C123" s="13"/>
      <c r="D123" s="11"/>
      <c r="E123" s="13"/>
      <c r="F123" s="13"/>
      <c r="G123" s="10"/>
      <c r="H123" s="12"/>
      <c r="I123" s="12"/>
      <c r="J123" s="46"/>
      <c r="K123" s="46"/>
    </row>
    <row r="124" spans="1:14">
      <c r="A124" s="62" t="s">
        <v>30</v>
      </c>
      <c r="B124" s="62"/>
      <c r="C124" s="62"/>
      <c r="D124" s="11" t="s">
        <v>4</v>
      </c>
      <c r="E124" s="40">
        <f>E119-E122</f>
        <v>164543696</v>
      </c>
      <c r="F124" s="40"/>
      <c r="G124" s="10"/>
      <c r="H124" s="12"/>
      <c r="I124" s="12"/>
      <c r="J124" s="46"/>
      <c r="K124" s="46"/>
    </row>
    <row r="125" spans="1:14" ht="15.75">
      <c r="A125" s="13"/>
      <c r="B125" s="13"/>
      <c r="C125" s="10"/>
      <c r="D125" s="10"/>
      <c r="E125" s="16" t="str">
        <f>PROPER(IF(E124=0,"nol",IF(E124&lt;0,"minus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124),"000000000000000"),1,3)=0,"",MID(TEXT(ABS(E124),"000000000000000"),1,1)&amp;" ratus "&amp;MID(TEXT(ABS(E124),"000000000000000"),2,1)&amp;" puluh "&amp;MID(TEXT(ABS(E124),"000000000000000"),3,1)&amp;" trilyun ")&amp;IF(--MID(TEXT(ABS(E124),"000000000000000"),4,3)=0,"",MID(TEXT(ABS(E124),"000000000000000"),4,1)&amp;" ratus "&amp;MID(TEXT(ABS(E124),"000000000000000"),5,1)&amp;" puluh "&amp;MID(TEXT(ABS(E124),"000000000000000"),6,1)&amp;" milyar ")&amp;IF(--MID(TEXT(ABS(E124),"000000000000000"),7,3)=0,"",MID(TEXT(ABS(E124),"000000000000000"),7,1)&amp;" ratus "&amp;MID(TEXT(ABS(E124),"000000000000000"),8,1)&amp;" puluh "&amp;MID(TEXT(ABS(E124),"000000000000000"),9,1)&amp;" juta ")&amp;IF(--MID(TEXT(ABS(E124),"000000000000000"),10,3)=0,"",IF(--MID(TEXT(ABS(E124),"000000000000000"),10,3)=1,"*",MID(TEXT(ABS(E124),"000000000000000"),10,1)&amp;" ratus "&amp;MID(TEXT(ABS(E124),"000000000000000"),11,1)&amp;" puluh ")&amp;MID(TEXT(ABS(E124),"000000000000000"),12,1)&amp;" ribu ")&amp;IF(--MID(TEXT(ABS(E124),"000000000000000"),13,3)=0,"",MID(TEXT(ABS(E124),"000000000000000"),13,1)&amp;" ratus "&amp;MID(TEXT(ABS(E124),"000000000000000"),14,1)&amp;" puluh "&amp;MID(TEXT(ABS(E124),"000000000000000"),15,1)),1,"satu"),2,"dua"),3,"tiga"),4,"empat"),5,"lima"),6,"enam"),7,"tujuh"),8,"delapan"),9,"sembilan"),"0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Enam Puluh Empat Juta Lima Ratus Empat Puluh Tiga Ribu Enam Ratus Sembilan Puluh Enam Rupiah</v>
      </c>
      <c r="F125" s="10"/>
      <c r="G125" s="10"/>
      <c r="H125" s="10"/>
      <c r="I125" s="10"/>
      <c r="J125" s="46"/>
      <c r="K125" s="46"/>
    </row>
    <row r="126" spans="1:14">
      <c r="A126" s="45"/>
      <c r="B126" s="45"/>
      <c r="C126" s="45"/>
      <c r="D126" s="45"/>
      <c r="E126" s="45"/>
      <c r="F126" s="45"/>
      <c r="G126" s="29"/>
      <c r="H126" s="46"/>
      <c r="I126" s="46"/>
      <c r="J126" s="46"/>
      <c r="K126" s="46"/>
    </row>
    <row r="127" spans="1:14">
      <c r="A127" s="29"/>
      <c r="B127" s="29"/>
      <c r="C127" s="29"/>
      <c r="D127" s="29"/>
      <c r="E127" s="29"/>
      <c r="F127" s="29"/>
      <c r="G127" s="29"/>
      <c r="H127"/>
      <c r="I127"/>
      <c r="J127" s="46"/>
      <c r="K127" s="46"/>
    </row>
    <row r="128" spans="1:14">
      <c r="A128" s="13"/>
      <c r="B128" s="13"/>
      <c r="C128" s="10"/>
      <c r="D128" s="10"/>
      <c r="E128" s="10"/>
      <c r="F128" s="10"/>
      <c r="G128" s="10"/>
      <c r="I128" s="47"/>
      <c r="J128" s="47" t="s">
        <v>52</v>
      </c>
      <c r="K128" s="46"/>
    </row>
    <row r="129" spans="1:11">
      <c r="A129" s="12" t="s">
        <v>31</v>
      </c>
      <c r="B129" s="10"/>
      <c r="C129" s="10"/>
      <c r="D129" s="10"/>
      <c r="E129" s="10"/>
      <c r="F129" s="10"/>
      <c r="G129" s="10"/>
      <c r="I129" s="12"/>
      <c r="J129" s="12" t="s">
        <v>32</v>
      </c>
      <c r="K129" s="46"/>
    </row>
    <row r="130" spans="1:11">
      <c r="A130" s="10"/>
      <c r="B130" s="10"/>
      <c r="C130" s="10"/>
      <c r="D130" s="10"/>
      <c r="E130" s="10"/>
      <c r="F130" s="10"/>
      <c r="G130" s="10"/>
      <c r="I130" s="12"/>
      <c r="J130" s="12"/>
      <c r="K130" s="46"/>
    </row>
    <row r="131" spans="1:11">
      <c r="A131" s="10"/>
      <c r="B131" s="10"/>
      <c r="C131" s="10"/>
      <c r="D131" s="10"/>
      <c r="E131" s="10"/>
      <c r="F131" s="10"/>
      <c r="G131" s="10"/>
      <c r="I131" s="12"/>
      <c r="J131" s="12"/>
      <c r="K131" s="46"/>
    </row>
    <row r="132" spans="1:11">
      <c r="A132" s="10"/>
      <c r="B132" s="10"/>
      <c r="C132" s="10"/>
      <c r="D132" s="10"/>
      <c r="E132" s="10"/>
      <c r="F132" s="10"/>
      <c r="G132" s="10"/>
      <c r="I132" s="12"/>
      <c r="J132" s="12"/>
      <c r="K132" s="46"/>
    </row>
    <row r="133" spans="1:11">
      <c r="A133" s="10"/>
      <c r="B133" s="10"/>
      <c r="C133" s="10"/>
      <c r="D133" s="10"/>
      <c r="E133" s="10"/>
      <c r="F133" s="10"/>
      <c r="G133" s="10"/>
      <c r="I133" s="12"/>
      <c r="J133" s="12"/>
      <c r="K133" s="46"/>
    </row>
    <row r="134" spans="1:11">
      <c r="A134" s="56" t="s">
        <v>38</v>
      </c>
      <c r="B134" s="48"/>
      <c r="C134" s="49"/>
      <c r="D134" s="49"/>
      <c r="E134" s="49"/>
      <c r="F134" s="49"/>
      <c r="G134" s="10" t="s">
        <v>33</v>
      </c>
      <c r="I134" s="48"/>
      <c r="J134" s="48" t="s">
        <v>34</v>
      </c>
      <c r="K134" s="46"/>
    </row>
  </sheetData>
  <mergeCells count="39">
    <mergeCell ref="C116:E116"/>
    <mergeCell ref="A119:C119"/>
    <mergeCell ref="A124:C124"/>
    <mergeCell ref="A102:K102"/>
    <mergeCell ref="A111:K111"/>
    <mergeCell ref="C112:E112"/>
    <mergeCell ref="C113:E113"/>
    <mergeCell ref="C114:E114"/>
    <mergeCell ref="C115:E115"/>
    <mergeCell ref="A101:K101"/>
    <mergeCell ref="A66:K66"/>
    <mergeCell ref="C67:E67"/>
    <mergeCell ref="C68:E68"/>
    <mergeCell ref="C69:E69"/>
    <mergeCell ref="C70:E70"/>
    <mergeCell ref="C71:E71"/>
    <mergeCell ref="A74:C74"/>
    <mergeCell ref="A79:C79"/>
    <mergeCell ref="A98:K98"/>
    <mergeCell ref="A99:K99"/>
    <mergeCell ref="A100:K100"/>
    <mergeCell ref="A57:K57"/>
    <mergeCell ref="C22:E22"/>
    <mergeCell ref="C23:E23"/>
    <mergeCell ref="C24:E24"/>
    <mergeCell ref="C25:E25"/>
    <mergeCell ref="C26:E26"/>
    <mergeCell ref="A29:C29"/>
    <mergeCell ref="A34:C34"/>
    <mergeCell ref="A53:K53"/>
    <mergeCell ref="A54:K54"/>
    <mergeCell ref="A55:K55"/>
    <mergeCell ref="A56:K56"/>
    <mergeCell ref="A21:K21"/>
    <mergeCell ref="A8:K8"/>
    <mergeCell ref="A9:K9"/>
    <mergeCell ref="A10:K10"/>
    <mergeCell ref="A11:K11"/>
    <mergeCell ref="A12:K12"/>
  </mergeCells>
  <pageMargins left="0.23622047244094491" right="0.23622047244094491" top="0.15748031496062992" bottom="0.74803149606299213" header="0.31496062992125984" footer="0.31496062992125984"/>
  <pageSetup paperSize="9" scale="81" orientation="portrait" horizontalDpi="4294967293" r:id="rId1"/>
  <rowBreaks count="3" manualBreakCount="3">
    <brk id="45" max="10" man="1"/>
    <brk id="90" max="10" man="1"/>
    <brk id="135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2026-03-25T08:43:59Z</cp:lastPrinted>
  <dcterms:created xsi:type="dcterms:W3CDTF">2017-02-01T01:06:00Z</dcterms:created>
  <dcterms:modified xsi:type="dcterms:W3CDTF">2026-03-25T09:32:09Z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DE23324BCA84430FAFA59EF0E6CBE3D1_12</vt:lpwstr>
  </property>
  <property fmtid="{D5CDD505-2E9C-101B-9397-08002B2CF9AE}" pid="3" name="KSOProductBuildVer">
    <vt:lpwstr>1033-12.2.0.22549</vt:lpwstr>
  </property>
</Properties>
</file>