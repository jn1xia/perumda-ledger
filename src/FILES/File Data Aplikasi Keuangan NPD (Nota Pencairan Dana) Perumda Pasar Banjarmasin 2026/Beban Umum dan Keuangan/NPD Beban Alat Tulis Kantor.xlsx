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9EE8F563-7120-4D3F-85CF-2DCE766312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FEBRUARI!$A$1:$K$475</definedName>
    <definedName name="_xlnm.Print_Area" localSheetId="0">JANUARI!$A$1:$K$430</definedName>
    <definedName name="_xlnm.Print_Area" localSheetId="2">MARET!$A$1:$K$475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4" i="17" l="1"/>
  <c r="H69" i="17"/>
  <c r="H25" i="17"/>
  <c r="H26" i="17"/>
  <c r="H24" i="17"/>
  <c r="E392" i="17"/>
  <c r="J387" i="17"/>
  <c r="E389" i="17" s="1"/>
  <c r="E394" i="17" s="1"/>
  <c r="E395" i="17" s="1"/>
  <c r="G387" i="17"/>
  <c r="E377" i="17"/>
  <c r="E378" i="17" s="1"/>
  <c r="E347" i="17"/>
  <c r="J342" i="17"/>
  <c r="G342" i="17"/>
  <c r="E302" i="17"/>
  <c r="J297" i="17"/>
  <c r="E299" i="17" s="1"/>
  <c r="E304" i="17" s="1"/>
  <c r="E305" i="17" s="1"/>
  <c r="G297" i="17"/>
  <c r="E287" i="17"/>
  <c r="E288" i="17" s="1"/>
  <c r="E257" i="17"/>
  <c r="J252" i="17"/>
  <c r="E254" i="17" s="1"/>
  <c r="E259" i="17" s="1"/>
  <c r="E260" i="17" s="1"/>
  <c r="G252" i="17"/>
  <c r="E242" i="17"/>
  <c r="E243" i="17" s="1"/>
  <c r="E212" i="17"/>
  <c r="J207" i="17"/>
  <c r="E209" i="17" s="1"/>
  <c r="E214" i="17" s="1"/>
  <c r="E215" i="17" s="1"/>
  <c r="G207" i="17"/>
  <c r="E197" i="17"/>
  <c r="E198" i="17" s="1"/>
  <c r="E167" i="17"/>
  <c r="J162" i="17"/>
  <c r="E164" i="17" s="1"/>
  <c r="E169" i="17" s="1"/>
  <c r="E170" i="17" s="1"/>
  <c r="G162" i="17"/>
  <c r="E152" i="17"/>
  <c r="E153" i="17" s="1"/>
  <c r="E122" i="17"/>
  <c r="J117" i="17"/>
  <c r="G117" i="17"/>
  <c r="E77" i="17"/>
  <c r="J72" i="17"/>
  <c r="G72" i="17"/>
  <c r="E32" i="17"/>
  <c r="J27" i="17"/>
  <c r="E29" i="17" s="1"/>
  <c r="E34" i="17" s="1"/>
  <c r="E35" i="17" s="1"/>
  <c r="G27" i="17"/>
  <c r="E17" i="17"/>
  <c r="E18" i="17" s="1"/>
  <c r="H384" i="16"/>
  <c r="E392" i="16"/>
  <c r="J387" i="16"/>
  <c r="G387" i="16"/>
  <c r="H386" i="16"/>
  <c r="K386" i="16" s="1"/>
  <c r="H385" i="16"/>
  <c r="K385" i="16" s="1"/>
  <c r="H340" i="16"/>
  <c r="E347" i="16"/>
  <c r="J342" i="16"/>
  <c r="G342" i="16"/>
  <c r="H341" i="16"/>
  <c r="K341" i="16" s="1"/>
  <c r="K340" i="16"/>
  <c r="K339" i="16"/>
  <c r="H339" i="16"/>
  <c r="H342" i="16" s="1"/>
  <c r="H250" i="16"/>
  <c r="H251" i="16"/>
  <c r="H249" i="16"/>
  <c r="H25" i="16"/>
  <c r="H26" i="16"/>
  <c r="H24" i="16"/>
  <c r="E302" i="15"/>
  <c r="J297" i="15"/>
  <c r="G297" i="15"/>
  <c r="H296" i="15"/>
  <c r="K296" i="15" s="1"/>
  <c r="H295" i="15"/>
  <c r="K295" i="15" s="1"/>
  <c r="H294" i="15"/>
  <c r="E302" i="16"/>
  <c r="J297" i="16"/>
  <c r="G297" i="16"/>
  <c r="E257" i="16"/>
  <c r="J252" i="16"/>
  <c r="E254" i="16" s="1"/>
  <c r="E259" i="16" s="1"/>
  <c r="E260" i="16" s="1"/>
  <c r="G252" i="16"/>
  <c r="E119" i="17" l="1"/>
  <c r="E124" i="17" s="1"/>
  <c r="E125" i="17" s="1"/>
  <c r="E107" i="17"/>
  <c r="E108" i="17" s="1"/>
  <c r="E74" i="17"/>
  <c r="E79" i="17" s="1"/>
  <c r="E80" i="17" s="1"/>
  <c r="E62" i="17"/>
  <c r="E63" i="17" s="1"/>
  <c r="E332" i="17"/>
  <c r="E333" i="17" s="1"/>
  <c r="E344" i="17"/>
  <c r="E349" i="17" s="1"/>
  <c r="E350" i="17" s="1"/>
  <c r="H71" i="17"/>
  <c r="K26" i="17"/>
  <c r="H70" i="17"/>
  <c r="K25" i="17"/>
  <c r="H27" i="17"/>
  <c r="K24" i="17"/>
  <c r="K27" i="17" s="1"/>
  <c r="E389" i="16"/>
  <c r="E394" i="16" s="1"/>
  <c r="E395" i="16" s="1"/>
  <c r="E377" i="16"/>
  <c r="E378" i="16" s="1"/>
  <c r="H387" i="16"/>
  <c r="K384" i="16"/>
  <c r="K387" i="16" s="1"/>
  <c r="K342" i="16"/>
  <c r="E332" i="16"/>
  <c r="E333" i="16" s="1"/>
  <c r="E344" i="16"/>
  <c r="E349" i="16" s="1"/>
  <c r="E350" i="16" s="1"/>
  <c r="E299" i="15"/>
  <c r="E304" i="15" s="1"/>
  <c r="E305" i="15" s="1"/>
  <c r="E287" i="15"/>
  <c r="E288" i="15" s="1"/>
  <c r="H297" i="15"/>
  <c r="K294" i="15"/>
  <c r="K297" i="15" s="1"/>
  <c r="E299" i="16"/>
  <c r="E304" i="16" s="1"/>
  <c r="E305" i="16" s="1"/>
  <c r="E287" i="16"/>
  <c r="E288" i="16" s="1"/>
  <c r="E242" i="16"/>
  <c r="E243" i="16" s="1"/>
  <c r="K71" i="17" l="1"/>
  <c r="H116" i="17"/>
  <c r="K70" i="17"/>
  <c r="H115" i="17"/>
  <c r="K69" i="17"/>
  <c r="H72" i="17"/>
  <c r="H70" i="16"/>
  <c r="H115" i="16" s="1"/>
  <c r="H160" i="16" s="1"/>
  <c r="H71" i="16"/>
  <c r="H69" i="16"/>
  <c r="H27" i="16"/>
  <c r="K26" i="16"/>
  <c r="E212" i="16"/>
  <c r="J207" i="16"/>
  <c r="E209" i="16" s="1"/>
  <c r="E214" i="16" s="1"/>
  <c r="E215" i="16" s="1"/>
  <c r="G207" i="16"/>
  <c r="E167" i="16"/>
  <c r="J162" i="16"/>
  <c r="E164" i="16" s="1"/>
  <c r="E169" i="16" s="1"/>
  <c r="E170" i="16" s="1"/>
  <c r="G162" i="16"/>
  <c r="E122" i="16"/>
  <c r="J117" i="16"/>
  <c r="E119" i="16" s="1"/>
  <c r="G117" i="16"/>
  <c r="E107" i="16"/>
  <c r="E108" i="16" s="1"/>
  <c r="E77" i="16"/>
  <c r="J72" i="16"/>
  <c r="E74" i="16" s="1"/>
  <c r="E79" i="16" s="1"/>
  <c r="E80" i="16" s="1"/>
  <c r="G72" i="16"/>
  <c r="H116" i="16"/>
  <c r="E32" i="16"/>
  <c r="J27" i="16"/>
  <c r="E17" i="16" s="1"/>
  <c r="E18" i="16" s="1"/>
  <c r="G27" i="16"/>
  <c r="K24" i="16"/>
  <c r="H249" i="15"/>
  <c r="E257" i="15"/>
  <c r="J252" i="15"/>
  <c r="E254" i="15" s="1"/>
  <c r="E259" i="15" s="1"/>
  <c r="E260" i="15" s="1"/>
  <c r="G252" i="15"/>
  <c r="H251" i="15"/>
  <c r="K251" i="15" s="1"/>
  <c r="H250" i="15"/>
  <c r="H252" i="15" s="1"/>
  <c r="K249" i="15"/>
  <c r="H204" i="15"/>
  <c r="E212" i="15"/>
  <c r="J207" i="15"/>
  <c r="E209" i="15" s="1"/>
  <c r="E214" i="15" s="1"/>
  <c r="E215" i="15" s="1"/>
  <c r="G207" i="15"/>
  <c r="H206" i="15"/>
  <c r="K206" i="15" s="1"/>
  <c r="H205" i="15"/>
  <c r="K205" i="15" s="1"/>
  <c r="K204" i="15"/>
  <c r="H159" i="15"/>
  <c r="E167" i="15"/>
  <c r="J162" i="15"/>
  <c r="E164" i="15" s="1"/>
  <c r="E169" i="15" s="1"/>
  <c r="E170" i="15" s="1"/>
  <c r="H162" i="15"/>
  <c r="G162" i="15"/>
  <c r="H161" i="15"/>
  <c r="K161" i="15" s="1"/>
  <c r="H160" i="15"/>
  <c r="K160" i="15" s="1"/>
  <c r="K159" i="15"/>
  <c r="K162" i="15" s="1"/>
  <c r="E122" i="15"/>
  <c r="J117" i="15"/>
  <c r="E119" i="15" s="1"/>
  <c r="E124" i="15" s="1"/>
  <c r="E125" i="15" s="1"/>
  <c r="G117" i="15"/>
  <c r="H116" i="15"/>
  <c r="K116" i="15" s="1"/>
  <c r="H115" i="15"/>
  <c r="H117" i="15" s="1"/>
  <c r="H114" i="15"/>
  <c r="K114" i="15" s="1"/>
  <c r="K72" i="17" l="1"/>
  <c r="K116" i="17"/>
  <c r="H161" i="17"/>
  <c r="K115" i="17"/>
  <c r="H160" i="17"/>
  <c r="K114" i="17"/>
  <c r="H117" i="17"/>
  <c r="H159" i="17"/>
  <c r="K69" i="16"/>
  <c r="H114" i="16"/>
  <c r="E124" i="16"/>
  <c r="E125" i="16" s="1"/>
  <c r="K70" i="16"/>
  <c r="K25" i="16"/>
  <c r="K27" i="16" s="1"/>
  <c r="H161" i="16"/>
  <c r="K116" i="16"/>
  <c r="H205" i="16"/>
  <c r="K160" i="16"/>
  <c r="K71" i="16"/>
  <c r="E29" i="16"/>
  <c r="E34" i="16" s="1"/>
  <c r="E35" i="16" s="1"/>
  <c r="E152" i="16"/>
  <c r="E153" i="16" s="1"/>
  <c r="H72" i="16"/>
  <c r="K115" i="16"/>
  <c r="E62" i="16"/>
  <c r="E63" i="16" s="1"/>
  <c r="H117" i="16"/>
  <c r="E197" i="16"/>
  <c r="E198" i="16" s="1"/>
  <c r="K250" i="15"/>
  <c r="K252" i="15" s="1"/>
  <c r="E242" i="15"/>
  <c r="E243" i="15" s="1"/>
  <c r="K207" i="15"/>
  <c r="H207" i="15"/>
  <c r="E197" i="15"/>
  <c r="E198" i="15" s="1"/>
  <c r="E152" i="15"/>
  <c r="E153" i="15" s="1"/>
  <c r="K115" i="15"/>
  <c r="K117" i="15" s="1"/>
  <c r="E107" i="15"/>
  <c r="E108" i="15" s="1"/>
  <c r="K161" i="17" l="1"/>
  <c r="H206" i="17"/>
  <c r="K160" i="17"/>
  <c r="H205" i="17"/>
  <c r="K159" i="17"/>
  <c r="K162" i="17" s="1"/>
  <c r="H162" i="17"/>
  <c r="H204" i="17"/>
  <c r="K117" i="17"/>
  <c r="K250" i="16"/>
  <c r="H295" i="16"/>
  <c r="K295" i="16" s="1"/>
  <c r="H159" i="16"/>
  <c r="K114" i="16"/>
  <c r="K117" i="16" s="1"/>
  <c r="K72" i="16"/>
  <c r="K205" i="16"/>
  <c r="H206" i="16"/>
  <c r="K161" i="16"/>
  <c r="H70" i="15"/>
  <c r="K70" i="15" s="1"/>
  <c r="H71" i="15"/>
  <c r="K71" i="15" s="1"/>
  <c r="H69" i="15"/>
  <c r="H72" i="15" s="1"/>
  <c r="E77" i="15"/>
  <c r="J72" i="15"/>
  <c r="E74" i="15" s="1"/>
  <c r="E79" i="15" s="1"/>
  <c r="E80" i="15" s="1"/>
  <c r="G72" i="15"/>
  <c r="E62" i="15"/>
  <c r="E63" i="15" s="1"/>
  <c r="K24" i="15"/>
  <c r="E32" i="15"/>
  <c r="J27" i="15"/>
  <c r="E17" i="15" s="1"/>
  <c r="E18" i="15" s="1"/>
  <c r="G27" i="15"/>
  <c r="K206" i="17" l="1"/>
  <c r="H251" i="17"/>
  <c r="K205" i="17"/>
  <c r="H250" i="17"/>
  <c r="K204" i="17"/>
  <c r="K207" i="17" s="1"/>
  <c r="H207" i="17"/>
  <c r="H249" i="17"/>
  <c r="H162" i="16"/>
  <c r="K159" i="16"/>
  <c r="K162" i="16" s="1"/>
  <c r="H204" i="16"/>
  <c r="K206" i="16"/>
  <c r="H207" i="16"/>
  <c r="K69" i="15"/>
  <c r="K72" i="15" s="1"/>
  <c r="H27" i="15"/>
  <c r="K25" i="15"/>
  <c r="E29" i="15"/>
  <c r="E34" i="15" s="1"/>
  <c r="E35" i="15" s="1"/>
  <c r="K251" i="17" l="1"/>
  <c r="H296" i="17"/>
  <c r="K250" i="17"/>
  <c r="H295" i="17"/>
  <c r="K249" i="17"/>
  <c r="H252" i="17"/>
  <c r="H294" i="17"/>
  <c r="H252" i="16"/>
  <c r="K204" i="16"/>
  <c r="K207" i="16" s="1"/>
  <c r="K249" i="16"/>
  <c r="H294" i="16"/>
  <c r="K26" i="15"/>
  <c r="K27" i="15" s="1"/>
  <c r="K252" i="17" l="1"/>
  <c r="K296" i="17"/>
  <c r="H341" i="17"/>
  <c r="K295" i="17"/>
  <c r="H340" i="17"/>
  <c r="K294" i="17"/>
  <c r="H297" i="17"/>
  <c r="H339" i="17"/>
  <c r="K251" i="16"/>
  <c r="K252" i="16" s="1"/>
  <c r="H296" i="16"/>
  <c r="K296" i="16" s="1"/>
  <c r="H297" i="16"/>
  <c r="K294" i="16"/>
  <c r="K297" i="16" s="1"/>
  <c r="K297" i="17" l="1"/>
  <c r="K341" i="17"/>
  <c r="H386" i="17"/>
  <c r="K386" i="17" s="1"/>
  <c r="K340" i="17"/>
  <c r="H385" i="17"/>
  <c r="K385" i="17" s="1"/>
  <c r="K339" i="17"/>
  <c r="H384" i="17"/>
  <c r="H342" i="17"/>
  <c r="K342" i="17" l="1"/>
  <c r="H387" i="17"/>
  <c r="K384" i="17"/>
  <c r="K387" i="17" s="1"/>
</calcChain>
</file>

<file path=xl/sharedStrings.xml><?xml version="1.0" encoding="utf-8"?>
<sst xmlns="http://schemas.openxmlformats.org/spreadsheetml/2006/main" count="1350" uniqueCount="71">
  <si>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</si>
  <si>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</si>
  <si>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</si>
  <si>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</si>
  <si>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</si>
  <si>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</si>
  <si>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</si>
  <si>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</si>
  <si>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</si>
  <si>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</si>
  <si>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</si>
  <si>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</si>
  <si>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</si>
  <si>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</si>
  <si>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</si>
  <si>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</si>
  <si>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</si>
  <si>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</si>
  <si>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</si>
  <si>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</si>
  <si>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</si>
  <si>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</si>
  <si>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</si>
  <si>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Alat Tulis Kantor</t>
  </si>
  <si>
    <t>Beban Benda Pos</t>
  </si>
  <si>
    <t>Pembuatan Stempel Dewas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</si>
  <si>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</si>
  <si>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</si>
  <si>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</si>
  <si>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</si>
  <si>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</si>
  <si>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</si>
  <si>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</si>
  <si>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</si>
  <si>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</si>
  <si>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</si>
  <si>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</si>
  <si>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IRNA WAHYUNI N.</t>
  </si>
  <si>
    <t>PERUMDA PASAR BANJARMASIN</t>
  </si>
  <si>
    <r>
      <t>Nomor : 21/DIV-KEU/PPB/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</si>
  <si>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</si>
  <si>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33/DIV-KEU/PPB/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</si>
  <si>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</si>
  <si>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41/DIV-KEU/PPB/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</si>
  <si>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42/DIV-KEU/PPB/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</si>
  <si>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58/DIV-KEU/PPB/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</si>
  <si>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Januari 2026</t>
  </si>
  <si>
    <r>
      <t>Nomor : 66/DIV-KEU/PPB/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</si>
  <si>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</si>
  <si>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r>
      <t>Nomor : 99/DIV-KEU/PPB/I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</si>
  <si>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Februari 2026</t>
  </si>
  <si>
    <r>
      <t>Nomor : 100/DIV-KEU/PPB/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</si>
  <si>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105/DIV-KEU/PPB/I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</si>
  <si>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110/DIV-KEU/PPB/I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</si>
  <si>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03 Februari 2026</t>
  </si>
  <si>
    <t>Banjarmasin, 05 Februari 2026</t>
  </si>
  <si>
    <r>
      <t>Nomor : 24/DIV-KEU/PPB/I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</si>
  <si>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50/DIV-KEU/PPB/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</si>
  <si>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10 Februari 2026</t>
  </si>
  <si>
    <r>
      <t>Nomor : 004/DIV-KEU/PPB/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</si>
  <si>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043/DIV-KEU/PPB/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</si>
  <si>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090/DIV-KEU/PPB/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</si>
  <si>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24 Februari 2026</t>
  </si>
  <si>
    <r>
      <t>Nomor : 103/DIV-KEU/PPB/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</si>
  <si>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27 Februari 2026</t>
  </si>
  <si>
    <r>
      <t>Nomor : 009/DIV-KEU/PPB/II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</si>
  <si>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03 Maret 2026</t>
  </si>
  <si>
    <t>Banjarmasin, 04 Maret 2026</t>
  </si>
  <si>
    <r>
      <t>Nomor : 011/DIV-KEU/PPB/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</si>
  <si>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r>
      <t>Nomor : 016/DIV-KEU/PPB/II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</si>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</sst>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8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167" fontId="3" fillId="0" borderId="8" xfId="1" applyNumberFormat="1" applyFont="1" applyFill="1" applyBorder="1" applyAlignment="1">
      <alignment horizontal="right" vertical="center"/>
    </xf>
    <xf numFmtId="167" fontId="3" fillId="0" borderId="8" xfId="1" applyNumberFormat="1" applyFont="1" applyFill="1" applyBorder="1" applyAlignment="1">
      <alignment horizontal="right"/>
    </xf>
    <xf numFmtId="167" fontId="3" fillId="0" borderId="8" xfId="1" applyNumberFormat="1" applyFont="1" applyFill="1" applyBorder="1"/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270</xdr:row>
      <xdr:rowOff>9525</xdr:rowOff>
    </xdr:from>
    <xdr:to>
      <xdr:col>10</xdr:col>
      <xdr:colOff>1162051</xdr:colOff>
      <xdr:row>279</xdr:row>
      <xdr:rowOff>39327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CDB3C2-A074-4D50-AE0B-D369F7FF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1162051</xdr:colOff>
      <xdr:row>234</xdr:row>
      <xdr:rowOff>39327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979334-F98E-476A-BBDD-DD6B61CE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98670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1162051</xdr:colOff>
      <xdr:row>189</xdr:row>
      <xdr:rowOff>39327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10FF76-C8B8-4FF3-82DA-183D7903D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1162051</xdr:colOff>
      <xdr:row>144</xdr:row>
      <xdr:rowOff>39327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314AE8-867A-4DC6-BA30-3D85BCE4A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1162051</xdr:colOff>
      <xdr:row>99</xdr:row>
      <xdr:rowOff>39327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A8DABB-3921-477D-820F-EBA67B53A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1162051</xdr:colOff>
      <xdr:row>54</xdr:row>
      <xdr:rowOff>39327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81DC0C-F81D-4518-920F-D033ABCC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47626</xdr:rowOff>
    </xdr:from>
    <xdr:to>
      <xdr:col>10</xdr:col>
      <xdr:colOff>1162051</xdr:colOff>
      <xdr:row>9</xdr:row>
      <xdr:rowOff>77428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3431FC-01AE-4F6E-A131-0FDDCFA7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7626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5632261-FD25-451E-8411-ECFB3126C538}"/>
            </a:ext>
          </a:extLst>
        </xdr:cNvPr>
        <xdr:cNvCxnSpPr/>
      </xdr:nvCxnSpPr>
      <xdr:spPr>
        <a:xfrm>
          <a:off x="19050" y="14097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9B5AE3B-EF7A-4C90-931B-D94C4C588964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F380947-8370-40A5-AF28-AED0B1B08F17}"/>
            </a:ext>
          </a:extLst>
        </xdr:cNvPr>
        <xdr:cNvCxnSpPr/>
      </xdr:nvCxnSpPr>
      <xdr:spPr>
        <a:xfrm>
          <a:off x="19050" y="104203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821822E-75FC-40BD-8DF5-C9C73BDA8930}"/>
            </a:ext>
          </a:extLst>
        </xdr:cNvPr>
        <xdr:cNvCxnSpPr/>
      </xdr:nvCxnSpPr>
      <xdr:spPr>
        <a:xfrm>
          <a:off x="19050" y="196119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A1E2B57-9583-4645-BECD-62E9FE4320EF}"/>
            </a:ext>
          </a:extLst>
        </xdr:cNvPr>
        <xdr:cNvCxnSpPr/>
      </xdr:nvCxnSpPr>
      <xdr:spPr>
        <a:xfrm>
          <a:off x="19050" y="288036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F9ED5FF-53D2-49FA-963A-AE08A1B14F5F}"/>
            </a:ext>
          </a:extLst>
        </xdr:cNvPr>
        <xdr:cNvCxnSpPr/>
      </xdr:nvCxnSpPr>
      <xdr:spPr>
        <a:xfrm>
          <a:off x="19050" y="379952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8290CD4-0DEB-427E-BDE7-65DD836C0888}"/>
            </a:ext>
          </a:extLst>
        </xdr:cNvPr>
        <xdr:cNvCxnSpPr/>
      </xdr:nvCxnSpPr>
      <xdr:spPr>
        <a:xfrm>
          <a:off x="19050" y="471868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360</xdr:row>
      <xdr:rowOff>9525</xdr:rowOff>
    </xdr:from>
    <xdr:to>
      <xdr:col>10</xdr:col>
      <xdr:colOff>1162051</xdr:colOff>
      <xdr:row>369</xdr:row>
      <xdr:rowOff>39327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968C7E1-4CEF-474B-9C78-2E5DA3C08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356157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315</xdr:row>
      <xdr:rowOff>9525</xdr:rowOff>
    </xdr:from>
    <xdr:to>
      <xdr:col>10</xdr:col>
      <xdr:colOff>1162051</xdr:colOff>
      <xdr:row>324</xdr:row>
      <xdr:rowOff>39327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886998-52FD-4F57-AD8A-D037FA732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436995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1162051</xdr:colOff>
      <xdr:row>234</xdr:row>
      <xdr:rowOff>39327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CA78705-6B57-4406-92D2-97467F8F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1162051</xdr:colOff>
      <xdr:row>189</xdr:row>
      <xdr:rowOff>39327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BA0681-0234-43E0-A8A4-8BA1707EA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1162051</xdr:colOff>
      <xdr:row>144</xdr:row>
      <xdr:rowOff>39327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B6BE01-2821-49C6-B1FB-FE8904075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1162051</xdr:colOff>
      <xdr:row>99</xdr:row>
      <xdr:rowOff>39327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A28103-A8F4-4330-8A62-793975E12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1162051</xdr:colOff>
      <xdr:row>54</xdr:row>
      <xdr:rowOff>39327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F1EF91-1A55-4413-9DD9-E59BEE62E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10</xdr:col>
      <xdr:colOff>1162051</xdr:colOff>
      <xdr:row>9</xdr:row>
      <xdr:rowOff>58378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5565B1-9230-43CE-B959-D7C8D1775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8576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037D188-EAB9-4E1A-8022-9CC1E971560F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562B321-732D-49CB-837D-256C6781C4DA}"/>
            </a:ext>
          </a:extLst>
        </xdr:cNvPr>
        <xdr:cNvCxnSpPr/>
      </xdr:nvCxnSpPr>
      <xdr:spPr>
        <a:xfrm>
          <a:off x="19050" y="104203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0B2144F-5425-46B6-8035-D6270B05E1C1}"/>
            </a:ext>
          </a:extLst>
        </xdr:cNvPr>
        <xdr:cNvCxnSpPr/>
      </xdr:nvCxnSpPr>
      <xdr:spPr>
        <a:xfrm>
          <a:off x="19050" y="196119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9E72A52-FABE-4448-8BAB-FDF5C9FB1CC8}"/>
            </a:ext>
          </a:extLst>
        </xdr:cNvPr>
        <xdr:cNvCxnSpPr/>
      </xdr:nvCxnSpPr>
      <xdr:spPr>
        <a:xfrm>
          <a:off x="19050" y="288036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A1579B7-2164-48B2-BC6F-6BC03D3D9D6F}"/>
            </a:ext>
          </a:extLst>
        </xdr:cNvPr>
        <xdr:cNvCxnSpPr/>
      </xdr:nvCxnSpPr>
      <xdr:spPr>
        <a:xfrm>
          <a:off x="19050" y="379952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BA851DC-333D-484F-8D39-64A6626E11F8}"/>
            </a:ext>
          </a:extLst>
        </xdr:cNvPr>
        <xdr:cNvCxnSpPr/>
      </xdr:nvCxnSpPr>
      <xdr:spPr>
        <a:xfrm>
          <a:off x="19050" y="471868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28575</xdr:colOff>
      <xdr:row>270</xdr:row>
      <xdr:rowOff>9525</xdr:rowOff>
    </xdr:from>
    <xdr:ext cx="7724776" cy="1763352"/>
    <xdr:pic>
      <xdr:nvPicPr>
        <xdr:cNvPr id="14" name="Picture 13">
          <a:extLst>
            <a:ext uri="{FF2B5EF4-FFF2-40B4-BE49-F238E27FC236}">
              <a16:creationId xmlns:a16="http://schemas.microsoft.com/office/drawing/2014/main" id="{1CAF79D6-E312-40AF-8037-F78CF77E8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511E764-2DE9-4A70-81C5-2D047CCB922E}"/>
            </a:ext>
          </a:extLst>
        </xdr:cNvPr>
        <xdr:cNvCxnSpPr/>
      </xdr:nvCxnSpPr>
      <xdr:spPr>
        <a:xfrm>
          <a:off x="19050" y="563784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321</xdr:row>
      <xdr:rowOff>47625</xdr:rowOff>
    </xdr:from>
    <xdr:to>
      <xdr:col>10</xdr:col>
      <xdr:colOff>1162050</xdr:colOff>
      <xdr:row>321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999AF19-6610-47CE-9109-E5E0E36D1F69}"/>
            </a:ext>
          </a:extLst>
        </xdr:cNvPr>
        <xdr:cNvCxnSpPr/>
      </xdr:nvCxnSpPr>
      <xdr:spPr>
        <a:xfrm>
          <a:off x="19050" y="563784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366</xdr:row>
      <xdr:rowOff>47625</xdr:rowOff>
    </xdr:from>
    <xdr:to>
      <xdr:col>10</xdr:col>
      <xdr:colOff>1162050</xdr:colOff>
      <xdr:row>366</xdr:row>
      <xdr:rowOff>47625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7C5D960-98CC-4F24-ACA6-9F0F5807965A}"/>
            </a:ext>
          </a:extLst>
        </xdr:cNvPr>
        <xdr:cNvCxnSpPr/>
      </xdr:nvCxnSpPr>
      <xdr:spPr>
        <a:xfrm>
          <a:off x="19050" y="655701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360</xdr:row>
      <xdr:rowOff>9525</xdr:rowOff>
    </xdr:from>
    <xdr:to>
      <xdr:col>10</xdr:col>
      <xdr:colOff>1162051</xdr:colOff>
      <xdr:row>369</xdr:row>
      <xdr:rowOff>39327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2E762-DD47-4555-83DC-31279D72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356157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315</xdr:row>
      <xdr:rowOff>9525</xdr:rowOff>
    </xdr:from>
    <xdr:to>
      <xdr:col>10</xdr:col>
      <xdr:colOff>1162051</xdr:colOff>
      <xdr:row>324</xdr:row>
      <xdr:rowOff>39327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1DB402-2CFA-4390-A633-58BACFBC6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436995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1162051</xdr:colOff>
      <xdr:row>234</xdr:row>
      <xdr:rowOff>39327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C44F96-423F-48E2-A3DB-194AD796D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98670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1162051</xdr:colOff>
      <xdr:row>189</xdr:row>
      <xdr:rowOff>39327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2E7201-71F8-4418-83BE-FA6E803D2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1162051</xdr:colOff>
      <xdr:row>144</xdr:row>
      <xdr:rowOff>39327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9C7B04-1828-4F89-99C0-980261B0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1162051</xdr:colOff>
      <xdr:row>99</xdr:row>
      <xdr:rowOff>39327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58AE4-F1D7-42F7-B471-A93F5C069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1162051</xdr:colOff>
      <xdr:row>54</xdr:row>
      <xdr:rowOff>39327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44D0DD-7E44-485A-A551-3E47D1EE0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10</xdr:col>
      <xdr:colOff>1162051</xdr:colOff>
      <xdr:row>9</xdr:row>
      <xdr:rowOff>58378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B58522-E409-4C7E-A4DD-F43B5D91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8576"/>
          <a:ext cx="7724776" cy="17633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553E33D-5FBC-490E-9282-02ED207E654A}"/>
            </a:ext>
          </a:extLst>
        </xdr:cNvPr>
        <xdr:cNvCxnSpPr/>
      </xdr:nvCxnSpPr>
      <xdr:spPr>
        <a:xfrm>
          <a:off x="19050" y="12096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864950-F4FA-40F2-AB84-EB2B1A113684}"/>
            </a:ext>
          </a:extLst>
        </xdr:cNvPr>
        <xdr:cNvCxnSpPr/>
      </xdr:nvCxnSpPr>
      <xdr:spPr>
        <a:xfrm>
          <a:off x="19050" y="104203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8178853-1BF9-4EDC-929D-CCD5D5AF81FD}"/>
            </a:ext>
          </a:extLst>
        </xdr:cNvPr>
        <xdr:cNvCxnSpPr/>
      </xdr:nvCxnSpPr>
      <xdr:spPr>
        <a:xfrm>
          <a:off x="19050" y="196119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2554A9E-482A-42CB-A937-B0A9242CA796}"/>
            </a:ext>
          </a:extLst>
        </xdr:cNvPr>
        <xdr:cNvCxnSpPr/>
      </xdr:nvCxnSpPr>
      <xdr:spPr>
        <a:xfrm>
          <a:off x="19050" y="288036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5D0874E-797C-4EA4-8062-6D6AFC3CF2AD}"/>
            </a:ext>
          </a:extLst>
        </xdr:cNvPr>
        <xdr:cNvCxnSpPr/>
      </xdr:nvCxnSpPr>
      <xdr:spPr>
        <a:xfrm>
          <a:off x="19050" y="379952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2313B07-70E8-464A-B3A5-A0CA0D73899C}"/>
            </a:ext>
          </a:extLst>
        </xdr:cNvPr>
        <xdr:cNvCxnSpPr/>
      </xdr:nvCxnSpPr>
      <xdr:spPr>
        <a:xfrm>
          <a:off x="19050" y="4718685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28575</xdr:colOff>
      <xdr:row>270</xdr:row>
      <xdr:rowOff>9525</xdr:rowOff>
    </xdr:from>
    <xdr:ext cx="7724776" cy="1763352"/>
    <xdr:pic>
      <xdr:nvPicPr>
        <xdr:cNvPr id="16" name="Picture 15">
          <a:extLst>
            <a:ext uri="{FF2B5EF4-FFF2-40B4-BE49-F238E27FC236}">
              <a16:creationId xmlns:a16="http://schemas.microsoft.com/office/drawing/2014/main" id="{BD3CFD1D-F278-4B93-A915-0E7BD9EA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7724776" cy="176335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FCA5619-41AF-4534-9336-072A9630D63A}"/>
            </a:ext>
          </a:extLst>
        </xdr:cNvPr>
        <xdr:cNvCxnSpPr/>
      </xdr:nvCxnSpPr>
      <xdr:spPr>
        <a:xfrm>
          <a:off x="19050" y="5637847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321</xdr:row>
      <xdr:rowOff>47625</xdr:rowOff>
    </xdr:from>
    <xdr:to>
      <xdr:col>10</xdr:col>
      <xdr:colOff>1162050</xdr:colOff>
      <xdr:row>321</xdr:row>
      <xdr:rowOff>47625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8E7E9CD-064B-47B6-A7F2-7C8F67B9FFAD}"/>
            </a:ext>
          </a:extLst>
        </xdr:cNvPr>
        <xdr:cNvCxnSpPr/>
      </xdr:nvCxnSpPr>
      <xdr:spPr>
        <a:xfrm>
          <a:off x="19050" y="65570100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366</xdr:row>
      <xdr:rowOff>47625</xdr:rowOff>
    </xdr:from>
    <xdr:to>
      <xdr:col>10</xdr:col>
      <xdr:colOff>1162050</xdr:colOff>
      <xdr:row>366</xdr:row>
      <xdr:rowOff>47625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42A5D2B-3757-4021-95C9-3E83BB3B0098}"/>
            </a:ext>
          </a:extLst>
        </xdr:cNvPr>
        <xdr:cNvCxnSpPr/>
      </xdr:nvCxnSpPr>
      <xdr:spPr>
        <a:xfrm>
          <a:off x="19050" y="74761725"/>
          <a:ext cx="77343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85C3-AC98-4B3C-B8CE-B804B455F368}">
  <dimension ref="A1:W314"/>
  <sheetViews>
    <sheetView view="pageBreakPreview" topLeftCell="A340" zoomScaleNormal="100" workbookViewId="0">
      <selection activeCell="K314" sqref="A271:K31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6" t="s">
        <v>0</v>
      </c>
      <c r="B8" s="66"/>
      <c r="C8" s="67"/>
      <c r="D8" s="67"/>
      <c r="E8" s="67"/>
      <c r="F8" s="67"/>
      <c r="G8" s="67"/>
      <c r="H8" s="67"/>
      <c r="I8" s="67"/>
      <c r="J8" s="67"/>
      <c r="K8" s="67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7" t="s">
        <v>39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7" t="s">
        <v>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7" t="s">
        <v>38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7" t="s">
        <v>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440000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2" t="s">
        <v>15</v>
      </c>
      <c r="D22" s="63"/>
      <c r="E22" s="64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60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23</v>
      </c>
      <c r="D24" s="10"/>
      <c r="E24" s="26"/>
      <c r="F24" s="25"/>
      <c r="G24" s="22">
        <v>123255000</v>
      </c>
      <c r="H24" s="23">
        <v>0</v>
      </c>
      <c r="I24" s="23"/>
      <c r="J24" s="33">
        <v>440000</v>
      </c>
      <c r="K24" s="34">
        <f t="shared" ref="K24:K26" si="0">G24-H24-J24</f>
        <v>122815000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24</v>
      </c>
      <c r="D25" s="10"/>
      <c r="E25" s="26"/>
      <c r="F25" s="25"/>
      <c r="G25" s="22">
        <v>5000000</v>
      </c>
      <c r="H25" s="23">
        <v>0</v>
      </c>
      <c r="I25" s="23"/>
      <c r="J25" s="33">
        <v>0</v>
      </c>
      <c r="K25" s="34">
        <f t="shared" si="0"/>
        <v>5000000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25</v>
      </c>
      <c r="D26" s="10"/>
      <c r="E26" s="26"/>
      <c r="F26" s="25"/>
      <c r="G26" s="22">
        <v>1000000</v>
      </c>
      <c r="H26" s="23">
        <v>0</v>
      </c>
      <c r="I26" s="57"/>
      <c r="J26" s="58">
        <v>0</v>
      </c>
      <c r="K26" s="59">
        <f t="shared" si="0"/>
        <v>1000000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26</v>
      </c>
      <c r="D27" s="35"/>
      <c r="E27" s="35"/>
      <c r="F27" s="36"/>
      <c r="G27" s="37">
        <f>SUM(G23:G26)</f>
        <v>129255000</v>
      </c>
      <c r="H27" s="38">
        <f>SUM(H23:H26)</f>
        <v>0</v>
      </c>
      <c r="I27" s="38"/>
      <c r="J27" s="38">
        <f>SUM(J23:J26)</f>
        <v>440000</v>
      </c>
      <c r="K27" s="38">
        <f>SUM(K23:K26)</f>
        <v>128815000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5" t="s">
        <v>27</v>
      </c>
      <c r="B29" s="65"/>
      <c r="C29" s="65"/>
      <c r="D29" s="11" t="s">
        <v>4</v>
      </c>
      <c r="E29" s="14">
        <f>J27</f>
        <v>440000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28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29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30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5" t="s">
        <v>31</v>
      </c>
      <c r="B34" s="65"/>
      <c r="C34" s="65"/>
      <c r="D34" s="11" t="s">
        <v>4</v>
      </c>
      <c r="E34" s="41">
        <f>E29-E32</f>
        <v>440000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Empat Puluh Ribu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H38" s="48"/>
      <c r="I38" s="48"/>
      <c r="J38" s="48" t="s">
        <v>40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32</v>
      </c>
      <c r="B39" s="10"/>
      <c r="C39" s="10"/>
      <c r="D39" s="10"/>
      <c r="E39" s="10"/>
      <c r="F39" s="10"/>
      <c r="G39" s="10"/>
      <c r="H39" s="12"/>
      <c r="I39" s="12"/>
      <c r="J39" s="12" t="s">
        <v>33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H40" s="12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H41" s="12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H42" s="12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H43" s="12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37</v>
      </c>
      <c r="B44" s="49"/>
      <c r="C44" s="50"/>
      <c r="D44" s="50"/>
      <c r="E44" s="50"/>
      <c r="F44" s="50"/>
      <c r="G44" s="10" t="s">
        <v>34</v>
      </c>
      <c r="H44" s="49"/>
      <c r="I44" s="49"/>
      <c r="J44" s="49" t="s">
        <v>35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6" t="s">
        <v>0</v>
      </c>
      <c r="B53" s="66"/>
      <c r="C53" s="67"/>
      <c r="D53" s="67"/>
      <c r="E53" s="67"/>
      <c r="F53" s="67"/>
      <c r="G53" s="67"/>
      <c r="H53" s="67"/>
      <c r="I53" s="67"/>
      <c r="J53" s="67"/>
      <c r="K53" s="67"/>
    </row>
    <row r="54" spans="1:11">
      <c r="A54" s="67" t="s">
        <v>41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>
      <c r="A55" s="67" t="s">
        <v>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>
      <c r="A56" s="67" t="s">
        <v>38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>
      <c r="A57" s="67" t="s">
        <v>2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4000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1" t="s">
        <v>12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</row>
    <row r="67" spans="1:11" ht="60">
      <c r="A67" s="17" t="s">
        <v>13</v>
      </c>
      <c r="B67" s="18" t="s">
        <v>14</v>
      </c>
      <c r="C67" s="62" t="s">
        <v>15</v>
      </c>
      <c r="D67" s="63"/>
      <c r="E67" s="64"/>
      <c r="F67" s="19"/>
      <c r="G67" s="20" t="s">
        <v>16</v>
      </c>
      <c r="H67" s="21" t="s">
        <v>36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60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23</v>
      </c>
      <c r="D69" s="10"/>
      <c r="E69" s="26"/>
      <c r="F69" s="25"/>
      <c r="G69" s="22">
        <v>123255000</v>
      </c>
      <c r="H69" s="23">
        <f>H24+J24</f>
        <v>440000</v>
      </c>
      <c r="I69" s="23"/>
      <c r="J69" s="33">
        <v>4000</v>
      </c>
      <c r="K69" s="34">
        <f t="shared" ref="K69:K71" si="1">G69-H69-J69</f>
        <v>122811000</v>
      </c>
    </row>
    <row r="70" spans="1:11">
      <c r="A70" s="24"/>
      <c r="B70" s="56" t="s">
        <v>21</v>
      </c>
      <c r="C70" s="25" t="s">
        <v>24</v>
      </c>
      <c r="D70" s="10"/>
      <c r="E70" s="26"/>
      <c r="F70" s="25"/>
      <c r="G70" s="22">
        <v>5000000</v>
      </c>
      <c r="H70" s="23">
        <f t="shared" ref="H70:H71" si="2">H25+J25</f>
        <v>0</v>
      </c>
      <c r="I70" s="23"/>
      <c r="J70" s="33">
        <v>0</v>
      </c>
      <c r="K70" s="34">
        <f t="shared" si="1"/>
        <v>5000000</v>
      </c>
    </row>
    <row r="71" spans="1:11">
      <c r="A71" s="24"/>
      <c r="B71" s="56" t="s">
        <v>22</v>
      </c>
      <c r="C71" s="25" t="s">
        <v>25</v>
      </c>
      <c r="D71" s="10"/>
      <c r="E71" s="26"/>
      <c r="F71" s="25"/>
      <c r="G71" s="22">
        <v>1000000</v>
      </c>
      <c r="H71" s="23">
        <f t="shared" si="2"/>
        <v>0</v>
      </c>
      <c r="I71" s="57"/>
      <c r="J71" s="58">
        <v>0</v>
      </c>
      <c r="K71" s="59">
        <f t="shared" si="1"/>
        <v>1000000</v>
      </c>
    </row>
    <row r="72" spans="1:11">
      <c r="A72" s="35"/>
      <c r="B72" s="35"/>
      <c r="C72" s="35" t="s">
        <v>26</v>
      </c>
      <c r="D72" s="35"/>
      <c r="E72" s="35"/>
      <c r="F72" s="36"/>
      <c r="G72" s="37">
        <f>SUM(G68:G71)</f>
        <v>129255000</v>
      </c>
      <c r="H72" s="38">
        <f>SUM(H68:H71)</f>
        <v>440000</v>
      </c>
      <c r="I72" s="38"/>
      <c r="J72" s="38">
        <f>SUM(J68:J71)</f>
        <v>4000</v>
      </c>
      <c r="K72" s="38">
        <f>SUM(K68:K71)</f>
        <v>128811000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5" t="s">
        <v>27</v>
      </c>
      <c r="B74" s="65"/>
      <c r="C74" s="65"/>
      <c r="D74" s="11" t="s">
        <v>4</v>
      </c>
      <c r="E74" s="14">
        <f>J72</f>
        <v>4000</v>
      </c>
      <c r="F74" s="41"/>
      <c r="G74" s="42"/>
      <c r="H74" s="42"/>
      <c r="I74" s="42"/>
      <c r="J74" s="9"/>
      <c r="K74" s="9"/>
    </row>
    <row r="75" spans="1:11">
      <c r="A75" s="10" t="s">
        <v>28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29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30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5" t="s">
        <v>31</v>
      </c>
      <c r="B79" s="65"/>
      <c r="C79" s="65"/>
      <c r="D79" s="11" t="s">
        <v>4</v>
      </c>
      <c r="E79" s="41">
        <f>E74-E77</f>
        <v>4000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Ribu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H83" s="48"/>
      <c r="I83" s="48"/>
      <c r="J83" s="48" t="s">
        <v>42</v>
      </c>
      <c r="K83" s="47"/>
    </row>
    <row r="84" spans="1:11">
      <c r="A84" s="12" t="s">
        <v>32</v>
      </c>
      <c r="B84" s="10"/>
      <c r="C84" s="10"/>
      <c r="D84" s="10"/>
      <c r="E84" s="10"/>
      <c r="F84" s="10"/>
      <c r="G84" s="10"/>
      <c r="H84" s="12"/>
      <c r="I84" s="12"/>
      <c r="J84" s="12" t="s">
        <v>33</v>
      </c>
      <c r="K84" s="47"/>
    </row>
    <row r="85" spans="1:11">
      <c r="A85" s="10"/>
      <c r="B85" s="10"/>
      <c r="C85" s="10"/>
      <c r="D85" s="10"/>
      <c r="E85" s="10"/>
      <c r="F85" s="10"/>
      <c r="G85" s="10"/>
      <c r="H85" s="12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H86" s="12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H87" s="12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H88" s="12"/>
      <c r="I88" s="12"/>
      <c r="J88" s="12"/>
      <c r="K88" s="47"/>
    </row>
    <row r="89" spans="1:11">
      <c r="A89" s="49" t="s">
        <v>37</v>
      </c>
      <c r="B89" s="49"/>
      <c r="C89" s="50"/>
      <c r="D89" s="50"/>
      <c r="E89" s="50"/>
      <c r="F89" s="50"/>
      <c r="G89" s="10" t="s">
        <v>34</v>
      </c>
      <c r="H89" s="49"/>
      <c r="I89" s="49"/>
      <c r="J89" s="49" t="s">
        <v>35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6" t="s">
        <v>0</v>
      </c>
      <c r="B98" s="66"/>
      <c r="C98" s="67"/>
      <c r="D98" s="67"/>
      <c r="E98" s="67"/>
      <c r="F98" s="67"/>
      <c r="G98" s="67"/>
      <c r="H98" s="67"/>
      <c r="I98" s="67"/>
      <c r="J98" s="67"/>
      <c r="K98" s="67"/>
    </row>
    <row r="99" spans="1:11">
      <c r="A99" s="67" t="s">
        <v>43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>
      <c r="A100" s="67" t="s">
        <v>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>
      <c r="A101" s="67" t="s">
        <v>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</row>
    <row r="102" spans="1:11">
      <c r="A102" s="67" t="s">
        <v>2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35000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Lima Ribu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1" t="s">
        <v>12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1:11" ht="60">
      <c r="A112" s="17" t="s">
        <v>13</v>
      </c>
      <c r="B112" s="18" t="s">
        <v>14</v>
      </c>
      <c r="C112" s="62" t="s">
        <v>15</v>
      </c>
      <c r="D112" s="63"/>
      <c r="E112" s="64"/>
      <c r="F112" s="19"/>
      <c r="G112" s="20" t="s">
        <v>16</v>
      </c>
      <c r="H112" s="21" t="s">
        <v>36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60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23</v>
      </c>
      <c r="D114" s="10"/>
      <c r="E114" s="26"/>
      <c r="F114" s="25"/>
      <c r="G114" s="22">
        <v>123255000</v>
      </c>
      <c r="H114" s="23">
        <f>H69+J69</f>
        <v>444000</v>
      </c>
      <c r="I114" s="23"/>
      <c r="J114" s="33">
        <v>35000</v>
      </c>
      <c r="K114" s="34">
        <f t="shared" ref="K114:K116" si="3">G114-H114-J114</f>
        <v>122776000</v>
      </c>
    </row>
    <row r="115" spans="1:11">
      <c r="A115" s="24"/>
      <c r="B115" s="56" t="s">
        <v>21</v>
      </c>
      <c r="C115" s="25" t="s">
        <v>24</v>
      </c>
      <c r="D115" s="10"/>
      <c r="E115" s="26"/>
      <c r="F115" s="25"/>
      <c r="G115" s="22">
        <v>5000000</v>
      </c>
      <c r="H115" s="23">
        <f t="shared" ref="H115:H116" si="4">H70+J70</f>
        <v>0</v>
      </c>
      <c r="I115" s="23"/>
      <c r="J115" s="33">
        <v>0</v>
      </c>
      <c r="K115" s="34">
        <f t="shared" si="3"/>
        <v>5000000</v>
      </c>
    </row>
    <row r="116" spans="1:11">
      <c r="A116" s="24"/>
      <c r="B116" s="56" t="s">
        <v>22</v>
      </c>
      <c r="C116" s="25" t="s">
        <v>25</v>
      </c>
      <c r="D116" s="10"/>
      <c r="E116" s="26"/>
      <c r="F116" s="25"/>
      <c r="G116" s="22">
        <v>1000000</v>
      </c>
      <c r="H116" s="23">
        <f t="shared" si="4"/>
        <v>0</v>
      </c>
      <c r="I116" s="57"/>
      <c r="J116" s="58">
        <v>0</v>
      </c>
      <c r="K116" s="59">
        <f t="shared" si="3"/>
        <v>1000000</v>
      </c>
    </row>
    <row r="117" spans="1:11">
      <c r="A117" s="35"/>
      <c r="B117" s="35"/>
      <c r="C117" s="35" t="s">
        <v>26</v>
      </c>
      <c r="D117" s="35"/>
      <c r="E117" s="35"/>
      <c r="F117" s="36"/>
      <c r="G117" s="37">
        <f>SUM(G113:G116)</f>
        <v>129255000</v>
      </c>
      <c r="H117" s="38">
        <f>SUM(H113:H116)</f>
        <v>444000</v>
      </c>
      <c r="I117" s="38"/>
      <c r="J117" s="38">
        <f>SUM(J113:J116)</f>
        <v>35000</v>
      </c>
      <c r="K117" s="38">
        <f>SUM(K113:K116)</f>
        <v>128776000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5" t="s">
        <v>27</v>
      </c>
      <c r="B119" s="65"/>
      <c r="C119" s="65"/>
      <c r="D119" s="11" t="s">
        <v>4</v>
      </c>
      <c r="E119" s="14">
        <f>J117</f>
        <v>35000</v>
      </c>
      <c r="F119" s="41"/>
      <c r="G119" s="42"/>
      <c r="H119" s="42"/>
      <c r="I119" s="42"/>
      <c r="J119" s="9"/>
      <c r="K119" s="9"/>
    </row>
    <row r="120" spans="1:11">
      <c r="A120" s="10" t="s">
        <v>28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29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30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5" t="s">
        <v>31</v>
      </c>
      <c r="B124" s="65"/>
      <c r="C124" s="65"/>
      <c r="D124" s="11" t="s">
        <v>4</v>
      </c>
      <c r="E124" s="41">
        <f>E119-E122</f>
        <v>35000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Lima Ribu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H128" s="48"/>
      <c r="I128" s="48"/>
      <c r="J128" s="48" t="s">
        <v>42</v>
      </c>
      <c r="K128" s="47"/>
    </row>
    <row r="129" spans="1:11">
      <c r="A129" s="12" t="s">
        <v>32</v>
      </c>
      <c r="B129" s="10"/>
      <c r="C129" s="10"/>
      <c r="D129" s="10"/>
      <c r="E129" s="10"/>
      <c r="F129" s="10"/>
      <c r="G129" s="10"/>
      <c r="H129" s="12"/>
      <c r="I129" s="12"/>
      <c r="J129" s="12" t="s">
        <v>33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H130" s="12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H131" s="12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H132" s="12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H133" s="12"/>
      <c r="I133" s="12"/>
      <c r="J133" s="12"/>
      <c r="K133" s="47"/>
    </row>
    <row r="134" spans="1:11">
      <c r="A134" s="49" t="s">
        <v>37</v>
      </c>
      <c r="B134" s="49"/>
      <c r="C134" s="50"/>
      <c r="D134" s="50"/>
      <c r="E134" s="50"/>
      <c r="F134" s="50"/>
      <c r="G134" s="10" t="s">
        <v>34</v>
      </c>
      <c r="H134" s="49"/>
      <c r="I134" s="49"/>
      <c r="J134" s="49" t="s">
        <v>35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6" t="s">
        <v>0</v>
      </c>
      <c r="B143" s="66"/>
      <c r="C143" s="67"/>
      <c r="D143" s="67"/>
      <c r="E143" s="67"/>
      <c r="F143" s="67"/>
      <c r="G143" s="67"/>
      <c r="H143" s="67"/>
      <c r="I143" s="67"/>
      <c r="J143" s="67"/>
      <c r="K143" s="67"/>
    </row>
    <row r="144" spans="1:11">
      <c r="A144" s="67" t="s">
        <v>44</v>
      </c>
      <c r="B144" s="67"/>
      <c r="C144" s="67"/>
      <c r="D144" s="67"/>
      <c r="E144" s="67"/>
      <c r="F144" s="67"/>
      <c r="G144" s="67"/>
      <c r="H144" s="67"/>
      <c r="I144" s="67"/>
      <c r="J144" s="67"/>
      <c r="K144" s="67"/>
    </row>
    <row r="145" spans="1:11">
      <c r="A145" s="67" t="s">
        <v>1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67"/>
    </row>
    <row r="146" spans="1:11">
      <c r="A146" s="67" t="s">
        <v>38</v>
      </c>
      <c r="B146" s="67"/>
      <c r="C146" s="67"/>
      <c r="D146" s="67"/>
      <c r="E146" s="67"/>
      <c r="F146" s="67"/>
      <c r="G146" s="67"/>
      <c r="H146" s="67"/>
      <c r="I146" s="67"/>
      <c r="J146" s="67"/>
      <c r="K146" s="67"/>
    </row>
    <row r="147" spans="1:11">
      <c r="A147" s="67" t="s">
        <v>2</v>
      </c>
      <c r="B147" s="67"/>
      <c r="C147" s="67"/>
      <c r="D147" s="67"/>
      <c r="E147" s="67"/>
      <c r="F147" s="67"/>
      <c r="G147" s="67"/>
      <c r="H147" s="67"/>
      <c r="I147" s="67"/>
      <c r="J147" s="67"/>
      <c r="K147" s="67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165000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Lima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61" t="s">
        <v>12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1:11" ht="60">
      <c r="A157" s="17" t="s">
        <v>13</v>
      </c>
      <c r="B157" s="18" t="s">
        <v>14</v>
      </c>
      <c r="C157" s="62" t="s">
        <v>15</v>
      </c>
      <c r="D157" s="63"/>
      <c r="E157" s="64"/>
      <c r="F157" s="19"/>
      <c r="G157" s="20" t="s">
        <v>16</v>
      </c>
      <c r="H157" s="21" t="s">
        <v>36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60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23</v>
      </c>
      <c r="D159" s="10"/>
      <c r="E159" s="26"/>
      <c r="F159" s="25"/>
      <c r="G159" s="22">
        <v>123255000</v>
      </c>
      <c r="H159" s="23">
        <f>H114+J114</f>
        <v>479000</v>
      </c>
      <c r="I159" s="23"/>
      <c r="J159" s="33">
        <v>165000</v>
      </c>
      <c r="K159" s="34">
        <f t="shared" ref="K159:K161" si="5">G159-H159-J159</f>
        <v>122611000</v>
      </c>
    </row>
    <row r="160" spans="1:11">
      <c r="A160" s="24"/>
      <c r="B160" s="56" t="s">
        <v>21</v>
      </c>
      <c r="C160" s="25" t="s">
        <v>24</v>
      </c>
      <c r="D160" s="10"/>
      <c r="E160" s="26"/>
      <c r="F160" s="25"/>
      <c r="G160" s="22">
        <v>5000000</v>
      </c>
      <c r="H160" s="23">
        <f t="shared" ref="H160:H161" si="6">H115+J115</f>
        <v>0</v>
      </c>
      <c r="I160" s="23"/>
      <c r="J160" s="33">
        <v>0</v>
      </c>
      <c r="K160" s="34">
        <f t="shared" si="5"/>
        <v>5000000</v>
      </c>
    </row>
    <row r="161" spans="1:11">
      <c r="A161" s="24"/>
      <c r="B161" s="56" t="s">
        <v>22</v>
      </c>
      <c r="C161" s="25" t="s">
        <v>25</v>
      </c>
      <c r="D161" s="10"/>
      <c r="E161" s="26"/>
      <c r="F161" s="25"/>
      <c r="G161" s="22">
        <v>1000000</v>
      </c>
      <c r="H161" s="23">
        <f t="shared" si="6"/>
        <v>0</v>
      </c>
      <c r="I161" s="57"/>
      <c r="J161" s="58">
        <v>0</v>
      </c>
      <c r="K161" s="59">
        <f t="shared" si="5"/>
        <v>1000000</v>
      </c>
    </row>
    <row r="162" spans="1:11">
      <c r="A162" s="35"/>
      <c r="B162" s="35"/>
      <c r="C162" s="35" t="s">
        <v>26</v>
      </c>
      <c r="D162" s="35"/>
      <c r="E162" s="35"/>
      <c r="F162" s="36"/>
      <c r="G162" s="37">
        <f>SUM(G158:G161)</f>
        <v>129255000</v>
      </c>
      <c r="H162" s="38">
        <f>SUM(H158:H161)</f>
        <v>479000</v>
      </c>
      <c r="I162" s="38"/>
      <c r="J162" s="38">
        <f>SUM(J158:J161)</f>
        <v>165000</v>
      </c>
      <c r="K162" s="38">
        <f>SUM(K158:K161)</f>
        <v>128611000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5" t="s">
        <v>27</v>
      </c>
      <c r="B164" s="65"/>
      <c r="C164" s="65"/>
      <c r="D164" s="11" t="s">
        <v>4</v>
      </c>
      <c r="E164" s="14">
        <f>J162</f>
        <v>165000</v>
      </c>
      <c r="F164" s="41"/>
      <c r="G164" s="42"/>
      <c r="H164" s="42"/>
      <c r="I164" s="42"/>
      <c r="J164" s="9"/>
      <c r="K164" s="9"/>
    </row>
    <row r="165" spans="1:11">
      <c r="A165" s="10" t="s">
        <v>28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29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30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5" t="s">
        <v>31</v>
      </c>
      <c r="B169" s="65"/>
      <c r="C169" s="65"/>
      <c r="D169" s="11" t="s">
        <v>4</v>
      </c>
      <c r="E169" s="41">
        <f>E164-E167</f>
        <v>165000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Lima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H173" s="48"/>
      <c r="I173" s="48"/>
      <c r="J173" s="48" t="s">
        <v>42</v>
      </c>
      <c r="K173" s="47"/>
    </row>
    <row r="174" spans="1:11">
      <c r="A174" s="12" t="s">
        <v>32</v>
      </c>
      <c r="B174" s="10"/>
      <c r="C174" s="10"/>
      <c r="D174" s="10"/>
      <c r="E174" s="10"/>
      <c r="F174" s="10"/>
      <c r="G174" s="10"/>
      <c r="H174" s="12"/>
      <c r="I174" s="12"/>
      <c r="J174" s="12" t="s">
        <v>33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H175" s="12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H176" s="12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H177" s="12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H178" s="12"/>
      <c r="I178" s="12"/>
      <c r="J178" s="12"/>
      <c r="K178" s="47"/>
    </row>
    <row r="179" spans="1:11">
      <c r="A179" s="49" t="s">
        <v>37</v>
      </c>
      <c r="B179" s="49"/>
      <c r="C179" s="50"/>
      <c r="D179" s="50"/>
      <c r="E179" s="50"/>
      <c r="F179" s="50"/>
      <c r="G179" s="10" t="s">
        <v>34</v>
      </c>
      <c r="H179" s="49"/>
      <c r="I179" s="49"/>
      <c r="J179" s="49" t="s">
        <v>35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6" t="s">
        <v>0</v>
      </c>
      <c r="B188" s="66"/>
      <c r="C188" s="67"/>
      <c r="D188" s="67"/>
      <c r="E188" s="67"/>
      <c r="F188" s="67"/>
      <c r="G188" s="67"/>
      <c r="H188" s="67"/>
      <c r="I188" s="67"/>
      <c r="J188" s="67"/>
      <c r="K188" s="67"/>
    </row>
    <row r="189" spans="1:11">
      <c r="A189" s="67" t="s">
        <v>45</v>
      </c>
      <c r="B189" s="67"/>
      <c r="C189" s="67"/>
      <c r="D189" s="67"/>
      <c r="E189" s="67"/>
      <c r="F189" s="67"/>
      <c r="G189" s="67"/>
      <c r="H189" s="67"/>
      <c r="I189" s="67"/>
      <c r="J189" s="67"/>
      <c r="K189" s="67"/>
    </row>
    <row r="190" spans="1:11">
      <c r="A190" s="67" t="s">
        <v>1</v>
      </c>
      <c r="B190" s="67"/>
      <c r="C190" s="67"/>
      <c r="D190" s="67"/>
      <c r="E190" s="67"/>
      <c r="F190" s="67"/>
      <c r="G190" s="67"/>
      <c r="H190" s="67"/>
      <c r="I190" s="67"/>
      <c r="J190" s="67"/>
      <c r="K190" s="67"/>
    </row>
    <row r="191" spans="1:11">
      <c r="A191" s="67" t="s">
        <v>38</v>
      </c>
      <c r="B191" s="67"/>
      <c r="C191" s="67"/>
      <c r="D191" s="67"/>
      <c r="E191" s="67"/>
      <c r="F191" s="67"/>
      <c r="G191" s="67"/>
      <c r="H191" s="67"/>
      <c r="I191" s="67"/>
      <c r="J191" s="67"/>
      <c r="K191" s="67"/>
    </row>
    <row r="192" spans="1:11">
      <c r="A192" s="67" t="s">
        <v>2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78000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Delapan Ribu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61" t="s">
        <v>12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1:11" ht="60">
      <c r="A202" s="17" t="s">
        <v>13</v>
      </c>
      <c r="B202" s="18" t="s">
        <v>14</v>
      </c>
      <c r="C202" s="62" t="s">
        <v>15</v>
      </c>
      <c r="D202" s="63"/>
      <c r="E202" s="64"/>
      <c r="F202" s="19"/>
      <c r="G202" s="20" t="s">
        <v>16</v>
      </c>
      <c r="H202" s="21" t="s">
        <v>36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60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23</v>
      </c>
      <c r="D204" s="10"/>
      <c r="E204" s="26"/>
      <c r="F204" s="25"/>
      <c r="G204" s="22">
        <v>123255000</v>
      </c>
      <c r="H204" s="23">
        <f>H159+J159</f>
        <v>644000</v>
      </c>
      <c r="I204" s="23"/>
      <c r="J204" s="33">
        <v>78000</v>
      </c>
      <c r="K204" s="34">
        <f t="shared" ref="K204:K206" si="7">G204-H204-J204</f>
        <v>122533000</v>
      </c>
    </row>
    <row r="205" spans="1:11">
      <c r="A205" s="24"/>
      <c r="B205" s="56" t="s">
        <v>21</v>
      </c>
      <c r="C205" s="25" t="s">
        <v>24</v>
      </c>
      <c r="D205" s="10"/>
      <c r="E205" s="26"/>
      <c r="F205" s="25"/>
      <c r="G205" s="22">
        <v>5000000</v>
      </c>
      <c r="H205" s="23">
        <f t="shared" ref="H205:H206" si="8">H160+J160</f>
        <v>0</v>
      </c>
      <c r="I205" s="23"/>
      <c r="J205" s="33">
        <v>0</v>
      </c>
      <c r="K205" s="34">
        <f t="shared" si="7"/>
        <v>5000000</v>
      </c>
    </row>
    <row r="206" spans="1:11">
      <c r="A206" s="24"/>
      <c r="B206" s="56" t="s">
        <v>22</v>
      </c>
      <c r="C206" s="25" t="s">
        <v>25</v>
      </c>
      <c r="D206" s="10"/>
      <c r="E206" s="26"/>
      <c r="F206" s="25"/>
      <c r="G206" s="22">
        <v>1000000</v>
      </c>
      <c r="H206" s="23">
        <f t="shared" si="8"/>
        <v>0</v>
      </c>
      <c r="I206" s="57"/>
      <c r="J206" s="58">
        <v>0</v>
      </c>
      <c r="K206" s="59">
        <f t="shared" si="7"/>
        <v>1000000</v>
      </c>
    </row>
    <row r="207" spans="1:11">
      <c r="A207" s="35"/>
      <c r="B207" s="35"/>
      <c r="C207" s="35" t="s">
        <v>26</v>
      </c>
      <c r="D207" s="35"/>
      <c r="E207" s="35"/>
      <c r="F207" s="36"/>
      <c r="G207" s="37">
        <f>SUM(G203:G206)</f>
        <v>129255000</v>
      </c>
      <c r="H207" s="38">
        <f>SUM(H203:H206)</f>
        <v>644000</v>
      </c>
      <c r="I207" s="38"/>
      <c r="J207" s="38">
        <f>SUM(J203:J206)</f>
        <v>78000</v>
      </c>
      <c r="K207" s="38">
        <f>SUM(K203:K206)</f>
        <v>128533000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5" t="s">
        <v>27</v>
      </c>
      <c r="B209" s="65"/>
      <c r="C209" s="65"/>
      <c r="D209" s="11" t="s">
        <v>4</v>
      </c>
      <c r="E209" s="14">
        <f>J207</f>
        <v>78000</v>
      </c>
      <c r="F209" s="41"/>
      <c r="G209" s="42"/>
      <c r="H209" s="42"/>
      <c r="I209" s="42"/>
      <c r="J209" s="9"/>
      <c r="K209" s="9"/>
    </row>
    <row r="210" spans="1:11">
      <c r="A210" s="10" t="s">
        <v>28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29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30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5" t="s">
        <v>31</v>
      </c>
      <c r="B214" s="65"/>
      <c r="C214" s="65"/>
      <c r="D214" s="11" t="s">
        <v>4</v>
      </c>
      <c r="E214" s="41">
        <f>E209-E212</f>
        <v>78000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Delapan Ribu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H218" s="48"/>
      <c r="I218" s="48"/>
      <c r="J218" s="48" t="s">
        <v>46</v>
      </c>
      <c r="K218" s="47"/>
    </row>
    <row r="219" spans="1:11">
      <c r="A219" s="12" t="s">
        <v>32</v>
      </c>
      <c r="B219" s="10"/>
      <c r="C219" s="10"/>
      <c r="D219" s="10"/>
      <c r="E219" s="10"/>
      <c r="F219" s="10"/>
      <c r="G219" s="10"/>
      <c r="H219" s="12"/>
      <c r="I219" s="12"/>
      <c r="J219" s="12" t="s">
        <v>33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H220" s="12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H221" s="12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H222" s="12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H223" s="12"/>
      <c r="I223" s="12"/>
      <c r="J223" s="12"/>
      <c r="K223" s="47"/>
    </row>
    <row r="224" spans="1:11">
      <c r="A224" s="49" t="s">
        <v>37</v>
      </c>
      <c r="B224" s="49"/>
      <c r="C224" s="50"/>
      <c r="D224" s="50"/>
      <c r="E224" s="50"/>
      <c r="F224" s="50"/>
      <c r="G224" s="10" t="s">
        <v>34</v>
      </c>
      <c r="H224" s="49"/>
      <c r="I224" s="49"/>
      <c r="J224" s="49" t="s">
        <v>35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6" t="s">
        <v>0</v>
      </c>
      <c r="B233" s="66"/>
      <c r="C233" s="67"/>
      <c r="D233" s="67"/>
      <c r="E233" s="67"/>
      <c r="F233" s="67"/>
      <c r="G233" s="67"/>
      <c r="H233" s="67"/>
      <c r="I233" s="67"/>
      <c r="J233" s="67"/>
      <c r="K233" s="67"/>
    </row>
    <row r="234" spans="1:11">
      <c r="A234" s="67" t="s">
        <v>47</v>
      </c>
      <c r="B234" s="67"/>
      <c r="C234" s="67"/>
      <c r="D234" s="67"/>
      <c r="E234" s="67"/>
      <c r="F234" s="67"/>
      <c r="G234" s="67"/>
      <c r="H234" s="67"/>
      <c r="I234" s="67"/>
      <c r="J234" s="67"/>
      <c r="K234" s="67"/>
    </row>
    <row r="235" spans="1:11">
      <c r="A235" s="67" t="s">
        <v>1</v>
      </c>
      <c r="B235" s="67"/>
      <c r="C235" s="67"/>
      <c r="D235" s="67"/>
      <c r="E235" s="67"/>
      <c r="F235" s="67"/>
      <c r="G235" s="67"/>
      <c r="H235" s="67"/>
      <c r="I235" s="67"/>
      <c r="J235" s="67"/>
      <c r="K235" s="67"/>
    </row>
    <row r="236" spans="1:11">
      <c r="A236" s="67" t="s">
        <v>38</v>
      </c>
      <c r="B236" s="67"/>
      <c r="C236" s="67"/>
      <c r="D236" s="67"/>
      <c r="E236" s="67"/>
      <c r="F236" s="67"/>
      <c r="G236" s="67"/>
      <c r="H236" s="67"/>
      <c r="I236" s="67"/>
      <c r="J236" s="67"/>
      <c r="K236" s="67"/>
    </row>
    <row r="237" spans="1:11">
      <c r="A237" s="67" t="s">
        <v>2</v>
      </c>
      <c r="B237" s="67"/>
      <c r="C237" s="67"/>
      <c r="D237" s="67"/>
      <c r="E237" s="67"/>
      <c r="F237" s="67"/>
      <c r="G237" s="67"/>
      <c r="H237" s="67"/>
      <c r="I237" s="67"/>
      <c r="J237" s="67"/>
      <c r="K237" s="67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3613500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Tigabelas Ribu Lima Ratus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61" t="s">
        <v>12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1:11" ht="60">
      <c r="A247" s="17" t="s">
        <v>13</v>
      </c>
      <c r="B247" s="18" t="s">
        <v>14</v>
      </c>
      <c r="C247" s="62" t="s">
        <v>15</v>
      </c>
      <c r="D247" s="63"/>
      <c r="E247" s="64"/>
      <c r="F247" s="19"/>
      <c r="G247" s="20" t="s">
        <v>16</v>
      </c>
      <c r="H247" s="21" t="s">
        <v>36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60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23</v>
      </c>
      <c r="D249" s="10"/>
      <c r="E249" s="26"/>
      <c r="F249" s="25"/>
      <c r="G249" s="22">
        <v>123255000</v>
      </c>
      <c r="H249" s="23">
        <f>H204+J204</f>
        <v>722000</v>
      </c>
      <c r="I249" s="23"/>
      <c r="J249" s="33">
        <v>3613500</v>
      </c>
      <c r="K249" s="34">
        <f t="shared" ref="K249:K251" si="9">G249-H249-J249</f>
        <v>118919500</v>
      </c>
    </row>
    <row r="250" spans="1:11">
      <c r="A250" s="24"/>
      <c r="B250" s="56" t="s">
        <v>21</v>
      </c>
      <c r="C250" s="25" t="s">
        <v>24</v>
      </c>
      <c r="D250" s="10"/>
      <c r="E250" s="26"/>
      <c r="F250" s="25"/>
      <c r="G250" s="22">
        <v>5000000</v>
      </c>
      <c r="H250" s="23">
        <f t="shared" ref="H250:H251" si="10">H205+J205</f>
        <v>0</v>
      </c>
      <c r="I250" s="23"/>
      <c r="J250" s="33">
        <v>0</v>
      </c>
      <c r="K250" s="34">
        <f t="shared" si="9"/>
        <v>5000000</v>
      </c>
    </row>
    <row r="251" spans="1:11">
      <c r="A251" s="24"/>
      <c r="B251" s="56" t="s">
        <v>22</v>
      </c>
      <c r="C251" s="25" t="s">
        <v>25</v>
      </c>
      <c r="D251" s="10"/>
      <c r="E251" s="26"/>
      <c r="F251" s="25"/>
      <c r="G251" s="22">
        <v>1000000</v>
      </c>
      <c r="H251" s="23">
        <f t="shared" si="10"/>
        <v>0</v>
      </c>
      <c r="I251" s="57"/>
      <c r="J251" s="58">
        <v>0</v>
      </c>
      <c r="K251" s="59">
        <f t="shared" si="9"/>
        <v>1000000</v>
      </c>
    </row>
    <row r="252" spans="1:11">
      <c r="A252" s="35"/>
      <c r="B252" s="35"/>
      <c r="C252" s="35" t="s">
        <v>26</v>
      </c>
      <c r="D252" s="35"/>
      <c r="E252" s="35"/>
      <c r="F252" s="36"/>
      <c r="G252" s="37">
        <f>SUM(G248:G251)</f>
        <v>129255000</v>
      </c>
      <c r="H252" s="38">
        <f>SUM(H248:H251)</f>
        <v>722000</v>
      </c>
      <c r="I252" s="38"/>
      <c r="J252" s="38">
        <f>SUM(J248:J251)</f>
        <v>3613500</v>
      </c>
      <c r="K252" s="38">
        <f>SUM(K248:K251)</f>
        <v>124919500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5" t="s">
        <v>27</v>
      </c>
      <c r="B254" s="65"/>
      <c r="C254" s="65"/>
      <c r="D254" s="11" t="s">
        <v>4</v>
      </c>
      <c r="E254" s="14">
        <f>J252</f>
        <v>3613500</v>
      </c>
      <c r="F254" s="41"/>
      <c r="G254" s="42"/>
      <c r="H254" s="42"/>
      <c r="I254" s="42"/>
      <c r="J254" s="9"/>
      <c r="K254" s="9"/>
    </row>
    <row r="255" spans="1:11">
      <c r="A255" s="10" t="s">
        <v>28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29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30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5" t="s">
        <v>31</v>
      </c>
      <c r="B259" s="65"/>
      <c r="C259" s="65"/>
      <c r="D259" s="11" t="s">
        <v>4</v>
      </c>
      <c r="E259" s="41">
        <f>E254-E257</f>
        <v>3613500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Tigabelas Ribu Lima Ratus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H263" s="48"/>
      <c r="I263" s="48"/>
      <c r="J263" s="48" t="s">
        <v>48</v>
      </c>
      <c r="K263" s="47"/>
    </row>
    <row r="264" spans="1:11">
      <c r="A264" s="12" t="s">
        <v>32</v>
      </c>
      <c r="B264" s="10"/>
      <c r="C264" s="10"/>
      <c r="D264" s="10"/>
      <c r="E264" s="10"/>
      <c r="F264" s="10"/>
      <c r="G264" s="10"/>
      <c r="H264" s="12"/>
      <c r="I264" s="12"/>
      <c r="J264" s="12" t="s">
        <v>33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H265" s="12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H266" s="12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H267" s="12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H268" s="12"/>
      <c r="I268" s="12"/>
      <c r="J268" s="12"/>
      <c r="K268" s="47"/>
    </row>
    <row r="269" spans="1:11">
      <c r="A269" s="49" t="s">
        <v>37</v>
      </c>
      <c r="B269" s="49"/>
      <c r="C269" s="50"/>
      <c r="D269" s="50"/>
      <c r="E269" s="50"/>
      <c r="F269" s="50"/>
      <c r="G269" s="10" t="s">
        <v>34</v>
      </c>
      <c r="H269" s="49"/>
      <c r="I269" s="49"/>
      <c r="J269" s="49" t="s">
        <v>35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6" t="s">
        <v>0</v>
      </c>
      <c r="B278" s="66"/>
      <c r="C278" s="67"/>
      <c r="D278" s="67"/>
      <c r="E278" s="67"/>
      <c r="F278" s="67"/>
      <c r="G278" s="67"/>
      <c r="H278" s="67"/>
      <c r="I278" s="67"/>
      <c r="J278" s="67"/>
      <c r="K278" s="67"/>
    </row>
    <row r="279" spans="1:11">
      <c r="A279" s="67" t="s">
        <v>60</v>
      </c>
      <c r="B279" s="67"/>
      <c r="C279" s="67"/>
      <c r="D279" s="67"/>
      <c r="E279" s="67"/>
      <c r="F279" s="67"/>
      <c r="G279" s="67"/>
      <c r="H279" s="67"/>
      <c r="I279" s="67"/>
      <c r="J279" s="67"/>
      <c r="K279" s="67"/>
    </row>
    <row r="280" spans="1:11">
      <c r="A280" s="67" t="s">
        <v>1</v>
      </c>
      <c r="B280" s="67"/>
      <c r="C280" s="67"/>
      <c r="D280" s="67"/>
      <c r="E280" s="67"/>
      <c r="F280" s="67"/>
      <c r="G280" s="67"/>
      <c r="H280" s="67"/>
      <c r="I280" s="67"/>
      <c r="J280" s="67"/>
      <c r="K280" s="67"/>
    </row>
    <row r="281" spans="1:11">
      <c r="A281" s="67" t="s">
        <v>38</v>
      </c>
      <c r="B281" s="67"/>
      <c r="C281" s="67"/>
      <c r="D281" s="67"/>
      <c r="E281" s="67"/>
      <c r="F281" s="67"/>
      <c r="G281" s="67"/>
      <c r="H281" s="67"/>
      <c r="I281" s="67"/>
      <c r="J281" s="67"/>
      <c r="K281" s="67"/>
    </row>
    <row r="282" spans="1:11">
      <c r="A282" s="67" t="s">
        <v>2</v>
      </c>
      <c r="B282" s="67"/>
      <c r="C282" s="67"/>
      <c r="D282" s="67"/>
      <c r="E282" s="67"/>
      <c r="F282" s="67"/>
      <c r="G282" s="67"/>
      <c r="H282" s="67"/>
      <c r="I282" s="67"/>
      <c r="J282" s="67"/>
      <c r="K282" s="67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21300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Satu Ribu Tiga Ratus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61" t="s">
        <v>12</v>
      </c>
      <c r="B291" s="61"/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1:11" ht="60">
      <c r="A292" s="17" t="s">
        <v>13</v>
      </c>
      <c r="B292" s="18" t="s">
        <v>14</v>
      </c>
      <c r="C292" s="62" t="s">
        <v>15</v>
      </c>
      <c r="D292" s="63"/>
      <c r="E292" s="64"/>
      <c r="F292" s="19"/>
      <c r="G292" s="20" t="s">
        <v>16</v>
      </c>
      <c r="H292" s="21" t="s">
        <v>36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60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23</v>
      </c>
      <c r="D294" s="10"/>
      <c r="E294" s="26"/>
      <c r="F294" s="25"/>
      <c r="G294" s="22">
        <v>123255000</v>
      </c>
      <c r="H294" s="23">
        <f>H249+J249</f>
        <v>4335500</v>
      </c>
      <c r="I294" s="23"/>
      <c r="J294" s="33">
        <v>0</v>
      </c>
      <c r="K294" s="34">
        <f t="shared" ref="K294:K296" si="11">G294-H294-J294</f>
        <v>118919500</v>
      </c>
    </row>
    <row r="295" spans="1:11">
      <c r="A295" s="24"/>
      <c r="B295" s="56" t="s">
        <v>21</v>
      </c>
      <c r="C295" s="25" t="s">
        <v>24</v>
      </c>
      <c r="D295" s="10"/>
      <c r="E295" s="26"/>
      <c r="F295" s="25"/>
      <c r="G295" s="22">
        <v>5000000</v>
      </c>
      <c r="H295" s="23">
        <f t="shared" ref="H295:H296" si="12">H250+J250</f>
        <v>0</v>
      </c>
      <c r="I295" s="23"/>
      <c r="J295" s="33">
        <v>21300</v>
      </c>
      <c r="K295" s="34">
        <f t="shared" si="11"/>
        <v>4978700</v>
      </c>
    </row>
    <row r="296" spans="1:11">
      <c r="A296" s="24"/>
      <c r="B296" s="56" t="s">
        <v>22</v>
      </c>
      <c r="C296" s="25" t="s">
        <v>25</v>
      </c>
      <c r="D296" s="10"/>
      <c r="E296" s="26"/>
      <c r="F296" s="25"/>
      <c r="G296" s="22">
        <v>1000000</v>
      </c>
      <c r="H296" s="23">
        <f t="shared" si="12"/>
        <v>0</v>
      </c>
      <c r="I296" s="57"/>
      <c r="J296" s="58">
        <v>0</v>
      </c>
      <c r="K296" s="59">
        <f t="shared" si="11"/>
        <v>1000000</v>
      </c>
    </row>
    <row r="297" spans="1:11">
      <c r="A297" s="35"/>
      <c r="B297" s="35"/>
      <c r="C297" s="35" t="s">
        <v>26</v>
      </c>
      <c r="D297" s="35"/>
      <c r="E297" s="35"/>
      <c r="F297" s="36"/>
      <c r="G297" s="37">
        <f>SUM(G293:G296)</f>
        <v>129255000</v>
      </c>
      <c r="H297" s="38">
        <f>SUM(H293:H296)</f>
        <v>4335500</v>
      </c>
      <c r="I297" s="38"/>
      <c r="J297" s="38">
        <f>SUM(J293:J296)</f>
        <v>21300</v>
      </c>
      <c r="K297" s="38">
        <f>SUM(K293:K296)</f>
        <v>124898200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5" t="s">
        <v>27</v>
      </c>
      <c r="B299" s="65"/>
      <c r="C299" s="65"/>
      <c r="D299" s="11" t="s">
        <v>4</v>
      </c>
      <c r="E299" s="14">
        <f>J297</f>
        <v>21300</v>
      </c>
      <c r="F299" s="41"/>
      <c r="G299" s="42"/>
      <c r="H299" s="42"/>
      <c r="I299" s="42"/>
      <c r="J299" s="9"/>
      <c r="K299" s="9"/>
    </row>
    <row r="300" spans="1:11">
      <c r="A300" s="10" t="s">
        <v>28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29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30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5" t="s">
        <v>31</v>
      </c>
      <c r="B304" s="65"/>
      <c r="C304" s="65"/>
      <c r="D304" s="11" t="s">
        <v>4</v>
      </c>
      <c r="E304" s="41">
        <f>E299-E302</f>
        <v>21300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Satu Ribu Tiga Ratus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H308" s="48"/>
      <c r="I308" s="48"/>
      <c r="J308" s="48" t="s">
        <v>46</v>
      </c>
      <c r="K308" s="47"/>
    </row>
    <row r="309" spans="1:11">
      <c r="A309" s="12" t="s">
        <v>32</v>
      </c>
      <c r="B309" s="10"/>
      <c r="C309" s="10"/>
      <c r="D309" s="10"/>
      <c r="E309" s="10"/>
      <c r="F309" s="10"/>
      <c r="G309" s="10"/>
      <c r="H309" s="12"/>
      <c r="I309" s="12"/>
      <c r="J309" s="12" t="s">
        <v>33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H310" s="12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H311" s="12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H312" s="12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H313" s="12"/>
      <c r="I313" s="12"/>
      <c r="J313" s="12"/>
      <c r="K313" s="47"/>
    </row>
    <row r="314" spans="1:11">
      <c r="A314" s="49" t="s">
        <v>37</v>
      </c>
      <c r="B314" s="49"/>
      <c r="C314" s="50"/>
      <c r="D314" s="50"/>
      <c r="E314" s="50"/>
      <c r="F314" s="50"/>
      <c r="G314" s="10" t="s">
        <v>34</v>
      </c>
      <c r="H314" s="49"/>
      <c r="I314" s="49"/>
      <c r="J314" s="49" t="s">
        <v>35</v>
      </c>
      <c r="K314" s="47"/>
    </row>
  </sheetData>
  <mergeCells count="63">
    <mergeCell ref="A291:K291"/>
    <mergeCell ref="C292:E292"/>
    <mergeCell ref="A299:C299"/>
    <mergeCell ref="A304:C304"/>
    <mergeCell ref="A278:K278"/>
    <mergeCell ref="A279:K279"/>
    <mergeCell ref="A280:K280"/>
    <mergeCell ref="A281:K281"/>
    <mergeCell ref="A282:K282"/>
    <mergeCell ref="A201:K201"/>
    <mergeCell ref="C202:E202"/>
    <mergeCell ref="A209:C209"/>
    <mergeCell ref="A214:C214"/>
    <mergeCell ref="A188:K188"/>
    <mergeCell ref="A189:K189"/>
    <mergeCell ref="A190:K190"/>
    <mergeCell ref="A191:K191"/>
    <mergeCell ref="A192:K192"/>
    <mergeCell ref="A21:K21"/>
    <mergeCell ref="C22:E22"/>
    <mergeCell ref="A29:C29"/>
    <mergeCell ref="A34:C34"/>
    <mergeCell ref="A8:K8"/>
    <mergeCell ref="A9:K9"/>
    <mergeCell ref="A10:K10"/>
    <mergeCell ref="A11:K11"/>
    <mergeCell ref="A12:K12"/>
    <mergeCell ref="A53:K53"/>
    <mergeCell ref="A54:K54"/>
    <mergeCell ref="A55:K55"/>
    <mergeCell ref="A56:K56"/>
    <mergeCell ref="A57:K57"/>
    <mergeCell ref="A66:K66"/>
    <mergeCell ref="C67:E67"/>
    <mergeCell ref="A74:C74"/>
    <mergeCell ref="A79:C79"/>
    <mergeCell ref="A98:K98"/>
    <mergeCell ref="A99:K99"/>
    <mergeCell ref="A100:K100"/>
    <mergeCell ref="A101:K101"/>
    <mergeCell ref="A102:K102"/>
    <mergeCell ref="A111:K111"/>
    <mergeCell ref="C112:E112"/>
    <mergeCell ref="A119:C119"/>
    <mergeCell ref="A124:C124"/>
    <mergeCell ref="A143:K143"/>
    <mergeCell ref="A144:K144"/>
    <mergeCell ref="A164:C164"/>
    <mergeCell ref="A169:C169"/>
    <mergeCell ref="A145:K145"/>
    <mergeCell ref="A146:K146"/>
    <mergeCell ref="A147:K147"/>
    <mergeCell ref="A156:K156"/>
    <mergeCell ref="C157:E157"/>
    <mergeCell ref="A246:K246"/>
    <mergeCell ref="C247:E247"/>
    <mergeCell ref="A254:C254"/>
    <mergeCell ref="A259:C259"/>
    <mergeCell ref="A233:K233"/>
    <mergeCell ref="A234:K234"/>
    <mergeCell ref="A235:K235"/>
    <mergeCell ref="A236:K236"/>
    <mergeCell ref="A237:K237"/>
  </mergeCells>
  <pageMargins left="0.23622047244094491" right="0.23622047244094491" top="0.19685039370078741" bottom="0.74803149606299213" header="0.31496062992125984" footer="0.31496062992125984"/>
  <pageSetup paperSize="9" scale="85" orientation="portrait" horizontalDpi="4294967293" r:id="rId1"/>
  <rowBreaks count="7" manualBreakCount="7">
    <brk id="45" max="10" man="1"/>
    <brk id="90" max="10" man="1"/>
    <brk id="135" max="10" man="1"/>
    <brk id="180" max="10" man="1"/>
    <brk id="225" max="10" man="1"/>
    <brk id="270" max="10" man="1"/>
    <brk id="31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9A0D-AB7B-4843-B857-4DFF9941ADB2}">
  <dimension ref="A1:W404"/>
  <sheetViews>
    <sheetView view="pageBreakPreview" topLeftCell="A376" zoomScaleNormal="100" workbookViewId="0">
      <selection activeCell="K404" sqref="A361:K40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6" t="s">
        <v>0</v>
      </c>
      <c r="B8" s="66"/>
      <c r="C8" s="67"/>
      <c r="D8" s="67"/>
      <c r="E8" s="67"/>
      <c r="F8" s="67"/>
      <c r="G8" s="67"/>
      <c r="H8" s="67"/>
      <c r="I8" s="67"/>
      <c r="J8" s="67"/>
      <c r="K8" s="67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7" t="s">
        <v>49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7" t="s">
        <v>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7" t="s">
        <v>38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7" t="s">
        <v>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4000000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2" t="s">
        <v>15</v>
      </c>
      <c r="D22" s="63"/>
      <c r="E22" s="64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60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23</v>
      </c>
      <c r="D24" s="10"/>
      <c r="E24" s="26"/>
      <c r="F24" s="25"/>
      <c r="G24" s="22">
        <v>123255000</v>
      </c>
      <c r="H24" s="23">
        <f>JANUARI!H294+JANUARI!J294</f>
        <v>4335500</v>
      </c>
      <c r="I24" s="23"/>
      <c r="J24" s="33">
        <v>4000000</v>
      </c>
      <c r="K24" s="34">
        <f t="shared" ref="K24:K26" si="0">G24-H24-J24</f>
        <v>114919500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24</v>
      </c>
      <c r="D25" s="10"/>
      <c r="E25" s="26"/>
      <c r="F25" s="25"/>
      <c r="G25" s="22">
        <v>5000000</v>
      </c>
      <c r="H25" s="23">
        <f>JANUARI!H295+JANUARI!J295</f>
        <v>21300</v>
      </c>
      <c r="I25" s="23"/>
      <c r="J25" s="33">
        <v>0</v>
      </c>
      <c r="K25" s="34">
        <f t="shared" si="0"/>
        <v>4978700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25</v>
      </c>
      <c r="D26" s="10"/>
      <c r="E26" s="26"/>
      <c r="F26" s="25"/>
      <c r="G26" s="22">
        <v>1000000</v>
      </c>
      <c r="H26" s="23">
        <f>JANUARI!H296+JANUARI!J296</f>
        <v>0</v>
      </c>
      <c r="I26" s="57"/>
      <c r="J26" s="58">
        <v>0</v>
      </c>
      <c r="K26" s="59">
        <f t="shared" si="0"/>
        <v>1000000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26</v>
      </c>
      <c r="D27" s="35"/>
      <c r="E27" s="35"/>
      <c r="F27" s="36"/>
      <c r="G27" s="37">
        <f>SUM(G23:G26)</f>
        <v>129255000</v>
      </c>
      <c r="H27" s="38">
        <f>SUM(H23:H26)</f>
        <v>4356800</v>
      </c>
      <c r="I27" s="38"/>
      <c r="J27" s="38">
        <f>SUM(J23:J26)</f>
        <v>4000000</v>
      </c>
      <c r="K27" s="38">
        <f>SUM(K23:K26)</f>
        <v>120898200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5" t="s">
        <v>27</v>
      </c>
      <c r="B29" s="65"/>
      <c r="C29" s="65"/>
      <c r="D29" s="11" t="s">
        <v>4</v>
      </c>
      <c r="E29" s="14">
        <f>J27</f>
        <v>4000000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28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29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30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5" t="s">
        <v>31</v>
      </c>
      <c r="B34" s="65"/>
      <c r="C34" s="65"/>
      <c r="D34" s="11" t="s">
        <v>4</v>
      </c>
      <c r="E34" s="41">
        <f>E29-E32</f>
        <v>4000000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H38" s="48"/>
      <c r="I38" s="48"/>
      <c r="J38" s="48" t="s">
        <v>50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32</v>
      </c>
      <c r="B39" s="10"/>
      <c r="C39" s="10"/>
      <c r="D39" s="10"/>
      <c r="E39" s="10"/>
      <c r="F39" s="10"/>
      <c r="G39" s="10"/>
      <c r="H39" s="12"/>
      <c r="I39" s="12"/>
      <c r="J39" s="12" t="s">
        <v>33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H40" s="12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H41" s="12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H42" s="12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H43" s="12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37</v>
      </c>
      <c r="B44" s="49"/>
      <c r="C44" s="50"/>
      <c r="D44" s="50"/>
      <c r="E44" s="50"/>
      <c r="F44" s="50"/>
      <c r="G44" s="10" t="s">
        <v>34</v>
      </c>
      <c r="H44" s="49"/>
      <c r="I44" s="49"/>
      <c r="J44" s="49" t="s">
        <v>35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6" t="s">
        <v>0</v>
      </c>
      <c r="B53" s="66"/>
      <c r="C53" s="67"/>
      <c r="D53" s="67"/>
      <c r="E53" s="67"/>
      <c r="F53" s="67"/>
      <c r="G53" s="67"/>
      <c r="H53" s="67"/>
      <c r="I53" s="67"/>
      <c r="J53" s="67"/>
      <c r="K53" s="67"/>
    </row>
    <row r="54" spans="1:11">
      <c r="A54" s="67" t="s">
        <v>51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>
      <c r="A55" s="67" t="s">
        <v>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>
      <c r="A56" s="67" t="s">
        <v>38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>
      <c r="A57" s="67" t="s">
        <v>2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3500000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1" t="s">
        <v>12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</row>
    <row r="67" spans="1:11" ht="60">
      <c r="A67" s="17" t="s">
        <v>13</v>
      </c>
      <c r="B67" s="18" t="s">
        <v>14</v>
      </c>
      <c r="C67" s="62" t="s">
        <v>15</v>
      </c>
      <c r="D67" s="63"/>
      <c r="E67" s="64"/>
      <c r="F67" s="19"/>
      <c r="G67" s="20" t="s">
        <v>16</v>
      </c>
      <c r="H67" s="21" t="s">
        <v>36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60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23</v>
      </c>
      <c r="D69" s="10"/>
      <c r="E69" s="26"/>
      <c r="F69" s="25"/>
      <c r="G69" s="22">
        <v>123255000</v>
      </c>
      <c r="H69" s="23">
        <f>H24+J24</f>
        <v>8335500</v>
      </c>
      <c r="I69" s="23"/>
      <c r="J69" s="33">
        <v>0</v>
      </c>
      <c r="K69" s="34">
        <f t="shared" ref="K69:K71" si="1">G69-H69-J69</f>
        <v>114919500</v>
      </c>
    </row>
    <row r="70" spans="1:11">
      <c r="A70" s="24"/>
      <c r="B70" s="56" t="s">
        <v>21</v>
      </c>
      <c r="C70" s="25" t="s">
        <v>24</v>
      </c>
      <c r="D70" s="10"/>
      <c r="E70" s="26"/>
      <c r="F70" s="25"/>
      <c r="G70" s="22">
        <v>5000000</v>
      </c>
      <c r="H70" s="23">
        <f t="shared" ref="H70:H71" si="2">H25+J25</f>
        <v>21300</v>
      </c>
      <c r="I70" s="23"/>
      <c r="J70" s="33">
        <v>3500000</v>
      </c>
      <c r="K70" s="34">
        <f t="shared" si="1"/>
        <v>1478700</v>
      </c>
    </row>
    <row r="71" spans="1:11">
      <c r="A71" s="24"/>
      <c r="B71" s="56" t="s">
        <v>22</v>
      </c>
      <c r="C71" s="25" t="s">
        <v>25</v>
      </c>
      <c r="D71" s="10"/>
      <c r="E71" s="26"/>
      <c r="F71" s="25"/>
      <c r="G71" s="22">
        <v>1000000</v>
      </c>
      <c r="H71" s="23">
        <f t="shared" si="2"/>
        <v>0</v>
      </c>
      <c r="I71" s="57"/>
      <c r="J71" s="58">
        <v>0</v>
      </c>
      <c r="K71" s="59">
        <f t="shared" si="1"/>
        <v>1000000</v>
      </c>
    </row>
    <row r="72" spans="1:11">
      <c r="A72" s="35"/>
      <c r="B72" s="35"/>
      <c r="C72" s="35" t="s">
        <v>26</v>
      </c>
      <c r="D72" s="35"/>
      <c r="E72" s="35"/>
      <c r="F72" s="36"/>
      <c r="G72" s="37">
        <f>SUM(G68:G71)</f>
        <v>129255000</v>
      </c>
      <c r="H72" s="38">
        <f>SUM(H68:H71)</f>
        <v>8356800</v>
      </c>
      <c r="I72" s="38"/>
      <c r="J72" s="38">
        <f>SUM(J68:J71)</f>
        <v>3500000</v>
      </c>
      <c r="K72" s="38">
        <f>SUM(K68:K71)</f>
        <v>117398200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5" t="s">
        <v>27</v>
      </c>
      <c r="B74" s="65"/>
      <c r="C74" s="65"/>
      <c r="D74" s="11" t="s">
        <v>4</v>
      </c>
      <c r="E74" s="14">
        <f>J72</f>
        <v>3500000</v>
      </c>
      <c r="F74" s="41"/>
      <c r="G74" s="42"/>
      <c r="H74" s="42"/>
      <c r="I74" s="42"/>
      <c r="J74" s="9"/>
      <c r="K74" s="9"/>
    </row>
    <row r="75" spans="1:11">
      <c r="A75" s="10" t="s">
        <v>28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29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30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5" t="s">
        <v>31</v>
      </c>
      <c r="B79" s="65"/>
      <c r="C79" s="65"/>
      <c r="D79" s="11" t="s">
        <v>4</v>
      </c>
      <c r="E79" s="41">
        <f>E74-E77</f>
        <v>3500000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H83" s="48"/>
      <c r="I83" s="48"/>
      <c r="J83" s="48" t="s">
        <v>50</v>
      </c>
      <c r="K83" s="47"/>
    </row>
    <row r="84" spans="1:11">
      <c r="A84" s="12" t="s">
        <v>32</v>
      </c>
      <c r="B84" s="10"/>
      <c r="C84" s="10"/>
      <c r="D84" s="10"/>
      <c r="E84" s="10"/>
      <c r="F84" s="10"/>
      <c r="G84" s="10"/>
      <c r="H84" s="12"/>
      <c r="I84" s="12"/>
      <c r="J84" s="12" t="s">
        <v>33</v>
      </c>
      <c r="K84" s="47"/>
    </row>
    <row r="85" spans="1:11">
      <c r="A85" s="10"/>
      <c r="B85" s="10"/>
      <c r="C85" s="10"/>
      <c r="D85" s="10"/>
      <c r="E85" s="10"/>
      <c r="F85" s="10"/>
      <c r="G85" s="10"/>
      <c r="H85" s="12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H86" s="12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H87" s="12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H88" s="12"/>
      <c r="I88" s="12"/>
      <c r="J88" s="12"/>
      <c r="K88" s="47"/>
    </row>
    <row r="89" spans="1:11">
      <c r="A89" s="49" t="s">
        <v>37</v>
      </c>
      <c r="B89" s="49"/>
      <c r="C89" s="50"/>
      <c r="D89" s="50"/>
      <c r="E89" s="50"/>
      <c r="F89" s="50"/>
      <c r="G89" s="10" t="s">
        <v>34</v>
      </c>
      <c r="H89" s="49"/>
      <c r="I89" s="49"/>
      <c r="J89" s="49" t="s">
        <v>35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6" t="s">
        <v>0</v>
      </c>
      <c r="B98" s="66"/>
      <c r="C98" s="67"/>
      <c r="D98" s="67"/>
      <c r="E98" s="67"/>
      <c r="F98" s="67"/>
      <c r="G98" s="67"/>
      <c r="H98" s="67"/>
      <c r="I98" s="67"/>
      <c r="J98" s="67"/>
      <c r="K98" s="67"/>
    </row>
    <row r="99" spans="1:11">
      <c r="A99" s="67" t="s">
        <v>52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>
      <c r="A100" s="67" t="s">
        <v>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>
      <c r="A101" s="67" t="s">
        <v>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</row>
    <row r="102" spans="1:11">
      <c r="A102" s="67" t="s">
        <v>2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16000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Enambelas Ribu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1" t="s">
        <v>12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1:11" ht="60">
      <c r="A112" s="17" t="s">
        <v>13</v>
      </c>
      <c r="B112" s="18" t="s">
        <v>14</v>
      </c>
      <c r="C112" s="62" t="s">
        <v>15</v>
      </c>
      <c r="D112" s="63"/>
      <c r="E112" s="64"/>
      <c r="F112" s="19"/>
      <c r="G112" s="20" t="s">
        <v>16</v>
      </c>
      <c r="H112" s="21" t="s">
        <v>36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60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23</v>
      </c>
      <c r="D114" s="10"/>
      <c r="E114" s="26"/>
      <c r="F114" s="25"/>
      <c r="G114" s="22">
        <v>123255000</v>
      </c>
      <c r="H114" s="23">
        <f>H69+J69</f>
        <v>8335500</v>
      </c>
      <c r="I114" s="23"/>
      <c r="J114" s="33">
        <v>16000</v>
      </c>
      <c r="K114" s="34">
        <f t="shared" ref="K114:K116" si="3">G114-H114-J114</f>
        <v>114903500</v>
      </c>
    </row>
    <row r="115" spans="1:11">
      <c r="A115" s="24"/>
      <c r="B115" s="56" t="s">
        <v>21</v>
      </c>
      <c r="C115" s="25" t="s">
        <v>24</v>
      </c>
      <c r="D115" s="10"/>
      <c r="E115" s="26"/>
      <c r="F115" s="25"/>
      <c r="G115" s="22">
        <v>5000000</v>
      </c>
      <c r="H115" s="23">
        <f t="shared" ref="H115:H116" si="4">H70+J70</f>
        <v>3521300</v>
      </c>
      <c r="I115" s="23"/>
      <c r="J115" s="33">
        <v>0</v>
      </c>
      <c r="K115" s="34">
        <f t="shared" si="3"/>
        <v>1478700</v>
      </c>
    </row>
    <row r="116" spans="1:11">
      <c r="A116" s="24"/>
      <c r="B116" s="56" t="s">
        <v>22</v>
      </c>
      <c r="C116" s="25" t="s">
        <v>25</v>
      </c>
      <c r="D116" s="10"/>
      <c r="E116" s="26"/>
      <c r="F116" s="25"/>
      <c r="G116" s="22">
        <v>1000000</v>
      </c>
      <c r="H116" s="23">
        <f t="shared" si="4"/>
        <v>0</v>
      </c>
      <c r="I116" s="57"/>
      <c r="J116" s="58">
        <v>0</v>
      </c>
      <c r="K116" s="59">
        <f t="shared" si="3"/>
        <v>1000000</v>
      </c>
    </row>
    <row r="117" spans="1:11">
      <c r="A117" s="35"/>
      <c r="B117" s="35"/>
      <c r="C117" s="35" t="s">
        <v>26</v>
      </c>
      <c r="D117" s="35"/>
      <c r="E117" s="35"/>
      <c r="F117" s="36"/>
      <c r="G117" s="37">
        <f>SUM(G113:G116)</f>
        <v>129255000</v>
      </c>
      <c r="H117" s="38">
        <f>SUM(H113:H116)</f>
        <v>11856800</v>
      </c>
      <c r="I117" s="38"/>
      <c r="J117" s="38">
        <f>SUM(J113:J116)</f>
        <v>16000</v>
      </c>
      <c r="K117" s="38">
        <f>SUM(K113:K116)</f>
        <v>117382200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5" t="s">
        <v>27</v>
      </c>
      <c r="B119" s="65"/>
      <c r="C119" s="65"/>
      <c r="D119" s="11" t="s">
        <v>4</v>
      </c>
      <c r="E119" s="14">
        <f>J117</f>
        <v>16000</v>
      </c>
      <c r="F119" s="41"/>
      <c r="G119" s="42"/>
      <c r="H119" s="42"/>
      <c r="I119" s="42"/>
      <c r="J119" s="9"/>
      <c r="K119" s="9"/>
    </row>
    <row r="120" spans="1:11">
      <c r="A120" s="10" t="s">
        <v>28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29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30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5" t="s">
        <v>31</v>
      </c>
      <c r="B124" s="65"/>
      <c r="C124" s="65"/>
      <c r="D124" s="11" t="s">
        <v>4</v>
      </c>
      <c r="E124" s="41">
        <f>E119-E122</f>
        <v>16000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Enambelas Ribu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H128" s="48"/>
      <c r="I128" s="48"/>
      <c r="J128" s="48" t="s">
        <v>50</v>
      </c>
      <c r="K128" s="47"/>
    </row>
    <row r="129" spans="1:11">
      <c r="A129" s="12" t="s">
        <v>32</v>
      </c>
      <c r="B129" s="10"/>
      <c r="C129" s="10"/>
      <c r="D129" s="10"/>
      <c r="E129" s="10"/>
      <c r="F129" s="10"/>
      <c r="G129" s="10"/>
      <c r="H129" s="12"/>
      <c r="I129" s="12"/>
      <c r="J129" s="12" t="s">
        <v>33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H130" s="12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H131" s="12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H132" s="12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H133" s="12"/>
      <c r="I133" s="12"/>
      <c r="J133" s="12"/>
      <c r="K133" s="47"/>
    </row>
    <row r="134" spans="1:11">
      <c r="A134" s="49" t="s">
        <v>37</v>
      </c>
      <c r="B134" s="49"/>
      <c r="C134" s="50"/>
      <c r="D134" s="50"/>
      <c r="E134" s="50"/>
      <c r="F134" s="50"/>
      <c r="G134" s="10" t="s">
        <v>34</v>
      </c>
      <c r="H134" s="49"/>
      <c r="I134" s="49"/>
      <c r="J134" s="49" t="s">
        <v>35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6" t="s">
        <v>0</v>
      </c>
      <c r="B143" s="66"/>
      <c r="C143" s="67"/>
      <c r="D143" s="67"/>
      <c r="E143" s="67"/>
      <c r="F143" s="67"/>
      <c r="G143" s="67"/>
      <c r="H143" s="67"/>
      <c r="I143" s="67"/>
      <c r="J143" s="67"/>
      <c r="K143" s="67"/>
    </row>
    <row r="144" spans="1:11">
      <c r="A144" s="67" t="s">
        <v>53</v>
      </c>
      <c r="B144" s="67"/>
      <c r="C144" s="67"/>
      <c r="D144" s="67"/>
      <c r="E144" s="67"/>
      <c r="F144" s="67"/>
      <c r="G144" s="67"/>
      <c r="H144" s="67"/>
      <c r="I144" s="67"/>
      <c r="J144" s="67"/>
      <c r="K144" s="67"/>
    </row>
    <row r="145" spans="1:11">
      <c r="A145" s="67" t="s">
        <v>1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67"/>
    </row>
    <row r="146" spans="1:11">
      <c r="A146" s="67" t="s">
        <v>38</v>
      </c>
      <c r="B146" s="67"/>
      <c r="C146" s="67"/>
      <c r="D146" s="67"/>
      <c r="E146" s="67"/>
      <c r="F146" s="67"/>
      <c r="G146" s="67"/>
      <c r="H146" s="67"/>
      <c r="I146" s="67"/>
      <c r="J146" s="67"/>
      <c r="K146" s="67"/>
    </row>
    <row r="147" spans="1:11">
      <c r="A147" s="67" t="s">
        <v>2</v>
      </c>
      <c r="B147" s="67"/>
      <c r="C147" s="67"/>
      <c r="D147" s="67"/>
      <c r="E147" s="67"/>
      <c r="F147" s="67"/>
      <c r="G147" s="67"/>
      <c r="H147" s="67"/>
      <c r="I147" s="67"/>
      <c r="J147" s="67"/>
      <c r="K147" s="67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90000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61" t="s">
        <v>12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1:11" ht="60">
      <c r="A157" s="17" t="s">
        <v>13</v>
      </c>
      <c r="B157" s="18" t="s">
        <v>14</v>
      </c>
      <c r="C157" s="62" t="s">
        <v>15</v>
      </c>
      <c r="D157" s="63"/>
      <c r="E157" s="64"/>
      <c r="F157" s="19"/>
      <c r="G157" s="20" t="s">
        <v>16</v>
      </c>
      <c r="H157" s="21" t="s">
        <v>36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60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23</v>
      </c>
      <c r="D159" s="10"/>
      <c r="E159" s="26"/>
      <c r="F159" s="25"/>
      <c r="G159" s="22">
        <v>123255000</v>
      </c>
      <c r="H159" s="23">
        <f>H114+J114</f>
        <v>8351500</v>
      </c>
      <c r="I159" s="23"/>
      <c r="J159" s="33">
        <v>90000</v>
      </c>
      <c r="K159" s="34">
        <f t="shared" ref="K159:K161" si="5">G159-H159-J159</f>
        <v>114813500</v>
      </c>
    </row>
    <row r="160" spans="1:11">
      <c r="A160" s="24"/>
      <c r="B160" s="56" t="s">
        <v>21</v>
      </c>
      <c r="C160" s="25" t="s">
        <v>24</v>
      </c>
      <c r="D160" s="10"/>
      <c r="E160" s="26"/>
      <c r="F160" s="25"/>
      <c r="G160" s="22">
        <v>5000000</v>
      </c>
      <c r="H160" s="23">
        <f t="shared" ref="H160:H161" si="6">H115+J115</f>
        <v>3521300</v>
      </c>
      <c r="I160" s="23"/>
      <c r="J160" s="33">
        <v>0</v>
      </c>
      <c r="K160" s="34">
        <f t="shared" si="5"/>
        <v>1478700</v>
      </c>
    </row>
    <row r="161" spans="1:11">
      <c r="A161" s="24"/>
      <c r="B161" s="56" t="s">
        <v>22</v>
      </c>
      <c r="C161" s="25" t="s">
        <v>25</v>
      </c>
      <c r="D161" s="10"/>
      <c r="E161" s="26"/>
      <c r="F161" s="25"/>
      <c r="G161" s="22">
        <v>1000000</v>
      </c>
      <c r="H161" s="23">
        <f t="shared" si="6"/>
        <v>0</v>
      </c>
      <c r="I161" s="57"/>
      <c r="J161" s="58">
        <v>0</v>
      </c>
      <c r="K161" s="59">
        <f t="shared" si="5"/>
        <v>1000000</v>
      </c>
    </row>
    <row r="162" spans="1:11">
      <c r="A162" s="35"/>
      <c r="B162" s="35"/>
      <c r="C162" s="35" t="s">
        <v>26</v>
      </c>
      <c r="D162" s="35"/>
      <c r="E162" s="35"/>
      <c r="F162" s="36"/>
      <c r="G162" s="37">
        <f>SUM(G158:G161)</f>
        <v>129255000</v>
      </c>
      <c r="H162" s="38">
        <f>SUM(H158:H161)</f>
        <v>11872800</v>
      </c>
      <c r="I162" s="38"/>
      <c r="J162" s="38">
        <f>SUM(J158:J161)</f>
        <v>90000</v>
      </c>
      <c r="K162" s="38">
        <f>SUM(K158:K161)</f>
        <v>117292200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5" t="s">
        <v>27</v>
      </c>
      <c r="B164" s="65"/>
      <c r="C164" s="65"/>
      <c r="D164" s="11" t="s">
        <v>4</v>
      </c>
      <c r="E164" s="14">
        <f>J162</f>
        <v>90000</v>
      </c>
      <c r="F164" s="41"/>
      <c r="G164" s="42"/>
      <c r="H164" s="42"/>
      <c r="I164" s="42"/>
      <c r="J164" s="9"/>
      <c r="K164" s="9"/>
    </row>
    <row r="165" spans="1:11">
      <c r="A165" s="10" t="s">
        <v>28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29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30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5" t="s">
        <v>31</v>
      </c>
      <c r="B169" s="65"/>
      <c r="C169" s="65"/>
      <c r="D169" s="11" t="s">
        <v>4</v>
      </c>
      <c r="E169" s="41">
        <f>E164-E167</f>
        <v>90000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H173" s="48"/>
      <c r="I173" s="48"/>
      <c r="J173" s="48" t="s">
        <v>54</v>
      </c>
      <c r="K173" s="47"/>
    </row>
    <row r="174" spans="1:11">
      <c r="A174" s="12" t="s">
        <v>32</v>
      </c>
      <c r="B174" s="10"/>
      <c r="C174" s="10"/>
      <c r="D174" s="10"/>
      <c r="E174" s="10"/>
      <c r="F174" s="10"/>
      <c r="G174" s="10"/>
      <c r="H174" s="12"/>
      <c r="I174" s="12"/>
      <c r="J174" s="12" t="s">
        <v>33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H175" s="12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H176" s="12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H177" s="12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H178" s="12"/>
      <c r="I178" s="12"/>
      <c r="J178" s="12"/>
      <c r="K178" s="47"/>
    </row>
    <row r="179" spans="1:11">
      <c r="A179" s="49" t="s">
        <v>37</v>
      </c>
      <c r="B179" s="49"/>
      <c r="C179" s="50"/>
      <c r="D179" s="50"/>
      <c r="E179" s="50"/>
      <c r="F179" s="50"/>
      <c r="G179" s="10" t="s">
        <v>34</v>
      </c>
      <c r="H179" s="49"/>
      <c r="I179" s="49"/>
      <c r="J179" s="49" t="s">
        <v>35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6" t="s">
        <v>0</v>
      </c>
      <c r="B188" s="66"/>
      <c r="C188" s="67"/>
      <c r="D188" s="67"/>
      <c r="E188" s="67"/>
      <c r="F188" s="67"/>
      <c r="G188" s="67"/>
      <c r="H188" s="67"/>
      <c r="I188" s="67"/>
      <c r="J188" s="67"/>
      <c r="K188" s="67"/>
    </row>
    <row r="189" spans="1:11">
      <c r="A189" s="67" t="s">
        <v>56</v>
      </c>
      <c r="B189" s="67"/>
      <c r="C189" s="67"/>
      <c r="D189" s="67"/>
      <c r="E189" s="67"/>
      <c r="F189" s="67"/>
      <c r="G189" s="67"/>
      <c r="H189" s="67"/>
      <c r="I189" s="67"/>
      <c r="J189" s="67"/>
      <c r="K189" s="67"/>
    </row>
    <row r="190" spans="1:11">
      <c r="A190" s="67" t="s">
        <v>1</v>
      </c>
      <c r="B190" s="67"/>
      <c r="C190" s="67"/>
      <c r="D190" s="67"/>
      <c r="E190" s="67"/>
      <c r="F190" s="67"/>
      <c r="G190" s="67"/>
      <c r="H190" s="67"/>
      <c r="I190" s="67"/>
      <c r="J190" s="67"/>
      <c r="K190" s="67"/>
    </row>
    <row r="191" spans="1:11">
      <c r="A191" s="67" t="s">
        <v>38</v>
      </c>
      <c r="B191" s="67"/>
      <c r="C191" s="67"/>
      <c r="D191" s="67"/>
      <c r="E191" s="67"/>
      <c r="F191" s="67"/>
      <c r="G191" s="67"/>
      <c r="H191" s="67"/>
      <c r="I191" s="67"/>
      <c r="J191" s="67"/>
      <c r="K191" s="67"/>
    </row>
    <row r="192" spans="1:11">
      <c r="A192" s="67" t="s">
        <v>2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3300000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61" t="s">
        <v>12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1:11" ht="60">
      <c r="A202" s="17" t="s">
        <v>13</v>
      </c>
      <c r="B202" s="18" t="s">
        <v>14</v>
      </c>
      <c r="C202" s="62" t="s">
        <v>15</v>
      </c>
      <c r="D202" s="63"/>
      <c r="E202" s="64"/>
      <c r="F202" s="19"/>
      <c r="G202" s="20" t="s">
        <v>16</v>
      </c>
      <c r="H202" s="21" t="s">
        <v>36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60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23</v>
      </c>
      <c r="D204" s="10"/>
      <c r="E204" s="26"/>
      <c r="F204" s="25"/>
      <c r="G204" s="22">
        <v>123255000</v>
      </c>
      <c r="H204" s="23">
        <f>H159+J159</f>
        <v>8441500</v>
      </c>
      <c r="I204" s="23"/>
      <c r="J204" s="33">
        <v>3300000</v>
      </c>
      <c r="K204" s="34">
        <f t="shared" ref="K204:K206" si="7">G204-H204-J204</f>
        <v>111513500</v>
      </c>
    </row>
    <row r="205" spans="1:11">
      <c r="A205" s="24"/>
      <c r="B205" s="56" t="s">
        <v>21</v>
      </c>
      <c r="C205" s="25" t="s">
        <v>24</v>
      </c>
      <c r="D205" s="10"/>
      <c r="E205" s="26"/>
      <c r="F205" s="25"/>
      <c r="G205" s="22">
        <v>5000000</v>
      </c>
      <c r="H205" s="23">
        <f t="shared" ref="H205:H206" si="8">H160+J160</f>
        <v>3521300</v>
      </c>
      <c r="I205" s="23"/>
      <c r="J205" s="33">
        <v>0</v>
      </c>
      <c r="K205" s="34">
        <f t="shared" si="7"/>
        <v>1478700</v>
      </c>
    </row>
    <row r="206" spans="1:11">
      <c r="A206" s="24"/>
      <c r="B206" s="56" t="s">
        <v>22</v>
      </c>
      <c r="C206" s="25" t="s">
        <v>25</v>
      </c>
      <c r="D206" s="10"/>
      <c r="E206" s="26"/>
      <c r="F206" s="25"/>
      <c r="G206" s="22">
        <v>1000000</v>
      </c>
      <c r="H206" s="23">
        <f t="shared" si="8"/>
        <v>0</v>
      </c>
      <c r="I206" s="57"/>
      <c r="J206" s="58">
        <v>0</v>
      </c>
      <c r="K206" s="59">
        <f t="shared" si="7"/>
        <v>1000000</v>
      </c>
    </row>
    <row r="207" spans="1:11">
      <c r="A207" s="35"/>
      <c r="B207" s="35"/>
      <c r="C207" s="35" t="s">
        <v>26</v>
      </c>
      <c r="D207" s="35"/>
      <c r="E207" s="35"/>
      <c r="F207" s="36"/>
      <c r="G207" s="37">
        <f>SUM(G203:G206)</f>
        <v>129255000</v>
      </c>
      <c r="H207" s="38">
        <f>SUM(H203:H206)</f>
        <v>11962800</v>
      </c>
      <c r="I207" s="38"/>
      <c r="J207" s="38">
        <f>SUM(J203:J206)</f>
        <v>3300000</v>
      </c>
      <c r="K207" s="38">
        <f>SUM(K203:K206)</f>
        <v>113992200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5" t="s">
        <v>27</v>
      </c>
      <c r="B209" s="65"/>
      <c r="C209" s="65"/>
      <c r="D209" s="11" t="s">
        <v>4</v>
      </c>
      <c r="E209" s="14">
        <f>J207</f>
        <v>3300000</v>
      </c>
      <c r="F209" s="41"/>
      <c r="G209" s="42"/>
      <c r="H209" s="42"/>
      <c r="I209" s="42"/>
      <c r="J209" s="9"/>
      <c r="K209" s="9"/>
    </row>
    <row r="210" spans="1:11">
      <c r="A210" s="10" t="s">
        <v>28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29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30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5" t="s">
        <v>31</v>
      </c>
      <c r="B214" s="65"/>
      <c r="C214" s="65"/>
      <c r="D214" s="11" t="s">
        <v>4</v>
      </c>
      <c r="E214" s="41">
        <f>E209-E212</f>
        <v>3300000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H218" s="48"/>
      <c r="I218" s="48"/>
      <c r="J218" s="48" t="s">
        <v>55</v>
      </c>
      <c r="K218" s="47"/>
    </row>
    <row r="219" spans="1:11">
      <c r="A219" s="12" t="s">
        <v>32</v>
      </c>
      <c r="B219" s="10"/>
      <c r="C219" s="10"/>
      <c r="D219" s="10"/>
      <c r="E219" s="10"/>
      <c r="F219" s="10"/>
      <c r="G219" s="10"/>
      <c r="H219" s="12"/>
      <c r="I219" s="12"/>
      <c r="J219" s="12" t="s">
        <v>33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H220" s="12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H221" s="12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H222" s="12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H223" s="12"/>
      <c r="I223" s="12"/>
      <c r="J223" s="12"/>
      <c r="K223" s="47"/>
    </row>
    <row r="224" spans="1:11">
      <c r="A224" s="49" t="s">
        <v>37</v>
      </c>
      <c r="B224" s="49"/>
      <c r="C224" s="50"/>
      <c r="D224" s="50"/>
      <c r="E224" s="50"/>
      <c r="F224" s="50"/>
      <c r="G224" s="10" t="s">
        <v>34</v>
      </c>
      <c r="H224" s="49"/>
      <c r="I224" s="49"/>
      <c r="J224" s="49" t="s">
        <v>35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6" t="s">
        <v>0</v>
      </c>
      <c r="B233" s="66"/>
      <c r="C233" s="67"/>
      <c r="D233" s="67"/>
      <c r="E233" s="67"/>
      <c r="F233" s="67"/>
      <c r="G233" s="67"/>
      <c r="H233" s="67"/>
      <c r="I233" s="67"/>
      <c r="J233" s="67"/>
      <c r="K233" s="67"/>
    </row>
    <row r="234" spans="1:11">
      <c r="A234" s="67" t="s">
        <v>57</v>
      </c>
      <c r="B234" s="67"/>
      <c r="C234" s="67"/>
      <c r="D234" s="67"/>
      <c r="E234" s="67"/>
      <c r="F234" s="67"/>
      <c r="G234" s="67"/>
      <c r="H234" s="67"/>
      <c r="I234" s="67"/>
      <c r="J234" s="67"/>
      <c r="K234" s="67"/>
    </row>
    <row r="235" spans="1:11">
      <c r="A235" s="67" t="s">
        <v>1</v>
      </c>
      <c r="B235" s="67"/>
      <c r="C235" s="67"/>
      <c r="D235" s="67"/>
      <c r="E235" s="67"/>
      <c r="F235" s="67"/>
      <c r="G235" s="67"/>
      <c r="H235" s="67"/>
      <c r="I235" s="67"/>
      <c r="J235" s="67"/>
      <c r="K235" s="67"/>
    </row>
    <row r="236" spans="1:11">
      <c r="A236" s="67" t="s">
        <v>38</v>
      </c>
      <c r="B236" s="67"/>
      <c r="C236" s="67"/>
      <c r="D236" s="67"/>
      <c r="E236" s="67"/>
      <c r="F236" s="67"/>
      <c r="G236" s="67"/>
      <c r="H236" s="67"/>
      <c r="I236" s="67"/>
      <c r="J236" s="67"/>
      <c r="K236" s="67"/>
    </row>
    <row r="237" spans="1:11">
      <c r="A237" s="67" t="s">
        <v>2</v>
      </c>
      <c r="B237" s="67"/>
      <c r="C237" s="67"/>
      <c r="D237" s="67"/>
      <c r="E237" s="67"/>
      <c r="F237" s="67"/>
      <c r="G237" s="67"/>
      <c r="H237" s="67"/>
      <c r="I237" s="67"/>
      <c r="J237" s="67"/>
      <c r="K237" s="67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44000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Ribu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61" t="s">
        <v>12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1:11" ht="60">
      <c r="A247" s="17" t="s">
        <v>13</v>
      </c>
      <c r="B247" s="18" t="s">
        <v>14</v>
      </c>
      <c r="C247" s="62" t="s">
        <v>15</v>
      </c>
      <c r="D247" s="63"/>
      <c r="E247" s="64"/>
      <c r="F247" s="19"/>
      <c r="G247" s="20" t="s">
        <v>16</v>
      </c>
      <c r="H247" s="21" t="s">
        <v>36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60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23</v>
      </c>
      <c r="D249" s="10"/>
      <c r="E249" s="26"/>
      <c r="F249" s="25"/>
      <c r="G249" s="22">
        <v>123255000</v>
      </c>
      <c r="H249" s="23">
        <f>H204+J204</f>
        <v>11741500</v>
      </c>
      <c r="I249" s="23"/>
      <c r="J249" s="33">
        <v>44000</v>
      </c>
      <c r="K249" s="34">
        <f t="shared" ref="K249:K251" si="9">G249-H249-J249</f>
        <v>111469500</v>
      </c>
    </row>
    <row r="250" spans="1:11">
      <c r="A250" s="24"/>
      <c r="B250" s="56" t="s">
        <v>21</v>
      </c>
      <c r="C250" s="25" t="s">
        <v>24</v>
      </c>
      <c r="D250" s="10"/>
      <c r="E250" s="26"/>
      <c r="F250" s="25"/>
      <c r="G250" s="22">
        <v>5000000</v>
      </c>
      <c r="H250" s="23">
        <f t="shared" ref="H250:H251" si="10">H205+J205</f>
        <v>3521300</v>
      </c>
      <c r="I250" s="23"/>
      <c r="J250" s="33">
        <v>0</v>
      </c>
      <c r="K250" s="34">
        <f t="shared" si="9"/>
        <v>1478700</v>
      </c>
    </row>
    <row r="251" spans="1:11">
      <c r="A251" s="24"/>
      <c r="B251" s="56" t="s">
        <v>22</v>
      </c>
      <c r="C251" s="25" t="s">
        <v>25</v>
      </c>
      <c r="D251" s="10"/>
      <c r="E251" s="26"/>
      <c r="F251" s="25"/>
      <c r="G251" s="22">
        <v>1000000</v>
      </c>
      <c r="H251" s="23">
        <f t="shared" si="10"/>
        <v>0</v>
      </c>
      <c r="I251" s="57"/>
      <c r="J251" s="58">
        <v>0</v>
      </c>
      <c r="K251" s="59">
        <f t="shared" si="9"/>
        <v>1000000</v>
      </c>
    </row>
    <row r="252" spans="1:11">
      <c r="A252" s="35"/>
      <c r="B252" s="35"/>
      <c r="C252" s="35" t="s">
        <v>26</v>
      </c>
      <c r="D252" s="35"/>
      <c r="E252" s="35"/>
      <c r="F252" s="36"/>
      <c r="G252" s="37">
        <f>SUM(G248:G251)</f>
        <v>129255000</v>
      </c>
      <c r="H252" s="38">
        <f>SUM(H248:H251)</f>
        <v>15262800</v>
      </c>
      <c r="I252" s="38"/>
      <c r="J252" s="38">
        <f>SUM(J248:J251)</f>
        <v>44000</v>
      </c>
      <c r="K252" s="38">
        <f>SUM(K248:K251)</f>
        <v>113948200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5" t="s">
        <v>27</v>
      </c>
      <c r="B254" s="65"/>
      <c r="C254" s="65"/>
      <c r="D254" s="11" t="s">
        <v>4</v>
      </c>
      <c r="E254" s="14">
        <f>J252</f>
        <v>44000</v>
      </c>
      <c r="F254" s="41"/>
      <c r="G254" s="42"/>
      <c r="H254" s="42"/>
      <c r="I254" s="42"/>
      <c r="J254" s="9"/>
      <c r="K254" s="9"/>
    </row>
    <row r="255" spans="1:11">
      <c r="A255" s="10" t="s">
        <v>28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29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30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5" t="s">
        <v>31</v>
      </c>
      <c r="B259" s="65"/>
      <c r="C259" s="65"/>
      <c r="D259" s="11" t="s">
        <v>4</v>
      </c>
      <c r="E259" s="41">
        <f>E254-E257</f>
        <v>44000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Ribu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H263" s="48"/>
      <c r="I263" s="48"/>
      <c r="J263" s="48" t="s">
        <v>58</v>
      </c>
      <c r="K263" s="47"/>
    </row>
    <row r="264" spans="1:11">
      <c r="A264" s="12" t="s">
        <v>32</v>
      </c>
      <c r="B264" s="10"/>
      <c r="C264" s="10"/>
      <c r="D264" s="10"/>
      <c r="E264" s="10"/>
      <c r="F264" s="10"/>
      <c r="G264" s="10"/>
      <c r="H264" s="12"/>
      <c r="I264" s="12"/>
      <c r="J264" s="12" t="s">
        <v>33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H265" s="12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H266" s="12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H267" s="12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H268" s="12"/>
      <c r="I268" s="12"/>
      <c r="J268" s="12"/>
      <c r="K268" s="47"/>
    </row>
    <row r="269" spans="1:11">
      <c r="A269" s="49" t="s">
        <v>37</v>
      </c>
      <c r="B269" s="49"/>
      <c r="C269" s="50"/>
      <c r="D269" s="50"/>
      <c r="E269" s="50"/>
      <c r="F269" s="50"/>
      <c r="G269" s="10" t="s">
        <v>34</v>
      </c>
      <c r="H269" s="49"/>
      <c r="I269" s="49"/>
      <c r="J269" s="49" t="s">
        <v>35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6" t="s">
        <v>0</v>
      </c>
      <c r="B278" s="66"/>
      <c r="C278" s="67"/>
      <c r="D278" s="67"/>
      <c r="E278" s="67"/>
      <c r="F278" s="67"/>
      <c r="G278" s="67"/>
      <c r="H278" s="67"/>
      <c r="I278" s="67"/>
      <c r="J278" s="67"/>
      <c r="K278" s="67"/>
    </row>
    <row r="279" spans="1:11">
      <c r="A279" s="67" t="s">
        <v>59</v>
      </c>
      <c r="B279" s="67"/>
      <c r="C279" s="67"/>
      <c r="D279" s="67"/>
      <c r="E279" s="67"/>
      <c r="F279" s="67"/>
      <c r="G279" s="67"/>
      <c r="H279" s="67"/>
      <c r="I279" s="67"/>
      <c r="J279" s="67"/>
      <c r="K279" s="67"/>
    </row>
    <row r="280" spans="1:11">
      <c r="A280" s="67" t="s">
        <v>1</v>
      </c>
      <c r="B280" s="67"/>
      <c r="C280" s="67"/>
      <c r="D280" s="67"/>
      <c r="E280" s="67"/>
      <c r="F280" s="67"/>
      <c r="G280" s="67"/>
      <c r="H280" s="67"/>
      <c r="I280" s="67"/>
      <c r="J280" s="67"/>
      <c r="K280" s="67"/>
    </row>
    <row r="281" spans="1:11">
      <c r="A281" s="67" t="s">
        <v>38</v>
      </c>
      <c r="B281" s="67"/>
      <c r="C281" s="67"/>
      <c r="D281" s="67"/>
      <c r="E281" s="67"/>
      <c r="F281" s="67"/>
      <c r="G281" s="67"/>
      <c r="H281" s="67"/>
      <c r="I281" s="67"/>
      <c r="J281" s="67"/>
      <c r="K281" s="67"/>
    </row>
    <row r="282" spans="1:11">
      <c r="A282" s="67" t="s">
        <v>2</v>
      </c>
      <c r="B282" s="67"/>
      <c r="C282" s="67"/>
      <c r="D282" s="67"/>
      <c r="E282" s="67"/>
      <c r="F282" s="67"/>
      <c r="G282" s="67"/>
      <c r="H282" s="67"/>
      <c r="I282" s="67"/>
      <c r="J282" s="67"/>
      <c r="K282" s="67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67000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Tujuh Ribu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61" t="s">
        <v>12</v>
      </c>
      <c r="B291" s="61"/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1:11" ht="60">
      <c r="A292" s="17" t="s">
        <v>13</v>
      </c>
      <c r="B292" s="18" t="s">
        <v>14</v>
      </c>
      <c r="C292" s="62" t="s">
        <v>15</v>
      </c>
      <c r="D292" s="63"/>
      <c r="E292" s="64"/>
      <c r="F292" s="19"/>
      <c r="G292" s="20" t="s">
        <v>16</v>
      </c>
      <c r="H292" s="21" t="s">
        <v>36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60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23</v>
      </c>
      <c r="D294" s="10"/>
      <c r="E294" s="26"/>
      <c r="F294" s="25"/>
      <c r="G294" s="22">
        <v>123255000</v>
      </c>
      <c r="H294" s="23">
        <f>H249+J249</f>
        <v>11785500</v>
      </c>
      <c r="I294" s="23"/>
      <c r="J294" s="33">
        <v>0</v>
      </c>
      <c r="K294" s="34">
        <f t="shared" ref="K294:K296" si="11">G294-H294-J294</f>
        <v>111469500</v>
      </c>
    </row>
    <row r="295" spans="1:11">
      <c r="A295" s="24"/>
      <c r="B295" s="56" t="s">
        <v>21</v>
      </c>
      <c r="C295" s="25" t="s">
        <v>24</v>
      </c>
      <c r="D295" s="10"/>
      <c r="E295" s="26"/>
      <c r="F295" s="25"/>
      <c r="G295" s="22">
        <v>5000000</v>
      </c>
      <c r="H295" s="23">
        <f>H250+J250</f>
        <v>3521300</v>
      </c>
      <c r="I295" s="23"/>
      <c r="J295" s="33">
        <v>67000</v>
      </c>
      <c r="K295" s="34">
        <f t="shared" si="11"/>
        <v>1411700</v>
      </c>
    </row>
    <row r="296" spans="1:11">
      <c r="A296" s="24"/>
      <c r="B296" s="56" t="s">
        <v>22</v>
      </c>
      <c r="C296" s="25" t="s">
        <v>25</v>
      </c>
      <c r="D296" s="10"/>
      <c r="E296" s="26"/>
      <c r="F296" s="25"/>
      <c r="G296" s="22">
        <v>1000000</v>
      </c>
      <c r="H296" s="23">
        <f t="shared" ref="H296" si="12">H251+J251</f>
        <v>0</v>
      </c>
      <c r="I296" s="57"/>
      <c r="J296" s="58">
        <v>0</v>
      </c>
      <c r="K296" s="59">
        <f t="shared" si="11"/>
        <v>1000000</v>
      </c>
    </row>
    <row r="297" spans="1:11">
      <c r="A297" s="35"/>
      <c r="B297" s="35"/>
      <c r="C297" s="35" t="s">
        <v>26</v>
      </c>
      <c r="D297" s="35"/>
      <c r="E297" s="35"/>
      <c r="F297" s="36"/>
      <c r="G297" s="37">
        <f>SUM(G293:G296)</f>
        <v>129255000</v>
      </c>
      <c r="H297" s="38">
        <f>SUM(H293:H296)</f>
        <v>15306800</v>
      </c>
      <c r="I297" s="38"/>
      <c r="J297" s="38">
        <f>SUM(J293:J296)</f>
        <v>67000</v>
      </c>
      <c r="K297" s="38">
        <f>SUM(K293:K296)</f>
        <v>113881200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5" t="s">
        <v>27</v>
      </c>
      <c r="B299" s="65"/>
      <c r="C299" s="65"/>
      <c r="D299" s="11" t="s">
        <v>4</v>
      </c>
      <c r="E299" s="14">
        <f>J297</f>
        <v>67000</v>
      </c>
      <c r="F299" s="41"/>
      <c r="G299" s="42"/>
      <c r="H299" s="42"/>
      <c r="I299" s="42"/>
      <c r="J299" s="9"/>
      <c r="K299" s="9"/>
    </row>
    <row r="300" spans="1:11">
      <c r="A300" s="10" t="s">
        <v>28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29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30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5" t="s">
        <v>31</v>
      </c>
      <c r="B304" s="65"/>
      <c r="C304" s="65"/>
      <c r="D304" s="11" t="s">
        <v>4</v>
      </c>
      <c r="E304" s="41">
        <f>E299-E302</f>
        <v>67000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Tujuh Ribu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H308" s="48"/>
      <c r="I308" s="48"/>
      <c r="J308" s="48" t="s">
        <v>50</v>
      </c>
      <c r="K308" s="47"/>
    </row>
    <row r="309" spans="1:11">
      <c r="A309" s="12" t="s">
        <v>32</v>
      </c>
      <c r="B309" s="10"/>
      <c r="C309" s="10"/>
      <c r="D309" s="10"/>
      <c r="E309" s="10"/>
      <c r="F309" s="10"/>
      <c r="G309" s="10"/>
      <c r="H309" s="12"/>
      <c r="I309" s="12"/>
      <c r="J309" s="12" t="s">
        <v>33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H310" s="12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H311" s="12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H312" s="12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H313" s="12"/>
      <c r="I313" s="12"/>
      <c r="J313" s="12"/>
      <c r="K313" s="47"/>
    </row>
    <row r="314" spans="1:11">
      <c r="A314" s="49" t="s">
        <v>37</v>
      </c>
      <c r="B314" s="49"/>
      <c r="C314" s="50"/>
      <c r="D314" s="50"/>
      <c r="E314" s="50"/>
      <c r="F314" s="50"/>
      <c r="G314" s="10" t="s">
        <v>34</v>
      </c>
      <c r="H314" s="49"/>
      <c r="I314" s="49"/>
      <c r="J314" s="49" t="s">
        <v>35</v>
      </c>
      <c r="K314" s="47"/>
    </row>
    <row r="319" spans="1:11" ht="15.75">
      <c r="C319" s="2"/>
      <c r="D319" s="2"/>
      <c r="E319" s="2"/>
      <c r="F319" s="2"/>
    </row>
    <row r="320" spans="1:11" ht="15.75">
      <c r="A320" s="3"/>
      <c r="B320" s="3"/>
      <c r="C320" s="2"/>
      <c r="D320" s="2"/>
      <c r="E320" s="2"/>
      <c r="F320" s="2"/>
      <c r="G320" s="3"/>
      <c r="H320" s="4"/>
      <c r="I320" s="4"/>
      <c r="J320" s="4"/>
      <c r="K320" s="5"/>
    </row>
    <row r="321" spans="1:11">
      <c r="H321" s="5"/>
      <c r="I321" s="5"/>
      <c r="J321" s="5"/>
      <c r="K321" s="5"/>
    </row>
    <row r="322" spans="1:11">
      <c r="H322" s="5"/>
      <c r="I322" s="5"/>
      <c r="J322" s="5"/>
      <c r="K322" s="5"/>
    </row>
    <row r="323" spans="1:11">
      <c r="A323" s="66" t="s">
        <v>0</v>
      </c>
      <c r="B323" s="66"/>
      <c r="C323" s="67"/>
      <c r="D323" s="67"/>
      <c r="E323" s="67"/>
      <c r="F323" s="67"/>
      <c r="G323" s="67"/>
      <c r="H323" s="67"/>
      <c r="I323" s="67"/>
      <c r="J323" s="67"/>
      <c r="K323" s="67"/>
    </row>
    <row r="324" spans="1:11">
      <c r="A324" s="67" t="s">
        <v>61</v>
      </c>
      <c r="B324" s="67"/>
      <c r="C324" s="67"/>
      <c r="D324" s="67"/>
      <c r="E324" s="67"/>
      <c r="F324" s="67"/>
      <c r="G324" s="67"/>
      <c r="H324" s="67"/>
      <c r="I324" s="67"/>
      <c r="J324" s="67"/>
      <c r="K324" s="67"/>
    </row>
    <row r="325" spans="1:11">
      <c r="A325" s="67" t="s">
        <v>1</v>
      </c>
      <c r="B325" s="67"/>
      <c r="C325" s="67"/>
      <c r="D325" s="67"/>
      <c r="E325" s="67"/>
      <c r="F325" s="67"/>
      <c r="G325" s="67"/>
      <c r="H325" s="67"/>
      <c r="I325" s="67"/>
      <c r="J325" s="67"/>
      <c r="K325" s="67"/>
    </row>
    <row r="326" spans="1:11">
      <c r="A326" s="67" t="s">
        <v>38</v>
      </c>
      <c r="B326" s="67"/>
      <c r="C326" s="67"/>
      <c r="D326" s="67"/>
      <c r="E326" s="67"/>
      <c r="F326" s="67"/>
      <c r="G326" s="67"/>
      <c r="H326" s="67"/>
      <c r="I326" s="67"/>
      <c r="J326" s="67"/>
      <c r="K326" s="67"/>
    </row>
    <row r="327" spans="1:11">
      <c r="A327" s="67" t="s">
        <v>2</v>
      </c>
      <c r="B327" s="67"/>
      <c r="C327" s="67"/>
      <c r="D327" s="67"/>
      <c r="E327" s="67"/>
      <c r="F327" s="67"/>
      <c r="G327" s="67"/>
      <c r="H327" s="67"/>
      <c r="I327" s="67"/>
      <c r="J327" s="67"/>
      <c r="K327" s="67"/>
    </row>
    <row r="328" spans="1:11">
      <c r="A328" s="6"/>
      <c r="B328" s="6"/>
      <c r="C328" s="7"/>
      <c r="D328" s="7"/>
      <c r="E328" s="7"/>
      <c r="F328" s="7"/>
      <c r="G328" s="8"/>
      <c r="H328" s="9"/>
      <c r="I328" s="9"/>
      <c r="J328" s="9"/>
      <c r="K328" s="9"/>
    </row>
    <row r="329" spans="1:11">
      <c r="A329" s="53" t="s">
        <v>3</v>
      </c>
      <c r="B329" s="10"/>
      <c r="C329" s="10"/>
      <c r="D329" s="54" t="s">
        <v>4</v>
      </c>
      <c r="E329" s="10" t="s">
        <v>5</v>
      </c>
      <c r="F329" s="11"/>
      <c r="G329" s="10"/>
      <c r="H329" s="12"/>
      <c r="I329" s="12"/>
      <c r="J329" s="12"/>
      <c r="K329" s="9"/>
    </row>
    <row r="330" spans="1:11">
      <c r="A330" s="53" t="s">
        <v>6</v>
      </c>
      <c r="B330" s="10"/>
      <c r="C330" s="10"/>
      <c r="D330" s="54" t="s">
        <v>4</v>
      </c>
      <c r="E330" s="10" t="s">
        <v>7</v>
      </c>
      <c r="F330" s="11"/>
      <c r="G330" s="10"/>
      <c r="H330" s="12"/>
      <c r="I330" s="12"/>
      <c r="J330" s="12"/>
      <c r="K330" s="9"/>
    </row>
    <row r="331" spans="1:11">
      <c r="A331" s="53" t="s">
        <v>8</v>
      </c>
      <c r="B331" s="10"/>
      <c r="C331" s="10"/>
      <c r="D331" s="54" t="s">
        <v>4</v>
      </c>
      <c r="E331" s="13">
        <v>2026</v>
      </c>
      <c r="F331" s="11"/>
      <c r="G331" s="13"/>
      <c r="H331" s="12"/>
      <c r="I331" s="12"/>
      <c r="J331" s="12"/>
      <c r="K331" s="9"/>
    </row>
    <row r="332" spans="1:11">
      <c r="A332" s="53" t="s">
        <v>9</v>
      </c>
      <c r="B332" s="10"/>
      <c r="C332" s="10"/>
      <c r="D332" s="54" t="s">
        <v>4</v>
      </c>
      <c r="E332" s="14">
        <f>J342</f>
        <v>11267731</v>
      </c>
      <c r="F332" s="11"/>
      <c r="G332" s="14"/>
      <c r="H332" s="12"/>
      <c r="I332" s="12"/>
      <c r="J332" s="12"/>
      <c r="K332" s="9"/>
    </row>
    <row r="333" spans="1:11" ht="15.75">
      <c r="A333" s="10"/>
      <c r="B333" s="10"/>
      <c r="C333" s="15" t="s">
        <v>10</v>
      </c>
      <c r="D333" s="54" t="s">
        <v>4</v>
      </c>
      <c r="E333" s="16" t="str">
        <f>PROPER(IF(E332=0,"nol",IF(E332&lt;0,"minus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332),"000000000000000"),1,3)=0,"",MID(TEXT(ABS(E332),"000000000000000"),1,1)&amp;" ratus "&amp;MID(TEXT(ABS(E332),"000000000000000"),2,1)&amp;" puluh "&amp;MID(TEXT(ABS(E332),"000000000000000"),3,1)&amp;" trilyun ")&amp;IF(--MID(TEXT(ABS(E332),"000000000000000"),4,3)=0,"",MID(TEXT(ABS(E332),"000000000000000"),4,1)&amp;" ratus "&amp;MID(TEXT(ABS(E332),"000000000000000"),5,1)&amp;" puluh "&amp;MID(TEXT(ABS(E332),"000000000000000"),6,1)&amp;" milyar ")&amp;IF(--MID(TEXT(ABS(E332),"000000000000000"),7,3)=0,"",MID(TEXT(ABS(E332),"000000000000000"),7,1)&amp;" ratus "&amp;MID(TEXT(ABS(E332),"000000000000000"),8,1)&amp;" puluh "&amp;MID(TEXT(ABS(E332),"000000000000000"),9,1)&amp;" juta ")&amp;IF(--MID(TEXT(ABS(E332),"000000000000000"),10,3)=0,"",IF(--MID(TEXT(ABS(E332),"000000000000000"),10,3)=1,"*",MID(TEXT(ABS(E332),"000000000000000"),10,1)&amp;" ratus "&amp;MID(TEXT(ABS(E332),"000000000000000"),11,1)&amp;" puluh ")&amp;MID(TEXT(ABS(E332),"000000000000000"),12,1)&amp;" ribu ")&amp;IF(--MID(TEXT(ABS(E332),"000000000000000"),13,3)=0,"",MID(TEXT(ABS(E332),"000000000000000"),13,1)&amp;" ratus "&amp;MID(TEXT(ABS(E332),"000000000000000"),14,1)&amp;" puluh "&amp;MID(TEXT(ABS(E332),"000000000000000"),15,1)),1,"satu"),2,"dua"),3,"tiga"),4,"empat"),5,"lima"),6,"enam"),7,"tujuh"),8,"delapan"),9,"sembilan"),"0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Sebelas Juta Dua Ratus Enam Puluh Tujuh Ribu Tujuh Ratus Tiga Puluh Satu Rupiah</v>
      </c>
      <c r="F333" s="11"/>
      <c r="G333" s="16"/>
      <c r="H333" s="12"/>
      <c r="I333" s="12"/>
      <c r="J333" s="12"/>
      <c r="K333" s="9"/>
    </row>
    <row r="334" spans="1:11" ht="15.75">
      <c r="A334" s="10"/>
      <c r="B334" s="10"/>
      <c r="C334" s="15"/>
      <c r="D334" s="15"/>
      <c r="E334" s="15"/>
      <c r="F334" s="11"/>
      <c r="G334" s="16"/>
      <c r="H334" s="12"/>
      <c r="I334" s="12"/>
      <c r="J334" s="12"/>
      <c r="K334" s="9"/>
    </row>
    <row r="335" spans="1:11">
      <c r="A335" s="10" t="s">
        <v>11</v>
      </c>
      <c r="B335" s="10"/>
      <c r="C335" s="10"/>
      <c r="D335" s="10"/>
      <c r="E335" s="10"/>
      <c r="F335" s="10"/>
      <c r="G335" s="10"/>
      <c r="H335" s="12"/>
      <c r="I335" s="12"/>
      <c r="J335" s="12"/>
      <c r="K335" s="9"/>
    </row>
    <row r="336" spans="1:11">
      <c r="A336" s="61" t="s">
        <v>12</v>
      </c>
      <c r="B336" s="61"/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1:11" ht="60">
      <c r="A337" s="17" t="s">
        <v>13</v>
      </c>
      <c r="B337" s="18" t="s">
        <v>14</v>
      </c>
      <c r="C337" s="62" t="s">
        <v>15</v>
      </c>
      <c r="D337" s="63"/>
      <c r="E337" s="64"/>
      <c r="F337" s="19"/>
      <c r="G337" s="20" t="s">
        <v>16</v>
      </c>
      <c r="H337" s="21" t="s">
        <v>36</v>
      </c>
      <c r="I337" s="21"/>
      <c r="J337" s="31" t="s">
        <v>17</v>
      </c>
      <c r="K337" s="32" t="s">
        <v>18</v>
      </c>
    </row>
    <row r="338" spans="1:11">
      <c r="A338" s="27">
        <v>1</v>
      </c>
      <c r="B338" s="24"/>
      <c r="C338" s="28" t="s">
        <v>23</v>
      </c>
      <c r="D338" s="60"/>
      <c r="E338" s="26"/>
      <c r="F338" s="25"/>
      <c r="G338" s="55" t="s">
        <v>19</v>
      </c>
      <c r="H338" s="55" t="s">
        <v>19</v>
      </c>
      <c r="I338" s="55"/>
      <c r="J338" s="55" t="s">
        <v>19</v>
      </c>
      <c r="K338" s="55" t="s">
        <v>19</v>
      </c>
    </row>
    <row r="339" spans="1:11">
      <c r="A339" s="24"/>
      <c r="B339" s="56" t="s">
        <v>20</v>
      </c>
      <c r="C339" s="25" t="s">
        <v>23</v>
      </c>
      <c r="D339" s="10"/>
      <c r="E339" s="26"/>
      <c r="F339" s="25"/>
      <c r="G339" s="22">
        <v>123255000</v>
      </c>
      <c r="H339" s="23">
        <f>H294+J294</f>
        <v>11785500</v>
      </c>
      <c r="I339" s="23"/>
      <c r="J339" s="33">
        <v>11267731</v>
      </c>
      <c r="K339" s="34">
        <f t="shared" ref="K339:K341" si="13">G339-H339-J339</f>
        <v>100201769</v>
      </c>
    </row>
    <row r="340" spans="1:11">
      <c r="A340" s="24"/>
      <c r="B340" s="56" t="s">
        <v>21</v>
      </c>
      <c r="C340" s="25" t="s">
        <v>24</v>
      </c>
      <c r="D340" s="10"/>
      <c r="E340" s="26"/>
      <c r="F340" s="25"/>
      <c r="G340" s="22">
        <v>5000000</v>
      </c>
      <c r="H340" s="23">
        <f>H295+J295</f>
        <v>3588300</v>
      </c>
      <c r="I340" s="23"/>
      <c r="J340" s="33">
        <v>0</v>
      </c>
      <c r="K340" s="34">
        <f t="shared" si="13"/>
        <v>1411700</v>
      </c>
    </row>
    <row r="341" spans="1:11">
      <c r="A341" s="24"/>
      <c r="B341" s="56" t="s">
        <v>22</v>
      </c>
      <c r="C341" s="25" t="s">
        <v>25</v>
      </c>
      <c r="D341" s="10"/>
      <c r="E341" s="26"/>
      <c r="F341" s="25"/>
      <c r="G341" s="22">
        <v>1000000</v>
      </c>
      <c r="H341" s="23">
        <f t="shared" ref="H341" si="14">H296+J296</f>
        <v>0</v>
      </c>
      <c r="I341" s="57"/>
      <c r="J341" s="58">
        <v>0</v>
      </c>
      <c r="K341" s="59">
        <f t="shared" si="13"/>
        <v>1000000</v>
      </c>
    </row>
    <row r="342" spans="1:11">
      <c r="A342" s="35"/>
      <c r="B342" s="35"/>
      <c r="C342" s="35" t="s">
        <v>26</v>
      </c>
      <c r="D342" s="35"/>
      <c r="E342" s="35"/>
      <c r="F342" s="36"/>
      <c r="G342" s="37">
        <f>SUM(G338:G341)</f>
        <v>129255000</v>
      </c>
      <c r="H342" s="38">
        <f>SUM(H338:H341)</f>
        <v>15373800</v>
      </c>
      <c r="I342" s="38"/>
      <c r="J342" s="38">
        <f>SUM(J338:J341)</f>
        <v>11267731</v>
      </c>
      <c r="K342" s="38">
        <f>SUM(K338:K341)</f>
        <v>102613469</v>
      </c>
    </row>
    <row r="343" spans="1:11">
      <c r="A343" s="39"/>
      <c r="B343" s="8"/>
      <c r="C343" s="8"/>
      <c r="D343" s="8"/>
      <c r="E343" s="8"/>
      <c r="F343" s="8"/>
      <c r="G343" s="40"/>
      <c r="H343" s="40"/>
      <c r="I343" s="40"/>
      <c r="J343" s="40"/>
      <c r="K343" s="40"/>
    </row>
    <row r="344" spans="1:11">
      <c r="A344" s="65" t="s">
        <v>27</v>
      </c>
      <c r="B344" s="65"/>
      <c r="C344" s="65"/>
      <c r="D344" s="11" t="s">
        <v>4</v>
      </c>
      <c r="E344" s="14">
        <f>J342</f>
        <v>11267731</v>
      </c>
      <c r="F344" s="41"/>
      <c r="G344" s="42"/>
      <c r="H344" s="42"/>
      <c r="I344" s="42"/>
      <c r="J344" s="9"/>
      <c r="K344" s="9"/>
    </row>
    <row r="345" spans="1:11">
      <c r="A345" s="10" t="s">
        <v>28</v>
      </c>
      <c r="B345" s="10"/>
      <c r="C345" s="10"/>
      <c r="D345" s="11" t="s">
        <v>4</v>
      </c>
      <c r="E345" s="43"/>
      <c r="F345" s="43"/>
      <c r="G345" s="44"/>
      <c r="H345" s="12"/>
      <c r="I345" s="12"/>
      <c r="J345" s="9"/>
      <c r="K345" s="9"/>
    </row>
    <row r="346" spans="1:11">
      <c r="A346" s="10" t="s">
        <v>29</v>
      </c>
      <c r="B346" s="10"/>
      <c r="C346" s="10"/>
      <c r="D346" s="11" t="s">
        <v>4</v>
      </c>
      <c r="E346" s="45"/>
      <c r="F346" s="45"/>
      <c r="G346" s="44"/>
      <c r="H346" s="12"/>
      <c r="I346" s="12"/>
      <c r="J346" s="9"/>
      <c r="K346" s="9"/>
    </row>
    <row r="347" spans="1:11">
      <c r="A347" s="10" t="s">
        <v>30</v>
      </c>
      <c r="B347" s="10"/>
      <c r="C347" s="10"/>
      <c r="D347" s="11" t="s">
        <v>4</v>
      </c>
      <c r="E347" s="45">
        <f>E345+E346</f>
        <v>0</v>
      </c>
      <c r="F347" s="45"/>
      <c r="G347" s="10"/>
      <c r="H347" s="12"/>
      <c r="I347" s="12"/>
      <c r="J347" s="47"/>
      <c r="K347" s="47"/>
    </row>
    <row r="348" spans="1:11">
      <c r="A348" s="13"/>
      <c r="B348" s="13"/>
      <c r="C348" s="13"/>
      <c r="D348" s="11"/>
      <c r="E348" s="13"/>
      <c r="F348" s="13"/>
      <c r="G348" s="10"/>
      <c r="H348" s="12"/>
      <c r="I348" s="12"/>
      <c r="J348" s="47"/>
      <c r="K348" s="47"/>
    </row>
    <row r="349" spans="1:11">
      <c r="A349" s="65" t="s">
        <v>31</v>
      </c>
      <c r="B349" s="65"/>
      <c r="C349" s="65"/>
      <c r="D349" s="11" t="s">
        <v>4</v>
      </c>
      <c r="E349" s="41">
        <f>E344-E347</f>
        <v>11267731</v>
      </c>
      <c r="F349" s="41"/>
      <c r="G349" s="10"/>
      <c r="H349" s="12"/>
      <c r="I349" s="12"/>
      <c r="J349" s="47"/>
      <c r="K349" s="47"/>
    </row>
    <row r="350" spans="1:11" ht="15.75">
      <c r="A350" s="13"/>
      <c r="B350" s="13"/>
      <c r="C350" s="10"/>
      <c r="D350" s="10"/>
      <c r="E350" s="16" t="str">
        <f>PROPER(IF(E349=0,"nol",IF(E349&lt;0,"minus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349),"000000000000000"),1,3)=0,"",MID(TEXT(ABS(E349),"000000000000000"),1,1)&amp;" ratus "&amp;MID(TEXT(ABS(E349),"000000000000000"),2,1)&amp;" puluh "&amp;MID(TEXT(ABS(E349),"000000000000000"),3,1)&amp;" trilyun ")&amp;IF(--MID(TEXT(ABS(E349),"000000000000000"),4,3)=0,"",MID(TEXT(ABS(E349),"000000000000000"),4,1)&amp;" ratus "&amp;MID(TEXT(ABS(E349),"000000000000000"),5,1)&amp;" puluh "&amp;MID(TEXT(ABS(E349),"000000000000000"),6,1)&amp;" milyar ")&amp;IF(--MID(TEXT(ABS(E349),"000000000000000"),7,3)=0,"",MID(TEXT(ABS(E349),"000000000000000"),7,1)&amp;" ratus "&amp;MID(TEXT(ABS(E349),"000000000000000"),8,1)&amp;" puluh "&amp;MID(TEXT(ABS(E349),"000000000000000"),9,1)&amp;" juta ")&amp;IF(--MID(TEXT(ABS(E349),"000000000000000"),10,3)=0,"",IF(--MID(TEXT(ABS(E349),"000000000000000"),10,3)=1,"*",MID(TEXT(ABS(E349),"000000000000000"),10,1)&amp;" ratus "&amp;MID(TEXT(ABS(E349),"000000000000000"),11,1)&amp;" puluh ")&amp;MID(TEXT(ABS(E349),"000000000000000"),12,1)&amp;" ribu ")&amp;IF(--MID(TEXT(ABS(E349),"000000000000000"),13,3)=0,"",MID(TEXT(ABS(E349),"000000000000000"),13,1)&amp;" ratus "&amp;MID(TEXT(ABS(E349),"000000000000000"),14,1)&amp;" puluh "&amp;MID(TEXT(ABS(E349),"000000000000000"),15,1)),1,"satu"),2,"dua"),3,"tiga"),4,"empat"),5,"lima"),6,"enam"),7,"tujuh"),8,"delapan"),9,"sembilan"),"0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Sebelas Juta Dua Ratus Enam Puluh Tujuh Ribu Tujuh Ratus Tiga Puluh Satu Rupiah</v>
      </c>
      <c r="F350" s="10"/>
      <c r="G350" s="10"/>
      <c r="H350" s="10"/>
      <c r="I350" s="10"/>
      <c r="J350" s="47"/>
      <c r="K350" s="47"/>
    </row>
    <row r="351" spans="1:11">
      <c r="A351" s="46"/>
      <c r="B351" s="46"/>
      <c r="C351" s="46"/>
      <c r="D351" s="46"/>
      <c r="E351" s="46"/>
      <c r="F351" s="46"/>
      <c r="G351" s="29"/>
      <c r="H351" s="47"/>
      <c r="I351" s="47"/>
      <c r="J351" s="47"/>
      <c r="K351" s="47"/>
    </row>
    <row r="352" spans="1:11">
      <c r="A352" s="29"/>
      <c r="B352" s="29"/>
      <c r="C352" s="29"/>
      <c r="D352" s="29"/>
      <c r="E352" s="29"/>
      <c r="F352" s="29"/>
      <c r="G352" s="29"/>
      <c r="H352"/>
      <c r="I352"/>
      <c r="J352" s="47"/>
      <c r="K352" s="47"/>
    </row>
    <row r="353" spans="1:11">
      <c r="A353" s="13"/>
      <c r="B353" s="13"/>
      <c r="C353" s="10"/>
      <c r="D353" s="10"/>
      <c r="E353" s="10"/>
      <c r="F353" s="10"/>
      <c r="G353" s="10"/>
      <c r="H353" s="48"/>
      <c r="I353" s="48"/>
      <c r="J353" s="48" t="s">
        <v>62</v>
      </c>
      <c r="K353" s="47"/>
    </row>
    <row r="354" spans="1:11">
      <c r="A354" s="12" t="s">
        <v>32</v>
      </c>
      <c r="B354" s="10"/>
      <c r="C354" s="10"/>
      <c r="D354" s="10"/>
      <c r="E354" s="10"/>
      <c r="F354" s="10"/>
      <c r="G354" s="10"/>
      <c r="H354" s="12"/>
      <c r="I354" s="12"/>
      <c r="J354" s="12" t="s">
        <v>33</v>
      </c>
      <c r="K354" s="47"/>
    </row>
    <row r="355" spans="1:11">
      <c r="A355" s="10"/>
      <c r="B355" s="10"/>
      <c r="C355" s="10"/>
      <c r="D355" s="10"/>
      <c r="E355" s="10"/>
      <c r="F355" s="10"/>
      <c r="G355" s="10"/>
      <c r="H355" s="12"/>
      <c r="I355" s="12"/>
      <c r="J355" s="12"/>
      <c r="K355" s="47"/>
    </row>
    <row r="356" spans="1:11">
      <c r="A356" s="10"/>
      <c r="B356" s="10"/>
      <c r="C356" s="10"/>
      <c r="D356" s="10"/>
      <c r="E356" s="10"/>
      <c r="F356" s="10"/>
      <c r="G356" s="10"/>
      <c r="H356" s="12"/>
      <c r="I356" s="12"/>
      <c r="J356" s="12"/>
      <c r="K356" s="47"/>
    </row>
    <row r="357" spans="1:11">
      <c r="A357" s="10"/>
      <c r="B357" s="10"/>
      <c r="C357" s="10"/>
      <c r="D357" s="10"/>
      <c r="E357" s="10"/>
      <c r="F357" s="10"/>
      <c r="G357" s="10"/>
      <c r="H357" s="12"/>
      <c r="I357" s="12"/>
      <c r="J357" s="12"/>
      <c r="K357" s="47"/>
    </row>
    <row r="358" spans="1:11">
      <c r="A358" s="10"/>
      <c r="B358" s="10"/>
      <c r="C358" s="10"/>
      <c r="D358" s="10"/>
      <c r="E358" s="10"/>
      <c r="F358" s="10"/>
      <c r="G358" s="10"/>
      <c r="H358" s="12"/>
      <c r="I358" s="12"/>
      <c r="J358" s="12"/>
      <c r="K358" s="47"/>
    </row>
    <row r="359" spans="1:11">
      <c r="A359" s="49" t="s">
        <v>37</v>
      </c>
      <c r="B359" s="49"/>
      <c r="C359" s="50"/>
      <c r="D359" s="50"/>
      <c r="E359" s="50"/>
      <c r="F359" s="50"/>
      <c r="G359" s="10" t="s">
        <v>34</v>
      </c>
      <c r="H359" s="49"/>
      <c r="I359" s="49"/>
      <c r="J359" s="49" t="s">
        <v>35</v>
      </c>
      <c r="K359" s="47"/>
    </row>
    <row r="364" spans="1:11" ht="15.75">
      <c r="C364" s="2"/>
      <c r="D364" s="2"/>
      <c r="E364" s="2"/>
      <c r="F364" s="2"/>
    </row>
    <row r="365" spans="1:11" ht="15.75">
      <c r="A365" s="3"/>
      <c r="B365" s="3"/>
      <c r="C365" s="2"/>
      <c r="D365" s="2"/>
      <c r="E365" s="2"/>
      <c r="F365" s="2"/>
      <c r="G365" s="3"/>
      <c r="H365" s="4"/>
      <c r="I365" s="4"/>
      <c r="J365" s="4"/>
      <c r="K365" s="5"/>
    </row>
    <row r="366" spans="1:11">
      <c r="H366" s="5"/>
      <c r="I366" s="5"/>
      <c r="J366" s="5"/>
      <c r="K366" s="5"/>
    </row>
    <row r="367" spans="1:11">
      <c r="H367" s="5"/>
      <c r="I367" s="5"/>
      <c r="J367" s="5"/>
      <c r="K367" s="5"/>
    </row>
    <row r="368" spans="1:11">
      <c r="A368" s="66" t="s">
        <v>0</v>
      </c>
      <c r="B368" s="66"/>
      <c r="C368" s="67"/>
      <c r="D368" s="67"/>
      <c r="E368" s="67"/>
      <c r="F368" s="67"/>
      <c r="G368" s="67"/>
      <c r="H368" s="67"/>
      <c r="I368" s="67"/>
      <c r="J368" s="67"/>
      <c r="K368" s="67"/>
    </row>
    <row r="369" spans="1:11">
      <c r="A369" s="67" t="s">
        <v>63</v>
      </c>
      <c r="B369" s="67"/>
      <c r="C369" s="67"/>
      <c r="D369" s="67"/>
      <c r="E369" s="67"/>
      <c r="F369" s="67"/>
      <c r="G369" s="67"/>
      <c r="H369" s="67"/>
      <c r="I369" s="67"/>
      <c r="J369" s="67"/>
      <c r="K369" s="67"/>
    </row>
    <row r="370" spans="1:11">
      <c r="A370" s="67" t="s">
        <v>1</v>
      </c>
      <c r="B370" s="67"/>
      <c r="C370" s="67"/>
      <c r="D370" s="67"/>
      <c r="E370" s="67"/>
      <c r="F370" s="67"/>
      <c r="G370" s="67"/>
      <c r="H370" s="67"/>
      <c r="I370" s="67"/>
      <c r="J370" s="67"/>
      <c r="K370" s="67"/>
    </row>
    <row r="371" spans="1:11">
      <c r="A371" s="67" t="s">
        <v>38</v>
      </c>
      <c r="B371" s="67"/>
      <c r="C371" s="67"/>
      <c r="D371" s="67"/>
      <c r="E371" s="67"/>
      <c r="F371" s="67"/>
      <c r="G371" s="67"/>
      <c r="H371" s="67"/>
      <c r="I371" s="67"/>
      <c r="J371" s="67"/>
      <c r="K371" s="67"/>
    </row>
    <row r="372" spans="1:11">
      <c r="A372" s="67" t="s">
        <v>2</v>
      </c>
      <c r="B372" s="67"/>
      <c r="C372" s="67"/>
      <c r="D372" s="67"/>
      <c r="E372" s="67"/>
      <c r="F372" s="67"/>
      <c r="G372" s="67"/>
      <c r="H372" s="67"/>
      <c r="I372" s="67"/>
      <c r="J372" s="67"/>
      <c r="K372" s="67"/>
    </row>
    <row r="373" spans="1:11">
      <c r="A373" s="6"/>
      <c r="B373" s="6"/>
      <c r="C373" s="7"/>
      <c r="D373" s="7"/>
      <c r="E373" s="7"/>
      <c r="F373" s="7"/>
      <c r="G373" s="8"/>
      <c r="H373" s="9"/>
      <c r="I373" s="9"/>
      <c r="J373" s="9"/>
      <c r="K373" s="9"/>
    </row>
    <row r="374" spans="1:11">
      <c r="A374" s="53" t="s">
        <v>3</v>
      </c>
      <c r="B374" s="10"/>
      <c r="C374" s="10"/>
      <c r="D374" s="54" t="s">
        <v>4</v>
      </c>
      <c r="E374" s="10" t="s">
        <v>5</v>
      </c>
      <c r="F374" s="11"/>
      <c r="G374" s="10"/>
      <c r="H374" s="12"/>
      <c r="I374" s="12"/>
      <c r="J374" s="12"/>
      <c r="K374" s="9"/>
    </row>
    <row r="375" spans="1:11">
      <c r="A375" s="53" t="s">
        <v>6</v>
      </c>
      <c r="B375" s="10"/>
      <c r="C375" s="10"/>
      <c r="D375" s="54" t="s">
        <v>4</v>
      </c>
      <c r="E375" s="10" t="s">
        <v>7</v>
      </c>
      <c r="F375" s="11"/>
      <c r="G375" s="10"/>
      <c r="H375" s="12"/>
      <c r="I375" s="12"/>
      <c r="J375" s="12"/>
      <c r="K375" s="9"/>
    </row>
    <row r="376" spans="1:11">
      <c r="A376" s="53" t="s">
        <v>8</v>
      </c>
      <c r="B376" s="10"/>
      <c r="C376" s="10"/>
      <c r="D376" s="54" t="s">
        <v>4</v>
      </c>
      <c r="E376" s="13">
        <v>2026</v>
      </c>
      <c r="F376" s="11"/>
      <c r="G376" s="13"/>
      <c r="H376" s="12"/>
      <c r="I376" s="12"/>
      <c r="J376" s="12"/>
      <c r="K376" s="9"/>
    </row>
    <row r="377" spans="1:11">
      <c r="A377" s="53" t="s">
        <v>9</v>
      </c>
      <c r="B377" s="10"/>
      <c r="C377" s="10"/>
      <c r="D377" s="54" t="s">
        <v>4</v>
      </c>
      <c r="E377" s="14">
        <f>J387</f>
        <v>20000</v>
      </c>
      <c r="F377" s="11"/>
      <c r="G377" s="14"/>
      <c r="H377" s="12"/>
      <c r="I377" s="12"/>
      <c r="J377" s="12"/>
      <c r="K377" s="9"/>
    </row>
    <row r="378" spans="1:11" ht="15.75">
      <c r="A378" s="10"/>
      <c r="B378" s="10"/>
      <c r="C378" s="15" t="s">
        <v>10</v>
      </c>
      <c r="D378" s="54" t="s">
        <v>4</v>
      </c>
      <c r="E378" s="16" t="str">
        <f>PROPER(IF(E377=0,"nol",IF(E377&lt;0,"minus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377),"000000000000000"),1,3)=0,"",MID(TEXT(ABS(E377),"000000000000000"),1,1)&amp;" ratus "&amp;MID(TEXT(ABS(E377),"000000000000000"),2,1)&amp;" puluh "&amp;MID(TEXT(ABS(E377),"000000000000000"),3,1)&amp;" trilyun ")&amp;IF(--MID(TEXT(ABS(E377),"000000000000000"),4,3)=0,"",MID(TEXT(ABS(E377),"000000000000000"),4,1)&amp;" ratus "&amp;MID(TEXT(ABS(E377),"000000000000000"),5,1)&amp;" puluh "&amp;MID(TEXT(ABS(E377),"000000000000000"),6,1)&amp;" milyar ")&amp;IF(--MID(TEXT(ABS(E377),"000000000000000"),7,3)=0,"",MID(TEXT(ABS(E377),"000000000000000"),7,1)&amp;" ratus "&amp;MID(TEXT(ABS(E377),"000000000000000"),8,1)&amp;" puluh "&amp;MID(TEXT(ABS(E377),"000000000000000"),9,1)&amp;" juta ")&amp;IF(--MID(TEXT(ABS(E377),"000000000000000"),10,3)=0,"",IF(--MID(TEXT(ABS(E377),"000000000000000"),10,3)=1,"*",MID(TEXT(ABS(E377),"000000000000000"),10,1)&amp;" ratus "&amp;MID(TEXT(ABS(E377),"000000000000000"),11,1)&amp;" puluh ")&amp;MID(TEXT(ABS(E377),"000000000000000"),12,1)&amp;" ribu ")&amp;IF(--MID(TEXT(ABS(E377),"000000000000000"),13,3)=0,"",MID(TEXT(ABS(E377),"000000000000000"),13,1)&amp;" ratus "&amp;MID(TEXT(ABS(E377),"000000000000000"),14,1)&amp;" puluh "&amp;MID(TEXT(ABS(E377),"000000000000000"),15,1)),1,"satu"),2,"dua"),3,"tiga"),4,"empat"),5,"lima"),6,"enam"),7,"tujuh"),8,"delapan"),9,"sembilan"),"0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378" s="11"/>
      <c r="G378" s="16"/>
      <c r="H378" s="12"/>
      <c r="I378" s="12"/>
      <c r="J378" s="12"/>
      <c r="K378" s="9"/>
    </row>
    <row r="379" spans="1:11" ht="15.75">
      <c r="A379" s="10"/>
      <c r="B379" s="10"/>
      <c r="C379" s="15"/>
      <c r="D379" s="15"/>
      <c r="E379" s="15"/>
      <c r="F379" s="11"/>
      <c r="G379" s="16"/>
      <c r="H379" s="12"/>
      <c r="I379" s="12"/>
      <c r="J379" s="12"/>
      <c r="K379" s="9"/>
    </row>
    <row r="380" spans="1:11">
      <c r="A380" s="10" t="s">
        <v>11</v>
      </c>
      <c r="B380" s="10"/>
      <c r="C380" s="10"/>
      <c r="D380" s="10"/>
      <c r="E380" s="10"/>
      <c r="F380" s="10"/>
      <c r="G380" s="10"/>
      <c r="H380" s="12"/>
      <c r="I380" s="12"/>
      <c r="J380" s="12"/>
      <c r="K380" s="9"/>
    </row>
    <row r="381" spans="1:11">
      <c r="A381" s="61" t="s">
        <v>12</v>
      </c>
      <c r="B381" s="61"/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1:11" ht="60">
      <c r="A382" s="17" t="s">
        <v>13</v>
      </c>
      <c r="B382" s="18" t="s">
        <v>14</v>
      </c>
      <c r="C382" s="62" t="s">
        <v>15</v>
      </c>
      <c r="D382" s="63"/>
      <c r="E382" s="64"/>
      <c r="F382" s="19"/>
      <c r="G382" s="20" t="s">
        <v>16</v>
      </c>
      <c r="H382" s="21" t="s">
        <v>36</v>
      </c>
      <c r="I382" s="21"/>
      <c r="J382" s="31" t="s">
        <v>17</v>
      </c>
      <c r="K382" s="32" t="s">
        <v>18</v>
      </c>
    </row>
    <row r="383" spans="1:11">
      <c r="A383" s="27">
        <v>1</v>
      </c>
      <c r="B383" s="24"/>
      <c r="C383" s="28" t="s">
        <v>23</v>
      </c>
      <c r="D383" s="60"/>
      <c r="E383" s="26"/>
      <c r="F383" s="25"/>
      <c r="G383" s="55" t="s">
        <v>19</v>
      </c>
      <c r="H383" s="55" t="s">
        <v>19</v>
      </c>
      <c r="I383" s="55"/>
      <c r="J383" s="55" t="s">
        <v>19</v>
      </c>
      <c r="K383" s="55" t="s">
        <v>19</v>
      </c>
    </row>
    <row r="384" spans="1:11">
      <c r="A384" s="24"/>
      <c r="B384" s="56" t="s">
        <v>20</v>
      </c>
      <c r="C384" s="25" t="s">
        <v>23</v>
      </c>
      <c r="D384" s="10"/>
      <c r="E384" s="26"/>
      <c r="F384" s="25"/>
      <c r="G384" s="22">
        <v>123255000</v>
      </c>
      <c r="H384" s="23">
        <f>H339+J339</f>
        <v>23053231</v>
      </c>
      <c r="I384" s="23"/>
      <c r="J384" s="33">
        <v>20000</v>
      </c>
      <c r="K384" s="34">
        <f t="shared" ref="K384:K386" si="15">G384-H384-J384</f>
        <v>100181769</v>
      </c>
    </row>
    <row r="385" spans="1:11">
      <c r="A385" s="24"/>
      <c r="B385" s="56" t="s">
        <v>21</v>
      </c>
      <c r="C385" s="25" t="s">
        <v>24</v>
      </c>
      <c r="D385" s="10"/>
      <c r="E385" s="26"/>
      <c r="F385" s="25"/>
      <c r="G385" s="22">
        <v>5000000</v>
      </c>
      <c r="H385" s="23">
        <f>H340+J340</f>
        <v>3588300</v>
      </c>
      <c r="I385" s="23"/>
      <c r="J385" s="33">
        <v>0</v>
      </c>
      <c r="K385" s="34">
        <f t="shared" si="15"/>
        <v>1411700</v>
      </c>
    </row>
    <row r="386" spans="1:11">
      <c r="A386" s="24"/>
      <c r="B386" s="56" t="s">
        <v>22</v>
      </c>
      <c r="C386" s="25" t="s">
        <v>25</v>
      </c>
      <c r="D386" s="10"/>
      <c r="E386" s="26"/>
      <c r="F386" s="25"/>
      <c r="G386" s="22">
        <v>1000000</v>
      </c>
      <c r="H386" s="23">
        <f t="shared" ref="H386" si="16">H341+J341</f>
        <v>0</v>
      </c>
      <c r="I386" s="57"/>
      <c r="J386" s="58">
        <v>0</v>
      </c>
      <c r="K386" s="59">
        <f t="shared" si="15"/>
        <v>1000000</v>
      </c>
    </row>
    <row r="387" spans="1:11">
      <c r="A387" s="35"/>
      <c r="B387" s="35"/>
      <c r="C387" s="35" t="s">
        <v>26</v>
      </c>
      <c r="D387" s="35"/>
      <c r="E387" s="35"/>
      <c r="F387" s="36"/>
      <c r="G387" s="37">
        <f>SUM(G383:G386)</f>
        <v>129255000</v>
      </c>
      <c r="H387" s="38">
        <f>SUM(H383:H386)</f>
        <v>26641531</v>
      </c>
      <c r="I387" s="38"/>
      <c r="J387" s="38">
        <f>SUM(J383:J386)</f>
        <v>20000</v>
      </c>
      <c r="K387" s="38">
        <f>SUM(K383:K386)</f>
        <v>102593469</v>
      </c>
    </row>
    <row r="388" spans="1:11">
      <c r="A388" s="39"/>
      <c r="B388" s="8"/>
      <c r="C388" s="8"/>
      <c r="D388" s="8"/>
      <c r="E388" s="8"/>
      <c r="F388" s="8"/>
      <c r="G388" s="40"/>
      <c r="H388" s="40"/>
      <c r="I388" s="40"/>
      <c r="J388" s="40"/>
      <c r="K388" s="40"/>
    </row>
    <row r="389" spans="1:11">
      <c r="A389" s="65" t="s">
        <v>27</v>
      </c>
      <c r="B389" s="65"/>
      <c r="C389" s="65"/>
      <c r="D389" s="11" t="s">
        <v>4</v>
      </c>
      <c r="E389" s="14">
        <f>J387</f>
        <v>20000</v>
      </c>
      <c r="F389" s="41"/>
      <c r="G389" s="42"/>
      <c r="H389" s="42"/>
      <c r="I389" s="42"/>
      <c r="J389" s="9"/>
      <c r="K389" s="9"/>
    </row>
    <row r="390" spans="1:11">
      <c r="A390" s="10" t="s">
        <v>28</v>
      </c>
      <c r="B390" s="10"/>
      <c r="C390" s="10"/>
      <c r="D390" s="11" t="s">
        <v>4</v>
      </c>
      <c r="E390" s="43"/>
      <c r="F390" s="43"/>
      <c r="G390" s="44"/>
      <c r="H390" s="12"/>
      <c r="I390" s="12"/>
      <c r="J390" s="9"/>
      <c r="K390" s="9"/>
    </row>
    <row r="391" spans="1:11">
      <c r="A391" s="10" t="s">
        <v>29</v>
      </c>
      <c r="B391" s="10"/>
      <c r="C391" s="10"/>
      <c r="D391" s="11" t="s">
        <v>4</v>
      </c>
      <c r="E391" s="45"/>
      <c r="F391" s="45"/>
      <c r="G391" s="44"/>
      <c r="H391" s="12"/>
      <c r="I391" s="12"/>
      <c r="J391" s="9"/>
      <c r="K391" s="9"/>
    </row>
    <row r="392" spans="1:11">
      <c r="A392" s="10" t="s">
        <v>30</v>
      </c>
      <c r="B392" s="10"/>
      <c r="C392" s="10"/>
      <c r="D392" s="11" t="s">
        <v>4</v>
      </c>
      <c r="E392" s="45">
        <f>E390+E391</f>
        <v>0</v>
      </c>
      <c r="F392" s="45"/>
      <c r="G392" s="10"/>
      <c r="H392" s="12"/>
      <c r="I392" s="12"/>
      <c r="J392" s="47"/>
      <c r="K392" s="47"/>
    </row>
    <row r="393" spans="1:11">
      <c r="A393" s="13"/>
      <c r="B393" s="13"/>
      <c r="C393" s="13"/>
      <c r="D393" s="11"/>
      <c r="E393" s="13"/>
      <c r="F393" s="13"/>
      <c r="G393" s="10"/>
      <c r="H393" s="12"/>
      <c r="I393" s="12"/>
      <c r="J393" s="47"/>
      <c r="K393" s="47"/>
    </row>
    <row r="394" spans="1:11">
      <c r="A394" s="65" t="s">
        <v>31</v>
      </c>
      <c r="B394" s="65"/>
      <c r="C394" s="65"/>
      <c r="D394" s="11" t="s">
        <v>4</v>
      </c>
      <c r="E394" s="41">
        <f>E389-E392</f>
        <v>20000</v>
      </c>
      <c r="F394" s="41"/>
      <c r="G394" s="10"/>
      <c r="H394" s="12"/>
      <c r="I394" s="12"/>
      <c r="J394" s="47"/>
      <c r="K394" s="47"/>
    </row>
    <row r="395" spans="1:11" ht="15.75">
      <c r="A395" s="13"/>
      <c r="B395" s="13"/>
      <c r="C395" s="10"/>
      <c r="D395" s="10"/>
      <c r="E395" s="16" t="str">
        <f>PROPER(IF(E394=0,"nol",IF(E394&lt;0,"minus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394),"000000000000000"),1,3)=0,"",MID(TEXT(ABS(E394),"000000000000000"),1,1)&amp;" ratus "&amp;MID(TEXT(ABS(E394),"000000000000000"),2,1)&amp;" puluh "&amp;MID(TEXT(ABS(E394),"000000000000000"),3,1)&amp;" trilyun ")&amp;IF(--MID(TEXT(ABS(E394),"000000000000000"),4,3)=0,"",MID(TEXT(ABS(E394),"000000000000000"),4,1)&amp;" ratus "&amp;MID(TEXT(ABS(E394),"000000000000000"),5,1)&amp;" puluh "&amp;MID(TEXT(ABS(E394),"000000000000000"),6,1)&amp;" milyar ")&amp;IF(--MID(TEXT(ABS(E394),"000000000000000"),7,3)=0,"",MID(TEXT(ABS(E394),"000000000000000"),7,1)&amp;" ratus "&amp;MID(TEXT(ABS(E394),"000000000000000"),8,1)&amp;" puluh "&amp;MID(TEXT(ABS(E394),"000000000000000"),9,1)&amp;" juta ")&amp;IF(--MID(TEXT(ABS(E394),"000000000000000"),10,3)=0,"",IF(--MID(TEXT(ABS(E394),"000000000000000"),10,3)=1,"*",MID(TEXT(ABS(E394),"000000000000000"),10,1)&amp;" ratus "&amp;MID(TEXT(ABS(E394),"000000000000000"),11,1)&amp;" puluh ")&amp;MID(TEXT(ABS(E394),"000000000000000"),12,1)&amp;" ribu ")&amp;IF(--MID(TEXT(ABS(E394),"000000000000000"),13,3)=0,"",MID(TEXT(ABS(E394),"000000000000000"),13,1)&amp;" ratus "&amp;MID(TEXT(ABS(E394),"000000000000000"),14,1)&amp;" puluh "&amp;MID(TEXT(ABS(E394),"000000000000000"),15,1)),1,"satu"),2,"dua"),3,"tiga"),4,"empat"),5,"lima"),6,"enam"),7,"tujuh"),8,"delapan"),9,"sembilan"),"0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395" s="10"/>
      <c r="G395" s="10"/>
      <c r="H395" s="10"/>
      <c r="I395" s="10"/>
      <c r="J395" s="47"/>
      <c r="K395" s="47"/>
    </row>
    <row r="396" spans="1:11">
      <c r="A396" s="46"/>
      <c r="B396" s="46"/>
      <c r="C396" s="46"/>
      <c r="D396" s="46"/>
      <c r="E396" s="46"/>
      <c r="F396" s="46"/>
      <c r="G396" s="29"/>
      <c r="H396" s="47"/>
      <c r="I396" s="47"/>
      <c r="J396" s="47"/>
      <c r="K396" s="47"/>
    </row>
    <row r="397" spans="1:11">
      <c r="A397" s="29"/>
      <c r="B397" s="29"/>
      <c r="C397" s="29"/>
      <c r="D397" s="29"/>
      <c r="E397" s="29"/>
      <c r="F397" s="29"/>
      <c r="G397" s="29"/>
      <c r="H397"/>
      <c r="I397"/>
      <c r="J397" s="47"/>
      <c r="K397" s="47"/>
    </row>
    <row r="398" spans="1:11">
      <c r="A398" s="13"/>
      <c r="B398" s="13"/>
      <c r="C398" s="10"/>
      <c r="D398" s="10"/>
      <c r="E398" s="10"/>
      <c r="F398" s="10"/>
      <c r="G398" s="10"/>
      <c r="H398" s="48"/>
      <c r="I398" s="48"/>
      <c r="J398" s="48" t="s">
        <v>64</v>
      </c>
      <c r="K398" s="47"/>
    </row>
    <row r="399" spans="1:11">
      <c r="A399" s="12" t="s">
        <v>32</v>
      </c>
      <c r="B399" s="10"/>
      <c r="C399" s="10"/>
      <c r="D399" s="10"/>
      <c r="E399" s="10"/>
      <c r="F399" s="10"/>
      <c r="G399" s="10"/>
      <c r="H399" s="12"/>
      <c r="I399" s="12"/>
      <c r="J399" s="12" t="s">
        <v>33</v>
      </c>
      <c r="K399" s="47"/>
    </row>
    <row r="400" spans="1:11">
      <c r="A400" s="10"/>
      <c r="B400" s="10"/>
      <c r="C400" s="10"/>
      <c r="D400" s="10"/>
      <c r="E400" s="10"/>
      <c r="F400" s="10"/>
      <c r="G400" s="10"/>
      <c r="H400" s="12"/>
      <c r="I400" s="12"/>
      <c r="J400" s="12"/>
      <c r="K400" s="47"/>
    </row>
    <row r="401" spans="1:11">
      <c r="A401" s="10"/>
      <c r="B401" s="10"/>
      <c r="C401" s="10"/>
      <c r="D401" s="10"/>
      <c r="E401" s="10"/>
      <c r="F401" s="10"/>
      <c r="G401" s="10"/>
      <c r="H401" s="12"/>
      <c r="I401" s="12"/>
      <c r="J401" s="12"/>
      <c r="K401" s="47"/>
    </row>
    <row r="402" spans="1:11">
      <c r="A402" s="10"/>
      <c r="B402" s="10"/>
      <c r="C402" s="10"/>
      <c r="D402" s="10"/>
      <c r="E402" s="10"/>
      <c r="F402" s="10"/>
      <c r="G402" s="10"/>
      <c r="H402" s="12"/>
      <c r="I402" s="12"/>
      <c r="J402" s="12"/>
      <c r="K402" s="47"/>
    </row>
    <row r="403" spans="1:11">
      <c r="A403" s="10"/>
      <c r="B403" s="10"/>
      <c r="C403" s="10"/>
      <c r="D403" s="10"/>
      <c r="E403" s="10"/>
      <c r="F403" s="10"/>
      <c r="G403" s="10"/>
      <c r="H403" s="12"/>
      <c r="I403" s="12"/>
      <c r="J403" s="12"/>
      <c r="K403" s="47"/>
    </row>
    <row r="404" spans="1:11">
      <c r="A404" s="49" t="s">
        <v>37</v>
      </c>
      <c r="B404" s="49"/>
      <c r="C404" s="50"/>
      <c r="D404" s="50"/>
      <c r="E404" s="50"/>
      <c r="F404" s="50"/>
      <c r="G404" s="10" t="s">
        <v>34</v>
      </c>
      <c r="H404" s="49"/>
      <c r="I404" s="49"/>
      <c r="J404" s="49" t="s">
        <v>35</v>
      </c>
      <c r="K404" s="47"/>
    </row>
  </sheetData>
  <mergeCells count="81">
    <mergeCell ref="A381:K381"/>
    <mergeCell ref="C382:E382"/>
    <mergeCell ref="A389:C389"/>
    <mergeCell ref="A394:C394"/>
    <mergeCell ref="A368:K368"/>
    <mergeCell ref="A369:K369"/>
    <mergeCell ref="A370:K370"/>
    <mergeCell ref="A371:K371"/>
    <mergeCell ref="A372:K372"/>
    <mergeCell ref="A21:K21"/>
    <mergeCell ref="A8:K8"/>
    <mergeCell ref="A9:K9"/>
    <mergeCell ref="A10:K10"/>
    <mergeCell ref="A11:K11"/>
    <mergeCell ref="A12:K12"/>
    <mergeCell ref="A79:C79"/>
    <mergeCell ref="C22:E22"/>
    <mergeCell ref="A29:C29"/>
    <mergeCell ref="A34:C34"/>
    <mergeCell ref="A53:K53"/>
    <mergeCell ref="A54:K54"/>
    <mergeCell ref="A55:K55"/>
    <mergeCell ref="A56:K56"/>
    <mergeCell ref="A57:K57"/>
    <mergeCell ref="A66:K66"/>
    <mergeCell ref="C67:E67"/>
    <mergeCell ref="A74:C74"/>
    <mergeCell ref="A145:K145"/>
    <mergeCell ref="A98:K98"/>
    <mergeCell ref="A99:K99"/>
    <mergeCell ref="A100:K100"/>
    <mergeCell ref="A101:K101"/>
    <mergeCell ref="A102:K102"/>
    <mergeCell ref="A111:K111"/>
    <mergeCell ref="C112:E112"/>
    <mergeCell ref="A119:C119"/>
    <mergeCell ref="A124:C124"/>
    <mergeCell ref="A143:K143"/>
    <mergeCell ref="A144:K144"/>
    <mergeCell ref="A201:K201"/>
    <mergeCell ref="A146:K146"/>
    <mergeCell ref="A147:K147"/>
    <mergeCell ref="A156:K156"/>
    <mergeCell ref="C157:E157"/>
    <mergeCell ref="A164:C164"/>
    <mergeCell ref="A169:C169"/>
    <mergeCell ref="A188:K188"/>
    <mergeCell ref="A189:K189"/>
    <mergeCell ref="A190:K190"/>
    <mergeCell ref="A191:K191"/>
    <mergeCell ref="A192:K192"/>
    <mergeCell ref="C202:E202"/>
    <mergeCell ref="A209:C209"/>
    <mergeCell ref="A214:C214"/>
    <mergeCell ref="A291:K291"/>
    <mergeCell ref="C292:E292"/>
    <mergeCell ref="A246:K246"/>
    <mergeCell ref="C247:E247"/>
    <mergeCell ref="A254:C254"/>
    <mergeCell ref="A259:C259"/>
    <mergeCell ref="A233:K233"/>
    <mergeCell ref="A234:K234"/>
    <mergeCell ref="A235:K235"/>
    <mergeCell ref="A236:K236"/>
    <mergeCell ref="A237:K237"/>
    <mergeCell ref="A299:C299"/>
    <mergeCell ref="A304:C304"/>
    <mergeCell ref="A278:K278"/>
    <mergeCell ref="A279:K279"/>
    <mergeCell ref="A280:K280"/>
    <mergeCell ref="A281:K281"/>
    <mergeCell ref="A282:K282"/>
    <mergeCell ref="A336:K336"/>
    <mergeCell ref="C337:E337"/>
    <mergeCell ref="A344:C344"/>
    <mergeCell ref="A349:C349"/>
    <mergeCell ref="A323:K323"/>
    <mergeCell ref="A324:K324"/>
    <mergeCell ref="A325:K325"/>
    <mergeCell ref="A326:K326"/>
    <mergeCell ref="A327:K327"/>
  </mergeCells>
  <pageMargins left="0.23622047244094491" right="0.23622047244094491" top="0.19685039370078741" bottom="0.74803149606299213" header="0.31496062992125984" footer="0.31496062992125984"/>
  <pageSetup paperSize="9" scale="85" orientation="portrait" horizontalDpi="4294967293" r:id="rId1"/>
  <rowBreaks count="8" manualBreakCount="8">
    <brk id="45" max="10" man="1"/>
    <brk id="90" max="10" man="1"/>
    <brk id="135" max="10" man="1"/>
    <brk id="180" max="10" man="1"/>
    <brk id="225" max="10" man="1"/>
    <brk id="270" max="10" man="1"/>
    <brk id="315" max="10" man="1"/>
    <brk id="360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7C6D-B93F-4570-AD22-ECCA726A8D32}">
  <dimension ref="A1:W404"/>
  <sheetViews>
    <sheetView tabSelected="1" view="pageBreakPreview" topLeftCell="A102" zoomScaleNormal="100" workbookViewId="0">
      <selection activeCell="K134" sqref="A91:K13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4.285156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6" t="s">
        <v>0</v>
      </c>
      <c r="B8" s="66"/>
      <c r="C8" s="67"/>
      <c r="D8" s="67"/>
      <c r="E8" s="67"/>
      <c r="F8" s="67"/>
      <c r="G8" s="67"/>
      <c r="H8" s="67"/>
      <c r="I8" s="67"/>
      <c r="J8" s="67"/>
      <c r="K8" s="67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7" t="s">
        <v>65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7" t="s">
        <v>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7" t="s">
        <v>38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7" t="s">
        <v>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200000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2" t="s">
        <v>15</v>
      </c>
      <c r="D22" s="63"/>
      <c r="E22" s="64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60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23</v>
      </c>
      <c r="D24" s="10"/>
      <c r="E24" s="26"/>
      <c r="F24" s="25"/>
      <c r="G24" s="22">
        <v>123255000</v>
      </c>
      <c r="H24" s="23">
        <f>FEBRUARI!H384+FEBRUARI!J384</f>
        <v>23073231</v>
      </c>
      <c r="I24" s="23"/>
      <c r="J24" s="33">
        <v>200000</v>
      </c>
      <c r="K24" s="34">
        <f t="shared" ref="K24:K26" si="0">G24-H24-J24</f>
        <v>99981769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24</v>
      </c>
      <c r="D25" s="10"/>
      <c r="E25" s="26"/>
      <c r="F25" s="25"/>
      <c r="G25" s="22">
        <v>5000000</v>
      </c>
      <c r="H25" s="23">
        <f>FEBRUARI!H385+FEBRUARI!J385</f>
        <v>3588300</v>
      </c>
      <c r="I25" s="23"/>
      <c r="J25" s="33">
        <v>0</v>
      </c>
      <c r="K25" s="34">
        <f t="shared" si="0"/>
        <v>1411700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25</v>
      </c>
      <c r="D26" s="10"/>
      <c r="E26" s="26"/>
      <c r="F26" s="25"/>
      <c r="G26" s="22">
        <v>1000000</v>
      </c>
      <c r="H26" s="23">
        <f>FEBRUARI!H386+FEBRUARI!J386</f>
        <v>0</v>
      </c>
      <c r="I26" s="57"/>
      <c r="J26" s="58">
        <v>0</v>
      </c>
      <c r="K26" s="59">
        <f t="shared" si="0"/>
        <v>1000000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26</v>
      </c>
      <c r="D27" s="35"/>
      <c r="E27" s="35"/>
      <c r="F27" s="36"/>
      <c r="G27" s="37">
        <f>SUM(G23:G26)</f>
        <v>129255000</v>
      </c>
      <c r="H27" s="38">
        <f>SUM(H23:H26)</f>
        <v>26661531</v>
      </c>
      <c r="I27" s="38"/>
      <c r="J27" s="38">
        <f>SUM(J23:J26)</f>
        <v>200000</v>
      </c>
      <c r="K27" s="38">
        <f>SUM(K23:K26)</f>
        <v>102393469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5" t="s">
        <v>27</v>
      </c>
      <c r="B29" s="65"/>
      <c r="C29" s="65"/>
      <c r="D29" s="11" t="s">
        <v>4</v>
      </c>
      <c r="E29" s="14">
        <f>J27</f>
        <v>200000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28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29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30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5" t="s">
        <v>31</v>
      </c>
      <c r="B34" s="65"/>
      <c r="C34" s="65"/>
      <c r="D34" s="11" t="s">
        <v>4</v>
      </c>
      <c r="E34" s="41">
        <f>E29-E32</f>
        <v>200000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H38" s="48"/>
      <c r="I38" s="48"/>
      <c r="J38" s="48" t="s">
        <v>66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32</v>
      </c>
      <c r="B39" s="10"/>
      <c r="C39" s="10"/>
      <c r="D39" s="10"/>
      <c r="E39" s="10"/>
      <c r="F39" s="10"/>
      <c r="G39" s="10"/>
      <c r="H39" s="12"/>
      <c r="I39" s="12"/>
      <c r="J39" s="12" t="s">
        <v>33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H40" s="12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H41" s="12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H42" s="12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H43" s="12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37</v>
      </c>
      <c r="B44" s="49"/>
      <c r="C44" s="50"/>
      <c r="D44" s="50"/>
      <c r="E44" s="50"/>
      <c r="F44" s="50"/>
      <c r="G44" s="10" t="s">
        <v>34</v>
      </c>
      <c r="H44" s="49"/>
      <c r="I44" s="49"/>
      <c r="J44" s="49" t="s">
        <v>35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6" t="s">
        <v>0</v>
      </c>
      <c r="B53" s="66"/>
      <c r="C53" s="67"/>
      <c r="D53" s="67"/>
      <c r="E53" s="67"/>
      <c r="F53" s="67"/>
      <c r="G53" s="67"/>
      <c r="H53" s="67"/>
      <c r="I53" s="67"/>
      <c r="J53" s="67"/>
      <c r="K53" s="67"/>
    </row>
    <row r="54" spans="1:11">
      <c r="A54" s="67" t="s">
        <v>68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>
      <c r="A55" s="67" t="s">
        <v>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>
      <c r="A56" s="67" t="s">
        <v>38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>
      <c r="A57" s="67" t="s">
        <v>2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90000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61" t="s">
        <v>12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</row>
    <row r="67" spans="1:11" ht="60">
      <c r="A67" s="17" t="s">
        <v>13</v>
      </c>
      <c r="B67" s="18" t="s">
        <v>14</v>
      </c>
      <c r="C67" s="62" t="s">
        <v>15</v>
      </c>
      <c r="D67" s="63"/>
      <c r="E67" s="64"/>
      <c r="F67" s="19"/>
      <c r="G67" s="20" t="s">
        <v>16</v>
      </c>
      <c r="H67" s="21" t="s">
        <v>36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60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23</v>
      </c>
      <c r="D69" s="10"/>
      <c r="E69" s="26"/>
      <c r="F69" s="25"/>
      <c r="G69" s="22">
        <v>123255000</v>
      </c>
      <c r="H69" s="23">
        <f>H24+J24</f>
        <v>23273231</v>
      </c>
      <c r="I69" s="23"/>
      <c r="J69" s="33">
        <v>90000</v>
      </c>
      <c r="K69" s="34">
        <f t="shared" ref="K69:K71" si="1">G69-H69-J69</f>
        <v>99891769</v>
      </c>
    </row>
    <row r="70" spans="1:11">
      <c r="A70" s="24"/>
      <c r="B70" s="56" t="s">
        <v>21</v>
      </c>
      <c r="C70" s="25" t="s">
        <v>24</v>
      </c>
      <c r="D70" s="10"/>
      <c r="E70" s="26"/>
      <c r="F70" s="25"/>
      <c r="G70" s="22">
        <v>5000000</v>
      </c>
      <c r="H70" s="23">
        <f t="shared" ref="H70:H71" si="2">H25+J25</f>
        <v>3588300</v>
      </c>
      <c r="I70" s="23"/>
      <c r="J70" s="33">
        <v>0</v>
      </c>
      <c r="K70" s="34">
        <f t="shared" si="1"/>
        <v>1411700</v>
      </c>
    </row>
    <row r="71" spans="1:11">
      <c r="A71" s="24"/>
      <c r="B71" s="56" t="s">
        <v>22</v>
      </c>
      <c r="C71" s="25" t="s">
        <v>25</v>
      </c>
      <c r="D71" s="10"/>
      <c r="E71" s="26"/>
      <c r="F71" s="25"/>
      <c r="G71" s="22">
        <v>1000000</v>
      </c>
      <c r="H71" s="23">
        <f t="shared" si="2"/>
        <v>0</v>
      </c>
      <c r="I71" s="57"/>
      <c r="J71" s="58">
        <v>0</v>
      </c>
      <c r="K71" s="59">
        <f t="shared" si="1"/>
        <v>1000000</v>
      </c>
    </row>
    <row r="72" spans="1:11">
      <c r="A72" s="35"/>
      <c r="B72" s="35"/>
      <c r="C72" s="35" t="s">
        <v>26</v>
      </c>
      <c r="D72" s="35"/>
      <c r="E72" s="35"/>
      <c r="F72" s="36"/>
      <c r="G72" s="37">
        <f>SUM(G68:G71)</f>
        <v>129255000</v>
      </c>
      <c r="H72" s="38">
        <f>SUM(H68:H71)</f>
        <v>26861531</v>
      </c>
      <c r="I72" s="38"/>
      <c r="J72" s="38">
        <f>SUM(J68:J71)</f>
        <v>90000</v>
      </c>
      <c r="K72" s="38">
        <f>SUM(K68:K71)</f>
        <v>102303469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5" t="s">
        <v>27</v>
      </c>
      <c r="B74" s="65"/>
      <c r="C74" s="65"/>
      <c r="D74" s="11" t="s">
        <v>4</v>
      </c>
      <c r="E74" s="14">
        <f>J72</f>
        <v>90000</v>
      </c>
      <c r="F74" s="41"/>
      <c r="G74" s="42"/>
      <c r="H74" s="42"/>
      <c r="I74" s="42"/>
      <c r="J74" s="9"/>
      <c r="K74" s="9"/>
    </row>
    <row r="75" spans="1:11">
      <c r="A75" s="10" t="s">
        <v>28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29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30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5" t="s">
        <v>31</v>
      </c>
      <c r="B79" s="65"/>
      <c r="C79" s="65"/>
      <c r="D79" s="11" t="s">
        <v>4</v>
      </c>
      <c r="E79" s="41">
        <f>E74-E77</f>
        <v>90000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H83" s="48"/>
      <c r="I83" s="48"/>
      <c r="J83" s="48" t="s">
        <v>67</v>
      </c>
      <c r="K83" s="47"/>
    </row>
    <row r="84" spans="1:11">
      <c r="A84" s="12" t="s">
        <v>32</v>
      </c>
      <c r="B84" s="10"/>
      <c r="C84" s="10"/>
      <c r="D84" s="10"/>
      <c r="E84" s="10"/>
      <c r="F84" s="10"/>
      <c r="G84" s="10"/>
      <c r="H84" s="12"/>
      <c r="I84" s="12"/>
      <c r="J84" s="12" t="s">
        <v>33</v>
      </c>
      <c r="K84" s="47"/>
    </row>
    <row r="85" spans="1:11">
      <c r="A85" s="10"/>
      <c r="B85" s="10"/>
      <c r="C85" s="10"/>
      <c r="D85" s="10"/>
      <c r="E85" s="10"/>
      <c r="F85" s="10"/>
      <c r="G85" s="10"/>
      <c r="H85" s="12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H86" s="12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H87" s="12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H88" s="12"/>
      <c r="I88" s="12"/>
      <c r="J88" s="12"/>
      <c r="K88" s="47"/>
    </row>
    <row r="89" spans="1:11">
      <c r="A89" s="49" t="s">
        <v>37</v>
      </c>
      <c r="B89" s="49"/>
      <c r="C89" s="50"/>
      <c r="D89" s="50"/>
      <c r="E89" s="50"/>
      <c r="F89" s="50"/>
      <c r="G89" s="10" t="s">
        <v>34</v>
      </c>
      <c r="H89" s="49"/>
      <c r="I89" s="49"/>
      <c r="J89" s="49" t="s">
        <v>35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6" t="s">
        <v>0</v>
      </c>
      <c r="B98" s="66"/>
      <c r="C98" s="67"/>
      <c r="D98" s="67"/>
      <c r="E98" s="67"/>
      <c r="F98" s="67"/>
      <c r="G98" s="67"/>
      <c r="H98" s="67"/>
      <c r="I98" s="67"/>
      <c r="J98" s="67"/>
      <c r="K98" s="67"/>
    </row>
    <row r="99" spans="1:11">
      <c r="A99" s="67" t="s">
        <v>69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>
      <c r="A100" s="67" t="s">
        <v>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>
      <c r="A101" s="67" t="s">
        <v>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</row>
    <row r="102" spans="1:11">
      <c r="A102" s="67" t="s">
        <v>2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360000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Ribu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61" t="s">
        <v>12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1:11" ht="60">
      <c r="A112" s="17" t="s">
        <v>13</v>
      </c>
      <c r="B112" s="18" t="s">
        <v>14</v>
      </c>
      <c r="C112" s="62" t="s">
        <v>15</v>
      </c>
      <c r="D112" s="63"/>
      <c r="E112" s="64"/>
      <c r="F112" s="19"/>
      <c r="G112" s="20" t="s">
        <v>16</v>
      </c>
      <c r="H112" s="21" t="s">
        <v>36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60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23</v>
      </c>
      <c r="D114" s="10"/>
      <c r="E114" s="26"/>
      <c r="F114" s="25"/>
      <c r="G114" s="22">
        <v>123255000</v>
      </c>
      <c r="H114" s="23">
        <f>H69+J69</f>
        <v>23363231</v>
      </c>
      <c r="I114" s="23"/>
      <c r="J114" s="33">
        <v>360000</v>
      </c>
      <c r="K114" s="34">
        <f t="shared" ref="K114:K116" si="3">G114-H114-J114</f>
        <v>99531769</v>
      </c>
    </row>
    <row r="115" spans="1:11">
      <c r="A115" s="24"/>
      <c r="B115" s="56" t="s">
        <v>21</v>
      </c>
      <c r="C115" s="25" t="s">
        <v>24</v>
      </c>
      <c r="D115" s="10"/>
      <c r="E115" s="26"/>
      <c r="F115" s="25"/>
      <c r="G115" s="22">
        <v>5000000</v>
      </c>
      <c r="H115" s="23">
        <f t="shared" ref="H115:H116" si="4">H70+J70</f>
        <v>3588300</v>
      </c>
      <c r="I115" s="23"/>
      <c r="J115" s="33">
        <v>0</v>
      </c>
      <c r="K115" s="34">
        <f t="shared" si="3"/>
        <v>1411700</v>
      </c>
    </row>
    <row r="116" spans="1:11">
      <c r="A116" s="24"/>
      <c r="B116" s="56" t="s">
        <v>22</v>
      </c>
      <c r="C116" s="25" t="s">
        <v>25</v>
      </c>
      <c r="D116" s="10"/>
      <c r="E116" s="26"/>
      <c r="F116" s="25"/>
      <c r="G116" s="22">
        <v>1000000</v>
      </c>
      <c r="H116" s="23">
        <f t="shared" si="4"/>
        <v>0</v>
      </c>
      <c r="I116" s="57"/>
      <c r="J116" s="58">
        <v>0</v>
      </c>
      <c r="K116" s="59">
        <f t="shared" si="3"/>
        <v>1000000</v>
      </c>
    </row>
    <row r="117" spans="1:11">
      <c r="A117" s="35"/>
      <c r="B117" s="35"/>
      <c r="C117" s="35" t="s">
        <v>26</v>
      </c>
      <c r="D117" s="35"/>
      <c r="E117" s="35"/>
      <c r="F117" s="36"/>
      <c r="G117" s="37">
        <f>SUM(G113:G116)</f>
        <v>129255000</v>
      </c>
      <c r="H117" s="38">
        <f>SUM(H113:H116)</f>
        <v>26951531</v>
      </c>
      <c r="I117" s="38"/>
      <c r="J117" s="38">
        <f>SUM(J113:J116)</f>
        <v>360000</v>
      </c>
      <c r="K117" s="38">
        <f>SUM(K113:K116)</f>
        <v>101943469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5" t="s">
        <v>27</v>
      </c>
      <c r="B119" s="65"/>
      <c r="C119" s="65"/>
      <c r="D119" s="11" t="s">
        <v>4</v>
      </c>
      <c r="E119" s="14">
        <f>J117</f>
        <v>360000</v>
      </c>
      <c r="F119" s="41"/>
      <c r="G119" s="42"/>
      <c r="H119" s="42"/>
      <c r="I119" s="42"/>
      <c r="J119" s="9"/>
      <c r="K119" s="9"/>
    </row>
    <row r="120" spans="1:11">
      <c r="A120" s="10" t="s">
        <v>28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29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30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5" t="s">
        <v>31</v>
      </c>
      <c r="B124" s="65"/>
      <c r="C124" s="65"/>
      <c r="D124" s="11" t="s">
        <v>4</v>
      </c>
      <c r="E124" s="41">
        <f>E119-E122</f>
        <v>360000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Ribu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H128" s="48"/>
      <c r="I128" s="48"/>
      <c r="J128" s="48" t="s">
        <v>70</v>
      </c>
      <c r="K128" s="47"/>
    </row>
    <row r="129" spans="1:11">
      <c r="A129" s="12" t="s">
        <v>32</v>
      </c>
      <c r="B129" s="10"/>
      <c r="C129" s="10"/>
      <c r="D129" s="10"/>
      <c r="E129" s="10"/>
      <c r="F129" s="10"/>
      <c r="G129" s="10"/>
      <c r="H129" s="12"/>
      <c r="I129" s="12"/>
      <c r="J129" s="12" t="s">
        <v>33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H130" s="12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H131" s="12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H132" s="12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H133" s="12"/>
      <c r="I133" s="12"/>
      <c r="J133" s="12"/>
      <c r="K133" s="47"/>
    </row>
    <row r="134" spans="1:11">
      <c r="A134" s="49" t="s">
        <v>37</v>
      </c>
      <c r="B134" s="49"/>
      <c r="C134" s="50"/>
      <c r="D134" s="50"/>
      <c r="E134" s="50"/>
      <c r="F134" s="50"/>
      <c r="G134" s="10" t="s">
        <v>34</v>
      </c>
      <c r="H134" s="49"/>
      <c r="I134" s="49"/>
      <c r="J134" s="49" t="s">
        <v>35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6" t="s">
        <v>0</v>
      </c>
      <c r="B143" s="66"/>
      <c r="C143" s="67"/>
      <c r="D143" s="67"/>
      <c r="E143" s="67"/>
      <c r="F143" s="67"/>
      <c r="G143" s="67"/>
      <c r="H143" s="67"/>
      <c r="I143" s="67"/>
      <c r="J143" s="67"/>
      <c r="K143" s="67"/>
    </row>
    <row r="144" spans="1:11">
      <c r="A144" s="67" t="s">
        <v>53</v>
      </c>
      <c r="B144" s="67"/>
      <c r="C144" s="67"/>
      <c r="D144" s="67"/>
      <c r="E144" s="67"/>
      <c r="F144" s="67"/>
      <c r="G144" s="67"/>
      <c r="H144" s="67"/>
      <c r="I144" s="67"/>
      <c r="J144" s="67"/>
      <c r="K144" s="67"/>
    </row>
    <row r="145" spans="1:11">
      <c r="A145" s="67" t="s">
        <v>1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67"/>
    </row>
    <row r="146" spans="1:11">
      <c r="A146" s="67" t="s">
        <v>38</v>
      </c>
      <c r="B146" s="67"/>
      <c r="C146" s="67"/>
      <c r="D146" s="67"/>
      <c r="E146" s="67"/>
      <c r="F146" s="67"/>
      <c r="G146" s="67"/>
      <c r="H146" s="67"/>
      <c r="I146" s="67"/>
      <c r="J146" s="67"/>
      <c r="K146" s="67"/>
    </row>
    <row r="147" spans="1:11">
      <c r="A147" s="67" t="s">
        <v>2</v>
      </c>
      <c r="B147" s="67"/>
      <c r="C147" s="67"/>
      <c r="D147" s="67"/>
      <c r="E147" s="67"/>
      <c r="F147" s="67"/>
      <c r="G147" s="67"/>
      <c r="H147" s="67"/>
      <c r="I147" s="67"/>
      <c r="J147" s="67"/>
      <c r="K147" s="67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90000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61" t="s">
        <v>12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1:11" ht="60">
      <c r="A157" s="17" t="s">
        <v>13</v>
      </c>
      <c r="B157" s="18" t="s">
        <v>14</v>
      </c>
      <c r="C157" s="62" t="s">
        <v>15</v>
      </c>
      <c r="D157" s="63"/>
      <c r="E157" s="64"/>
      <c r="F157" s="19"/>
      <c r="G157" s="20" t="s">
        <v>16</v>
      </c>
      <c r="H157" s="21" t="s">
        <v>36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60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23</v>
      </c>
      <c r="D159" s="10"/>
      <c r="E159" s="26"/>
      <c r="F159" s="25"/>
      <c r="G159" s="22">
        <v>123255000</v>
      </c>
      <c r="H159" s="23">
        <f>H114+J114</f>
        <v>23723231</v>
      </c>
      <c r="I159" s="23"/>
      <c r="J159" s="33">
        <v>90000</v>
      </c>
      <c r="K159" s="34">
        <f t="shared" ref="K159:K161" si="5">G159-H159-J159</f>
        <v>99441769</v>
      </c>
    </row>
    <row r="160" spans="1:11">
      <c r="A160" s="24"/>
      <c r="B160" s="56" t="s">
        <v>21</v>
      </c>
      <c r="C160" s="25" t="s">
        <v>24</v>
      </c>
      <c r="D160" s="10"/>
      <c r="E160" s="26"/>
      <c r="F160" s="25"/>
      <c r="G160" s="22">
        <v>5000000</v>
      </c>
      <c r="H160" s="23">
        <f t="shared" ref="H160:H161" si="6">H115+J115</f>
        <v>3588300</v>
      </c>
      <c r="I160" s="23"/>
      <c r="J160" s="33">
        <v>0</v>
      </c>
      <c r="K160" s="34">
        <f t="shared" si="5"/>
        <v>1411700</v>
      </c>
    </row>
    <row r="161" spans="1:11">
      <c r="A161" s="24"/>
      <c r="B161" s="56" t="s">
        <v>22</v>
      </c>
      <c r="C161" s="25" t="s">
        <v>25</v>
      </c>
      <c r="D161" s="10"/>
      <c r="E161" s="26"/>
      <c r="F161" s="25"/>
      <c r="G161" s="22">
        <v>1000000</v>
      </c>
      <c r="H161" s="23">
        <f t="shared" si="6"/>
        <v>0</v>
      </c>
      <c r="I161" s="57"/>
      <c r="J161" s="58">
        <v>0</v>
      </c>
      <c r="K161" s="59">
        <f t="shared" si="5"/>
        <v>1000000</v>
      </c>
    </row>
    <row r="162" spans="1:11">
      <c r="A162" s="35"/>
      <c r="B162" s="35"/>
      <c r="C162" s="35" t="s">
        <v>26</v>
      </c>
      <c r="D162" s="35"/>
      <c r="E162" s="35"/>
      <c r="F162" s="36"/>
      <c r="G162" s="37">
        <f>SUM(G158:G161)</f>
        <v>129255000</v>
      </c>
      <c r="H162" s="38">
        <f>SUM(H158:H161)</f>
        <v>27311531</v>
      </c>
      <c r="I162" s="38"/>
      <c r="J162" s="38">
        <f>SUM(J158:J161)</f>
        <v>90000</v>
      </c>
      <c r="K162" s="38">
        <f>SUM(K158:K161)</f>
        <v>101853469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5" t="s">
        <v>27</v>
      </c>
      <c r="B164" s="65"/>
      <c r="C164" s="65"/>
      <c r="D164" s="11" t="s">
        <v>4</v>
      </c>
      <c r="E164" s="14">
        <f>J162</f>
        <v>90000</v>
      </c>
      <c r="F164" s="41"/>
      <c r="G164" s="42"/>
      <c r="H164" s="42"/>
      <c r="I164" s="42"/>
      <c r="J164" s="9"/>
      <c r="K164" s="9"/>
    </row>
    <row r="165" spans="1:11">
      <c r="A165" s="10" t="s">
        <v>28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29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30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5" t="s">
        <v>31</v>
      </c>
      <c r="B169" s="65"/>
      <c r="C169" s="65"/>
      <c r="D169" s="11" t="s">
        <v>4</v>
      </c>
      <c r="E169" s="41">
        <f>E164-E167</f>
        <v>90000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H173" s="48"/>
      <c r="I173" s="48"/>
      <c r="J173" s="48" t="s">
        <v>54</v>
      </c>
      <c r="K173" s="47"/>
    </row>
    <row r="174" spans="1:11">
      <c r="A174" s="12" t="s">
        <v>32</v>
      </c>
      <c r="B174" s="10"/>
      <c r="C174" s="10"/>
      <c r="D174" s="10"/>
      <c r="E174" s="10"/>
      <c r="F174" s="10"/>
      <c r="G174" s="10"/>
      <c r="H174" s="12"/>
      <c r="I174" s="12"/>
      <c r="J174" s="12" t="s">
        <v>33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H175" s="12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H176" s="12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H177" s="12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H178" s="12"/>
      <c r="I178" s="12"/>
      <c r="J178" s="12"/>
      <c r="K178" s="47"/>
    </row>
    <row r="179" spans="1:11">
      <c r="A179" s="49" t="s">
        <v>37</v>
      </c>
      <c r="B179" s="49"/>
      <c r="C179" s="50"/>
      <c r="D179" s="50"/>
      <c r="E179" s="50"/>
      <c r="F179" s="50"/>
      <c r="G179" s="10" t="s">
        <v>34</v>
      </c>
      <c r="H179" s="49"/>
      <c r="I179" s="49"/>
      <c r="J179" s="49" t="s">
        <v>35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6" t="s">
        <v>0</v>
      </c>
      <c r="B188" s="66"/>
      <c r="C188" s="67"/>
      <c r="D188" s="67"/>
      <c r="E188" s="67"/>
      <c r="F188" s="67"/>
      <c r="G188" s="67"/>
      <c r="H188" s="67"/>
      <c r="I188" s="67"/>
      <c r="J188" s="67"/>
      <c r="K188" s="67"/>
    </row>
    <row r="189" spans="1:11">
      <c r="A189" s="67" t="s">
        <v>56</v>
      </c>
      <c r="B189" s="67"/>
      <c r="C189" s="67"/>
      <c r="D189" s="67"/>
      <c r="E189" s="67"/>
      <c r="F189" s="67"/>
      <c r="G189" s="67"/>
      <c r="H189" s="67"/>
      <c r="I189" s="67"/>
      <c r="J189" s="67"/>
      <c r="K189" s="67"/>
    </row>
    <row r="190" spans="1:11">
      <c r="A190" s="67" t="s">
        <v>1</v>
      </c>
      <c r="B190" s="67"/>
      <c r="C190" s="67"/>
      <c r="D190" s="67"/>
      <c r="E190" s="67"/>
      <c r="F190" s="67"/>
      <c r="G190" s="67"/>
      <c r="H190" s="67"/>
      <c r="I190" s="67"/>
      <c r="J190" s="67"/>
      <c r="K190" s="67"/>
    </row>
    <row r="191" spans="1:11">
      <c r="A191" s="67" t="s">
        <v>38</v>
      </c>
      <c r="B191" s="67"/>
      <c r="C191" s="67"/>
      <c r="D191" s="67"/>
      <c r="E191" s="67"/>
      <c r="F191" s="67"/>
      <c r="G191" s="67"/>
      <c r="H191" s="67"/>
      <c r="I191" s="67"/>
      <c r="J191" s="67"/>
      <c r="K191" s="67"/>
    </row>
    <row r="192" spans="1:11">
      <c r="A192" s="67" t="s">
        <v>2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3300000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61" t="s">
        <v>12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1:11" ht="60">
      <c r="A202" s="17" t="s">
        <v>13</v>
      </c>
      <c r="B202" s="18" t="s">
        <v>14</v>
      </c>
      <c r="C202" s="62" t="s">
        <v>15</v>
      </c>
      <c r="D202" s="63"/>
      <c r="E202" s="64"/>
      <c r="F202" s="19"/>
      <c r="G202" s="20" t="s">
        <v>16</v>
      </c>
      <c r="H202" s="21" t="s">
        <v>36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60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23</v>
      </c>
      <c r="D204" s="10"/>
      <c r="E204" s="26"/>
      <c r="F204" s="25"/>
      <c r="G204" s="22">
        <v>123255000</v>
      </c>
      <c r="H204" s="23">
        <f>H159+J159</f>
        <v>23813231</v>
      </c>
      <c r="I204" s="23"/>
      <c r="J204" s="33">
        <v>3300000</v>
      </c>
      <c r="K204" s="34">
        <f t="shared" ref="K204:K206" si="7">G204-H204-J204</f>
        <v>96141769</v>
      </c>
    </row>
    <row r="205" spans="1:11">
      <c r="A205" s="24"/>
      <c r="B205" s="56" t="s">
        <v>21</v>
      </c>
      <c r="C205" s="25" t="s">
        <v>24</v>
      </c>
      <c r="D205" s="10"/>
      <c r="E205" s="26"/>
      <c r="F205" s="25"/>
      <c r="G205" s="22">
        <v>5000000</v>
      </c>
      <c r="H205" s="23">
        <f t="shared" ref="H205:H206" si="8">H160+J160</f>
        <v>3588300</v>
      </c>
      <c r="I205" s="23"/>
      <c r="J205" s="33">
        <v>0</v>
      </c>
      <c r="K205" s="34">
        <f t="shared" si="7"/>
        <v>1411700</v>
      </c>
    </row>
    <row r="206" spans="1:11">
      <c r="A206" s="24"/>
      <c r="B206" s="56" t="s">
        <v>22</v>
      </c>
      <c r="C206" s="25" t="s">
        <v>25</v>
      </c>
      <c r="D206" s="10"/>
      <c r="E206" s="26"/>
      <c r="F206" s="25"/>
      <c r="G206" s="22">
        <v>1000000</v>
      </c>
      <c r="H206" s="23">
        <f t="shared" si="8"/>
        <v>0</v>
      </c>
      <c r="I206" s="57"/>
      <c r="J206" s="58">
        <v>0</v>
      </c>
      <c r="K206" s="59">
        <f t="shared" si="7"/>
        <v>1000000</v>
      </c>
    </row>
    <row r="207" spans="1:11">
      <c r="A207" s="35"/>
      <c r="B207" s="35"/>
      <c r="C207" s="35" t="s">
        <v>26</v>
      </c>
      <c r="D207" s="35"/>
      <c r="E207" s="35"/>
      <c r="F207" s="36"/>
      <c r="G207" s="37">
        <f>SUM(G203:G206)</f>
        <v>129255000</v>
      </c>
      <c r="H207" s="38">
        <f>SUM(H203:H206)</f>
        <v>27401531</v>
      </c>
      <c r="I207" s="38"/>
      <c r="J207" s="38">
        <f>SUM(J203:J206)</f>
        <v>3300000</v>
      </c>
      <c r="K207" s="38">
        <f>SUM(K203:K206)</f>
        <v>98553469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5" t="s">
        <v>27</v>
      </c>
      <c r="B209" s="65"/>
      <c r="C209" s="65"/>
      <c r="D209" s="11" t="s">
        <v>4</v>
      </c>
      <c r="E209" s="14">
        <f>J207</f>
        <v>3300000</v>
      </c>
      <c r="F209" s="41"/>
      <c r="G209" s="42"/>
      <c r="H209" s="42"/>
      <c r="I209" s="42"/>
      <c r="J209" s="9"/>
      <c r="K209" s="9"/>
    </row>
    <row r="210" spans="1:11">
      <c r="A210" s="10" t="s">
        <v>28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29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30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5" t="s">
        <v>31</v>
      </c>
      <c r="B214" s="65"/>
      <c r="C214" s="65"/>
      <c r="D214" s="11" t="s">
        <v>4</v>
      </c>
      <c r="E214" s="41">
        <f>E209-E212</f>
        <v>3300000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Tiga Ratus Ribu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H218" s="48"/>
      <c r="I218" s="48"/>
      <c r="J218" s="48" t="s">
        <v>55</v>
      </c>
      <c r="K218" s="47"/>
    </row>
    <row r="219" spans="1:11">
      <c r="A219" s="12" t="s">
        <v>32</v>
      </c>
      <c r="B219" s="10"/>
      <c r="C219" s="10"/>
      <c r="D219" s="10"/>
      <c r="E219" s="10"/>
      <c r="F219" s="10"/>
      <c r="G219" s="10"/>
      <c r="H219" s="12"/>
      <c r="I219" s="12"/>
      <c r="J219" s="12" t="s">
        <v>33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H220" s="12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H221" s="12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H222" s="12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H223" s="12"/>
      <c r="I223" s="12"/>
      <c r="J223" s="12"/>
      <c r="K223" s="47"/>
    </row>
    <row r="224" spans="1:11">
      <c r="A224" s="49" t="s">
        <v>37</v>
      </c>
      <c r="B224" s="49"/>
      <c r="C224" s="50"/>
      <c r="D224" s="50"/>
      <c r="E224" s="50"/>
      <c r="F224" s="50"/>
      <c r="G224" s="10" t="s">
        <v>34</v>
      </c>
      <c r="H224" s="49"/>
      <c r="I224" s="49"/>
      <c r="J224" s="49" t="s">
        <v>35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6" t="s">
        <v>0</v>
      </c>
      <c r="B233" s="66"/>
      <c r="C233" s="67"/>
      <c r="D233" s="67"/>
      <c r="E233" s="67"/>
      <c r="F233" s="67"/>
      <c r="G233" s="67"/>
      <c r="H233" s="67"/>
      <c r="I233" s="67"/>
      <c r="J233" s="67"/>
      <c r="K233" s="67"/>
    </row>
    <row r="234" spans="1:11">
      <c r="A234" s="67" t="s">
        <v>57</v>
      </c>
      <c r="B234" s="67"/>
      <c r="C234" s="67"/>
      <c r="D234" s="67"/>
      <c r="E234" s="67"/>
      <c r="F234" s="67"/>
      <c r="G234" s="67"/>
      <c r="H234" s="67"/>
      <c r="I234" s="67"/>
      <c r="J234" s="67"/>
      <c r="K234" s="67"/>
    </row>
    <row r="235" spans="1:11">
      <c r="A235" s="67" t="s">
        <v>1</v>
      </c>
      <c r="B235" s="67"/>
      <c r="C235" s="67"/>
      <c r="D235" s="67"/>
      <c r="E235" s="67"/>
      <c r="F235" s="67"/>
      <c r="G235" s="67"/>
      <c r="H235" s="67"/>
      <c r="I235" s="67"/>
      <c r="J235" s="67"/>
      <c r="K235" s="67"/>
    </row>
    <row r="236" spans="1:11">
      <c r="A236" s="67" t="s">
        <v>38</v>
      </c>
      <c r="B236" s="67"/>
      <c r="C236" s="67"/>
      <c r="D236" s="67"/>
      <c r="E236" s="67"/>
      <c r="F236" s="67"/>
      <c r="G236" s="67"/>
      <c r="H236" s="67"/>
      <c r="I236" s="67"/>
      <c r="J236" s="67"/>
      <c r="K236" s="67"/>
    </row>
    <row r="237" spans="1:11">
      <c r="A237" s="67" t="s">
        <v>2</v>
      </c>
      <c r="B237" s="67"/>
      <c r="C237" s="67"/>
      <c r="D237" s="67"/>
      <c r="E237" s="67"/>
      <c r="F237" s="67"/>
      <c r="G237" s="67"/>
      <c r="H237" s="67"/>
      <c r="I237" s="67"/>
      <c r="J237" s="67"/>
      <c r="K237" s="67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44000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Ribu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61" t="s">
        <v>12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1:11" ht="60">
      <c r="A247" s="17" t="s">
        <v>13</v>
      </c>
      <c r="B247" s="18" t="s">
        <v>14</v>
      </c>
      <c r="C247" s="62" t="s">
        <v>15</v>
      </c>
      <c r="D247" s="63"/>
      <c r="E247" s="64"/>
      <c r="F247" s="19"/>
      <c r="G247" s="20" t="s">
        <v>16</v>
      </c>
      <c r="H247" s="21" t="s">
        <v>36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60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23</v>
      </c>
      <c r="D249" s="10"/>
      <c r="E249" s="26"/>
      <c r="F249" s="25"/>
      <c r="G249" s="22">
        <v>123255000</v>
      </c>
      <c r="H249" s="23">
        <f>H204+J204</f>
        <v>27113231</v>
      </c>
      <c r="I249" s="23"/>
      <c r="J249" s="33">
        <v>44000</v>
      </c>
      <c r="K249" s="34">
        <f t="shared" ref="K249:K251" si="9">G249-H249-J249</f>
        <v>96097769</v>
      </c>
    </row>
    <row r="250" spans="1:11">
      <c r="A250" s="24"/>
      <c r="B250" s="56" t="s">
        <v>21</v>
      </c>
      <c r="C250" s="25" t="s">
        <v>24</v>
      </c>
      <c r="D250" s="10"/>
      <c r="E250" s="26"/>
      <c r="F250" s="25"/>
      <c r="G250" s="22">
        <v>5000000</v>
      </c>
      <c r="H250" s="23">
        <f t="shared" ref="H250:H251" si="10">H205+J205</f>
        <v>3588300</v>
      </c>
      <c r="I250" s="23"/>
      <c r="J250" s="33">
        <v>0</v>
      </c>
      <c r="K250" s="34">
        <f t="shared" si="9"/>
        <v>1411700</v>
      </c>
    </row>
    <row r="251" spans="1:11">
      <c r="A251" s="24"/>
      <c r="B251" s="56" t="s">
        <v>22</v>
      </c>
      <c r="C251" s="25" t="s">
        <v>25</v>
      </c>
      <c r="D251" s="10"/>
      <c r="E251" s="26"/>
      <c r="F251" s="25"/>
      <c r="G251" s="22">
        <v>1000000</v>
      </c>
      <c r="H251" s="23">
        <f t="shared" si="10"/>
        <v>0</v>
      </c>
      <c r="I251" s="57"/>
      <c r="J251" s="58">
        <v>0</v>
      </c>
      <c r="K251" s="59">
        <f t="shared" si="9"/>
        <v>1000000</v>
      </c>
    </row>
    <row r="252" spans="1:11">
      <c r="A252" s="35"/>
      <c r="B252" s="35"/>
      <c r="C252" s="35" t="s">
        <v>26</v>
      </c>
      <c r="D252" s="35"/>
      <c r="E252" s="35"/>
      <c r="F252" s="36"/>
      <c r="G252" s="37">
        <f>SUM(G248:G251)</f>
        <v>129255000</v>
      </c>
      <c r="H252" s="38">
        <f>SUM(H248:H251)</f>
        <v>30701531</v>
      </c>
      <c r="I252" s="38"/>
      <c r="J252" s="38">
        <f>SUM(J248:J251)</f>
        <v>44000</v>
      </c>
      <c r="K252" s="38">
        <f>SUM(K248:K251)</f>
        <v>98509469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5" t="s">
        <v>27</v>
      </c>
      <c r="B254" s="65"/>
      <c r="C254" s="65"/>
      <c r="D254" s="11" t="s">
        <v>4</v>
      </c>
      <c r="E254" s="14">
        <f>J252</f>
        <v>44000</v>
      </c>
      <c r="F254" s="41"/>
      <c r="G254" s="42"/>
      <c r="H254" s="42"/>
      <c r="I254" s="42"/>
      <c r="J254" s="9"/>
      <c r="K254" s="9"/>
    </row>
    <row r="255" spans="1:11">
      <c r="A255" s="10" t="s">
        <v>28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29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30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5" t="s">
        <v>31</v>
      </c>
      <c r="B259" s="65"/>
      <c r="C259" s="65"/>
      <c r="D259" s="11" t="s">
        <v>4</v>
      </c>
      <c r="E259" s="41">
        <f>E254-E257</f>
        <v>44000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Ribu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H263" s="48"/>
      <c r="I263" s="48"/>
      <c r="J263" s="48" t="s">
        <v>58</v>
      </c>
      <c r="K263" s="47"/>
    </row>
    <row r="264" spans="1:11">
      <c r="A264" s="12" t="s">
        <v>32</v>
      </c>
      <c r="B264" s="10"/>
      <c r="C264" s="10"/>
      <c r="D264" s="10"/>
      <c r="E264" s="10"/>
      <c r="F264" s="10"/>
      <c r="G264" s="10"/>
      <c r="H264" s="12"/>
      <c r="I264" s="12"/>
      <c r="J264" s="12" t="s">
        <v>33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H265" s="12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H266" s="12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H267" s="12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H268" s="12"/>
      <c r="I268" s="12"/>
      <c r="J268" s="12"/>
      <c r="K268" s="47"/>
    </row>
    <row r="269" spans="1:11">
      <c r="A269" s="49" t="s">
        <v>37</v>
      </c>
      <c r="B269" s="49"/>
      <c r="C269" s="50"/>
      <c r="D269" s="50"/>
      <c r="E269" s="50"/>
      <c r="F269" s="50"/>
      <c r="G269" s="10" t="s">
        <v>34</v>
      </c>
      <c r="H269" s="49"/>
      <c r="I269" s="49"/>
      <c r="J269" s="49" t="s">
        <v>35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6" t="s">
        <v>0</v>
      </c>
      <c r="B278" s="66"/>
      <c r="C278" s="67"/>
      <c r="D278" s="67"/>
      <c r="E278" s="67"/>
      <c r="F278" s="67"/>
      <c r="G278" s="67"/>
      <c r="H278" s="67"/>
      <c r="I278" s="67"/>
      <c r="J278" s="67"/>
      <c r="K278" s="67"/>
    </row>
    <row r="279" spans="1:11">
      <c r="A279" s="67" t="s">
        <v>59</v>
      </c>
      <c r="B279" s="67"/>
      <c r="C279" s="67"/>
      <c r="D279" s="67"/>
      <c r="E279" s="67"/>
      <c r="F279" s="67"/>
      <c r="G279" s="67"/>
      <c r="H279" s="67"/>
      <c r="I279" s="67"/>
      <c r="J279" s="67"/>
      <c r="K279" s="67"/>
    </row>
    <row r="280" spans="1:11">
      <c r="A280" s="67" t="s">
        <v>1</v>
      </c>
      <c r="B280" s="67"/>
      <c r="C280" s="67"/>
      <c r="D280" s="67"/>
      <c r="E280" s="67"/>
      <c r="F280" s="67"/>
      <c r="G280" s="67"/>
      <c r="H280" s="67"/>
      <c r="I280" s="67"/>
      <c r="J280" s="67"/>
      <c r="K280" s="67"/>
    </row>
    <row r="281" spans="1:11">
      <c r="A281" s="67" t="s">
        <v>38</v>
      </c>
      <c r="B281" s="67"/>
      <c r="C281" s="67"/>
      <c r="D281" s="67"/>
      <c r="E281" s="67"/>
      <c r="F281" s="67"/>
      <c r="G281" s="67"/>
      <c r="H281" s="67"/>
      <c r="I281" s="67"/>
      <c r="J281" s="67"/>
      <c r="K281" s="67"/>
    </row>
    <row r="282" spans="1:11">
      <c r="A282" s="67" t="s">
        <v>2</v>
      </c>
      <c r="B282" s="67"/>
      <c r="C282" s="67"/>
      <c r="D282" s="67"/>
      <c r="E282" s="67"/>
      <c r="F282" s="67"/>
      <c r="G282" s="67"/>
      <c r="H282" s="67"/>
      <c r="I282" s="67"/>
      <c r="J282" s="67"/>
      <c r="K282" s="67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67000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Tujuh Ribu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61" t="s">
        <v>12</v>
      </c>
      <c r="B291" s="61"/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1:11" ht="60">
      <c r="A292" s="17" t="s">
        <v>13</v>
      </c>
      <c r="B292" s="18" t="s">
        <v>14</v>
      </c>
      <c r="C292" s="62" t="s">
        <v>15</v>
      </c>
      <c r="D292" s="63"/>
      <c r="E292" s="64"/>
      <c r="F292" s="19"/>
      <c r="G292" s="20" t="s">
        <v>16</v>
      </c>
      <c r="H292" s="21" t="s">
        <v>36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60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23</v>
      </c>
      <c r="D294" s="10"/>
      <c r="E294" s="26"/>
      <c r="F294" s="25"/>
      <c r="G294" s="22">
        <v>123255000</v>
      </c>
      <c r="H294" s="23">
        <f>H249+J249</f>
        <v>27157231</v>
      </c>
      <c r="I294" s="23"/>
      <c r="J294" s="33">
        <v>0</v>
      </c>
      <c r="K294" s="34">
        <f t="shared" ref="K294:K296" si="11">G294-H294-J294</f>
        <v>96097769</v>
      </c>
    </row>
    <row r="295" spans="1:11">
      <c r="A295" s="24"/>
      <c r="B295" s="56" t="s">
        <v>21</v>
      </c>
      <c r="C295" s="25" t="s">
        <v>24</v>
      </c>
      <c r="D295" s="10"/>
      <c r="E295" s="26"/>
      <c r="F295" s="25"/>
      <c r="G295" s="22">
        <v>5000000</v>
      </c>
      <c r="H295" s="23">
        <f>H250+J250</f>
        <v>3588300</v>
      </c>
      <c r="I295" s="23"/>
      <c r="J295" s="33">
        <v>67000</v>
      </c>
      <c r="K295" s="34">
        <f t="shared" si="11"/>
        <v>1344700</v>
      </c>
    </row>
    <row r="296" spans="1:11">
      <c r="A296" s="24"/>
      <c r="B296" s="56" t="s">
        <v>22</v>
      </c>
      <c r="C296" s="25" t="s">
        <v>25</v>
      </c>
      <c r="D296" s="10"/>
      <c r="E296" s="26"/>
      <c r="F296" s="25"/>
      <c r="G296" s="22">
        <v>1000000</v>
      </c>
      <c r="H296" s="23">
        <f t="shared" ref="H296" si="12">H251+J251</f>
        <v>0</v>
      </c>
      <c r="I296" s="57"/>
      <c r="J296" s="58">
        <v>0</v>
      </c>
      <c r="K296" s="59">
        <f t="shared" si="11"/>
        <v>1000000</v>
      </c>
    </row>
    <row r="297" spans="1:11">
      <c r="A297" s="35"/>
      <c r="B297" s="35"/>
      <c r="C297" s="35" t="s">
        <v>26</v>
      </c>
      <c r="D297" s="35"/>
      <c r="E297" s="35"/>
      <c r="F297" s="36"/>
      <c r="G297" s="37">
        <f>SUM(G293:G296)</f>
        <v>129255000</v>
      </c>
      <c r="H297" s="38">
        <f>SUM(H293:H296)</f>
        <v>30745531</v>
      </c>
      <c r="I297" s="38"/>
      <c r="J297" s="38">
        <f>SUM(J293:J296)</f>
        <v>67000</v>
      </c>
      <c r="K297" s="38">
        <f>SUM(K293:K296)</f>
        <v>98442469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5" t="s">
        <v>27</v>
      </c>
      <c r="B299" s="65"/>
      <c r="C299" s="65"/>
      <c r="D299" s="11" t="s">
        <v>4</v>
      </c>
      <c r="E299" s="14">
        <f>J297</f>
        <v>67000</v>
      </c>
      <c r="F299" s="41"/>
      <c r="G299" s="42"/>
      <c r="H299" s="42"/>
      <c r="I299" s="42"/>
      <c r="J299" s="9"/>
      <c r="K299" s="9"/>
    </row>
    <row r="300" spans="1:11">
      <c r="A300" s="10" t="s">
        <v>28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29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30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5" t="s">
        <v>31</v>
      </c>
      <c r="B304" s="65"/>
      <c r="C304" s="65"/>
      <c r="D304" s="11" t="s">
        <v>4</v>
      </c>
      <c r="E304" s="41">
        <f>E299-E302</f>
        <v>67000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Tujuh Ribu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H308" s="48"/>
      <c r="I308" s="48"/>
      <c r="J308" s="48" t="s">
        <v>50</v>
      </c>
      <c r="K308" s="47"/>
    </row>
    <row r="309" spans="1:11">
      <c r="A309" s="12" t="s">
        <v>32</v>
      </c>
      <c r="B309" s="10"/>
      <c r="C309" s="10"/>
      <c r="D309" s="10"/>
      <c r="E309" s="10"/>
      <c r="F309" s="10"/>
      <c r="G309" s="10"/>
      <c r="H309" s="12"/>
      <c r="I309" s="12"/>
      <c r="J309" s="12" t="s">
        <v>33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H310" s="12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H311" s="12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H312" s="12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H313" s="12"/>
      <c r="I313" s="12"/>
      <c r="J313" s="12"/>
      <c r="K313" s="47"/>
    </row>
    <row r="314" spans="1:11">
      <c r="A314" s="49" t="s">
        <v>37</v>
      </c>
      <c r="B314" s="49"/>
      <c r="C314" s="50"/>
      <c r="D314" s="50"/>
      <c r="E314" s="50"/>
      <c r="F314" s="50"/>
      <c r="G314" s="10" t="s">
        <v>34</v>
      </c>
      <c r="H314" s="49"/>
      <c r="I314" s="49"/>
      <c r="J314" s="49" t="s">
        <v>35</v>
      </c>
      <c r="K314" s="47"/>
    </row>
    <row r="319" spans="1:11" ht="15.75">
      <c r="C319" s="2"/>
      <c r="D319" s="2"/>
      <c r="E319" s="2"/>
      <c r="F319" s="2"/>
    </row>
    <row r="320" spans="1:11" ht="15.75">
      <c r="A320" s="3"/>
      <c r="B320" s="3"/>
      <c r="C320" s="2"/>
      <c r="D320" s="2"/>
      <c r="E320" s="2"/>
      <c r="F320" s="2"/>
      <c r="G320" s="3"/>
      <c r="H320" s="4"/>
      <c r="I320" s="4"/>
      <c r="J320" s="4"/>
      <c r="K320" s="5"/>
    </row>
    <row r="321" spans="1:11">
      <c r="H321" s="5"/>
      <c r="I321" s="5"/>
      <c r="J321" s="5"/>
      <c r="K321" s="5"/>
    </row>
    <row r="322" spans="1:11">
      <c r="H322" s="5"/>
      <c r="I322" s="5"/>
      <c r="J322" s="5"/>
      <c r="K322" s="5"/>
    </row>
    <row r="323" spans="1:11">
      <c r="A323" s="66" t="s">
        <v>0</v>
      </c>
      <c r="B323" s="66"/>
      <c r="C323" s="67"/>
      <c r="D323" s="67"/>
      <c r="E323" s="67"/>
      <c r="F323" s="67"/>
      <c r="G323" s="67"/>
      <c r="H323" s="67"/>
      <c r="I323" s="67"/>
      <c r="J323" s="67"/>
      <c r="K323" s="67"/>
    </row>
    <row r="324" spans="1:11">
      <c r="A324" s="67" t="s">
        <v>61</v>
      </c>
      <c r="B324" s="67"/>
      <c r="C324" s="67"/>
      <c r="D324" s="67"/>
      <c r="E324" s="67"/>
      <c r="F324" s="67"/>
      <c r="G324" s="67"/>
      <c r="H324" s="67"/>
      <c r="I324" s="67"/>
      <c r="J324" s="67"/>
      <c r="K324" s="67"/>
    </row>
    <row r="325" spans="1:11">
      <c r="A325" s="67" t="s">
        <v>1</v>
      </c>
      <c r="B325" s="67"/>
      <c r="C325" s="67"/>
      <c r="D325" s="67"/>
      <c r="E325" s="67"/>
      <c r="F325" s="67"/>
      <c r="G325" s="67"/>
      <c r="H325" s="67"/>
      <c r="I325" s="67"/>
      <c r="J325" s="67"/>
      <c r="K325" s="67"/>
    </row>
    <row r="326" spans="1:11">
      <c r="A326" s="67" t="s">
        <v>38</v>
      </c>
      <c r="B326" s="67"/>
      <c r="C326" s="67"/>
      <c r="D326" s="67"/>
      <c r="E326" s="67"/>
      <c r="F326" s="67"/>
      <c r="G326" s="67"/>
      <c r="H326" s="67"/>
      <c r="I326" s="67"/>
      <c r="J326" s="67"/>
      <c r="K326" s="67"/>
    </row>
    <row r="327" spans="1:11">
      <c r="A327" s="67" t="s">
        <v>2</v>
      </c>
      <c r="B327" s="67"/>
      <c r="C327" s="67"/>
      <c r="D327" s="67"/>
      <c r="E327" s="67"/>
      <c r="F327" s="67"/>
      <c r="G327" s="67"/>
      <c r="H327" s="67"/>
      <c r="I327" s="67"/>
      <c r="J327" s="67"/>
      <c r="K327" s="67"/>
    </row>
    <row r="328" spans="1:11">
      <c r="A328" s="6"/>
      <c r="B328" s="6"/>
      <c r="C328" s="7"/>
      <c r="D328" s="7"/>
      <c r="E328" s="7"/>
      <c r="F328" s="7"/>
      <c r="G328" s="8"/>
      <c r="H328" s="9"/>
      <c r="I328" s="9"/>
      <c r="J328" s="9"/>
      <c r="K328" s="9"/>
    </row>
    <row r="329" spans="1:11">
      <c r="A329" s="53" t="s">
        <v>3</v>
      </c>
      <c r="B329" s="10"/>
      <c r="C329" s="10"/>
      <c r="D329" s="54" t="s">
        <v>4</v>
      </c>
      <c r="E329" s="10" t="s">
        <v>5</v>
      </c>
      <c r="F329" s="11"/>
      <c r="G329" s="10"/>
      <c r="H329" s="12"/>
      <c r="I329" s="12"/>
      <c r="J329" s="12"/>
      <c r="K329" s="9"/>
    </row>
    <row r="330" spans="1:11">
      <c r="A330" s="53" t="s">
        <v>6</v>
      </c>
      <c r="B330" s="10"/>
      <c r="C330" s="10"/>
      <c r="D330" s="54" t="s">
        <v>4</v>
      </c>
      <c r="E330" s="10" t="s">
        <v>7</v>
      </c>
      <c r="F330" s="11"/>
      <c r="G330" s="10"/>
      <c r="H330" s="12"/>
      <c r="I330" s="12"/>
      <c r="J330" s="12"/>
      <c r="K330" s="9"/>
    </row>
    <row r="331" spans="1:11">
      <c r="A331" s="53" t="s">
        <v>8</v>
      </c>
      <c r="B331" s="10"/>
      <c r="C331" s="10"/>
      <c r="D331" s="54" t="s">
        <v>4</v>
      </c>
      <c r="E331" s="13">
        <v>2026</v>
      </c>
      <c r="F331" s="11"/>
      <c r="G331" s="13"/>
      <c r="H331" s="12"/>
      <c r="I331" s="12"/>
      <c r="J331" s="12"/>
      <c r="K331" s="9"/>
    </row>
    <row r="332" spans="1:11">
      <c r="A332" s="53" t="s">
        <v>9</v>
      </c>
      <c r="B332" s="10"/>
      <c r="C332" s="10"/>
      <c r="D332" s="54" t="s">
        <v>4</v>
      </c>
      <c r="E332" s="14">
        <f>J342</f>
        <v>11267731</v>
      </c>
      <c r="F332" s="11"/>
      <c r="G332" s="14"/>
      <c r="H332" s="12"/>
      <c r="I332" s="12"/>
      <c r="J332" s="12"/>
      <c r="K332" s="9"/>
    </row>
    <row r="333" spans="1:11" ht="15.75">
      <c r="A333" s="10"/>
      <c r="B333" s="10"/>
      <c r="C333" s="15" t="s">
        <v>10</v>
      </c>
      <c r="D333" s="54" t="s">
        <v>4</v>
      </c>
      <c r="E333" s="16" t="str">
        <f>PROPER(IF(E332=0,"nol",IF(E332&lt;0,"minus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332),"000000000000000"),1,3)=0,"",MID(TEXT(ABS(E332),"000000000000000"),1,1)&amp;" ratus "&amp;MID(TEXT(ABS(E332),"000000000000000"),2,1)&amp;" puluh "&amp;MID(TEXT(ABS(E332),"000000000000000"),3,1)&amp;" trilyun ")&amp;IF(--MID(TEXT(ABS(E332),"000000000000000"),4,3)=0,"",MID(TEXT(ABS(E332),"000000000000000"),4,1)&amp;" ratus "&amp;MID(TEXT(ABS(E332),"000000000000000"),5,1)&amp;" puluh "&amp;MID(TEXT(ABS(E332),"000000000000000"),6,1)&amp;" milyar ")&amp;IF(--MID(TEXT(ABS(E332),"000000000000000"),7,3)=0,"",MID(TEXT(ABS(E332),"000000000000000"),7,1)&amp;" ratus "&amp;MID(TEXT(ABS(E332),"000000000000000"),8,1)&amp;" puluh "&amp;MID(TEXT(ABS(E332),"000000000000000"),9,1)&amp;" juta ")&amp;IF(--MID(TEXT(ABS(E332),"000000000000000"),10,3)=0,"",IF(--MID(TEXT(ABS(E332),"000000000000000"),10,3)=1,"*",MID(TEXT(ABS(E332),"000000000000000"),10,1)&amp;" ratus "&amp;MID(TEXT(ABS(E332),"000000000000000"),11,1)&amp;" puluh ")&amp;MID(TEXT(ABS(E332),"000000000000000"),12,1)&amp;" ribu ")&amp;IF(--MID(TEXT(ABS(E332),"000000000000000"),13,3)=0,"",MID(TEXT(ABS(E332),"000000000000000"),13,1)&amp;" ratus "&amp;MID(TEXT(ABS(E332),"000000000000000"),14,1)&amp;" puluh "&amp;MID(TEXT(ABS(E332),"000000000000000"),15,1)),1,"satu"),2,"dua"),3,"tiga"),4,"empat"),5,"lima"),6,"enam"),7,"tujuh"),8,"delapan"),9,"sembilan"),"0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Sebelas Juta Dua Ratus Enam Puluh Tujuh Ribu Tujuh Ratus Tiga Puluh Satu Rupiah</v>
      </c>
      <c r="F333" s="11"/>
      <c r="G333" s="16"/>
      <c r="H333" s="12"/>
      <c r="I333" s="12"/>
      <c r="J333" s="12"/>
      <c r="K333" s="9"/>
    </row>
    <row r="334" spans="1:11" ht="15.75">
      <c r="A334" s="10"/>
      <c r="B334" s="10"/>
      <c r="C334" s="15"/>
      <c r="D334" s="15"/>
      <c r="E334" s="15"/>
      <c r="F334" s="11"/>
      <c r="G334" s="16"/>
      <c r="H334" s="12"/>
      <c r="I334" s="12"/>
      <c r="J334" s="12"/>
      <c r="K334" s="9"/>
    </row>
    <row r="335" spans="1:11">
      <c r="A335" s="10" t="s">
        <v>11</v>
      </c>
      <c r="B335" s="10"/>
      <c r="C335" s="10"/>
      <c r="D335" s="10"/>
      <c r="E335" s="10"/>
      <c r="F335" s="10"/>
      <c r="G335" s="10"/>
      <c r="H335" s="12"/>
      <c r="I335" s="12"/>
      <c r="J335" s="12"/>
      <c r="K335" s="9"/>
    </row>
    <row r="336" spans="1:11">
      <c r="A336" s="61" t="s">
        <v>12</v>
      </c>
      <c r="B336" s="61"/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1:11" ht="60">
      <c r="A337" s="17" t="s">
        <v>13</v>
      </c>
      <c r="B337" s="18" t="s">
        <v>14</v>
      </c>
      <c r="C337" s="62" t="s">
        <v>15</v>
      </c>
      <c r="D337" s="63"/>
      <c r="E337" s="64"/>
      <c r="F337" s="19"/>
      <c r="G337" s="20" t="s">
        <v>16</v>
      </c>
      <c r="H337" s="21" t="s">
        <v>36</v>
      </c>
      <c r="I337" s="21"/>
      <c r="J337" s="31" t="s">
        <v>17</v>
      </c>
      <c r="K337" s="32" t="s">
        <v>18</v>
      </c>
    </row>
    <row r="338" spans="1:11">
      <c r="A338" s="27">
        <v>1</v>
      </c>
      <c r="B338" s="24"/>
      <c r="C338" s="28" t="s">
        <v>23</v>
      </c>
      <c r="D338" s="60"/>
      <c r="E338" s="26"/>
      <c r="F338" s="25"/>
      <c r="G338" s="55" t="s">
        <v>19</v>
      </c>
      <c r="H338" s="55" t="s">
        <v>19</v>
      </c>
      <c r="I338" s="55"/>
      <c r="J338" s="55" t="s">
        <v>19</v>
      </c>
      <c r="K338" s="55" t="s">
        <v>19</v>
      </c>
    </row>
    <row r="339" spans="1:11">
      <c r="A339" s="24"/>
      <c r="B339" s="56" t="s">
        <v>20</v>
      </c>
      <c r="C339" s="25" t="s">
        <v>23</v>
      </c>
      <c r="D339" s="10"/>
      <c r="E339" s="26"/>
      <c r="F339" s="25"/>
      <c r="G339" s="22">
        <v>123255000</v>
      </c>
      <c r="H339" s="23">
        <f>H294+J294</f>
        <v>27157231</v>
      </c>
      <c r="I339" s="23"/>
      <c r="J339" s="33">
        <v>11267731</v>
      </c>
      <c r="K339" s="34">
        <f t="shared" ref="K339:K341" si="13">G339-H339-J339</f>
        <v>84830038</v>
      </c>
    </row>
    <row r="340" spans="1:11">
      <c r="A340" s="24"/>
      <c r="B340" s="56" t="s">
        <v>21</v>
      </c>
      <c r="C340" s="25" t="s">
        <v>24</v>
      </c>
      <c r="D340" s="10"/>
      <c r="E340" s="26"/>
      <c r="F340" s="25"/>
      <c r="G340" s="22">
        <v>5000000</v>
      </c>
      <c r="H340" s="23">
        <f>H295+J295</f>
        <v>3655300</v>
      </c>
      <c r="I340" s="23"/>
      <c r="J340" s="33">
        <v>0</v>
      </c>
      <c r="K340" s="34">
        <f t="shared" si="13"/>
        <v>1344700</v>
      </c>
    </row>
    <row r="341" spans="1:11">
      <c r="A341" s="24"/>
      <c r="B341" s="56" t="s">
        <v>22</v>
      </c>
      <c r="C341" s="25" t="s">
        <v>25</v>
      </c>
      <c r="D341" s="10"/>
      <c r="E341" s="26"/>
      <c r="F341" s="25"/>
      <c r="G341" s="22">
        <v>1000000</v>
      </c>
      <c r="H341" s="23">
        <f t="shared" ref="H341" si="14">H296+J296</f>
        <v>0</v>
      </c>
      <c r="I341" s="57"/>
      <c r="J341" s="58">
        <v>0</v>
      </c>
      <c r="K341" s="59">
        <f t="shared" si="13"/>
        <v>1000000</v>
      </c>
    </row>
    <row r="342" spans="1:11">
      <c r="A342" s="35"/>
      <c r="B342" s="35"/>
      <c r="C342" s="35" t="s">
        <v>26</v>
      </c>
      <c r="D342" s="35"/>
      <c r="E342" s="35"/>
      <c r="F342" s="36"/>
      <c r="G342" s="37">
        <f>SUM(G338:G341)</f>
        <v>129255000</v>
      </c>
      <c r="H342" s="38">
        <f>SUM(H338:H341)</f>
        <v>30812531</v>
      </c>
      <c r="I342" s="38"/>
      <c r="J342" s="38">
        <f>SUM(J338:J341)</f>
        <v>11267731</v>
      </c>
      <c r="K342" s="38">
        <f>SUM(K338:K341)</f>
        <v>87174738</v>
      </c>
    </row>
    <row r="343" spans="1:11">
      <c r="A343" s="39"/>
      <c r="B343" s="8"/>
      <c r="C343" s="8"/>
      <c r="D343" s="8"/>
      <c r="E343" s="8"/>
      <c r="F343" s="8"/>
      <c r="G343" s="40"/>
      <c r="H343" s="40"/>
      <c r="I343" s="40"/>
      <c r="J343" s="40"/>
      <c r="K343" s="40"/>
    </row>
    <row r="344" spans="1:11">
      <c r="A344" s="65" t="s">
        <v>27</v>
      </c>
      <c r="B344" s="65"/>
      <c r="C344" s="65"/>
      <c r="D344" s="11" t="s">
        <v>4</v>
      </c>
      <c r="E344" s="14">
        <f>J342</f>
        <v>11267731</v>
      </c>
      <c r="F344" s="41"/>
      <c r="G344" s="42"/>
      <c r="H344" s="42"/>
      <c r="I344" s="42"/>
      <c r="J344" s="9"/>
      <c r="K344" s="9"/>
    </row>
    <row r="345" spans="1:11">
      <c r="A345" s="10" t="s">
        <v>28</v>
      </c>
      <c r="B345" s="10"/>
      <c r="C345" s="10"/>
      <c r="D345" s="11" t="s">
        <v>4</v>
      </c>
      <c r="E345" s="43"/>
      <c r="F345" s="43"/>
      <c r="G345" s="44"/>
      <c r="H345" s="12"/>
      <c r="I345" s="12"/>
      <c r="J345" s="9"/>
      <c r="K345" s="9"/>
    </row>
    <row r="346" spans="1:11">
      <c r="A346" s="10" t="s">
        <v>29</v>
      </c>
      <c r="B346" s="10"/>
      <c r="C346" s="10"/>
      <c r="D346" s="11" t="s">
        <v>4</v>
      </c>
      <c r="E346" s="45"/>
      <c r="F346" s="45"/>
      <c r="G346" s="44"/>
      <c r="H346" s="12"/>
      <c r="I346" s="12"/>
      <c r="J346" s="9"/>
      <c r="K346" s="9"/>
    </row>
    <row r="347" spans="1:11">
      <c r="A347" s="10" t="s">
        <v>30</v>
      </c>
      <c r="B347" s="10"/>
      <c r="C347" s="10"/>
      <c r="D347" s="11" t="s">
        <v>4</v>
      </c>
      <c r="E347" s="45">
        <f>E345+E346</f>
        <v>0</v>
      </c>
      <c r="F347" s="45"/>
      <c r="G347" s="10"/>
      <c r="H347" s="12"/>
      <c r="I347" s="12"/>
      <c r="J347" s="47"/>
      <c r="K347" s="47"/>
    </row>
    <row r="348" spans="1:11">
      <c r="A348" s="13"/>
      <c r="B348" s="13"/>
      <c r="C348" s="13"/>
      <c r="D348" s="11"/>
      <c r="E348" s="13"/>
      <c r="F348" s="13"/>
      <c r="G348" s="10"/>
      <c r="H348" s="12"/>
      <c r="I348" s="12"/>
      <c r="J348" s="47"/>
      <c r="K348" s="47"/>
    </row>
    <row r="349" spans="1:11">
      <c r="A349" s="65" t="s">
        <v>31</v>
      </c>
      <c r="B349" s="65"/>
      <c r="C349" s="65"/>
      <c r="D349" s="11" t="s">
        <v>4</v>
      </c>
      <c r="E349" s="41">
        <f>E344-E347</f>
        <v>11267731</v>
      </c>
      <c r="F349" s="41"/>
      <c r="G349" s="10"/>
      <c r="H349" s="12"/>
      <c r="I349" s="12"/>
      <c r="J349" s="47"/>
      <c r="K349" s="47"/>
    </row>
    <row r="350" spans="1:11" ht="15.75">
      <c r="A350" s="13"/>
      <c r="B350" s="13"/>
      <c r="C350" s="10"/>
      <c r="D350" s="10"/>
      <c r="E350" s="16" t="str">
        <f>PROPER(IF(E349=0,"nol",IF(E349&lt;0,"minus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349),"000000000000000"),1,3)=0,"",MID(TEXT(ABS(E349),"000000000000000"),1,1)&amp;" ratus "&amp;MID(TEXT(ABS(E349),"000000000000000"),2,1)&amp;" puluh "&amp;MID(TEXT(ABS(E349),"000000000000000"),3,1)&amp;" trilyun ")&amp;IF(--MID(TEXT(ABS(E349),"000000000000000"),4,3)=0,"",MID(TEXT(ABS(E349),"000000000000000"),4,1)&amp;" ratus "&amp;MID(TEXT(ABS(E349),"000000000000000"),5,1)&amp;" puluh "&amp;MID(TEXT(ABS(E349),"000000000000000"),6,1)&amp;" milyar ")&amp;IF(--MID(TEXT(ABS(E349),"000000000000000"),7,3)=0,"",MID(TEXT(ABS(E349),"000000000000000"),7,1)&amp;" ratus "&amp;MID(TEXT(ABS(E349),"000000000000000"),8,1)&amp;" puluh "&amp;MID(TEXT(ABS(E349),"000000000000000"),9,1)&amp;" juta ")&amp;IF(--MID(TEXT(ABS(E349),"000000000000000"),10,3)=0,"",IF(--MID(TEXT(ABS(E349),"000000000000000"),10,3)=1,"*",MID(TEXT(ABS(E349),"000000000000000"),10,1)&amp;" ratus "&amp;MID(TEXT(ABS(E349),"000000000000000"),11,1)&amp;" puluh ")&amp;MID(TEXT(ABS(E349),"000000000000000"),12,1)&amp;" ribu ")&amp;IF(--MID(TEXT(ABS(E349),"000000000000000"),13,3)=0,"",MID(TEXT(ABS(E349),"000000000000000"),13,1)&amp;" ratus "&amp;MID(TEXT(ABS(E349),"000000000000000"),14,1)&amp;" puluh "&amp;MID(TEXT(ABS(E349),"000000000000000"),15,1)),1,"satu"),2,"dua"),3,"tiga"),4,"empat"),5,"lima"),6,"enam"),7,"tujuh"),8,"delapan"),9,"sembilan"),"0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Sebelas Juta Dua Ratus Enam Puluh Tujuh Ribu Tujuh Ratus Tiga Puluh Satu Rupiah</v>
      </c>
      <c r="F350" s="10"/>
      <c r="G350" s="10"/>
      <c r="H350" s="10"/>
      <c r="I350" s="10"/>
      <c r="J350" s="47"/>
      <c r="K350" s="47"/>
    </row>
    <row r="351" spans="1:11">
      <c r="A351" s="46"/>
      <c r="B351" s="46"/>
      <c r="C351" s="46"/>
      <c r="D351" s="46"/>
      <c r="E351" s="46"/>
      <c r="F351" s="46"/>
      <c r="G351" s="29"/>
      <c r="H351" s="47"/>
      <c r="I351" s="47"/>
      <c r="J351" s="47"/>
      <c r="K351" s="47"/>
    </row>
    <row r="352" spans="1:11">
      <c r="A352" s="29"/>
      <c r="B352" s="29"/>
      <c r="C352" s="29"/>
      <c r="D352" s="29"/>
      <c r="E352" s="29"/>
      <c r="F352" s="29"/>
      <c r="G352" s="29"/>
      <c r="H352"/>
      <c r="I352"/>
      <c r="J352" s="47"/>
      <c r="K352" s="47"/>
    </row>
    <row r="353" spans="1:11">
      <c r="A353" s="13"/>
      <c r="B353" s="13"/>
      <c r="C353" s="10"/>
      <c r="D353" s="10"/>
      <c r="E353" s="10"/>
      <c r="F353" s="10"/>
      <c r="G353" s="10"/>
      <c r="H353" s="48"/>
      <c r="I353" s="48"/>
      <c r="J353" s="48" t="s">
        <v>62</v>
      </c>
      <c r="K353" s="47"/>
    </row>
    <row r="354" spans="1:11">
      <c r="A354" s="12" t="s">
        <v>32</v>
      </c>
      <c r="B354" s="10"/>
      <c r="C354" s="10"/>
      <c r="D354" s="10"/>
      <c r="E354" s="10"/>
      <c r="F354" s="10"/>
      <c r="G354" s="10"/>
      <c r="H354" s="12"/>
      <c r="I354" s="12"/>
      <c r="J354" s="12" t="s">
        <v>33</v>
      </c>
      <c r="K354" s="47"/>
    </row>
    <row r="355" spans="1:11">
      <c r="A355" s="10"/>
      <c r="B355" s="10"/>
      <c r="C355" s="10"/>
      <c r="D355" s="10"/>
      <c r="E355" s="10"/>
      <c r="F355" s="10"/>
      <c r="G355" s="10"/>
      <c r="H355" s="12"/>
      <c r="I355" s="12"/>
      <c r="J355" s="12"/>
      <c r="K355" s="47"/>
    </row>
    <row r="356" spans="1:11">
      <c r="A356" s="10"/>
      <c r="B356" s="10"/>
      <c r="C356" s="10"/>
      <c r="D356" s="10"/>
      <c r="E356" s="10"/>
      <c r="F356" s="10"/>
      <c r="G356" s="10"/>
      <c r="H356" s="12"/>
      <c r="I356" s="12"/>
      <c r="J356" s="12"/>
      <c r="K356" s="47"/>
    </row>
    <row r="357" spans="1:11">
      <c r="A357" s="10"/>
      <c r="B357" s="10"/>
      <c r="C357" s="10"/>
      <c r="D357" s="10"/>
      <c r="E357" s="10"/>
      <c r="F357" s="10"/>
      <c r="G357" s="10"/>
      <c r="H357" s="12"/>
      <c r="I357" s="12"/>
      <c r="J357" s="12"/>
      <c r="K357" s="47"/>
    </row>
    <row r="358" spans="1:11">
      <c r="A358" s="10"/>
      <c r="B358" s="10"/>
      <c r="C358" s="10"/>
      <c r="D358" s="10"/>
      <c r="E358" s="10"/>
      <c r="F358" s="10"/>
      <c r="G358" s="10"/>
      <c r="H358" s="12"/>
      <c r="I358" s="12"/>
      <c r="J358" s="12"/>
      <c r="K358" s="47"/>
    </row>
    <row r="359" spans="1:11">
      <c r="A359" s="49" t="s">
        <v>37</v>
      </c>
      <c r="B359" s="49"/>
      <c r="C359" s="50"/>
      <c r="D359" s="50"/>
      <c r="E359" s="50"/>
      <c r="F359" s="50"/>
      <c r="G359" s="10" t="s">
        <v>34</v>
      </c>
      <c r="H359" s="49"/>
      <c r="I359" s="49"/>
      <c r="J359" s="49" t="s">
        <v>35</v>
      </c>
      <c r="K359" s="47"/>
    </row>
    <row r="364" spans="1:11" ht="15.75">
      <c r="C364" s="2"/>
      <c r="D364" s="2"/>
      <c r="E364" s="2"/>
      <c r="F364" s="2"/>
    </row>
    <row r="365" spans="1:11" ht="15.75">
      <c r="A365" s="3"/>
      <c r="B365" s="3"/>
      <c r="C365" s="2"/>
      <c r="D365" s="2"/>
      <c r="E365" s="2"/>
      <c r="F365" s="2"/>
      <c r="G365" s="3"/>
      <c r="H365" s="4"/>
      <c r="I365" s="4"/>
      <c r="J365" s="4"/>
      <c r="K365" s="5"/>
    </row>
    <row r="366" spans="1:11">
      <c r="H366" s="5"/>
      <c r="I366" s="5"/>
      <c r="J366" s="5"/>
      <c r="K366" s="5"/>
    </row>
    <row r="367" spans="1:11">
      <c r="H367" s="5"/>
      <c r="I367" s="5"/>
      <c r="J367" s="5"/>
      <c r="K367" s="5"/>
    </row>
    <row r="368" spans="1:11">
      <c r="A368" s="66" t="s">
        <v>0</v>
      </c>
      <c r="B368" s="66"/>
      <c r="C368" s="67"/>
      <c r="D368" s="67"/>
      <c r="E368" s="67"/>
      <c r="F368" s="67"/>
      <c r="G368" s="67"/>
      <c r="H368" s="67"/>
      <c r="I368" s="67"/>
      <c r="J368" s="67"/>
      <c r="K368" s="67"/>
    </row>
    <row r="369" spans="1:11">
      <c r="A369" s="67" t="s">
        <v>63</v>
      </c>
      <c r="B369" s="67"/>
      <c r="C369" s="67"/>
      <c r="D369" s="67"/>
      <c r="E369" s="67"/>
      <c r="F369" s="67"/>
      <c r="G369" s="67"/>
      <c r="H369" s="67"/>
      <c r="I369" s="67"/>
      <c r="J369" s="67"/>
      <c r="K369" s="67"/>
    </row>
    <row r="370" spans="1:11">
      <c r="A370" s="67" t="s">
        <v>1</v>
      </c>
      <c r="B370" s="67"/>
      <c r="C370" s="67"/>
      <c r="D370" s="67"/>
      <c r="E370" s="67"/>
      <c r="F370" s="67"/>
      <c r="G370" s="67"/>
      <c r="H370" s="67"/>
      <c r="I370" s="67"/>
      <c r="J370" s="67"/>
      <c r="K370" s="67"/>
    </row>
    <row r="371" spans="1:11">
      <c r="A371" s="67" t="s">
        <v>38</v>
      </c>
      <c r="B371" s="67"/>
      <c r="C371" s="67"/>
      <c r="D371" s="67"/>
      <c r="E371" s="67"/>
      <c r="F371" s="67"/>
      <c r="G371" s="67"/>
      <c r="H371" s="67"/>
      <c r="I371" s="67"/>
      <c r="J371" s="67"/>
      <c r="K371" s="67"/>
    </row>
    <row r="372" spans="1:11">
      <c r="A372" s="67" t="s">
        <v>2</v>
      </c>
      <c r="B372" s="67"/>
      <c r="C372" s="67"/>
      <c r="D372" s="67"/>
      <c r="E372" s="67"/>
      <c r="F372" s="67"/>
      <c r="G372" s="67"/>
      <c r="H372" s="67"/>
      <c r="I372" s="67"/>
      <c r="J372" s="67"/>
      <c r="K372" s="67"/>
    </row>
    <row r="373" spans="1:11">
      <c r="A373" s="6"/>
      <c r="B373" s="6"/>
      <c r="C373" s="7"/>
      <c r="D373" s="7"/>
      <c r="E373" s="7"/>
      <c r="F373" s="7"/>
      <c r="G373" s="8"/>
      <c r="H373" s="9"/>
      <c r="I373" s="9"/>
      <c r="J373" s="9"/>
      <c r="K373" s="9"/>
    </row>
    <row r="374" spans="1:11">
      <c r="A374" s="53" t="s">
        <v>3</v>
      </c>
      <c r="B374" s="10"/>
      <c r="C374" s="10"/>
      <c r="D374" s="54" t="s">
        <v>4</v>
      </c>
      <c r="E374" s="10" t="s">
        <v>5</v>
      </c>
      <c r="F374" s="11"/>
      <c r="G374" s="10"/>
      <c r="H374" s="12"/>
      <c r="I374" s="12"/>
      <c r="J374" s="12"/>
      <c r="K374" s="9"/>
    </row>
    <row r="375" spans="1:11">
      <c r="A375" s="53" t="s">
        <v>6</v>
      </c>
      <c r="B375" s="10"/>
      <c r="C375" s="10"/>
      <c r="D375" s="54" t="s">
        <v>4</v>
      </c>
      <c r="E375" s="10" t="s">
        <v>7</v>
      </c>
      <c r="F375" s="11"/>
      <c r="G375" s="10"/>
      <c r="H375" s="12"/>
      <c r="I375" s="12"/>
      <c r="J375" s="12"/>
      <c r="K375" s="9"/>
    </row>
    <row r="376" spans="1:11">
      <c r="A376" s="53" t="s">
        <v>8</v>
      </c>
      <c r="B376" s="10"/>
      <c r="C376" s="10"/>
      <c r="D376" s="54" t="s">
        <v>4</v>
      </c>
      <c r="E376" s="13">
        <v>2026</v>
      </c>
      <c r="F376" s="11"/>
      <c r="G376" s="13"/>
      <c r="H376" s="12"/>
      <c r="I376" s="12"/>
      <c r="J376" s="12"/>
      <c r="K376" s="9"/>
    </row>
    <row r="377" spans="1:11">
      <c r="A377" s="53" t="s">
        <v>9</v>
      </c>
      <c r="B377" s="10"/>
      <c r="C377" s="10"/>
      <c r="D377" s="54" t="s">
        <v>4</v>
      </c>
      <c r="E377" s="14">
        <f>J387</f>
        <v>20000</v>
      </c>
      <c r="F377" s="11"/>
      <c r="G377" s="14"/>
      <c r="H377" s="12"/>
      <c r="I377" s="12"/>
      <c r="J377" s="12"/>
      <c r="K377" s="9"/>
    </row>
    <row r="378" spans="1:11" ht="15.75">
      <c r="A378" s="10"/>
      <c r="B378" s="10"/>
      <c r="C378" s="15" t="s">
        <v>10</v>
      </c>
      <c r="D378" s="54" t="s">
        <v>4</v>
      </c>
      <c r="E378" s="16" t="str">
        <f>PROPER(IF(E377=0,"nol",IF(E377&lt;0,"minus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377),"000000000000000"),1,3)=0,"",MID(TEXT(ABS(E377),"000000000000000"),1,1)&amp;" ratus "&amp;MID(TEXT(ABS(E377),"000000000000000"),2,1)&amp;" puluh "&amp;MID(TEXT(ABS(E377),"000000000000000"),3,1)&amp;" trilyun ")&amp;IF(--MID(TEXT(ABS(E377),"000000000000000"),4,3)=0,"",MID(TEXT(ABS(E377),"000000000000000"),4,1)&amp;" ratus "&amp;MID(TEXT(ABS(E377),"000000000000000"),5,1)&amp;" puluh "&amp;MID(TEXT(ABS(E377),"000000000000000"),6,1)&amp;" milyar ")&amp;IF(--MID(TEXT(ABS(E377),"000000000000000"),7,3)=0,"",MID(TEXT(ABS(E377),"000000000000000"),7,1)&amp;" ratus "&amp;MID(TEXT(ABS(E377),"000000000000000"),8,1)&amp;" puluh "&amp;MID(TEXT(ABS(E377),"000000000000000"),9,1)&amp;" juta ")&amp;IF(--MID(TEXT(ABS(E377),"000000000000000"),10,3)=0,"",IF(--MID(TEXT(ABS(E377),"000000000000000"),10,3)=1,"*",MID(TEXT(ABS(E377),"000000000000000"),10,1)&amp;" ratus "&amp;MID(TEXT(ABS(E377),"000000000000000"),11,1)&amp;" puluh ")&amp;MID(TEXT(ABS(E377),"000000000000000"),12,1)&amp;" ribu ")&amp;IF(--MID(TEXT(ABS(E377),"000000000000000"),13,3)=0,"",MID(TEXT(ABS(E377),"000000000000000"),13,1)&amp;" ratus "&amp;MID(TEXT(ABS(E377),"000000000000000"),14,1)&amp;" puluh "&amp;MID(TEXT(ABS(E377),"000000000000000"),15,1)),1,"satu"),2,"dua"),3,"tiga"),4,"empat"),5,"lima"),6,"enam"),7,"tujuh"),8,"delapan"),9,"sembilan"),"0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378" s="11"/>
      <c r="G378" s="16"/>
      <c r="H378" s="12"/>
      <c r="I378" s="12"/>
      <c r="J378" s="12"/>
      <c r="K378" s="9"/>
    </row>
    <row r="379" spans="1:11" ht="15.75">
      <c r="A379" s="10"/>
      <c r="B379" s="10"/>
      <c r="C379" s="15"/>
      <c r="D379" s="15"/>
      <c r="E379" s="15"/>
      <c r="F379" s="11"/>
      <c r="G379" s="16"/>
      <c r="H379" s="12"/>
      <c r="I379" s="12"/>
      <c r="J379" s="12"/>
      <c r="K379" s="9"/>
    </row>
    <row r="380" spans="1:11">
      <c r="A380" s="10" t="s">
        <v>11</v>
      </c>
      <c r="B380" s="10"/>
      <c r="C380" s="10"/>
      <c r="D380" s="10"/>
      <c r="E380" s="10"/>
      <c r="F380" s="10"/>
      <c r="G380" s="10"/>
      <c r="H380" s="12"/>
      <c r="I380" s="12"/>
      <c r="J380" s="12"/>
      <c r="K380" s="9"/>
    </row>
    <row r="381" spans="1:11">
      <c r="A381" s="61" t="s">
        <v>12</v>
      </c>
      <c r="B381" s="61"/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1:11" ht="60">
      <c r="A382" s="17" t="s">
        <v>13</v>
      </c>
      <c r="B382" s="18" t="s">
        <v>14</v>
      </c>
      <c r="C382" s="62" t="s">
        <v>15</v>
      </c>
      <c r="D382" s="63"/>
      <c r="E382" s="64"/>
      <c r="F382" s="19"/>
      <c r="G382" s="20" t="s">
        <v>16</v>
      </c>
      <c r="H382" s="21" t="s">
        <v>36</v>
      </c>
      <c r="I382" s="21"/>
      <c r="J382" s="31" t="s">
        <v>17</v>
      </c>
      <c r="K382" s="32" t="s">
        <v>18</v>
      </c>
    </row>
    <row r="383" spans="1:11">
      <c r="A383" s="27">
        <v>1</v>
      </c>
      <c r="B383" s="24"/>
      <c r="C383" s="28" t="s">
        <v>23</v>
      </c>
      <c r="D383" s="60"/>
      <c r="E383" s="26"/>
      <c r="F383" s="25"/>
      <c r="G383" s="55" t="s">
        <v>19</v>
      </c>
      <c r="H383" s="55" t="s">
        <v>19</v>
      </c>
      <c r="I383" s="55"/>
      <c r="J383" s="55" t="s">
        <v>19</v>
      </c>
      <c r="K383" s="55" t="s">
        <v>19</v>
      </c>
    </row>
    <row r="384" spans="1:11">
      <c r="A384" s="24"/>
      <c r="B384" s="56" t="s">
        <v>20</v>
      </c>
      <c r="C384" s="25" t="s">
        <v>23</v>
      </c>
      <c r="D384" s="10"/>
      <c r="E384" s="26"/>
      <c r="F384" s="25"/>
      <c r="G384" s="22">
        <v>123255000</v>
      </c>
      <c r="H384" s="23">
        <f>H339+J339</f>
        <v>38424962</v>
      </c>
      <c r="I384" s="23"/>
      <c r="J384" s="33">
        <v>20000</v>
      </c>
      <c r="K384" s="34">
        <f t="shared" ref="K384:K386" si="15">G384-H384-J384</f>
        <v>84810038</v>
      </c>
    </row>
    <row r="385" spans="1:11">
      <c r="A385" s="24"/>
      <c r="B385" s="56" t="s">
        <v>21</v>
      </c>
      <c r="C385" s="25" t="s">
        <v>24</v>
      </c>
      <c r="D385" s="10"/>
      <c r="E385" s="26"/>
      <c r="F385" s="25"/>
      <c r="G385" s="22">
        <v>5000000</v>
      </c>
      <c r="H385" s="23">
        <f>H340+J340</f>
        <v>3655300</v>
      </c>
      <c r="I385" s="23"/>
      <c r="J385" s="33">
        <v>0</v>
      </c>
      <c r="K385" s="34">
        <f t="shared" si="15"/>
        <v>1344700</v>
      </c>
    </row>
    <row r="386" spans="1:11">
      <c r="A386" s="24"/>
      <c r="B386" s="56" t="s">
        <v>22</v>
      </c>
      <c r="C386" s="25" t="s">
        <v>25</v>
      </c>
      <c r="D386" s="10"/>
      <c r="E386" s="26"/>
      <c r="F386" s="25"/>
      <c r="G386" s="22">
        <v>1000000</v>
      </c>
      <c r="H386" s="23">
        <f t="shared" ref="H386" si="16">H341+J341</f>
        <v>0</v>
      </c>
      <c r="I386" s="57"/>
      <c r="J386" s="58">
        <v>0</v>
      </c>
      <c r="K386" s="59">
        <f t="shared" si="15"/>
        <v>1000000</v>
      </c>
    </row>
    <row r="387" spans="1:11">
      <c r="A387" s="35"/>
      <c r="B387" s="35"/>
      <c r="C387" s="35" t="s">
        <v>26</v>
      </c>
      <c r="D387" s="35"/>
      <c r="E387" s="35"/>
      <c r="F387" s="36"/>
      <c r="G387" s="37">
        <f>SUM(G383:G386)</f>
        <v>129255000</v>
      </c>
      <c r="H387" s="38">
        <f>SUM(H383:H386)</f>
        <v>42080262</v>
      </c>
      <c r="I387" s="38"/>
      <c r="J387" s="38">
        <f>SUM(J383:J386)</f>
        <v>20000</v>
      </c>
      <c r="K387" s="38">
        <f>SUM(K383:K386)</f>
        <v>87154738</v>
      </c>
    </row>
    <row r="388" spans="1:11">
      <c r="A388" s="39"/>
      <c r="B388" s="8"/>
      <c r="C388" s="8"/>
      <c r="D388" s="8"/>
      <c r="E388" s="8"/>
      <c r="F388" s="8"/>
      <c r="G388" s="40"/>
      <c r="H388" s="40"/>
      <c r="I388" s="40"/>
      <c r="J388" s="40"/>
      <c r="K388" s="40"/>
    </row>
    <row r="389" spans="1:11">
      <c r="A389" s="65" t="s">
        <v>27</v>
      </c>
      <c r="B389" s="65"/>
      <c r="C389" s="65"/>
      <c r="D389" s="11" t="s">
        <v>4</v>
      </c>
      <c r="E389" s="14">
        <f>J387</f>
        <v>20000</v>
      </c>
      <c r="F389" s="41"/>
      <c r="G389" s="42"/>
      <c r="H389" s="42"/>
      <c r="I389" s="42"/>
      <c r="J389" s="9"/>
      <c r="K389" s="9"/>
    </row>
    <row r="390" spans="1:11">
      <c r="A390" s="10" t="s">
        <v>28</v>
      </c>
      <c r="B390" s="10"/>
      <c r="C390" s="10"/>
      <c r="D390" s="11" t="s">
        <v>4</v>
      </c>
      <c r="E390" s="43"/>
      <c r="F390" s="43"/>
      <c r="G390" s="44"/>
      <c r="H390" s="12"/>
      <c r="I390" s="12"/>
      <c r="J390" s="9"/>
      <c r="K390" s="9"/>
    </row>
    <row r="391" spans="1:11">
      <c r="A391" s="10" t="s">
        <v>29</v>
      </c>
      <c r="B391" s="10"/>
      <c r="C391" s="10"/>
      <c r="D391" s="11" t="s">
        <v>4</v>
      </c>
      <c r="E391" s="45"/>
      <c r="F391" s="45"/>
      <c r="G391" s="44"/>
      <c r="H391" s="12"/>
      <c r="I391" s="12"/>
      <c r="J391" s="9"/>
      <c r="K391" s="9"/>
    </row>
    <row r="392" spans="1:11">
      <c r="A392" s="10" t="s">
        <v>30</v>
      </c>
      <c r="B392" s="10"/>
      <c r="C392" s="10"/>
      <c r="D392" s="11" t="s">
        <v>4</v>
      </c>
      <c r="E392" s="45">
        <f>E390+E391</f>
        <v>0</v>
      </c>
      <c r="F392" s="45"/>
      <c r="G392" s="10"/>
      <c r="H392" s="12"/>
      <c r="I392" s="12"/>
      <c r="J392" s="47"/>
      <c r="K392" s="47"/>
    </row>
    <row r="393" spans="1:11">
      <c r="A393" s="13"/>
      <c r="B393" s="13"/>
      <c r="C393" s="13"/>
      <c r="D393" s="11"/>
      <c r="E393" s="13"/>
      <c r="F393" s="13"/>
      <c r="G393" s="10"/>
      <c r="H393" s="12"/>
      <c r="I393" s="12"/>
      <c r="J393" s="47"/>
      <c r="K393" s="47"/>
    </row>
    <row r="394" spans="1:11">
      <c r="A394" s="65" t="s">
        <v>31</v>
      </c>
      <c r="B394" s="65"/>
      <c r="C394" s="65"/>
      <c r="D394" s="11" t="s">
        <v>4</v>
      </c>
      <c r="E394" s="41">
        <f>E389-E392</f>
        <v>20000</v>
      </c>
      <c r="F394" s="41"/>
      <c r="G394" s="10"/>
      <c r="H394" s="12"/>
      <c r="I394" s="12"/>
      <c r="J394" s="47"/>
      <c r="K394" s="47"/>
    </row>
    <row r="395" spans="1:11" ht="15.75">
      <c r="A395" s="13"/>
      <c r="B395" s="13"/>
      <c r="C395" s="10"/>
      <c r="D395" s="10"/>
      <c r="E395" s="16" t="str">
        <f>PROPER(IF(E394=0,"nol",IF(E394&lt;0,"minus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394),"000000000000000"),1,3)=0,"",MID(TEXT(ABS(E394),"000000000000000"),1,1)&amp;" ratus "&amp;MID(TEXT(ABS(E394),"000000000000000"),2,1)&amp;" puluh "&amp;MID(TEXT(ABS(E394),"000000000000000"),3,1)&amp;" trilyun ")&amp;IF(--MID(TEXT(ABS(E394),"000000000000000"),4,3)=0,"",MID(TEXT(ABS(E394),"000000000000000"),4,1)&amp;" ratus "&amp;MID(TEXT(ABS(E394),"000000000000000"),5,1)&amp;" puluh "&amp;MID(TEXT(ABS(E394),"000000000000000"),6,1)&amp;" milyar ")&amp;IF(--MID(TEXT(ABS(E394),"000000000000000"),7,3)=0,"",MID(TEXT(ABS(E394),"000000000000000"),7,1)&amp;" ratus "&amp;MID(TEXT(ABS(E394),"000000000000000"),8,1)&amp;" puluh "&amp;MID(TEXT(ABS(E394),"000000000000000"),9,1)&amp;" juta ")&amp;IF(--MID(TEXT(ABS(E394),"000000000000000"),10,3)=0,"",IF(--MID(TEXT(ABS(E394),"000000000000000"),10,3)=1,"*",MID(TEXT(ABS(E394),"000000000000000"),10,1)&amp;" ratus "&amp;MID(TEXT(ABS(E394),"000000000000000"),11,1)&amp;" puluh ")&amp;MID(TEXT(ABS(E394),"000000000000000"),12,1)&amp;" ribu ")&amp;IF(--MID(TEXT(ABS(E394),"000000000000000"),13,3)=0,"",MID(TEXT(ABS(E394),"000000000000000"),13,1)&amp;" ratus "&amp;MID(TEXT(ABS(E394),"000000000000000"),14,1)&amp;" puluh "&amp;MID(TEXT(ABS(E394),"000000000000000"),15,1)),1,"satu"),2,"dua"),3,"tiga"),4,"empat"),5,"lima"),6,"enam"),7,"tujuh"),8,"delapan"),9,"sembilan"),"0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395" s="10"/>
      <c r="G395" s="10"/>
      <c r="H395" s="10"/>
      <c r="I395" s="10"/>
      <c r="J395" s="47"/>
      <c r="K395" s="47"/>
    </row>
    <row r="396" spans="1:11">
      <c r="A396" s="46"/>
      <c r="B396" s="46"/>
      <c r="C396" s="46"/>
      <c r="D396" s="46"/>
      <c r="E396" s="46"/>
      <c r="F396" s="46"/>
      <c r="G396" s="29"/>
      <c r="H396" s="47"/>
      <c r="I396" s="47"/>
      <c r="J396" s="47"/>
      <c r="K396" s="47"/>
    </row>
    <row r="397" spans="1:11">
      <c r="A397" s="29"/>
      <c r="B397" s="29"/>
      <c r="C397" s="29"/>
      <c r="D397" s="29"/>
      <c r="E397" s="29"/>
      <c r="F397" s="29"/>
      <c r="G397" s="29"/>
      <c r="H397"/>
      <c r="I397"/>
      <c r="J397" s="47"/>
      <c r="K397" s="47"/>
    </row>
    <row r="398" spans="1:11">
      <c r="A398" s="13"/>
      <c r="B398" s="13"/>
      <c r="C398" s="10"/>
      <c r="D398" s="10"/>
      <c r="E398" s="10"/>
      <c r="F398" s="10"/>
      <c r="G398" s="10"/>
      <c r="H398" s="48"/>
      <c r="I398" s="48"/>
      <c r="J398" s="48" t="s">
        <v>64</v>
      </c>
      <c r="K398" s="47"/>
    </row>
    <row r="399" spans="1:11">
      <c r="A399" s="12" t="s">
        <v>32</v>
      </c>
      <c r="B399" s="10"/>
      <c r="C399" s="10"/>
      <c r="D399" s="10"/>
      <c r="E399" s="10"/>
      <c r="F399" s="10"/>
      <c r="G399" s="10"/>
      <c r="H399" s="12"/>
      <c r="I399" s="12"/>
      <c r="J399" s="12" t="s">
        <v>33</v>
      </c>
      <c r="K399" s="47"/>
    </row>
    <row r="400" spans="1:11">
      <c r="A400" s="10"/>
      <c r="B400" s="10"/>
      <c r="C400" s="10"/>
      <c r="D400" s="10"/>
      <c r="E400" s="10"/>
      <c r="F400" s="10"/>
      <c r="G400" s="10"/>
      <c r="H400" s="12"/>
      <c r="I400" s="12"/>
      <c r="J400" s="12"/>
      <c r="K400" s="47"/>
    </row>
    <row r="401" spans="1:11">
      <c r="A401" s="10"/>
      <c r="B401" s="10"/>
      <c r="C401" s="10"/>
      <c r="D401" s="10"/>
      <c r="E401" s="10"/>
      <c r="F401" s="10"/>
      <c r="G401" s="10"/>
      <c r="H401" s="12"/>
      <c r="I401" s="12"/>
      <c r="J401" s="12"/>
      <c r="K401" s="47"/>
    </row>
    <row r="402" spans="1:11">
      <c r="A402" s="10"/>
      <c r="B402" s="10"/>
      <c r="C402" s="10"/>
      <c r="D402" s="10"/>
      <c r="E402" s="10"/>
      <c r="F402" s="10"/>
      <c r="G402" s="10"/>
      <c r="H402" s="12"/>
      <c r="I402" s="12"/>
      <c r="J402" s="12"/>
      <c r="K402" s="47"/>
    </row>
    <row r="403" spans="1:11">
      <c r="A403" s="10"/>
      <c r="B403" s="10"/>
      <c r="C403" s="10"/>
      <c r="D403" s="10"/>
      <c r="E403" s="10"/>
      <c r="F403" s="10"/>
      <c r="G403" s="10"/>
      <c r="H403" s="12"/>
      <c r="I403" s="12"/>
      <c r="J403" s="12"/>
      <c r="K403" s="47"/>
    </row>
    <row r="404" spans="1:11">
      <c r="A404" s="49" t="s">
        <v>37</v>
      </c>
      <c r="B404" s="49"/>
      <c r="C404" s="50"/>
      <c r="D404" s="50"/>
      <c r="E404" s="50"/>
      <c r="F404" s="50"/>
      <c r="G404" s="10" t="s">
        <v>34</v>
      </c>
      <c r="H404" s="49"/>
      <c r="I404" s="49"/>
      <c r="J404" s="49" t="s">
        <v>35</v>
      </c>
      <c r="K404" s="47"/>
    </row>
  </sheetData>
  <mergeCells count="81">
    <mergeCell ref="A55:K55"/>
    <mergeCell ref="A8:K8"/>
    <mergeCell ref="A9:K9"/>
    <mergeCell ref="A10:K10"/>
    <mergeCell ref="A11:K11"/>
    <mergeCell ref="A12:K12"/>
    <mergeCell ref="A21:K21"/>
    <mergeCell ref="C22:E22"/>
    <mergeCell ref="A29:C29"/>
    <mergeCell ref="A34:C34"/>
    <mergeCell ref="A53:K53"/>
    <mergeCell ref="A54:K54"/>
    <mergeCell ref="A111:K111"/>
    <mergeCell ref="A56:K56"/>
    <mergeCell ref="A57:K57"/>
    <mergeCell ref="A66:K66"/>
    <mergeCell ref="C67:E67"/>
    <mergeCell ref="A74:C74"/>
    <mergeCell ref="A79:C79"/>
    <mergeCell ref="A98:K98"/>
    <mergeCell ref="A99:K99"/>
    <mergeCell ref="A100:K100"/>
    <mergeCell ref="A101:K101"/>
    <mergeCell ref="A102:K102"/>
    <mergeCell ref="A169:C169"/>
    <mergeCell ref="C112:E112"/>
    <mergeCell ref="A119:C119"/>
    <mergeCell ref="A124:C124"/>
    <mergeCell ref="A143:K143"/>
    <mergeCell ref="A144:K144"/>
    <mergeCell ref="A145:K145"/>
    <mergeCell ref="A146:K146"/>
    <mergeCell ref="A147:K147"/>
    <mergeCell ref="A156:K156"/>
    <mergeCell ref="C157:E157"/>
    <mergeCell ref="A164:C164"/>
    <mergeCell ref="A235:K235"/>
    <mergeCell ref="A188:K188"/>
    <mergeCell ref="A189:K189"/>
    <mergeCell ref="A190:K190"/>
    <mergeCell ref="A191:K191"/>
    <mergeCell ref="A192:K192"/>
    <mergeCell ref="A201:K201"/>
    <mergeCell ref="C202:E202"/>
    <mergeCell ref="A209:C209"/>
    <mergeCell ref="A214:C214"/>
    <mergeCell ref="A233:K233"/>
    <mergeCell ref="A234:K234"/>
    <mergeCell ref="A291:K291"/>
    <mergeCell ref="A236:K236"/>
    <mergeCell ref="A237:K237"/>
    <mergeCell ref="A246:K246"/>
    <mergeCell ref="C247:E247"/>
    <mergeCell ref="A254:C254"/>
    <mergeCell ref="A259:C259"/>
    <mergeCell ref="A278:K278"/>
    <mergeCell ref="A279:K279"/>
    <mergeCell ref="A280:K280"/>
    <mergeCell ref="A281:K281"/>
    <mergeCell ref="A282:K282"/>
    <mergeCell ref="A349:C349"/>
    <mergeCell ref="C292:E292"/>
    <mergeCell ref="A299:C299"/>
    <mergeCell ref="A304:C304"/>
    <mergeCell ref="A323:K323"/>
    <mergeCell ref="A324:K324"/>
    <mergeCell ref="A325:K325"/>
    <mergeCell ref="A326:K326"/>
    <mergeCell ref="A327:K327"/>
    <mergeCell ref="A336:K336"/>
    <mergeCell ref="C337:E337"/>
    <mergeCell ref="A344:C344"/>
    <mergeCell ref="C382:E382"/>
    <mergeCell ref="A389:C389"/>
    <mergeCell ref="A394:C394"/>
    <mergeCell ref="A368:K368"/>
    <mergeCell ref="A369:K369"/>
    <mergeCell ref="A370:K370"/>
    <mergeCell ref="A371:K371"/>
    <mergeCell ref="A372:K372"/>
    <mergeCell ref="A381:K381"/>
  </mergeCells>
  <pageMargins left="0.23622047244094491" right="0.23622047244094491" top="0.19685039370078741" bottom="0.74803149606299213" header="0.31496062992125984" footer="0.31496062992125984"/>
  <pageSetup paperSize="9" scale="85" orientation="portrait" horizontalDpi="4294967293" r:id="rId1"/>
  <rowBreaks count="8" manualBreakCount="8">
    <brk id="45" max="10" man="1"/>
    <brk id="90" max="10" man="1"/>
    <brk id="135" max="10" man="1"/>
    <brk id="180" max="10" man="1"/>
    <brk id="225" max="10" man="1"/>
    <brk id="270" max="10" man="1"/>
    <brk id="315" max="10" man="1"/>
    <brk id="36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2026-03-06T07:59:19Z</cp:lastPrinted>
  <dcterms:created xsi:type="dcterms:W3CDTF">2017-02-01T01:06:00Z</dcterms:created>
  <dcterms:modified xsi:type="dcterms:W3CDTF">2026-03-06T08:03:58Z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