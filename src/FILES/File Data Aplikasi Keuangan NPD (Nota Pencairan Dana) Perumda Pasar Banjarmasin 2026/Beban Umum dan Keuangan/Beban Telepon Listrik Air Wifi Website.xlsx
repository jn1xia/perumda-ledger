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E:\NPD 2026\Beban Umum dan Keuangan\"/>
    </mc:Choice>
  </mc:AlternateContent>
  <xr:revisionPtr revIDLastSave="0" documentId="13_ncr:1_{BC66236B-FA53-4FA5-97A8-A44D7503A3F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JANUARI" sheetId="15" r:id="rId1"/>
    <sheet name="FEBRUARI" sheetId="16" r:id="rId2"/>
    <sheet name="MARET" sheetId="17" r:id="rId3"/>
  </sheets>
  <definedNames>
    <definedName name="_xlnm.Print_Area" localSheetId="1">FEBRUARI!$A$1:$K$250</definedName>
    <definedName name="_xlnm.Print_Area" localSheetId="0">JANUARI!$A$1:$K$160</definedName>
    <definedName name="_xlnm.Print_Area" localSheetId="2">MARET!$A$1:$K$250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17" l="1"/>
  <c r="H26" i="17"/>
  <c r="H27" i="17"/>
  <c r="H28" i="17"/>
  <c r="H24" i="17"/>
  <c r="E175" i="17"/>
  <c r="J170" i="17"/>
  <c r="E172" i="17" s="1"/>
  <c r="E177" i="17" s="1"/>
  <c r="E178" i="17" s="1"/>
  <c r="G170" i="17"/>
  <c r="E158" i="17"/>
  <c r="E159" i="17" s="1"/>
  <c r="E128" i="17"/>
  <c r="J123" i="17"/>
  <c r="E125" i="17" s="1"/>
  <c r="E130" i="17" s="1"/>
  <c r="E131" i="17" s="1"/>
  <c r="G123" i="17"/>
  <c r="E111" i="17"/>
  <c r="E112" i="17" s="1"/>
  <c r="E81" i="17"/>
  <c r="J76" i="17"/>
  <c r="E78" i="17" s="1"/>
  <c r="E83" i="17" s="1"/>
  <c r="E84" i="17" s="1"/>
  <c r="G76" i="17"/>
  <c r="E64" i="17"/>
  <c r="E65" i="17" s="1"/>
  <c r="E34" i="17"/>
  <c r="J29" i="17"/>
  <c r="E31" i="17" s="1"/>
  <c r="E36" i="17" s="1"/>
  <c r="E37" i="17" s="1"/>
  <c r="G29" i="17"/>
  <c r="E17" i="17"/>
  <c r="E18" i="17" s="1"/>
  <c r="H165" i="16"/>
  <c r="E175" i="16"/>
  <c r="J170" i="16"/>
  <c r="G170" i="16"/>
  <c r="H169" i="16"/>
  <c r="K169" i="16" s="1"/>
  <c r="H168" i="16"/>
  <c r="K168" i="16" s="1"/>
  <c r="H167" i="16"/>
  <c r="K167" i="16" s="1"/>
  <c r="H166" i="16"/>
  <c r="K166" i="16" s="1"/>
  <c r="E128" i="16"/>
  <c r="J123" i="16"/>
  <c r="E125" i="16" s="1"/>
  <c r="E130" i="16" s="1"/>
  <c r="E131" i="16" s="1"/>
  <c r="G123" i="16"/>
  <c r="H122" i="16"/>
  <c r="K122" i="16" s="1"/>
  <c r="H121" i="16"/>
  <c r="H123" i="16" s="1"/>
  <c r="H120" i="16"/>
  <c r="K120" i="16" s="1"/>
  <c r="H119" i="16"/>
  <c r="K119" i="16" s="1"/>
  <c r="H118" i="16"/>
  <c r="K118" i="16" s="1"/>
  <c r="H75" i="16"/>
  <c r="H25" i="16"/>
  <c r="H26" i="16"/>
  <c r="H27" i="16"/>
  <c r="H28" i="16"/>
  <c r="H24" i="16"/>
  <c r="H29" i="16" s="1"/>
  <c r="E81" i="16"/>
  <c r="J76" i="16"/>
  <c r="E78" i="16" s="1"/>
  <c r="E83" i="16" s="1"/>
  <c r="E84" i="16" s="1"/>
  <c r="G76" i="16"/>
  <c r="H74" i="16"/>
  <c r="K74" i="16" s="1"/>
  <c r="H73" i="16"/>
  <c r="K73" i="16" s="1"/>
  <c r="H72" i="16"/>
  <c r="K72" i="16" s="1"/>
  <c r="E64" i="16"/>
  <c r="E65" i="16" s="1"/>
  <c r="E34" i="16"/>
  <c r="J29" i="16"/>
  <c r="E31" i="16" s="1"/>
  <c r="E36" i="16" s="1"/>
  <c r="E37" i="16" s="1"/>
  <c r="G29" i="16"/>
  <c r="K28" i="16"/>
  <c r="K27" i="16"/>
  <c r="K26" i="16"/>
  <c r="K25" i="16"/>
  <c r="H72" i="15"/>
  <c r="K72" i="15" s="1"/>
  <c r="H73" i="15"/>
  <c r="K73" i="15" s="1"/>
  <c r="H74" i="15"/>
  <c r="K74" i="15" s="1"/>
  <c r="H75" i="15"/>
  <c r="K75" i="15" s="1"/>
  <c r="H71" i="15"/>
  <c r="E81" i="15"/>
  <c r="J76" i="15"/>
  <c r="E64" i="15" s="1"/>
  <c r="E65" i="15" s="1"/>
  <c r="G76" i="15"/>
  <c r="E34" i="15"/>
  <c r="J29" i="15"/>
  <c r="E31" i="15" s="1"/>
  <c r="E36" i="15" s="1"/>
  <c r="E37" i="15" s="1"/>
  <c r="G29" i="15"/>
  <c r="K27" i="15"/>
  <c r="K26" i="15"/>
  <c r="K25" i="15"/>
  <c r="H75" i="17" l="1"/>
  <c r="K28" i="17"/>
  <c r="H74" i="17"/>
  <c r="K27" i="17"/>
  <c r="H73" i="17"/>
  <c r="K26" i="17"/>
  <c r="H72" i="17"/>
  <c r="K25" i="17"/>
  <c r="H71" i="17"/>
  <c r="H29" i="17"/>
  <c r="K24" i="17"/>
  <c r="K29" i="17" s="1"/>
  <c r="E172" i="16"/>
  <c r="E177" i="16" s="1"/>
  <c r="E178" i="16" s="1"/>
  <c r="E158" i="16"/>
  <c r="E159" i="16" s="1"/>
  <c r="H170" i="16"/>
  <c r="K165" i="16"/>
  <c r="K170" i="16" s="1"/>
  <c r="E111" i="16"/>
  <c r="E112" i="16" s="1"/>
  <c r="K121" i="16"/>
  <c r="K123" i="16" s="1"/>
  <c r="E17" i="16"/>
  <c r="E18" i="16" s="1"/>
  <c r="H71" i="16"/>
  <c r="K71" i="16" s="1"/>
  <c r="K24" i="16"/>
  <c r="K29" i="16" s="1"/>
  <c r="K75" i="16"/>
  <c r="H76" i="15"/>
  <c r="K71" i="15"/>
  <c r="K76" i="15" s="1"/>
  <c r="E78" i="15"/>
  <c r="E83" i="15" s="1"/>
  <c r="E84" i="15" s="1"/>
  <c r="H29" i="15"/>
  <c r="K28" i="15"/>
  <c r="E17" i="15"/>
  <c r="E18" i="15" s="1"/>
  <c r="K75" i="17" l="1"/>
  <c r="H122" i="17"/>
  <c r="K74" i="17"/>
  <c r="H121" i="17"/>
  <c r="K73" i="17"/>
  <c r="H120" i="17"/>
  <c r="K72" i="17"/>
  <c r="H119" i="17"/>
  <c r="K71" i="17"/>
  <c r="K76" i="17" s="1"/>
  <c r="H76" i="17"/>
  <c r="H118" i="17"/>
  <c r="K76" i="16"/>
  <c r="H76" i="16"/>
  <c r="K24" i="15"/>
  <c r="K29" i="15" s="1"/>
  <c r="K122" i="17" l="1"/>
  <c r="H169" i="17"/>
  <c r="K169" i="17" s="1"/>
  <c r="K121" i="17"/>
  <c r="H168" i="17"/>
  <c r="K168" i="17" s="1"/>
  <c r="K120" i="17"/>
  <c r="H167" i="17"/>
  <c r="K167" i="17" s="1"/>
  <c r="K119" i="17"/>
  <c r="H166" i="17"/>
  <c r="K166" i="17" s="1"/>
  <c r="K118" i="17"/>
  <c r="K123" i="17" s="1"/>
  <c r="H123" i="17"/>
  <c r="H165" i="17"/>
  <c r="K165" i="17" l="1"/>
  <c r="K170" i="17" s="1"/>
  <c r="H170" i="17"/>
</calcChain>
</file>

<file path=xl/sharedStrings.xml><?xml version="1.0" encoding="utf-8"?>
<sst xmlns="http://schemas.openxmlformats.org/spreadsheetml/2006/main" count="580" uniqueCount="58">
  <si>
    <t>NOTA PENCIRAN DANA (NPD)</t>
  </si>
  <si>
    <t>BENDAHARA PENGELUARAN</t>
  </si>
  <si>
    <t>Supaya Mencairkan Dana</t>
  </si>
  <si>
    <t xml:space="preserve">1. Sub Kegiatan                                                       </t>
  </si>
  <si>
    <t>:</t>
  </si>
  <si>
    <t>Beban Umum &amp; Keuangan</t>
  </si>
  <si>
    <t xml:space="preserve">2. Nomor                                                          </t>
  </si>
  <si>
    <t>2.1.4</t>
  </si>
  <si>
    <t xml:space="preserve">3. Tahun Anggaran                                           </t>
  </si>
  <si>
    <t xml:space="preserve">4. Jumlah Yang Diminta                                    </t>
  </si>
  <si>
    <t xml:space="preserve">                                                                                                                          </t>
  </si>
  <si>
    <t xml:space="preserve">                                                                         </t>
  </si>
  <si>
    <t xml:space="preserve">         Pembebanan Pada Kode Rekening</t>
  </si>
  <si>
    <t>NO</t>
  </si>
  <si>
    <t>Kode</t>
  </si>
  <si>
    <t>Uraian</t>
  </si>
  <si>
    <t>Anggaran</t>
  </si>
  <si>
    <t>Pencairan Saat ini</t>
  </si>
  <si>
    <t>Sisa Anggaran</t>
  </si>
  <si>
    <t>---------------</t>
  </si>
  <si>
    <t>1.1</t>
  </si>
  <si>
    <t>1.2</t>
  </si>
  <si>
    <t>1.3</t>
  </si>
  <si>
    <t>Beban Telepon/Listrik/Air/Wifi/Website</t>
  </si>
  <si>
    <t>Biaya Air</t>
  </si>
  <si>
    <t>Biaya Listrik</t>
  </si>
  <si>
    <t>Biaya Wifi/Internet</t>
  </si>
  <si>
    <t>JUMLAH</t>
  </si>
  <si>
    <t xml:space="preserve">Jumlah  Yang Diminta          </t>
  </si>
  <si>
    <t xml:space="preserve">PPN                                                </t>
  </si>
  <si>
    <t xml:space="preserve">PPh Psl 21/22/23/4(2)                    </t>
  </si>
  <si>
    <t xml:space="preserve">Jumlah Potongan                 </t>
  </si>
  <si>
    <t xml:space="preserve">Jumlah yang dibayarkan        </t>
  </si>
  <si>
    <t>MENGETAHUI</t>
  </si>
  <si>
    <t>YANG MEMBUAT</t>
  </si>
  <si>
    <t xml:space="preserve">                                  </t>
  </si>
  <si>
    <t>M. ZULKIFLI</t>
  </si>
  <si>
    <t>Akumulasi Pencairan dana Bulan Januari s/d Desember</t>
  </si>
  <si>
    <t>Biaya Website dan Aplikasi</t>
  </si>
  <si>
    <t>1.4</t>
  </si>
  <si>
    <t>1.5</t>
  </si>
  <si>
    <t>IRNA WAHYUNI N.</t>
  </si>
  <si>
    <t>PERUMDA PASAR BANJARMASIN</t>
  </si>
  <si>
    <t>Biaya Telepon/Pulsa/Paket Data Hp Operasional</t>
  </si>
  <si>
    <r>
      <t>Nomor : 23/DIV-KEU/PPB/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</si>
  <si>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12 Januari 2026</t>
  </si>
  <si>
    <r>
      <t>Nomor : 02/DIV-KEU/PPB/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</si>
  <si>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02 Januari 2026</t>
  </si>
  <si>
    <r>
      <t>Nomor : 109/DIV-KEU/PPB/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</si>
  <si>
    <t>Banjarmasin, 03 Februari 2026</t>
  </si>
  <si>
    <r>
      <t>Nomor : 045/DIV-KEU/PPB/I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</si>
  <si>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09 Februari 2026</t>
  </si>
  <si>
    <r>
      <t>Nomor : 049/DIV-KEU/PPB/I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</si>
  <si>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10 Februari 2026</t>
  </si>
  <si>
    <r>
      <t>Nomor : 089/DIV-KEU/PPB/I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</si>
  <si>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23 Februari 2026</t>
  </si>
  <si>
    <t>Banjarmasin, 16 Maret 2026</t>
  </si>
  <si>
    <r>
      <t>Nomor : 034/DIV-KEU/PPB/I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</si>
</sst>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164" formatCode="_(* #,##0.00_);_(* \(#,##0.00\);_(* &quot;-&quot;??_);_(@_)"/>
    <numFmt numFmtId="165" formatCode="_(* #,##0_);_(* \(#,##0\);_(* &quot;-&quot;_);_(@_)"/>
    <numFmt numFmtId="166" formatCode="_(&quot;Rp&quot;* #,##0_);_(&quot;Rp&quot;* \(#,##0\);_(&quot;Rp&quot;* &quot;-&quot;_);_(@_)"/>
    <numFmt numFmtId="167" formatCode="_(* #,##0_);_(* \(#,##0\);_(* &quot;-&quot;??_);_(@_)"/>
    <numFmt numFmtId="168" formatCode="_-[$Rp-421]* #,##0_-;\-[$Rp-421]* #,##0_-;_-[$Rp-421]* &quot;-&quot;_-;_-@_-"/>
  </numFmts>
  <fonts count="16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u/>
      <sz val="11"/>
      <color indexed="8"/>
      <name val="Times New Roman"/>
      <family val="1"/>
    </font>
    <font>
      <sz val="11"/>
      <color theme="1"/>
      <name val="Times New Roman"/>
      <family val="1"/>
    </font>
    <font>
      <sz val="8"/>
      <color theme="1"/>
      <name val="Calibri"/>
      <family val="2"/>
      <scheme val="minor"/>
    </font>
    <font>
      <sz val="9"/>
      <color theme="1"/>
      <name val="Times New Roman"/>
      <family val="1"/>
    </font>
    <font>
      <sz val="12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3" fillId="0" borderId="0">
      <alignment vertical="top"/>
      <protection locked="0"/>
    </xf>
    <xf numFmtId="166" fontId="12" fillId="0" borderId="0" applyFont="0" applyFill="0" applyBorder="0" applyAlignment="0" applyProtection="0"/>
    <xf numFmtId="0" fontId="14" fillId="0" borderId="0"/>
  </cellStyleXfs>
  <cellXfs count="70">
    <xf numFmtId="0" fontId="0" fillId="0" borderId="0" xfId="0"/>
    <xf numFmtId="164" fontId="0" fillId="0" borderId="0" xfId="1" applyFont="1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1" applyFont="1" applyBorder="1" applyAlignment="1">
      <alignment horizontal="center"/>
    </xf>
    <xf numFmtId="164" fontId="0" fillId="0" borderId="0" xfId="1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164" fontId="4" fillId="0" borderId="0" xfId="1" applyFon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164" fontId="3" fillId="0" borderId="0" xfId="1" applyFont="1" applyBorder="1"/>
    <xf numFmtId="0" fontId="3" fillId="0" borderId="0" xfId="0" applyFont="1" applyAlignment="1">
      <alignment horizontal="left"/>
    </xf>
    <xf numFmtId="42" fontId="3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0" applyFont="1"/>
    <xf numFmtId="0" fontId="3" fillId="0" borderId="2" xfId="4" applyNumberFormat="1" applyFont="1" applyBorder="1" applyAlignment="1">
      <alignment horizontal="left" vertical="center"/>
    </xf>
    <xf numFmtId="0" fontId="3" fillId="0" borderId="3" xfId="4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 wrapText="1"/>
    </xf>
    <xf numFmtId="165" fontId="8" fillId="0" borderId="7" xfId="3" applyFont="1" applyBorder="1" applyAlignment="1" applyProtection="1">
      <alignment horizontal="center"/>
    </xf>
    <xf numFmtId="167" fontId="3" fillId="0" borderId="8" xfId="1" applyNumberFormat="1" applyFont="1" applyBorder="1" applyAlignment="1">
      <alignment horizontal="right" vertical="center"/>
    </xf>
    <xf numFmtId="165" fontId="8" fillId="0" borderId="7" xfId="3" applyFont="1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7" fillId="0" borderId="2" xfId="0" applyFont="1" applyBorder="1" applyAlignment="1">
      <alignment horizontal="center" vertical="center"/>
    </xf>
    <xf numFmtId="0" fontId="7" fillId="0" borderId="6" xfId="0" applyFont="1" applyBorder="1"/>
    <xf numFmtId="0" fontId="9" fillId="0" borderId="0" xfId="0" applyFont="1"/>
    <xf numFmtId="0" fontId="10" fillId="0" borderId="0" xfId="0" applyFont="1"/>
    <xf numFmtId="164" fontId="3" fillId="0" borderId="2" xfId="1" applyFont="1" applyFill="1" applyBorder="1" applyAlignment="1">
      <alignment horizontal="center" vertical="center" wrapText="1"/>
    </xf>
    <xf numFmtId="164" fontId="3" fillId="0" borderId="2" xfId="1" applyFont="1" applyFill="1" applyBorder="1" applyAlignment="1">
      <alignment horizontal="center" vertical="center"/>
    </xf>
    <xf numFmtId="167" fontId="3" fillId="0" borderId="8" xfId="1" applyNumberFormat="1" applyFont="1" applyBorder="1" applyAlignment="1">
      <alignment vertical="center"/>
    </xf>
    <xf numFmtId="167" fontId="3" fillId="0" borderId="8" xfId="1" applyNumberFormat="1" applyFont="1" applyBorder="1" applyAlignment="1">
      <alignment horizontal="right"/>
    </xf>
    <xf numFmtId="167" fontId="3" fillId="0" borderId="8" xfId="1" applyNumberFormat="1" applyFont="1" applyBorder="1"/>
    <xf numFmtId="0" fontId="3" fillId="0" borderId="2" xfId="0" applyFont="1" applyBorder="1"/>
    <xf numFmtId="0" fontId="3" fillId="0" borderId="3" xfId="0" applyFont="1" applyBorder="1"/>
    <xf numFmtId="168" fontId="3" fillId="0" borderId="5" xfId="2" applyNumberFormat="1" applyFont="1" applyBorder="1"/>
    <xf numFmtId="168" fontId="3" fillId="0" borderId="2" xfId="2" applyNumberFormat="1" applyFont="1" applyBorder="1"/>
    <xf numFmtId="0" fontId="4" fillId="0" borderId="4" xfId="0" applyFont="1" applyBorder="1"/>
    <xf numFmtId="168" fontId="4" fillId="0" borderId="4" xfId="2" applyNumberFormat="1" applyFont="1" applyBorder="1"/>
    <xf numFmtId="168" fontId="3" fillId="0" borderId="0" xfId="0" applyNumberFormat="1" applyFont="1" applyAlignment="1">
      <alignment horizontal="left"/>
    </xf>
    <xf numFmtId="164" fontId="3" fillId="0" borderId="0" xfId="1" applyFont="1" applyBorder="1" applyAlignment="1"/>
    <xf numFmtId="168" fontId="3" fillId="0" borderId="0" xfId="0" applyNumberFormat="1" applyFont="1"/>
    <xf numFmtId="164" fontId="3" fillId="0" borderId="0" xfId="0" applyNumberFormat="1" applyFont="1"/>
    <xf numFmtId="166" fontId="3" fillId="0" borderId="0" xfId="0" applyNumberFormat="1" applyFont="1"/>
    <xf numFmtId="0" fontId="9" fillId="0" borderId="0" xfId="0" applyFont="1" applyAlignment="1">
      <alignment horizontal="left"/>
    </xf>
    <xf numFmtId="164" fontId="9" fillId="0" borderId="0" xfId="1" applyFont="1" applyBorder="1"/>
    <xf numFmtId="0" fontId="3" fillId="0" borderId="0" xfId="1" applyNumberFormat="1" applyFont="1" applyBorder="1"/>
    <xf numFmtId="164" fontId="11" fillId="0" borderId="0" xfId="1" applyFont="1" applyBorder="1" applyAlignment="1">
      <alignment horizontal="left"/>
    </xf>
    <xf numFmtId="0" fontId="11" fillId="0" borderId="0" xfId="0" applyFont="1"/>
    <xf numFmtId="164" fontId="7" fillId="0" borderId="0" xfId="1" applyFont="1" applyBorder="1"/>
    <xf numFmtId="0" fontId="7" fillId="0" borderId="0" xfId="0" applyFont="1"/>
    <xf numFmtId="0" fontId="3" fillId="0" borderId="0" xfId="0" quotePrefix="1" applyFont="1"/>
    <xf numFmtId="0" fontId="3" fillId="0" borderId="0" xfId="0" quotePrefix="1" applyFont="1" applyAlignment="1">
      <alignment horizontal="center" vertical="center"/>
    </xf>
    <xf numFmtId="165" fontId="8" fillId="0" borderId="7" xfId="3" quotePrefix="1" applyFont="1" applyBorder="1" applyAlignment="1" applyProtection="1">
      <alignment horizontal="center"/>
    </xf>
    <xf numFmtId="0" fontId="3" fillId="0" borderId="2" xfId="0" quotePrefix="1" applyFont="1" applyBorder="1" applyAlignment="1">
      <alignment horizontal="center" vertical="center"/>
    </xf>
    <xf numFmtId="0" fontId="3" fillId="0" borderId="4" xfId="0" applyFont="1" applyBorder="1"/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6">
    <cellStyle name="Comma" xfId="1" builtinId="3"/>
    <cellStyle name="Comma [0]" xfId="2" builtinId="6"/>
    <cellStyle name="Comma [0] 2 2" xfId="3" xr:uid="{00000000-0005-0000-0000-000031000000}"/>
    <cellStyle name="Currency [0] 7" xfId="4" xr:uid="{00000000-0005-0000-0000-000032000000}"/>
    <cellStyle name="Normal" xfId="0" builtinId="0"/>
    <cellStyle name="Normal 2" xfId="5" xr:uid="{00000000-0005-0000-0000-000033000000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47</xdr:row>
      <xdr:rowOff>9525</xdr:rowOff>
    </xdr:from>
    <xdr:to>
      <xdr:col>10</xdr:col>
      <xdr:colOff>1162051</xdr:colOff>
      <xdr:row>56</xdr:row>
      <xdr:rowOff>50199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AE84ED4-5C5E-44DC-90CE-884789FF9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9801225"/>
          <a:ext cx="7772401" cy="17742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28574</xdr:colOff>
      <xdr:row>0</xdr:row>
      <xdr:rowOff>9526</xdr:rowOff>
    </xdr:from>
    <xdr:to>
      <xdr:col>10</xdr:col>
      <xdr:colOff>1162050</xdr:colOff>
      <xdr:row>9</xdr:row>
      <xdr:rowOff>50200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FA8187-436F-471B-80FF-1D4986663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4" y="9526"/>
          <a:ext cx="7772401" cy="17742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CCCF293-E08D-43A3-AA68-E87190CE83A0}"/>
            </a:ext>
          </a:extLst>
        </xdr:cNvPr>
        <xdr:cNvCxnSpPr/>
      </xdr:nvCxnSpPr>
      <xdr:spPr>
        <a:xfrm>
          <a:off x="19050" y="1409700"/>
          <a:ext cx="77819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53</xdr:row>
      <xdr:rowOff>47625</xdr:rowOff>
    </xdr:from>
    <xdr:to>
      <xdr:col>10</xdr:col>
      <xdr:colOff>1162050</xdr:colOff>
      <xdr:row>53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AAB11CF-2213-4630-B862-9732592ADA38}"/>
            </a:ext>
          </a:extLst>
        </xdr:cNvPr>
        <xdr:cNvCxnSpPr/>
      </xdr:nvCxnSpPr>
      <xdr:spPr>
        <a:xfrm>
          <a:off x="19050" y="1209675"/>
          <a:ext cx="77819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141</xdr:row>
      <xdr:rowOff>9525</xdr:rowOff>
    </xdr:from>
    <xdr:to>
      <xdr:col>10</xdr:col>
      <xdr:colOff>1162051</xdr:colOff>
      <xdr:row>150</xdr:row>
      <xdr:rowOff>50199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B66BA31-916B-4FD9-ACB5-08B7DEEF2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28946475"/>
          <a:ext cx="7772401" cy="17742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94</xdr:row>
      <xdr:rowOff>9525</xdr:rowOff>
    </xdr:from>
    <xdr:to>
      <xdr:col>10</xdr:col>
      <xdr:colOff>1162051</xdr:colOff>
      <xdr:row>103</xdr:row>
      <xdr:rowOff>50199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6621C81-3D19-42AF-B3A2-2F5EE3169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9373850"/>
          <a:ext cx="7772401" cy="17742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47</xdr:row>
      <xdr:rowOff>9525</xdr:rowOff>
    </xdr:from>
    <xdr:to>
      <xdr:col>10</xdr:col>
      <xdr:colOff>1162051</xdr:colOff>
      <xdr:row>56</xdr:row>
      <xdr:rowOff>50199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58A690-0843-4228-AC66-E6BC0B1D3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9801225"/>
          <a:ext cx="7772401" cy="17742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28574</xdr:colOff>
      <xdr:row>0</xdr:row>
      <xdr:rowOff>9526</xdr:rowOff>
    </xdr:from>
    <xdr:to>
      <xdr:col>10</xdr:col>
      <xdr:colOff>1162050</xdr:colOff>
      <xdr:row>9</xdr:row>
      <xdr:rowOff>50200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702B64-3F58-42B2-9475-751D30130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4" y="9526"/>
          <a:ext cx="7772401" cy="17742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1E59267-4C0A-42B9-B8B1-14B499CCA34E}"/>
            </a:ext>
          </a:extLst>
        </xdr:cNvPr>
        <xdr:cNvCxnSpPr/>
      </xdr:nvCxnSpPr>
      <xdr:spPr>
        <a:xfrm>
          <a:off x="19050" y="1209675"/>
          <a:ext cx="77819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53</xdr:row>
      <xdr:rowOff>47625</xdr:rowOff>
    </xdr:from>
    <xdr:to>
      <xdr:col>10</xdr:col>
      <xdr:colOff>1162050</xdr:colOff>
      <xdr:row>53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5A4009D-C2AE-46B7-816A-89FE6C3C483F}"/>
            </a:ext>
          </a:extLst>
        </xdr:cNvPr>
        <xdr:cNvCxnSpPr/>
      </xdr:nvCxnSpPr>
      <xdr:spPr>
        <a:xfrm>
          <a:off x="19050" y="11001375"/>
          <a:ext cx="77819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100</xdr:row>
      <xdr:rowOff>47625</xdr:rowOff>
    </xdr:from>
    <xdr:to>
      <xdr:col>10</xdr:col>
      <xdr:colOff>1162050</xdr:colOff>
      <xdr:row>100</xdr:row>
      <xdr:rowOff>47625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54422EC-0CDE-4F0B-A65E-4937BD93B4FD}"/>
            </a:ext>
          </a:extLst>
        </xdr:cNvPr>
        <xdr:cNvCxnSpPr/>
      </xdr:nvCxnSpPr>
      <xdr:spPr>
        <a:xfrm>
          <a:off x="19050" y="11001375"/>
          <a:ext cx="77819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147</xdr:row>
      <xdr:rowOff>47625</xdr:rowOff>
    </xdr:from>
    <xdr:to>
      <xdr:col>10</xdr:col>
      <xdr:colOff>1162050</xdr:colOff>
      <xdr:row>147</xdr:row>
      <xdr:rowOff>47625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623C8374-4D03-42A9-A0F8-1E7CE3D86A16}"/>
            </a:ext>
          </a:extLst>
        </xdr:cNvPr>
        <xdr:cNvCxnSpPr/>
      </xdr:nvCxnSpPr>
      <xdr:spPr>
        <a:xfrm>
          <a:off x="19050" y="20574000"/>
          <a:ext cx="77819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141</xdr:row>
      <xdr:rowOff>9525</xdr:rowOff>
    </xdr:from>
    <xdr:to>
      <xdr:col>10</xdr:col>
      <xdr:colOff>1162051</xdr:colOff>
      <xdr:row>150</xdr:row>
      <xdr:rowOff>50199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4AFBA5-4947-4FD5-A03B-260C84609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28946475"/>
          <a:ext cx="7772401" cy="17742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94</xdr:row>
      <xdr:rowOff>9525</xdr:rowOff>
    </xdr:from>
    <xdr:to>
      <xdr:col>10</xdr:col>
      <xdr:colOff>1162051</xdr:colOff>
      <xdr:row>103</xdr:row>
      <xdr:rowOff>50199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1AE92B-F4B5-4B47-9A90-2F2898A83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9373850"/>
          <a:ext cx="7772401" cy="17742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47</xdr:row>
      <xdr:rowOff>9525</xdr:rowOff>
    </xdr:from>
    <xdr:to>
      <xdr:col>10</xdr:col>
      <xdr:colOff>1162051</xdr:colOff>
      <xdr:row>56</xdr:row>
      <xdr:rowOff>50199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41C4F21-D1DF-43FE-8ACA-88B87DFDC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9801225"/>
          <a:ext cx="7772401" cy="17742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28574</xdr:colOff>
      <xdr:row>0</xdr:row>
      <xdr:rowOff>9526</xdr:rowOff>
    </xdr:from>
    <xdr:to>
      <xdr:col>10</xdr:col>
      <xdr:colOff>1162050</xdr:colOff>
      <xdr:row>9</xdr:row>
      <xdr:rowOff>50200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833603B-573F-4A18-99DE-1FF4DDCD2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4" y="9526"/>
          <a:ext cx="7772401" cy="17742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B114DF0F-B343-4248-ABD5-E361CC57E22E}"/>
            </a:ext>
          </a:extLst>
        </xdr:cNvPr>
        <xdr:cNvCxnSpPr/>
      </xdr:nvCxnSpPr>
      <xdr:spPr>
        <a:xfrm>
          <a:off x="19050" y="1209675"/>
          <a:ext cx="77819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53</xdr:row>
      <xdr:rowOff>47625</xdr:rowOff>
    </xdr:from>
    <xdr:to>
      <xdr:col>10</xdr:col>
      <xdr:colOff>1162050</xdr:colOff>
      <xdr:row>53</xdr:row>
      <xdr:rowOff>47625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E9D0234-3691-4D72-B3A9-ED0AA4C78DF2}"/>
            </a:ext>
          </a:extLst>
        </xdr:cNvPr>
        <xdr:cNvCxnSpPr/>
      </xdr:nvCxnSpPr>
      <xdr:spPr>
        <a:xfrm>
          <a:off x="19050" y="11001375"/>
          <a:ext cx="77819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100</xdr:row>
      <xdr:rowOff>47625</xdr:rowOff>
    </xdr:from>
    <xdr:to>
      <xdr:col>10</xdr:col>
      <xdr:colOff>1162050</xdr:colOff>
      <xdr:row>100</xdr:row>
      <xdr:rowOff>47625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E486E9F7-262F-470E-A22E-15BE5CACA5F7}"/>
            </a:ext>
          </a:extLst>
        </xdr:cNvPr>
        <xdr:cNvCxnSpPr/>
      </xdr:nvCxnSpPr>
      <xdr:spPr>
        <a:xfrm>
          <a:off x="19050" y="20574000"/>
          <a:ext cx="77819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147</xdr:row>
      <xdr:rowOff>47625</xdr:rowOff>
    </xdr:from>
    <xdr:to>
      <xdr:col>10</xdr:col>
      <xdr:colOff>1162050</xdr:colOff>
      <xdr:row>147</xdr:row>
      <xdr:rowOff>47625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6C57E7DB-5FFF-4D5F-9A32-AA7C97C075E9}"/>
            </a:ext>
          </a:extLst>
        </xdr:cNvPr>
        <xdr:cNvCxnSpPr/>
      </xdr:nvCxnSpPr>
      <xdr:spPr>
        <a:xfrm>
          <a:off x="19050" y="30146625"/>
          <a:ext cx="77819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B621A-6EC8-4EF7-95B9-6AF0DCE505AE}">
  <dimension ref="A1:W93"/>
  <sheetViews>
    <sheetView view="pageBreakPreview" topLeftCell="A67" zoomScaleNormal="100" workbookViewId="0">
      <selection activeCell="K93" sqref="A48:K93"/>
    </sheetView>
  </sheetViews>
  <sheetFormatPr defaultColWidth="9" defaultRowHeight="15"/>
  <cols>
    <col min="1" max="1" width="3.5703125" customWidth="1"/>
    <col min="2" max="2" width="5.5703125" customWidth="1"/>
    <col min="3" max="3" width="12.28515625" customWidth="1"/>
    <col min="4" max="4" width="1.85546875" customWidth="1"/>
    <col min="5" max="5" width="25" customWidth="1"/>
    <col min="6" max="6" width="1.140625" customWidth="1"/>
    <col min="7" max="7" width="18" customWidth="1"/>
    <col min="8" max="8" width="16.5703125" style="1" customWidth="1"/>
    <col min="9" max="9" width="16.5703125" style="1" hidden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2.570312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1" spans="1:23">
      <c r="L1" s="30"/>
      <c r="M1" s="31"/>
      <c r="N1" s="31"/>
      <c r="O1" s="31"/>
      <c r="P1" s="31"/>
      <c r="Q1" s="31"/>
      <c r="R1" s="31"/>
      <c r="S1" s="31"/>
      <c r="T1" s="31"/>
      <c r="U1" s="31"/>
      <c r="V1" s="31"/>
      <c r="W1" s="30"/>
    </row>
    <row r="2" spans="1:23">
      <c r="L2" s="30"/>
      <c r="M2" s="31"/>
      <c r="N2" s="31"/>
      <c r="O2" s="31"/>
      <c r="P2" s="31"/>
      <c r="Q2" s="31"/>
      <c r="R2" s="31"/>
      <c r="S2" s="31"/>
      <c r="T2" s="31"/>
      <c r="U2" s="31"/>
      <c r="V2" s="31"/>
      <c r="W2" s="30"/>
    </row>
    <row r="3" spans="1:23">
      <c r="L3" s="30"/>
      <c r="M3" s="31"/>
      <c r="N3" s="31"/>
      <c r="O3" s="31"/>
      <c r="P3" s="31"/>
      <c r="Q3" s="31"/>
      <c r="R3" s="31"/>
      <c r="S3" s="31"/>
      <c r="T3" s="31"/>
      <c r="U3" s="31"/>
      <c r="V3" s="31"/>
      <c r="W3" s="30"/>
    </row>
    <row r="4" spans="1:23" ht="15.75">
      <c r="C4" s="2"/>
      <c r="D4" s="2"/>
      <c r="E4" s="2"/>
      <c r="F4" s="2"/>
      <c r="L4" s="30"/>
      <c r="M4" s="31"/>
      <c r="N4" s="31"/>
      <c r="O4" s="31"/>
      <c r="P4" s="31"/>
      <c r="Q4" s="31"/>
      <c r="R4" s="31"/>
      <c r="S4" s="31"/>
      <c r="T4" s="31"/>
      <c r="U4" s="31"/>
      <c r="V4" s="31"/>
      <c r="W4" s="30"/>
    </row>
    <row r="5" spans="1:23" ht="15.75">
      <c r="A5" s="3"/>
      <c r="B5" s="3"/>
      <c r="C5" s="2"/>
      <c r="D5" s="2"/>
      <c r="E5" s="2"/>
      <c r="F5" s="2"/>
      <c r="G5" s="3"/>
      <c r="H5" s="4"/>
      <c r="I5" s="4"/>
      <c r="J5" s="4"/>
      <c r="K5" s="5"/>
      <c r="L5" s="30"/>
      <c r="M5" s="31"/>
      <c r="N5" s="31"/>
      <c r="O5" s="31"/>
      <c r="P5" s="31"/>
      <c r="Q5" s="31"/>
      <c r="R5" s="31"/>
      <c r="S5" s="31"/>
      <c r="T5" s="31"/>
      <c r="U5" s="31"/>
      <c r="V5" s="31"/>
      <c r="W5" s="30"/>
    </row>
    <row r="6" spans="1:23">
      <c r="H6" s="5"/>
      <c r="I6" s="5"/>
      <c r="J6" s="5"/>
      <c r="K6" s="5"/>
      <c r="L6" s="30"/>
      <c r="M6" s="31"/>
      <c r="N6" s="31"/>
      <c r="O6" s="31"/>
      <c r="P6" s="31"/>
      <c r="Q6" s="31"/>
      <c r="R6" s="31"/>
      <c r="S6" s="31"/>
      <c r="T6" s="31"/>
      <c r="U6" s="31"/>
      <c r="V6" s="31"/>
      <c r="W6" s="30"/>
    </row>
    <row r="7" spans="1:23">
      <c r="H7" s="5"/>
      <c r="I7" s="5"/>
      <c r="J7" s="5"/>
      <c r="K7" s="5"/>
      <c r="L7" s="30"/>
      <c r="M7" s="31"/>
      <c r="N7" s="31"/>
      <c r="O7" s="31"/>
      <c r="P7" s="31"/>
      <c r="Q7" s="31"/>
      <c r="R7" s="31"/>
      <c r="S7" s="31"/>
      <c r="T7" s="31"/>
      <c r="U7" s="31"/>
      <c r="V7" s="31"/>
      <c r="W7" s="30"/>
    </row>
    <row r="8" spans="1:23" ht="15" customHeight="1">
      <c r="A8" s="68" t="s">
        <v>0</v>
      </c>
      <c r="B8" s="68"/>
      <c r="C8" s="69"/>
      <c r="D8" s="69"/>
      <c r="E8" s="69"/>
      <c r="F8" s="69"/>
      <c r="G8" s="69"/>
      <c r="H8" s="69"/>
      <c r="I8" s="69"/>
      <c r="J8" s="69"/>
      <c r="K8" s="69"/>
      <c r="L8" s="30"/>
      <c r="M8" s="31"/>
      <c r="N8" s="31"/>
      <c r="O8" s="31"/>
      <c r="P8" s="31"/>
      <c r="Q8" s="31"/>
      <c r="R8" s="31"/>
      <c r="S8" s="31"/>
      <c r="T8" s="31"/>
      <c r="U8" s="31"/>
      <c r="V8" s="31"/>
      <c r="W8" s="30"/>
    </row>
    <row r="9" spans="1:23" ht="15" customHeight="1">
      <c r="A9" s="69" t="s">
        <v>44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30"/>
      <c r="M9" s="31"/>
      <c r="N9" s="31"/>
      <c r="O9" s="31"/>
      <c r="P9" s="31"/>
      <c r="Q9" s="31"/>
      <c r="R9" s="31"/>
      <c r="S9" s="31"/>
      <c r="T9" s="31"/>
      <c r="U9" s="31"/>
      <c r="V9" s="31"/>
      <c r="W9" s="30"/>
    </row>
    <row r="10" spans="1:23" ht="15" customHeight="1">
      <c r="A10" s="69" t="s">
        <v>1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30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0"/>
    </row>
    <row r="11" spans="1:23" ht="15" customHeight="1">
      <c r="A11" s="69" t="s">
        <v>42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30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0"/>
    </row>
    <row r="12" spans="1:23" ht="15" customHeight="1">
      <c r="A12" s="69" t="s">
        <v>2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30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0"/>
    </row>
    <row r="13" spans="1:23">
      <c r="A13" s="6"/>
      <c r="B13" s="6"/>
      <c r="C13" s="7"/>
      <c r="D13" s="7"/>
      <c r="E13" s="7"/>
      <c r="F13" s="7"/>
      <c r="G13" s="8"/>
      <c r="H13" s="9"/>
      <c r="I13" s="9"/>
      <c r="J13" s="9"/>
      <c r="K13" s="9"/>
      <c r="L13" s="30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0"/>
    </row>
    <row r="14" spans="1:23">
      <c r="A14" s="55" t="s">
        <v>3</v>
      </c>
      <c r="B14" s="10"/>
      <c r="C14" s="10"/>
      <c r="D14" s="56" t="s">
        <v>4</v>
      </c>
      <c r="E14" s="10" t="s">
        <v>5</v>
      </c>
      <c r="F14" s="11"/>
      <c r="G14" s="10"/>
      <c r="H14" s="12"/>
      <c r="I14" s="12"/>
      <c r="J14" s="12"/>
      <c r="K14" s="9"/>
      <c r="L14" s="30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0"/>
    </row>
    <row r="15" spans="1:23">
      <c r="A15" s="55" t="s">
        <v>6</v>
      </c>
      <c r="B15" s="10"/>
      <c r="C15" s="10"/>
      <c r="D15" s="56" t="s">
        <v>4</v>
      </c>
      <c r="E15" s="10" t="s">
        <v>7</v>
      </c>
      <c r="F15" s="11"/>
      <c r="G15" s="10"/>
      <c r="H15" s="12"/>
      <c r="I15" s="12"/>
      <c r="J15" s="12"/>
      <c r="K15" s="9"/>
      <c r="L15" s="30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0"/>
    </row>
    <row r="16" spans="1:23">
      <c r="A16" s="55" t="s">
        <v>8</v>
      </c>
      <c r="B16" s="10"/>
      <c r="C16" s="10"/>
      <c r="D16" s="56" t="s">
        <v>4</v>
      </c>
      <c r="E16" s="13">
        <v>2026</v>
      </c>
      <c r="F16" s="11"/>
      <c r="G16" s="13"/>
      <c r="H16" s="12"/>
      <c r="I16" s="12"/>
      <c r="J16" s="12"/>
      <c r="K16" s="9"/>
      <c r="L16" s="30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0"/>
    </row>
    <row r="17" spans="1:23">
      <c r="A17" s="55" t="s">
        <v>9</v>
      </c>
      <c r="B17" s="10"/>
      <c r="C17" s="10"/>
      <c r="D17" s="56" t="s">
        <v>4</v>
      </c>
      <c r="E17" s="14">
        <f>J29</f>
        <v>6370185</v>
      </c>
      <c r="F17" s="11"/>
      <c r="G17" s="14"/>
      <c r="H17" s="12"/>
      <c r="I17" s="12"/>
      <c r="J17" s="12"/>
      <c r="K17" s="9"/>
      <c r="L17" s="30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0"/>
    </row>
    <row r="18" spans="1:23" ht="15.75">
      <c r="A18" s="10"/>
      <c r="B18" s="10"/>
      <c r="C18" s="15" t="s">
        <v>10</v>
      </c>
      <c r="D18" s="56" t="s">
        <v>4</v>
      </c>
      <c r="E18" s="16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Enam Juta Tiga Ratus Tujuh Puluh Ribu Seratus Delapan Puluh Lima Rupiah</v>
      </c>
      <c r="F18" s="11"/>
      <c r="G18" s="16"/>
      <c r="H18" s="12"/>
      <c r="I18" s="12"/>
      <c r="J18" s="12"/>
      <c r="K18" s="9"/>
      <c r="L18" s="30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0"/>
    </row>
    <row r="19" spans="1:23" ht="15.75">
      <c r="A19" s="10"/>
      <c r="B19" s="10"/>
      <c r="C19" s="15"/>
      <c r="D19" s="15"/>
      <c r="E19" s="15"/>
      <c r="F19" s="11"/>
      <c r="G19" s="16"/>
      <c r="H19" s="12"/>
      <c r="I19" s="12"/>
      <c r="J19" s="12"/>
      <c r="K19" s="9"/>
      <c r="L19" s="30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0"/>
    </row>
    <row r="20" spans="1:23">
      <c r="A20" s="10" t="s">
        <v>11</v>
      </c>
      <c r="B20" s="10"/>
      <c r="C20" s="10"/>
      <c r="D20" s="10"/>
      <c r="E20" s="10"/>
      <c r="F20" s="10"/>
      <c r="G20" s="10"/>
      <c r="H20" s="12"/>
      <c r="I20" s="12"/>
      <c r="J20" s="12"/>
      <c r="K20" s="9"/>
      <c r="L20" s="30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0"/>
    </row>
    <row r="21" spans="1:23">
      <c r="A21" s="60" t="s">
        <v>12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30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0"/>
    </row>
    <row r="22" spans="1:23" ht="61.5" customHeight="1">
      <c r="A22" s="17" t="s">
        <v>13</v>
      </c>
      <c r="B22" s="18" t="s">
        <v>14</v>
      </c>
      <c r="C22" s="61" t="s">
        <v>15</v>
      </c>
      <c r="D22" s="62"/>
      <c r="E22" s="63"/>
      <c r="F22" s="19"/>
      <c r="G22" s="20" t="s">
        <v>16</v>
      </c>
      <c r="H22" s="21" t="s">
        <v>37</v>
      </c>
      <c r="I22" s="21"/>
      <c r="J22" s="32" t="s">
        <v>17</v>
      </c>
      <c r="K22" s="33" t="s">
        <v>18</v>
      </c>
      <c r="L22" s="30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0"/>
    </row>
    <row r="23" spans="1:23">
      <c r="A23" s="28">
        <v>1</v>
      </c>
      <c r="B23" s="25"/>
      <c r="C23" s="29" t="s">
        <v>23</v>
      </c>
      <c r="D23" s="59"/>
      <c r="E23" s="27"/>
      <c r="F23" s="26"/>
      <c r="G23" s="57" t="s">
        <v>19</v>
      </c>
      <c r="H23" s="57" t="s">
        <v>19</v>
      </c>
      <c r="I23" s="57"/>
      <c r="J23" s="57" t="s">
        <v>19</v>
      </c>
      <c r="K23" s="57" t="s">
        <v>19</v>
      </c>
      <c r="L23" s="30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0"/>
    </row>
    <row r="24" spans="1:23" ht="30.75" customHeight="1">
      <c r="A24" s="25"/>
      <c r="B24" s="58" t="s">
        <v>20</v>
      </c>
      <c r="C24" s="64" t="s">
        <v>43</v>
      </c>
      <c r="D24" s="65"/>
      <c r="E24" s="66"/>
      <c r="F24" s="26"/>
      <c r="G24" s="24">
        <v>12000000</v>
      </c>
      <c r="H24" s="23">
        <v>0</v>
      </c>
      <c r="I24" s="23"/>
      <c r="J24" s="23">
        <v>0</v>
      </c>
      <c r="K24" s="34">
        <f t="shared" ref="K24:K28" si="0">G24-H24-J24</f>
        <v>12000000</v>
      </c>
      <c r="L24" s="30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0"/>
    </row>
    <row r="25" spans="1:23">
      <c r="A25" s="25"/>
      <c r="B25" s="58" t="s">
        <v>21</v>
      </c>
      <c r="C25" s="26" t="s">
        <v>24</v>
      </c>
      <c r="D25" s="10"/>
      <c r="E25" s="27"/>
      <c r="F25" s="26"/>
      <c r="G25" s="22">
        <v>18000000</v>
      </c>
      <c r="H25" s="23">
        <v>0</v>
      </c>
      <c r="I25" s="23"/>
      <c r="J25" s="35">
        <v>1192745</v>
      </c>
      <c r="K25" s="36">
        <f t="shared" si="0"/>
        <v>16807255</v>
      </c>
      <c r="L25" s="30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0"/>
    </row>
    <row r="26" spans="1:23">
      <c r="A26" s="25"/>
      <c r="B26" s="58" t="s">
        <v>22</v>
      </c>
      <c r="C26" s="26" t="s">
        <v>25</v>
      </c>
      <c r="D26" s="10"/>
      <c r="E26" s="27"/>
      <c r="F26" s="26"/>
      <c r="G26" s="22">
        <v>80000000</v>
      </c>
      <c r="H26" s="23">
        <v>0</v>
      </c>
      <c r="I26" s="23"/>
      <c r="J26" s="35">
        <v>4273340</v>
      </c>
      <c r="K26" s="36">
        <f t="shared" si="0"/>
        <v>75726660</v>
      </c>
      <c r="L26" s="30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0"/>
    </row>
    <row r="27" spans="1:23">
      <c r="A27" s="25"/>
      <c r="B27" s="58" t="s">
        <v>39</v>
      </c>
      <c r="C27" s="26" t="s">
        <v>26</v>
      </c>
      <c r="D27" s="10"/>
      <c r="E27" s="27"/>
      <c r="F27" s="26"/>
      <c r="G27" s="22">
        <v>20400000</v>
      </c>
      <c r="H27" s="23">
        <v>0</v>
      </c>
      <c r="I27" s="23"/>
      <c r="J27" s="35">
        <v>904100</v>
      </c>
      <c r="K27" s="36">
        <f t="shared" si="0"/>
        <v>19495900</v>
      </c>
      <c r="L27" s="30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0"/>
    </row>
    <row r="28" spans="1:23">
      <c r="A28" s="25"/>
      <c r="B28" s="58" t="s">
        <v>40</v>
      </c>
      <c r="C28" s="26" t="s">
        <v>38</v>
      </c>
      <c r="D28" s="10"/>
      <c r="E28" s="27"/>
      <c r="F28" s="26"/>
      <c r="G28" s="22">
        <v>50000000</v>
      </c>
      <c r="H28" s="23">
        <v>0</v>
      </c>
      <c r="I28" s="23"/>
      <c r="J28" s="35">
        <v>0</v>
      </c>
      <c r="K28" s="36">
        <f t="shared" si="0"/>
        <v>50000000</v>
      </c>
      <c r="L28" s="30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0"/>
    </row>
    <row r="29" spans="1:23">
      <c r="A29" s="37"/>
      <c r="B29" s="37"/>
      <c r="C29" s="37" t="s">
        <v>27</v>
      </c>
      <c r="D29" s="37"/>
      <c r="E29" s="37"/>
      <c r="F29" s="38"/>
      <c r="G29" s="39">
        <f>SUM(G23:G28)</f>
        <v>180400000</v>
      </c>
      <c r="H29" s="40">
        <f>SUM(H23:H28)</f>
        <v>0</v>
      </c>
      <c r="I29" s="40"/>
      <c r="J29" s="40">
        <f>SUM(J23:J28)</f>
        <v>6370185</v>
      </c>
      <c r="K29" s="40">
        <f>SUM(K23:K28)</f>
        <v>174029815</v>
      </c>
      <c r="L29" s="30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0"/>
    </row>
    <row r="30" spans="1:23">
      <c r="A30" s="41"/>
      <c r="B30" s="8"/>
      <c r="C30" s="8"/>
      <c r="D30" s="8"/>
      <c r="E30" s="8"/>
      <c r="F30" s="8"/>
      <c r="G30" s="42"/>
      <c r="H30" s="42"/>
      <c r="I30" s="42"/>
      <c r="J30" s="42"/>
      <c r="K30" s="42"/>
      <c r="L30" s="30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0"/>
    </row>
    <row r="31" spans="1:23">
      <c r="A31" s="67" t="s">
        <v>28</v>
      </c>
      <c r="B31" s="67"/>
      <c r="C31" s="67"/>
      <c r="D31" s="11" t="s">
        <v>4</v>
      </c>
      <c r="E31" s="14">
        <f>J29</f>
        <v>6370185</v>
      </c>
      <c r="F31" s="43"/>
      <c r="G31" s="44"/>
      <c r="H31" s="44"/>
      <c r="I31" s="44"/>
      <c r="J31" s="9"/>
      <c r="K31" s="9"/>
      <c r="L31" s="30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0"/>
    </row>
    <row r="32" spans="1:23">
      <c r="A32" s="10" t="s">
        <v>29</v>
      </c>
      <c r="B32" s="10"/>
      <c r="C32" s="10"/>
      <c r="D32" s="11" t="s">
        <v>4</v>
      </c>
      <c r="E32" s="45"/>
      <c r="F32" s="45"/>
      <c r="G32" s="46"/>
      <c r="H32" s="12"/>
      <c r="I32" s="12"/>
      <c r="J32" s="9"/>
      <c r="K32" s="9"/>
      <c r="L32" s="30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0"/>
    </row>
    <row r="33" spans="1:23">
      <c r="A33" s="10" t="s">
        <v>30</v>
      </c>
      <c r="B33" s="10"/>
      <c r="C33" s="10"/>
      <c r="D33" s="11" t="s">
        <v>4</v>
      </c>
      <c r="E33" s="47"/>
      <c r="F33" s="47"/>
      <c r="G33" s="46"/>
      <c r="H33" s="12"/>
      <c r="I33" s="12"/>
      <c r="J33" s="9"/>
      <c r="K33" s="9"/>
      <c r="L33" s="30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0"/>
    </row>
    <row r="34" spans="1:23">
      <c r="A34" s="10" t="s">
        <v>31</v>
      </c>
      <c r="B34" s="10"/>
      <c r="C34" s="10"/>
      <c r="D34" s="11" t="s">
        <v>4</v>
      </c>
      <c r="E34" s="47">
        <f>E32+E33</f>
        <v>0</v>
      </c>
      <c r="F34" s="47"/>
      <c r="G34" s="10"/>
      <c r="H34" s="12"/>
      <c r="I34" s="12"/>
      <c r="J34" s="49"/>
      <c r="K34" s="49"/>
      <c r="L34" s="30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0"/>
    </row>
    <row r="35" spans="1:23">
      <c r="A35" s="13"/>
      <c r="B35" s="13"/>
      <c r="C35" s="13"/>
      <c r="D35" s="11"/>
      <c r="E35" s="13"/>
      <c r="F35" s="13"/>
      <c r="G35" s="10"/>
      <c r="H35" s="12"/>
      <c r="I35" s="12"/>
      <c r="J35" s="49"/>
      <c r="K35" s="49"/>
      <c r="L35" s="30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0"/>
    </row>
    <row r="36" spans="1:23">
      <c r="A36" s="67" t="s">
        <v>32</v>
      </c>
      <c r="B36" s="67"/>
      <c r="C36" s="67"/>
      <c r="D36" s="11" t="s">
        <v>4</v>
      </c>
      <c r="E36" s="43">
        <f>E31-E34</f>
        <v>6370185</v>
      </c>
      <c r="F36" s="43"/>
      <c r="G36" s="10"/>
      <c r="H36" s="12"/>
      <c r="I36" s="12"/>
      <c r="J36" s="49"/>
      <c r="K36" s="49"/>
      <c r="L36" s="30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0"/>
    </row>
    <row r="37" spans="1:23" ht="15.75">
      <c r="A37" s="13"/>
      <c r="B37" s="13"/>
      <c r="C37" s="10"/>
      <c r="D37" s="10"/>
      <c r="E37" s="16" t="str">
        <f>PROPER(IF(E36=0,"nol",IF(E36&lt;0,"minus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36),"000000000000000"),1,3)=0,"",MID(TEXT(ABS(E36),"000000000000000"),1,1)&amp;" ratus "&amp;MID(TEXT(ABS(E36),"000000000000000"),2,1)&amp;" puluh "&amp;MID(TEXT(ABS(E36),"000000000000000"),3,1)&amp;" trilyun ")&amp;IF(--MID(TEXT(ABS(E36),"000000000000000"),4,3)=0,"",MID(TEXT(ABS(E36),"000000000000000"),4,1)&amp;" ratus "&amp;MID(TEXT(ABS(E36),"000000000000000"),5,1)&amp;" puluh "&amp;MID(TEXT(ABS(E36),"000000000000000"),6,1)&amp;" milyar ")&amp;IF(--MID(TEXT(ABS(E36),"000000000000000"),7,3)=0,"",MID(TEXT(ABS(E36),"000000000000000"),7,1)&amp;" ratus "&amp;MID(TEXT(ABS(E36),"000000000000000"),8,1)&amp;" puluh "&amp;MID(TEXT(ABS(E36),"000000000000000"),9,1)&amp;" juta ")&amp;IF(--MID(TEXT(ABS(E36),"000000000000000"),10,3)=0,"",IF(--MID(TEXT(ABS(E36),"000000000000000"),10,3)=1,"*",MID(TEXT(ABS(E36),"000000000000000"),10,1)&amp;" ratus "&amp;MID(TEXT(ABS(E36),"000000000000000"),11,1)&amp;" puluh ")&amp;MID(TEXT(ABS(E36),"000000000000000"),12,1)&amp;" ribu ")&amp;IF(--MID(TEXT(ABS(E36),"000000000000000"),13,3)=0,"",MID(TEXT(ABS(E36),"000000000000000"),13,1)&amp;" ratus "&amp;MID(TEXT(ABS(E36),"000000000000000"),14,1)&amp;" puluh "&amp;MID(TEXT(ABS(E36),"000000000000000"),15,1)),1,"satu"),2,"dua"),3,"tiga"),4,"empat"),5,"lima"),6,"enam"),7,"tujuh"),8,"delapan"),9,"sembilan"),"0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Enam Juta Tiga Ratus Tujuh Puluh Ribu Seratus Delapan Puluh Lima Rupiah</v>
      </c>
      <c r="F37" s="10"/>
      <c r="G37" s="10"/>
      <c r="H37" s="10"/>
      <c r="I37" s="10"/>
      <c r="J37" s="49"/>
      <c r="K37" s="49"/>
      <c r="L37" s="30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0"/>
    </row>
    <row r="38" spans="1:23">
      <c r="A38" s="48"/>
      <c r="B38" s="48"/>
      <c r="C38" s="48"/>
      <c r="D38" s="48"/>
      <c r="E38" s="48"/>
      <c r="F38" s="48"/>
      <c r="G38" s="30"/>
      <c r="H38" s="49"/>
      <c r="I38" s="49"/>
      <c r="J38" s="49"/>
      <c r="K38" s="49"/>
      <c r="L38" s="30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0"/>
    </row>
    <row r="39" spans="1:23">
      <c r="A39" s="30"/>
      <c r="B39" s="30"/>
      <c r="C39" s="30"/>
      <c r="D39" s="30"/>
      <c r="E39" s="30"/>
      <c r="F39" s="30"/>
      <c r="G39" s="30"/>
      <c r="H39"/>
      <c r="I39"/>
      <c r="J39" s="49"/>
      <c r="K39" s="49"/>
      <c r="L39" s="30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0"/>
    </row>
    <row r="40" spans="1:23">
      <c r="A40" s="13"/>
      <c r="B40" s="13"/>
      <c r="C40" s="10"/>
      <c r="D40" s="10"/>
      <c r="E40" s="10"/>
      <c r="F40" s="10"/>
      <c r="G40" s="10"/>
      <c r="I40" s="50"/>
      <c r="J40" s="50" t="s">
        <v>45</v>
      </c>
      <c r="K40" s="49"/>
      <c r="L40" s="30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0"/>
    </row>
    <row r="41" spans="1:23">
      <c r="A41" s="12" t="s">
        <v>33</v>
      </c>
      <c r="B41" s="10"/>
      <c r="C41" s="10"/>
      <c r="D41" s="10"/>
      <c r="E41" s="10"/>
      <c r="F41" s="10"/>
      <c r="G41" s="10"/>
      <c r="I41" s="12"/>
      <c r="J41" s="12" t="s">
        <v>34</v>
      </c>
      <c r="K41" s="49"/>
      <c r="L41" s="30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0"/>
    </row>
    <row r="42" spans="1:23">
      <c r="A42" s="10"/>
      <c r="B42" s="10"/>
      <c r="C42" s="10"/>
      <c r="D42" s="10"/>
      <c r="E42" s="10"/>
      <c r="F42" s="10"/>
      <c r="G42" s="10"/>
      <c r="I42" s="12"/>
      <c r="J42" s="12"/>
      <c r="K42" s="49"/>
      <c r="L42" s="30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0"/>
    </row>
    <row r="43" spans="1:23">
      <c r="A43" s="10"/>
      <c r="B43" s="10"/>
      <c r="C43" s="10"/>
      <c r="D43" s="10"/>
      <c r="E43" s="10"/>
      <c r="F43" s="10"/>
      <c r="G43" s="10"/>
      <c r="I43" s="12"/>
      <c r="J43" s="12"/>
      <c r="K43" s="49"/>
      <c r="L43" s="30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0"/>
    </row>
    <row r="44" spans="1:23">
      <c r="A44" s="10"/>
      <c r="B44" s="10"/>
      <c r="C44" s="10"/>
      <c r="D44" s="10"/>
      <c r="E44" s="10"/>
      <c r="F44" s="10"/>
      <c r="G44" s="10"/>
      <c r="I44" s="12"/>
      <c r="J44" s="12"/>
      <c r="K44" s="49"/>
      <c r="L44" s="30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0"/>
    </row>
    <row r="45" spans="1:23">
      <c r="A45" s="10"/>
      <c r="B45" s="10"/>
      <c r="C45" s="10"/>
      <c r="D45" s="10"/>
      <c r="E45" s="10"/>
      <c r="F45" s="10"/>
      <c r="G45" s="10"/>
      <c r="I45" s="12"/>
      <c r="J45" s="12"/>
      <c r="K45" s="49"/>
      <c r="L45" s="30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0"/>
    </row>
    <row r="46" spans="1:23">
      <c r="A46" s="51" t="s">
        <v>41</v>
      </c>
      <c r="B46" s="51"/>
      <c r="C46" s="52"/>
      <c r="D46" s="52"/>
      <c r="E46" s="52"/>
      <c r="F46" s="52"/>
      <c r="G46" s="10" t="s">
        <v>35</v>
      </c>
      <c r="I46" s="51"/>
      <c r="J46" s="51" t="s">
        <v>36</v>
      </c>
      <c r="K46" s="49"/>
      <c r="L46" s="30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0"/>
    </row>
    <row r="47" spans="1:23">
      <c r="A47" s="53"/>
      <c r="B47" s="53"/>
      <c r="C47" s="54"/>
      <c r="D47" s="54"/>
      <c r="E47" s="54"/>
      <c r="F47" s="54"/>
      <c r="G47" s="54"/>
      <c r="H47" s="53"/>
      <c r="I47" s="53"/>
      <c r="J47" s="53"/>
      <c r="K47" s="49"/>
      <c r="L47" s="30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0"/>
    </row>
    <row r="51" spans="1:11" ht="15.75">
      <c r="C51" s="2"/>
      <c r="D51" s="2"/>
      <c r="E51" s="2"/>
      <c r="F51" s="2"/>
    </row>
    <row r="52" spans="1:11" ht="15.75">
      <c r="A52" s="3"/>
      <c r="B52" s="3"/>
      <c r="C52" s="2"/>
      <c r="D52" s="2"/>
      <c r="E52" s="2"/>
      <c r="F52" s="2"/>
      <c r="G52" s="3"/>
      <c r="H52" s="4"/>
      <c r="I52" s="4"/>
      <c r="J52" s="4"/>
      <c r="K52" s="5"/>
    </row>
    <row r="53" spans="1:11">
      <c r="H53" s="5"/>
      <c r="I53" s="5"/>
      <c r="J53" s="5"/>
      <c r="K53" s="5"/>
    </row>
    <row r="54" spans="1:11">
      <c r="H54" s="5"/>
      <c r="I54" s="5"/>
      <c r="J54" s="5"/>
      <c r="K54" s="5"/>
    </row>
    <row r="55" spans="1:11">
      <c r="A55" s="68" t="s">
        <v>0</v>
      </c>
      <c r="B55" s="68"/>
      <c r="C55" s="69"/>
      <c r="D55" s="69"/>
      <c r="E55" s="69"/>
      <c r="F55" s="69"/>
      <c r="G55" s="69"/>
      <c r="H55" s="69"/>
      <c r="I55" s="69"/>
      <c r="J55" s="69"/>
      <c r="K55" s="69"/>
    </row>
    <row r="56" spans="1:11">
      <c r="A56" s="69" t="s">
        <v>46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</row>
    <row r="57" spans="1:11">
      <c r="A57" s="69" t="s">
        <v>1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</row>
    <row r="58" spans="1:11">
      <c r="A58" s="69" t="s">
        <v>42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</row>
    <row r="59" spans="1:11">
      <c r="A59" s="69" t="s">
        <v>2</v>
      </c>
      <c r="B59" s="69"/>
      <c r="C59" s="69"/>
      <c r="D59" s="69"/>
      <c r="E59" s="69"/>
      <c r="F59" s="69"/>
      <c r="G59" s="69"/>
      <c r="H59" s="69"/>
      <c r="I59" s="69"/>
      <c r="J59" s="69"/>
      <c r="K59" s="69"/>
    </row>
    <row r="60" spans="1:11">
      <c r="A60" s="6"/>
      <c r="B60" s="6"/>
      <c r="C60" s="7"/>
      <c r="D60" s="7"/>
      <c r="E60" s="7"/>
      <c r="F60" s="7"/>
      <c r="G60" s="8"/>
      <c r="H60" s="9"/>
      <c r="I60" s="9"/>
      <c r="J60" s="9"/>
      <c r="K60" s="9"/>
    </row>
    <row r="61" spans="1:11">
      <c r="A61" s="55" t="s">
        <v>3</v>
      </c>
      <c r="B61" s="10"/>
      <c r="C61" s="10"/>
      <c r="D61" s="56" t="s">
        <v>4</v>
      </c>
      <c r="E61" s="10" t="s">
        <v>5</v>
      </c>
      <c r="F61" s="11"/>
      <c r="G61" s="10"/>
      <c r="H61" s="12"/>
      <c r="I61" s="12"/>
      <c r="J61" s="12"/>
      <c r="K61" s="9"/>
    </row>
    <row r="62" spans="1:11">
      <c r="A62" s="55" t="s">
        <v>6</v>
      </c>
      <c r="B62" s="10"/>
      <c r="C62" s="10"/>
      <c r="D62" s="56" t="s">
        <v>4</v>
      </c>
      <c r="E62" s="10" t="s">
        <v>7</v>
      </c>
      <c r="F62" s="11"/>
      <c r="G62" s="10"/>
      <c r="H62" s="12"/>
      <c r="I62" s="12"/>
      <c r="J62" s="12"/>
      <c r="K62" s="9"/>
    </row>
    <row r="63" spans="1:11">
      <c r="A63" s="55" t="s">
        <v>8</v>
      </c>
      <c r="B63" s="10"/>
      <c r="C63" s="10"/>
      <c r="D63" s="56" t="s">
        <v>4</v>
      </c>
      <c r="E63" s="13">
        <v>2026</v>
      </c>
      <c r="F63" s="11"/>
      <c r="G63" s="13"/>
      <c r="H63" s="12"/>
      <c r="I63" s="12"/>
      <c r="J63" s="12"/>
      <c r="K63" s="9"/>
    </row>
    <row r="64" spans="1:11">
      <c r="A64" s="55" t="s">
        <v>9</v>
      </c>
      <c r="B64" s="10"/>
      <c r="C64" s="10"/>
      <c r="D64" s="56" t="s">
        <v>4</v>
      </c>
      <c r="E64" s="14">
        <f>J76</f>
        <v>61869180</v>
      </c>
      <c r="F64" s="11"/>
      <c r="G64" s="14"/>
      <c r="H64" s="12"/>
      <c r="I64" s="12"/>
      <c r="J64" s="12"/>
      <c r="K64" s="9"/>
    </row>
    <row r="65" spans="1:11" ht="15.75">
      <c r="A65" s="10"/>
      <c r="B65" s="10"/>
      <c r="C65" s="15" t="s">
        <v>10</v>
      </c>
      <c r="D65" s="56" t="s">
        <v>4</v>
      </c>
      <c r="E65" s="16" t="str">
        <f>PROPER(IF(E64=0,"nol",IF(E64&lt;0,"minus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64),"000000000000000"),1,3)=0,"",MID(TEXT(ABS(E64),"000000000000000"),1,1)&amp;" ratus "&amp;MID(TEXT(ABS(E64),"000000000000000"),2,1)&amp;" puluh "&amp;MID(TEXT(ABS(E64),"000000000000000"),3,1)&amp;" trilyun ")&amp;IF(--MID(TEXT(ABS(E64),"000000000000000"),4,3)=0,"",MID(TEXT(ABS(E64),"000000000000000"),4,1)&amp;" ratus "&amp;MID(TEXT(ABS(E64),"000000000000000"),5,1)&amp;" puluh "&amp;MID(TEXT(ABS(E64),"000000000000000"),6,1)&amp;" milyar ")&amp;IF(--MID(TEXT(ABS(E64),"000000000000000"),7,3)=0,"",MID(TEXT(ABS(E64),"000000000000000"),7,1)&amp;" ratus "&amp;MID(TEXT(ABS(E64),"000000000000000"),8,1)&amp;" puluh "&amp;MID(TEXT(ABS(E64),"000000000000000"),9,1)&amp;" juta ")&amp;IF(--MID(TEXT(ABS(E64),"000000000000000"),10,3)=0,"",IF(--MID(TEXT(ABS(E64),"000000000000000"),10,3)=1,"*",MID(TEXT(ABS(E64),"000000000000000"),10,1)&amp;" ratus "&amp;MID(TEXT(ABS(E64),"000000000000000"),11,1)&amp;" puluh ")&amp;MID(TEXT(ABS(E64),"000000000000000"),12,1)&amp;" ribu ")&amp;IF(--MID(TEXT(ABS(E64),"000000000000000"),13,3)=0,"",MID(TEXT(ABS(E64),"000000000000000"),13,1)&amp;" ratus "&amp;MID(TEXT(ABS(E64),"000000000000000"),14,1)&amp;" puluh "&amp;MID(TEXT(ABS(E64),"000000000000000"),15,1)),1,"satu"),2,"dua"),3,"tiga"),4,"empat"),5,"lima"),6,"enam"),7,"tujuh"),8,"delapan"),9,"sembilan"),"0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Enam Puluh Satu Juta Delapan Ratus Enam Puluh Sembilan Ribu Seratus Delapan Puluh Rupiah</v>
      </c>
      <c r="F65" s="11"/>
      <c r="G65" s="16"/>
      <c r="H65" s="12"/>
      <c r="I65" s="12"/>
      <c r="J65" s="12"/>
      <c r="K65" s="9"/>
    </row>
    <row r="66" spans="1:11" ht="15.75">
      <c r="A66" s="10"/>
      <c r="B66" s="10"/>
      <c r="C66" s="15"/>
      <c r="D66" s="15"/>
      <c r="E66" s="15"/>
      <c r="F66" s="11"/>
      <c r="G66" s="16"/>
      <c r="H66" s="12"/>
      <c r="I66" s="12"/>
      <c r="J66" s="12"/>
      <c r="K66" s="9"/>
    </row>
    <row r="67" spans="1:11">
      <c r="A67" s="10" t="s">
        <v>11</v>
      </c>
      <c r="B67" s="10"/>
      <c r="C67" s="10"/>
      <c r="D67" s="10"/>
      <c r="E67" s="10"/>
      <c r="F67" s="10"/>
      <c r="G67" s="10"/>
      <c r="H67" s="12"/>
      <c r="I67" s="12"/>
      <c r="J67" s="12"/>
      <c r="K67" s="9"/>
    </row>
    <row r="68" spans="1:11">
      <c r="A68" s="60" t="s">
        <v>12</v>
      </c>
      <c r="B68" s="60"/>
      <c r="C68" s="60"/>
      <c r="D68" s="60"/>
      <c r="E68" s="60"/>
      <c r="F68" s="60"/>
      <c r="G68" s="60"/>
      <c r="H68" s="60"/>
      <c r="I68" s="60"/>
      <c r="J68" s="60"/>
      <c r="K68" s="60"/>
    </row>
    <row r="69" spans="1:11" ht="60">
      <c r="A69" s="17" t="s">
        <v>13</v>
      </c>
      <c r="B69" s="18" t="s">
        <v>14</v>
      </c>
      <c r="C69" s="61" t="s">
        <v>15</v>
      </c>
      <c r="D69" s="62"/>
      <c r="E69" s="63"/>
      <c r="F69" s="19"/>
      <c r="G69" s="20" t="s">
        <v>16</v>
      </c>
      <c r="H69" s="21" t="s">
        <v>37</v>
      </c>
      <c r="I69" s="21"/>
      <c r="J69" s="32" t="s">
        <v>17</v>
      </c>
      <c r="K69" s="33" t="s">
        <v>18</v>
      </c>
    </row>
    <row r="70" spans="1:11">
      <c r="A70" s="28">
        <v>1</v>
      </c>
      <c r="B70" s="25"/>
      <c r="C70" s="29" t="s">
        <v>23</v>
      </c>
      <c r="D70" s="59"/>
      <c r="E70" s="27"/>
      <c r="F70" s="26"/>
      <c r="G70" s="57" t="s">
        <v>19</v>
      </c>
      <c r="H70" s="57" t="s">
        <v>19</v>
      </c>
      <c r="I70" s="57"/>
      <c r="J70" s="57" t="s">
        <v>19</v>
      </c>
      <c r="K70" s="57" t="s">
        <v>19</v>
      </c>
    </row>
    <row r="71" spans="1:11">
      <c r="A71" s="25"/>
      <c r="B71" s="58" t="s">
        <v>20</v>
      </c>
      <c r="C71" s="64" t="s">
        <v>43</v>
      </c>
      <c r="D71" s="65"/>
      <c r="E71" s="66"/>
      <c r="F71" s="26"/>
      <c r="G71" s="24">
        <v>12000000</v>
      </c>
      <c r="H71" s="23">
        <f>H24+J24</f>
        <v>0</v>
      </c>
      <c r="I71" s="23"/>
      <c r="J71" s="23">
        <v>0</v>
      </c>
      <c r="K71" s="34">
        <f t="shared" ref="K71:K75" si="1">G71-H71-J71</f>
        <v>12000000</v>
      </c>
    </row>
    <row r="72" spans="1:11">
      <c r="A72" s="25"/>
      <c r="B72" s="58" t="s">
        <v>21</v>
      </c>
      <c r="C72" s="26" t="s">
        <v>24</v>
      </c>
      <c r="D72" s="10"/>
      <c r="E72" s="27"/>
      <c r="F72" s="26"/>
      <c r="G72" s="22">
        <v>18000000</v>
      </c>
      <c r="H72" s="23">
        <f t="shared" ref="H72:H75" si="2">H25+J25</f>
        <v>1192745</v>
      </c>
      <c r="I72" s="23"/>
      <c r="J72" s="35">
        <v>0</v>
      </c>
      <c r="K72" s="36">
        <f t="shared" si="1"/>
        <v>16807255</v>
      </c>
    </row>
    <row r="73" spans="1:11">
      <c r="A73" s="25"/>
      <c r="B73" s="58" t="s">
        <v>22</v>
      </c>
      <c r="C73" s="26" t="s">
        <v>25</v>
      </c>
      <c r="D73" s="10"/>
      <c r="E73" s="27"/>
      <c r="F73" s="26"/>
      <c r="G73" s="22">
        <v>80000000</v>
      </c>
      <c r="H73" s="23">
        <f t="shared" si="2"/>
        <v>4273340</v>
      </c>
      <c r="I73" s="23"/>
      <c r="J73" s="35">
        <v>0</v>
      </c>
      <c r="K73" s="36">
        <f t="shared" si="1"/>
        <v>75726660</v>
      </c>
    </row>
    <row r="74" spans="1:11">
      <c r="A74" s="25"/>
      <c r="B74" s="58" t="s">
        <v>39</v>
      </c>
      <c r="C74" s="26" t="s">
        <v>26</v>
      </c>
      <c r="D74" s="10"/>
      <c r="E74" s="27"/>
      <c r="F74" s="26"/>
      <c r="G74" s="22">
        <v>20400000</v>
      </c>
      <c r="H74" s="23">
        <f t="shared" si="2"/>
        <v>904100</v>
      </c>
      <c r="I74" s="23"/>
      <c r="J74" s="35">
        <v>0</v>
      </c>
      <c r="K74" s="36">
        <f t="shared" si="1"/>
        <v>19495900</v>
      </c>
    </row>
    <row r="75" spans="1:11">
      <c r="A75" s="25"/>
      <c r="B75" s="58" t="s">
        <v>40</v>
      </c>
      <c r="C75" s="26" t="s">
        <v>38</v>
      </c>
      <c r="D75" s="10"/>
      <c r="E75" s="27"/>
      <c r="F75" s="26"/>
      <c r="G75" s="22">
        <v>50000000</v>
      </c>
      <c r="H75" s="23">
        <f t="shared" si="2"/>
        <v>0</v>
      </c>
      <c r="I75" s="23"/>
      <c r="J75" s="35">
        <v>61869180</v>
      </c>
      <c r="K75" s="36">
        <f t="shared" si="1"/>
        <v>-11869180</v>
      </c>
    </row>
    <row r="76" spans="1:11">
      <c r="A76" s="37"/>
      <c r="B76" s="37"/>
      <c r="C76" s="37" t="s">
        <v>27</v>
      </c>
      <c r="D76" s="37"/>
      <c r="E76" s="37"/>
      <c r="F76" s="38"/>
      <c r="G76" s="39">
        <f>SUM(G70:G75)</f>
        <v>180400000</v>
      </c>
      <c r="H76" s="40">
        <f>SUM(H70:H75)</f>
        <v>6370185</v>
      </c>
      <c r="I76" s="40"/>
      <c r="J76" s="40">
        <f>SUM(J70:J75)</f>
        <v>61869180</v>
      </c>
      <c r="K76" s="40">
        <f>SUM(K70:K75)</f>
        <v>112160635</v>
      </c>
    </row>
    <row r="77" spans="1:11">
      <c r="A77" s="41"/>
      <c r="B77" s="8"/>
      <c r="C77" s="8"/>
      <c r="D77" s="8"/>
      <c r="E77" s="8"/>
      <c r="F77" s="8"/>
      <c r="G77" s="42"/>
      <c r="H77" s="42"/>
      <c r="I77" s="42"/>
      <c r="J77" s="42"/>
      <c r="K77" s="42"/>
    </row>
    <row r="78" spans="1:11">
      <c r="A78" s="67" t="s">
        <v>28</v>
      </c>
      <c r="B78" s="67"/>
      <c r="C78" s="67"/>
      <c r="D78" s="11" t="s">
        <v>4</v>
      </c>
      <c r="E78" s="14">
        <f>J76</f>
        <v>61869180</v>
      </c>
      <c r="F78" s="43"/>
      <c r="G78" s="44"/>
      <c r="H78" s="44"/>
      <c r="I78" s="44"/>
      <c r="J78" s="9"/>
      <c r="K78" s="9"/>
    </row>
    <row r="79" spans="1:11">
      <c r="A79" s="10" t="s">
        <v>29</v>
      </c>
      <c r="B79" s="10"/>
      <c r="C79" s="10"/>
      <c r="D79" s="11" t="s">
        <v>4</v>
      </c>
      <c r="E79" s="45"/>
      <c r="F79" s="45"/>
      <c r="G79" s="46"/>
      <c r="H79" s="12"/>
      <c r="I79" s="12"/>
      <c r="J79" s="9"/>
      <c r="K79" s="9"/>
    </row>
    <row r="80" spans="1:11">
      <c r="A80" s="10" t="s">
        <v>30</v>
      </c>
      <c r="B80" s="10"/>
      <c r="C80" s="10"/>
      <c r="D80" s="11" t="s">
        <v>4</v>
      </c>
      <c r="E80" s="47"/>
      <c r="F80" s="47"/>
      <c r="G80" s="46"/>
      <c r="H80" s="12"/>
      <c r="I80" s="12"/>
      <c r="J80" s="9"/>
      <c r="K80" s="9"/>
    </row>
    <row r="81" spans="1:11">
      <c r="A81" s="10" t="s">
        <v>31</v>
      </c>
      <c r="B81" s="10"/>
      <c r="C81" s="10"/>
      <c r="D81" s="11" t="s">
        <v>4</v>
      </c>
      <c r="E81" s="47">
        <f>E79+E80</f>
        <v>0</v>
      </c>
      <c r="F81" s="47"/>
      <c r="G81" s="10"/>
      <c r="H81" s="12"/>
      <c r="I81" s="12"/>
      <c r="J81" s="49"/>
      <c r="K81" s="49"/>
    </row>
    <row r="82" spans="1:11">
      <c r="A82" s="13"/>
      <c r="B82" s="13"/>
      <c r="C82" s="13"/>
      <c r="D82" s="11"/>
      <c r="E82" s="13"/>
      <c r="F82" s="13"/>
      <c r="G82" s="10"/>
      <c r="H82" s="12"/>
      <c r="I82" s="12"/>
      <c r="J82" s="49"/>
      <c r="K82" s="49"/>
    </row>
    <row r="83" spans="1:11">
      <c r="A83" s="67" t="s">
        <v>32</v>
      </c>
      <c r="B83" s="67"/>
      <c r="C83" s="67"/>
      <c r="D83" s="11" t="s">
        <v>4</v>
      </c>
      <c r="E83" s="43">
        <f>E78-E81</f>
        <v>61869180</v>
      </c>
      <c r="F83" s="43"/>
      <c r="G83" s="10"/>
      <c r="H83" s="12"/>
      <c r="I83" s="12"/>
      <c r="J83" s="49"/>
      <c r="K83" s="49"/>
    </row>
    <row r="84" spans="1:11" ht="15.75">
      <c r="A84" s="13"/>
      <c r="B84" s="13"/>
      <c r="C84" s="10"/>
      <c r="D84" s="10"/>
      <c r="E84" s="16" t="str">
        <f>PROPER(IF(E83=0,"nol",IF(E83&lt;0,"minus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83),"000000000000000"),1,3)=0,"",MID(TEXT(ABS(E83),"000000000000000"),1,1)&amp;" ratus "&amp;MID(TEXT(ABS(E83),"000000000000000"),2,1)&amp;" puluh "&amp;MID(TEXT(ABS(E83),"000000000000000"),3,1)&amp;" trilyun ")&amp;IF(--MID(TEXT(ABS(E83),"000000000000000"),4,3)=0,"",MID(TEXT(ABS(E83),"000000000000000"),4,1)&amp;" ratus "&amp;MID(TEXT(ABS(E83),"000000000000000"),5,1)&amp;" puluh "&amp;MID(TEXT(ABS(E83),"000000000000000"),6,1)&amp;" milyar ")&amp;IF(--MID(TEXT(ABS(E83),"000000000000000"),7,3)=0,"",MID(TEXT(ABS(E83),"000000000000000"),7,1)&amp;" ratus "&amp;MID(TEXT(ABS(E83),"000000000000000"),8,1)&amp;" puluh "&amp;MID(TEXT(ABS(E83),"000000000000000"),9,1)&amp;" juta ")&amp;IF(--MID(TEXT(ABS(E83),"000000000000000"),10,3)=0,"",IF(--MID(TEXT(ABS(E83),"000000000000000"),10,3)=1,"*",MID(TEXT(ABS(E83),"000000000000000"),10,1)&amp;" ratus "&amp;MID(TEXT(ABS(E83),"000000000000000"),11,1)&amp;" puluh ")&amp;MID(TEXT(ABS(E83),"000000000000000"),12,1)&amp;" ribu ")&amp;IF(--MID(TEXT(ABS(E83),"000000000000000"),13,3)=0,"",MID(TEXT(ABS(E83),"000000000000000"),13,1)&amp;" ratus "&amp;MID(TEXT(ABS(E83),"000000000000000"),14,1)&amp;" puluh "&amp;MID(TEXT(ABS(E83),"000000000000000"),15,1)),1,"satu"),2,"dua"),3,"tiga"),4,"empat"),5,"lima"),6,"enam"),7,"tujuh"),8,"delapan"),9,"sembilan"),"0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Enam Puluh Satu Juta Delapan Ratus Enam Puluh Sembilan Ribu Seratus Delapan Puluh Rupiah</v>
      </c>
      <c r="F84" s="10"/>
      <c r="G84" s="10"/>
      <c r="H84" s="10"/>
      <c r="I84" s="10"/>
      <c r="J84" s="49"/>
      <c r="K84" s="49"/>
    </row>
    <row r="85" spans="1:11">
      <c r="A85" s="48"/>
      <c r="B85" s="48"/>
      <c r="C85" s="48"/>
      <c r="D85" s="48"/>
      <c r="E85" s="48"/>
      <c r="F85" s="48"/>
      <c r="G85" s="30"/>
      <c r="H85" s="49"/>
      <c r="I85" s="49"/>
      <c r="J85" s="49"/>
      <c r="K85" s="49"/>
    </row>
    <row r="86" spans="1:11">
      <c r="A86" s="30"/>
      <c r="B86" s="30"/>
      <c r="C86" s="30"/>
      <c r="D86" s="30"/>
      <c r="E86" s="30"/>
      <c r="F86" s="30"/>
      <c r="G86" s="30"/>
      <c r="H86"/>
      <c r="I86"/>
      <c r="J86" s="49"/>
      <c r="K86" s="49"/>
    </row>
    <row r="87" spans="1:11">
      <c r="A87" s="13"/>
      <c r="B87" s="13"/>
      <c r="C87" s="10"/>
      <c r="D87" s="10"/>
      <c r="E87" s="10"/>
      <c r="F87" s="10"/>
      <c r="G87" s="10"/>
      <c r="I87" s="50"/>
      <c r="J87" s="50" t="s">
        <v>47</v>
      </c>
      <c r="K87" s="49"/>
    </row>
    <row r="88" spans="1:11">
      <c r="A88" s="12" t="s">
        <v>33</v>
      </c>
      <c r="B88" s="10"/>
      <c r="C88" s="10"/>
      <c r="D88" s="10"/>
      <c r="E88" s="10"/>
      <c r="F88" s="10"/>
      <c r="G88" s="10"/>
      <c r="I88" s="12"/>
      <c r="J88" s="12" t="s">
        <v>34</v>
      </c>
      <c r="K88" s="49"/>
    </row>
    <row r="89" spans="1:11">
      <c r="A89" s="10"/>
      <c r="B89" s="10"/>
      <c r="C89" s="10"/>
      <c r="D89" s="10"/>
      <c r="E89" s="10"/>
      <c r="F89" s="10"/>
      <c r="G89" s="10"/>
      <c r="I89" s="12"/>
      <c r="J89" s="12"/>
      <c r="K89" s="49"/>
    </row>
    <row r="90" spans="1:11">
      <c r="A90" s="10"/>
      <c r="B90" s="10"/>
      <c r="C90" s="10"/>
      <c r="D90" s="10"/>
      <c r="E90" s="10"/>
      <c r="F90" s="10"/>
      <c r="G90" s="10"/>
      <c r="I90" s="12"/>
      <c r="J90" s="12"/>
      <c r="K90" s="49"/>
    </row>
    <row r="91" spans="1:11">
      <c r="A91" s="10"/>
      <c r="B91" s="10"/>
      <c r="C91" s="10"/>
      <c r="D91" s="10"/>
      <c r="E91" s="10"/>
      <c r="F91" s="10"/>
      <c r="G91" s="10"/>
      <c r="I91" s="12"/>
      <c r="J91" s="12"/>
      <c r="K91" s="49"/>
    </row>
    <row r="92" spans="1:11">
      <c r="A92" s="10"/>
      <c r="B92" s="10"/>
      <c r="C92" s="10"/>
      <c r="D92" s="10"/>
      <c r="E92" s="10"/>
      <c r="F92" s="10"/>
      <c r="G92" s="10"/>
      <c r="I92" s="12"/>
      <c r="J92" s="12"/>
      <c r="K92" s="49"/>
    </row>
    <row r="93" spans="1:11">
      <c r="A93" s="51" t="s">
        <v>41</v>
      </c>
      <c r="B93" s="51"/>
      <c r="C93" s="52"/>
      <c r="D93" s="52"/>
      <c r="E93" s="52"/>
      <c r="F93" s="52"/>
      <c r="G93" s="10" t="s">
        <v>35</v>
      </c>
      <c r="I93" s="51"/>
      <c r="J93" s="51" t="s">
        <v>36</v>
      </c>
      <c r="K93" s="49"/>
    </row>
  </sheetData>
  <mergeCells count="20">
    <mergeCell ref="C22:E22"/>
    <mergeCell ref="A31:C31"/>
    <mergeCell ref="A36:C36"/>
    <mergeCell ref="A8:K8"/>
    <mergeCell ref="A9:K9"/>
    <mergeCell ref="A10:K10"/>
    <mergeCell ref="A11:K11"/>
    <mergeCell ref="A12:K12"/>
    <mergeCell ref="A21:K21"/>
    <mergeCell ref="C24:E24"/>
    <mergeCell ref="A55:K55"/>
    <mergeCell ref="A56:K56"/>
    <mergeCell ref="A57:K57"/>
    <mergeCell ref="A58:K58"/>
    <mergeCell ref="A59:K59"/>
    <mergeCell ref="A68:K68"/>
    <mergeCell ref="C69:E69"/>
    <mergeCell ref="C71:E71"/>
    <mergeCell ref="A78:C78"/>
    <mergeCell ref="A83:C83"/>
  </mergeCells>
  <pageMargins left="0.23622047244094491" right="0.23622047244094491" top="0.74803149606299213" bottom="0.74803149606299213" header="0.31496062992125984" footer="0.31496062992125984"/>
  <pageSetup paperSize="9" scale="84" orientation="portrait" horizontalDpi="4294967293" r:id="rId1"/>
  <rowBreaks count="1" manualBreakCount="1">
    <brk id="47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BB786-3642-4515-8517-CC703A00837A}">
  <dimension ref="A1:W187"/>
  <sheetViews>
    <sheetView view="pageBreakPreview" topLeftCell="A144" zoomScaleNormal="100" workbookViewId="0">
      <selection activeCell="K187" sqref="A142:K187"/>
    </sheetView>
  </sheetViews>
  <sheetFormatPr defaultColWidth="9" defaultRowHeight="15"/>
  <cols>
    <col min="1" max="1" width="3.5703125" customWidth="1"/>
    <col min="2" max="2" width="5.5703125" customWidth="1"/>
    <col min="3" max="3" width="12.28515625" customWidth="1"/>
    <col min="4" max="4" width="1.85546875" customWidth="1"/>
    <col min="5" max="5" width="25" customWidth="1"/>
    <col min="6" max="6" width="1.140625" customWidth="1"/>
    <col min="7" max="7" width="18" customWidth="1"/>
    <col min="8" max="8" width="16.5703125" style="1" customWidth="1"/>
    <col min="9" max="9" width="16.5703125" style="1" hidden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2.570312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1" spans="1:23">
      <c r="L1" s="30"/>
      <c r="M1" s="31"/>
      <c r="N1" s="31"/>
      <c r="O1" s="31"/>
      <c r="P1" s="31"/>
      <c r="Q1" s="31"/>
      <c r="R1" s="31"/>
      <c r="S1" s="31"/>
      <c r="T1" s="31"/>
      <c r="U1" s="31"/>
      <c r="V1" s="31"/>
      <c r="W1" s="30"/>
    </row>
    <row r="2" spans="1:23">
      <c r="L2" s="30"/>
      <c r="M2" s="31"/>
      <c r="N2" s="31"/>
      <c r="O2" s="31"/>
      <c r="P2" s="31"/>
      <c r="Q2" s="31"/>
      <c r="R2" s="31"/>
      <c r="S2" s="31"/>
      <c r="T2" s="31"/>
      <c r="U2" s="31"/>
      <c r="V2" s="31"/>
      <c r="W2" s="30"/>
    </row>
    <row r="3" spans="1:23">
      <c r="L3" s="30"/>
      <c r="M3" s="31"/>
      <c r="N3" s="31"/>
      <c r="O3" s="31"/>
      <c r="P3" s="31"/>
      <c r="Q3" s="31"/>
      <c r="R3" s="31"/>
      <c r="S3" s="31"/>
      <c r="T3" s="31"/>
      <c r="U3" s="31"/>
      <c r="V3" s="31"/>
      <c r="W3" s="30"/>
    </row>
    <row r="4" spans="1:23" ht="15.75">
      <c r="C4" s="2"/>
      <c r="D4" s="2"/>
      <c r="E4" s="2"/>
      <c r="F4" s="2"/>
      <c r="L4" s="30"/>
      <c r="M4" s="31"/>
      <c r="N4" s="31"/>
      <c r="O4" s="31"/>
      <c r="P4" s="31"/>
      <c r="Q4" s="31"/>
      <c r="R4" s="31"/>
      <c r="S4" s="31"/>
      <c r="T4" s="31"/>
      <c r="U4" s="31"/>
      <c r="V4" s="31"/>
      <c r="W4" s="30"/>
    </row>
    <row r="5" spans="1:23" ht="15.75">
      <c r="A5" s="3"/>
      <c r="B5" s="3"/>
      <c r="C5" s="2"/>
      <c r="D5" s="2"/>
      <c r="E5" s="2"/>
      <c r="F5" s="2"/>
      <c r="G5" s="3"/>
      <c r="H5" s="4"/>
      <c r="I5" s="4"/>
      <c r="J5" s="4"/>
      <c r="K5" s="5"/>
      <c r="L5" s="30"/>
      <c r="M5" s="31"/>
      <c r="N5" s="31"/>
      <c r="O5" s="31"/>
      <c r="P5" s="31"/>
      <c r="Q5" s="31"/>
      <c r="R5" s="31"/>
      <c r="S5" s="31"/>
      <c r="T5" s="31"/>
      <c r="U5" s="31"/>
      <c r="V5" s="31"/>
      <c r="W5" s="30"/>
    </row>
    <row r="6" spans="1:23">
      <c r="H6" s="5"/>
      <c r="I6" s="5"/>
      <c r="J6" s="5"/>
      <c r="K6" s="5"/>
      <c r="L6" s="30"/>
      <c r="M6" s="31"/>
      <c r="N6" s="31"/>
      <c r="O6" s="31"/>
      <c r="P6" s="31"/>
      <c r="Q6" s="31"/>
      <c r="R6" s="31"/>
      <c r="S6" s="31"/>
      <c r="T6" s="31"/>
      <c r="U6" s="31"/>
      <c r="V6" s="31"/>
      <c r="W6" s="30"/>
    </row>
    <row r="7" spans="1:23">
      <c r="H7" s="5"/>
      <c r="I7" s="5"/>
      <c r="J7" s="5"/>
      <c r="K7" s="5"/>
      <c r="L7" s="30"/>
      <c r="M7" s="31"/>
      <c r="N7" s="31"/>
      <c r="O7" s="31"/>
      <c r="P7" s="31"/>
      <c r="Q7" s="31"/>
      <c r="R7" s="31"/>
      <c r="S7" s="31"/>
      <c r="T7" s="31"/>
      <c r="U7" s="31"/>
      <c r="V7" s="31"/>
      <c r="W7" s="30"/>
    </row>
    <row r="8" spans="1:23" ht="15" customHeight="1">
      <c r="A8" s="68" t="s">
        <v>0</v>
      </c>
      <c r="B8" s="68"/>
      <c r="C8" s="69"/>
      <c r="D8" s="69"/>
      <c r="E8" s="69"/>
      <c r="F8" s="69"/>
      <c r="G8" s="69"/>
      <c r="H8" s="69"/>
      <c r="I8" s="69"/>
      <c r="J8" s="69"/>
      <c r="K8" s="69"/>
      <c r="L8" s="30"/>
      <c r="M8" s="31"/>
      <c r="N8" s="31"/>
      <c r="O8" s="31"/>
      <c r="P8" s="31"/>
      <c r="Q8" s="31"/>
      <c r="R8" s="31"/>
      <c r="S8" s="31"/>
      <c r="T8" s="31"/>
      <c r="U8" s="31"/>
      <c r="V8" s="31"/>
      <c r="W8" s="30"/>
    </row>
    <row r="9" spans="1:23" ht="15" customHeight="1">
      <c r="A9" s="69" t="s">
        <v>48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30"/>
      <c r="M9" s="31"/>
      <c r="N9" s="31"/>
      <c r="O9" s="31"/>
      <c r="P9" s="31"/>
      <c r="Q9" s="31"/>
      <c r="R9" s="31"/>
      <c r="S9" s="31"/>
      <c r="T9" s="31"/>
      <c r="U9" s="31"/>
      <c r="V9" s="31"/>
      <c r="W9" s="30"/>
    </row>
    <row r="10" spans="1:23" ht="15" customHeight="1">
      <c r="A10" s="69" t="s">
        <v>1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30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0"/>
    </row>
    <row r="11" spans="1:23" ht="15" customHeight="1">
      <c r="A11" s="69" t="s">
        <v>42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30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0"/>
    </row>
    <row r="12" spans="1:23" ht="15" customHeight="1">
      <c r="A12" s="69" t="s">
        <v>2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30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0"/>
    </row>
    <row r="13" spans="1:23">
      <c r="A13" s="6"/>
      <c r="B13" s="6"/>
      <c r="C13" s="7"/>
      <c r="D13" s="7"/>
      <c r="E13" s="7"/>
      <c r="F13" s="7"/>
      <c r="G13" s="8"/>
      <c r="H13" s="9"/>
      <c r="I13" s="9"/>
      <c r="J13" s="9"/>
      <c r="K13" s="9"/>
      <c r="L13" s="30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0"/>
    </row>
    <row r="14" spans="1:23">
      <c r="A14" s="55" t="s">
        <v>3</v>
      </c>
      <c r="B14" s="10"/>
      <c r="C14" s="10"/>
      <c r="D14" s="56" t="s">
        <v>4</v>
      </c>
      <c r="E14" s="10" t="s">
        <v>5</v>
      </c>
      <c r="F14" s="11"/>
      <c r="G14" s="10"/>
      <c r="H14" s="12"/>
      <c r="I14" s="12"/>
      <c r="J14" s="12"/>
      <c r="K14" s="9"/>
      <c r="L14" s="30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0"/>
    </row>
    <row r="15" spans="1:23">
      <c r="A15" s="55" t="s">
        <v>6</v>
      </c>
      <c r="B15" s="10"/>
      <c r="C15" s="10"/>
      <c r="D15" s="56" t="s">
        <v>4</v>
      </c>
      <c r="E15" s="10" t="s">
        <v>7</v>
      </c>
      <c r="F15" s="11"/>
      <c r="G15" s="10"/>
      <c r="H15" s="12"/>
      <c r="I15" s="12"/>
      <c r="J15" s="12"/>
      <c r="K15" s="9"/>
      <c r="L15" s="30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0"/>
    </row>
    <row r="16" spans="1:23">
      <c r="A16" s="55" t="s">
        <v>8</v>
      </c>
      <c r="B16" s="10"/>
      <c r="C16" s="10"/>
      <c r="D16" s="56" t="s">
        <v>4</v>
      </c>
      <c r="E16" s="13">
        <v>2026</v>
      </c>
      <c r="F16" s="11"/>
      <c r="G16" s="13"/>
      <c r="H16" s="12"/>
      <c r="I16" s="12"/>
      <c r="J16" s="12"/>
      <c r="K16" s="9"/>
      <c r="L16" s="30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0"/>
    </row>
    <row r="17" spans="1:23">
      <c r="A17" s="55" t="s">
        <v>9</v>
      </c>
      <c r="B17" s="10"/>
      <c r="C17" s="10"/>
      <c r="D17" s="56" t="s">
        <v>4</v>
      </c>
      <c r="E17" s="14">
        <f>J29</f>
        <v>500000</v>
      </c>
      <c r="F17" s="11"/>
      <c r="G17" s="14"/>
      <c r="H17" s="12"/>
      <c r="I17" s="12"/>
      <c r="J17" s="12"/>
      <c r="K17" s="9"/>
      <c r="L17" s="30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0"/>
    </row>
    <row r="18" spans="1:23" ht="15.75">
      <c r="A18" s="10"/>
      <c r="B18" s="10"/>
      <c r="C18" s="15" t="s">
        <v>10</v>
      </c>
      <c r="D18" s="56" t="s">
        <v>4</v>
      </c>
      <c r="E18" s="16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Ratus Ribu Rupiah</v>
      </c>
      <c r="F18" s="11"/>
      <c r="G18" s="16"/>
      <c r="H18" s="12"/>
      <c r="I18" s="12"/>
      <c r="J18" s="12"/>
      <c r="K18" s="9"/>
      <c r="L18" s="30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0"/>
    </row>
    <row r="19" spans="1:23" ht="15.75">
      <c r="A19" s="10"/>
      <c r="B19" s="10"/>
      <c r="C19" s="15"/>
      <c r="D19" s="15"/>
      <c r="E19" s="15"/>
      <c r="F19" s="11"/>
      <c r="G19" s="16"/>
      <c r="H19" s="12"/>
      <c r="I19" s="12"/>
      <c r="J19" s="12"/>
      <c r="K19" s="9"/>
      <c r="L19" s="30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0"/>
    </row>
    <row r="20" spans="1:23">
      <c r="A20" s="10" t="s">
        <v>11</v>
      </c>
      <c r="B20" s="10"/>
      <c r="C20" s="10"/>
      <c r="D20" s="10"/>
      <c r="E20" s="10"/>
      <c r="F20" s="10"/>
      <c r="G20" s="10"/>
      <c r="H20" s="12"/>
      <c r="I20" s="12"/>
      <c r="J20" s="12"/>
      <c r="K20" s="9"/>
      <c r="L20" s="30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0"/>
    </row>
    <row r="21" spans="1:23">
      <c r="A21" s="60" t="s">
        <v>12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30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0"/>
    </row>
    <row r="22" spans="1:23" ht="61.5" customHeight="1">
      <c r="A22" s="17" t="s">
        <v>13</v>
      </c>
      <c r="B22" s="18" t="s">
        <v>14</v>
      </c>
      <c r="C22" s="61" t="s">
        <v>15</v>
      </c>
      <c r="D22" s="62"/>
      <c r="E22" s="63"/>
      <c r="F22" s="19"/>
      <c r="G22" s="20" t="s">
        <v>16</v>
      </c>
      <c r="H22" s="21" t="s">
        <v>37</v>
      </c>
      <c r="I22" s="21"/>
      <c r="J22" s="32" t="s">
        <v>17</v>
      </c>
      <c r="K22" s="33" t="s">
        <v>18</v>
      </c>
      <c r="L22" s="30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0"/>
    </row>
    <row r="23" spans="1:23">
      <c r="A23" s="28">
        <v>1</v>
      </c>
      <c r="B23" s="25"/>
      <c r="C23" s="29" t="s">
        <v>23</v>
      </c>
      <c r="D23" s="59"/>
      <c r="E23" s="27"/>
      <c r="F23" s="26"/>
      <c r="G23" s="57" t="s">
        <v>19</v>
      </c>
      <c r="H23" s="57" t="s">
        <v>19</v>
      </c>
      <c r="I23" s="57"/>
      <c r="J23" s="57" t="s">
        <v>19</v>
      </c>
      <c r="K23" s="57" t="s">
        <v>19</v>
      </c>
      <c r="L23" s="30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0"/>
    </row>
    <row r="24" spans="1:23" ht="30.75" customHeight="1">
      <c r="A24" s="25"/>
      <c r="B24" s="58" t="s">
        <v>20</v>
      </c>
      <c r="C24" s="64" t="s">
        <v>43</v>
      </c>
      <c r="D24" s="65"/>
      <c r="E24" s="66"/>
      <c r="F24" s="26"/>
      <c r="G24" s="24">
        <v>12000000</v>
      </c>
      <c r="H24" s="23">
        <f>JANUARI!H71+JANUARI!J71</f>
        <v>0</v>
      </c>
      <c r="I24" s="23"/>
      <c r="J24" s="23">
        <v>0</v>
      </c>
      <c r="K24" s="34">
        <f t="shared" ref="K24:K28" si="0">G24-H24-J24</f>
        <v>12000000</v>
      </c>
      <c r="L24" s="30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0"/>
    </row>
    <row r="25" spans="1:23">
      <c r="A25" s="25"/>
      <c r="B25" s="58" t="s">
        <v>21</v>
      </c>
      <c r="C25" s="26" t="s">
        <v>24</v>
      </c>
      <c r="D25" s="10"/>
      <c r="E25" s="27"/>
      <c r="F25" s="26"/>
      <c r="G25" s="22">
        <v>18000000</v>
      </c>
      <c r="H25" s="23">
        <f>JANUARI!H72+JANUARI!J72</f>
        <v>1192745</v>
      </c>
      <c r="I25" s="23"/>
      <c r="J25" s="35">
        <v>0</v>
      </c>
      <c r="K25" s="36">
        <f t="shared" si="0"/>
        <v>16807255</v>
      </c>
      <c r="L25" s="30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0"/>
    </row>
    <row r="26" spans="1:23">
      <c r="A26" s="25"/>
      <c r="B26" s="58" t="s">
        <v>22</v>
      </c>
      <c r="C26" s="26" t="s">
        <v>25</v>
      </c>
      <c r="D26" s="10"/>
      <c r="E26" s="27"/>
      <c r="F26" s="26"/>
      <c r="G26" s="22">
        <v>80000000</v>
      </c>
      <c r="H26" s="23">
        <f>JANUARI!H73+JANUARI!J73</f>
        <v>4273340</v>
      </c>
      <c r="I26" s="23"/>
      <c r="J26" s="35">
        <v>0</v>
      </c>
      <c r="K26" s="36">
        <f t="shared" si="0"/>
        <v>75726660</v>
      </c>
      <c r="L26" s="30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0"/>
    </row>
    <row r="27" spans="1:23">
      <c r="A27" s="25"/>
      <c r="B27" s="58" t="s">
        <v>39</v>
      </c>
      <c r="C27" s="26" t="s">
        <v>26</v>
      </c>
      <c r="D27" s="10"/>
      <c r="E27" s="27"/>
      <c r="F27" s="26"/>
      <c r="G27" s="22">
        <v>20400000</v>
      </c>
      <c r="H27" s="23">
        <f>JANUARI!H74+JANUARI!J74</f>
        <v>904100</v>
      </c>
      <c r="I27" s="23"/>
      <c r="J27" s="35">
        <v>0</v>
      </c>
      <c r="K27" s="36">
        <f t="shared" si="0"/>
        <v>19495900</v>
      </c>
      <c r="L27" s="30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0"/>
    </row>
    <row r="28" spans="1:23">
      <c r="A28" s="25"/>
      <c r="B28" s="58" t="s">
        <v>40</v>
      </c>
      <c r="C28" s="26" t="s">
        <v>38</v>
      </c>
      <c r="D28" s="10"/>
      <c r="E28" s="27"/>
      <c r="F28" s="26"/>
      <c r="G28" s="22">
        <v>50000000</v>
      </c>
      <c r="H28" s="23">
        <f>JANUARI!H75+JANUARI!J75</f>
        <v>61869180</v>
      </c>
      <c r="I28" s="23"/>
      <c r="J28" s="35">
        <v>500000</v>
      </c>
      <c r="K28" s="36">
        <f t="shared" si="0"/>
        <v>-12369180</v>
      </c>
      <c r="L28" s="30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0"/>
    </row>
    <row r="29" spans="1:23">
      <c r="A29" s="37"/>
      <c r="B29" s="37"/>
      <c r="C29" s="37" t="s">
        <v>27</v>
      </c>
      <c r="D29" s="37"/>
      <c r="E29" s="37"/>
      <c r="F29" s="38"/>
      <c r="G29" s="39">
        <f>SUM(G23:G28)</f>
        <v>180400000</v>
      </c>
      <c r="H29" s="40">
        <f>SUM(H23:H28)</f>
        <v>68239365</v>
      </c>
      <c r="I29" s="40"/>
      <c r="J29" s="40">
        <f>SUM(J23:J28)</f>
        <v>500000</v>
      </c>
      <c r="K29" s="40">
        <f>SUM(K23:K28)</f>
        <v>111660635</v>
      </c>
      <c r="L29" s="30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0"/>
    </row>
    <row r="30" spans="1:23">
      <c r="A30" s="41"/>
      <c r="B30" s="8"/>
      <c r="C30" s="8"/>
      <c r="D30" s="8"/>
      <c r="E30" s="8"/>
      <c r="F30" s="8"/>
      <c r="G30" s="42"/>
      <c r="H30" s="42"/>
      <c r="I30" s="42"/>
      <c r="J30" s="42"/>
      <c r="K30" s="42"/>
      <c r="L30" s="30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0"/>
    </row>
    <row r="31" spans="1:23">
      <c r="A31" s="67" t="s">
        <v>28</v>
      </c>
      <c r="B31" s="67"/>
      <c r="C31" s="67"/>
      <c r="D31" s="11" t="s">
        <v>4</v>
      </c>
      <c r="E31" s="14">
        <f>J29</f>
        <v>500000</v>
      </c>
      <c r="F31" s="43"/>
      <c r="G31" s="44"/>
      <c r="H31" s="44"/>
      <c r="I31" s="44"/>
      <c r="J31" s="9"/>
      <c r="K31" s="9"/>
      <c r="L31" s="30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0"/>
    </row>
    <row r="32" spans="1:23">
      <c r="A32" s="10" t="s">
        <v>29</v>
      </c>
      <c r="B32" s="10"/>
      <c r="C32" s="10"/>
      <c r="D32" s="11" t="s">
        <v>4</v>
      </c>
      <c r="E32" s="45"/>
      <c r="F32" s="45"/>
      <c r="G32" s="46"/>
      <c r="H32" s="12"/>
      <c r="I32" s="12"/>
      <c r="J32" s="9"/>
      <c r="K32" s="9"/>
      <c r="L32" s="30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0"/>
    </row>
    <row r="33" spans="1:23">
      <c r="A33" s="10" t="s">
        <v>30</v>
      </c>
      <c r="B33" s="10"/>
      <c r="C33" s="10"/>
      <c r="D33" s="11" t="s">
        <v>4</v>
      </c>
      <c r="E33" s="47"/>
      <c r="F33" s="47"/>
      <c r="G33" s="46"/>
      <c r="H33" s="12"/>
      <c r="I33" s="12"/>
      <c r="J33" s="9"/>
      <c r="K33" s="9"/>
      <c r="L33" s="30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0"/>
    </row>
    <row r="34" spans="1:23">
      <c r="A34" s="10" t="s">
        <v>31</v>
      </c>
      <c r="B34" s="10"/>
      <c r="C34" s="10"/>
      <c r="D34" s="11" t="s">
        <v>4</v>
      </c>
      <c r="E34" s="47">
        <f>E32+E33</f>
        <v>0</v>
      </c>
      <c r="F34" s="47"/>
      <c r="G34" s="10"/>
      <c r="H34" s="12"/>
      <c r="I34" s="12"/>
      <c r="J34" s="49"/>
      <c r="K34" s="49"/>
      <c r="L34" s="30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0"/>
    </row>
    <row r="35" spans="1:23">
      <c r="A35" s="13"/>
      <c r="B35" s="13"/>
      <c r="C35" s="13"/>
      <c r="D35" s="11"/>
      <c r="E35" s="13"/>
      <c r="F35" s="13"/>
      <c r="G35" s="10"/>
      <c r="H35" s="12"/>
      <c r="I35" s="12"/>
      <c r="J35" s="49"/>
      <c r="K35" s="49"/>
      <c r="L35" s="30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0"/>
    </row>
    <row r="36" spans="1:23">
      <c r="A36" s="67" t="s">
        <v>32</v>
      </c>
      <c r="B36" s="67"/>
      <c r="C36" s="67"/>
      <c r="D36" s="11" t="s">
        <v>4</v>
      </c>
      <c r="E36" s="43">
        <f>E31-E34</f>
        <v>500000</v>
      </c>
      <c r="F36" s="43"/>
      <c r="G36" s="10"/>
      <c r="H36" s="12"/>
      <c r="I36" s="12"/>
      <c r="J36" s="49"/>
      <c r="K36" s="49"/>
      <c r="L36" s="30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0"/>
    </row>
    <row r="37" spans="1:23" ht="15.75">
      <c r="A37" s="13"/>
      <c r="B37" s="13"/>
      <c r="C37" s="10"/>
      <c r="D37" s="10"/>
      <c r="E37" s="16" t="str">
        <f>PROPER(IF(E36=0,"nol",IF(E36&lt;0,"minus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36),"000000000000000"),1,3)=0,"",MID(TEXT(ABS(E36),"000000000000000"),1,1)&amp;" ratus "&amp;MID(TEXT(ABS(E36),"000000000000000"),2,1)&amp;" puluh "&amp;MID(TEXT(ABS(E36),"000000000000000"),3,1)&amp;" trilyun ")&amp;IF(--MID(TEXT(ABS(E36),"000000000000000"),4,3)=0,"",MID(TEXT(ABS(E36),"000000000000000"),4,1)&amp;" ratus "&amp;MID(TEXT(ABS(E36),"000000000000000"),5,1)&amp;" puluh "&amp;MID(TEXT(ABS(E36),"000000000000000"),6,1)&amp;" milyar ")&amp;IF(--MID(TEXT(ABS(E36),"000000000000000"),7,3)=0,"",MID(TEXT(ABS(E36),"000000000000000"),7,1)&amp;" ratus "&amp;MID(TEXT(ABS(E36),"000000000000000"),8,1)&amp;" puluh "&amp;MID(TEXT(ABS(E36),"000000000000000"),9,1)&amp;" juta ")&amp;IF(--MID(TEXT(ABS(E36),"000000000000000"),10,3)=0,"",IF(--MID(TEXT(ABS(E36),"000000000000000"),10,3)=1,"*",MID(TEXT(ABS(E36),"000000000000000"),10,1)&amp;" ratus "&amp;MID(TEXT(ABS(E36),"000000000000000"),11,1)&amp;" puluh ")&amp;MID(TEXT(ABS(E36),"000000000000000"),12,1)&amp;" ribu ")&amp;IF(--MID(TEXT(ABS(E36),"000000000000000"),13,3)=0,"",MID(TEXT(ABS(E36),"000000000000000"),13,1)&amp;" ratus "&amp;MID(TEXT(ABS(E36),"000000000000000"),14,1)&amp;" puluh "&amp;MID(TEXT(ABS(E36),"000000000000000"),15,1)),1,"satu"),2,"dua"),3,"tiga"),4,"empat"),5,"lima"),6,"enam"),7,"tujuh"),8,"delapan"),9,"sembilan"),"0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Ratus Ribu Rupiah</v>
      </c>
      <c r="F37" s="10"/>
      <c r="G37" s="10"/>
      <c r="H37" s="10"/>
      <c r="I37" s="10"/>
      <c r="J37" s="49"/>
      <c r="K37" s="49"/>
      <c r="L37" s="30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0"/>
    </row>
    <row r="38" spans="1:23">
      <c r="A38" s="48"/>
      <c r="B38" s="48"/>
      <c r="C38" s="48"/>
      <c r="D38" s="48"/>
      <c r="E38" s="48"/>
      <c r="F38" s="48"/>
      <c r="G38" s="30"/>
      <c r="H38" s="49"/>
      <c r="I38" s="49"/>
      <c r="J38" s="49"/>
      <c r="K38" s="49"/>
      <c r="L38" s="30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0"/>
    </row>
    <row r="39" spans="1:23">
      <c r="A39" s="30"/>
      <c r="B39" s="30"/>
      <c r="C39" s="30"/>
      <c r="D39" s="30"/>
      <c r="E39" s="30"/>
      <c r="F39" s="30"/>
      <c r="G39" s="30"/>
      <c r="H39"/>
      <c r="I39"/>
      <c r="J39" s="49"/>
      <c r="K39" s="49"/>
      <c r="L39" s="30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0"/>
    </row>
    <row r="40" spans="1:23">
      <c r="A40" s="13"/>
      <c r="B40" s="13"/>
      <c r="C40" s="10"/>
      <c r="D40" s="10"/>
      <c r="E40" s="10"/>
      <c r="F40" s="10"/>
      <c r="G40" s="10"/>
      <c r="I40" s="50"/>
      <c r="J40" s="50" t="s">
        <v>49</v>
      </c>
      <c r="K40" s="49"/>
      <c r="L40" s="30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0"/>
    </row>
    <row r="41" spans="1:23">
      <c r="A41" s="12" t="s">
        <v>33</v>
      </c>
      <c r="B41" s="10"/>
      <c r="C41" s="10"/>
      <c r="D41" s="10"/>
      <c r="E41" s="10"/>
      <c r="F41" s="10"/>
      <c r="G41" s="10"/>
      <c r="I41" s="12"/>
      <c r="J41" s="12" t="s">
        <v>34</v>
      </c>
      <c r="K41" s="49"/>
      <c r="L41" s="30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0"/>
    </row>
    <row r="42" spans="1:23">
      <c r="A42" s="10"/>
      <c r="B42" s="10"/>
      <c r="C42" s="10"/>
      <c r="D42" s="10"/>
      <c r="E42" s="10"/>
      <c r="F42" s="10"/>
      <c r="G42" s="10"/>
      <c r="I42" s="12"/>
      <c r="J42" s="12"/>
      <c r="K42" s="49"/>
      <c r="L42" s="30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0"/>
    </row>
    <row r="43" spans="1:23">
      <c r="A43" s="10"/>
      <c r="B43" s="10"/>
      <c r="C43" s="10"/>
      <c r="D43" s="10"/>
      <c r="E43" s="10"/>
      <c r="F43" s="10"/>
      <c r="G43" s="10"/>
      <c r="I43" s="12"/>
      <c r="J43" s="12"/>
      <c r="K43" s="49"/>
      <c r="L43" s="30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0"/>
    </row>
    <row r="44" spans="1:23">
      <c r="A44" s="10"/>
      <c r="B44" s="10"/>
      <c r="C44" s="10"/>
      <c r="D44" s="10"/>
      <c r="E44" s="10"/>
      <c r="F44" s="10"/>
      <c r="G44" s="10"/>
      <c r="I44" s="12"/>
      <c r="J44" s="12"/>
      <c r="K44" s="49"/>
      <c r="L44" s="30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0"/>
    </row>
    <row r="45" spans="1:23">
      <c r="A45" s="10"/>
      <c r="B45" s="10"/>
      <c r="C45" s="10"/>
      <c r="D45" s="10"/>
      <c r="E45" s="10"/>
      <c r="F45" s="10"/>
      <c r="G45" s="10"/>
      <c r="I45" s="12"/>
      <c r="J45" s="12"/>
      <c r="K45" s="49"/>
      <c r="L45" s="30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0"/>
    </row>
    <row r="46" spans="1:23">
      <c r="A46" s="51" t="s">
        <v>41</v>
      </c>
      <c r="B46" s="51"/>
      <c r="C46" s="52"/>
      <c r="D46" s="52"/>
      <c r="E46" s="52"/>
      <c r="F46" s="52"/>
      <c r="G46" s="10" t="s">
        <v>35</v>
      </c>
      <c r="I46" s="51"/>
      <c r="J46" s="51" t="s">
        <v>36</v>
      </c>
      <c r="K46" s="49"/>
      <c r="L46" s="30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0"/>
    </row>
    <row r="47" spans="1:23">
      <c r="A47" s="53"/>
      <c r="B47" s="53"/>
      <c r="C47" s="54"/>
      <c r="D47" s="54"/>
      <c r="E47" s="54"/>
      <c r="F47" s="54"/>
      <c r="G47" s="54"/>
      <c r="H47" s="53"/>
      <c r="I47" s="53"/>
      <c r="J47" s="53"/>
      <c r="K47" s="49"/>
      <c r="L47" s="30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0"/>
    </row>
    <row r="51" spans="1:11" ht="15.75">
      <c r="C51" s="2"/>
      <c r="D51" s="2"/>
      <c r="E51" s="2"/>
      <c r="F51" s="2"/>
    </row>
    <row r="52" spans="1:11" ht="15.75">
      <c r="A52" s="3"/>
      <c r="B52" s="3"/>
      <c r="C52" s="2"/>
      <c r="D52" s="2"/>
      <c r="E52" s="2"/>
      <c r="F52" s="2"/>
      <c r="G52" s="3"/>
      <c r="H52" s="4"/>
      <c r="I52" s="4"/>
      <c r="J52" s="4"/>
      <c r="K52" s="5"/>
    </row>
    <row r="53" spans="1:11">
      <c r="H53" s="5"/>
      <c r="I53" s="5"/>
      <c r="J53" s="5"/>
      <c r="K53" s="5"/>
    </row>
    <row r="54" spans="1:11">
      <c r="H54" s="5"/>
      <c r="I54" s="5"/>
      <c r="J54" s="5"/>
      <c r="K54" s="5"/>
    </row>
    <row r="55" spans="1:11">
      <c r="A55" s="68" t="s">
        <v>0</v>
      </c>
      <c r="B55" s="68"/>
      <c r="C55" s="69"/>
      <c r="D55" s="69"/>
      <c r="E55" s="69"/>
      <c r="F55" s="69"/>
      <c r="G55" s="69"/>
      <c r="H55" s="69"/>
      <c r="I55" s="69"/>
      <c r="J55" s="69"/>
      <c r="K55" s="69"/>
    </row>
    <row r="56" spans="1:11">
      <c r="A56" s="69" t="s">
        <v>50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</row>
    <row r="57" spans="1:11">
      <c r="A57" s="69" t="s">
        <v>1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</row>
    <row r="58" spans="1:11">
      <c r="A58" s="69" t="s">
        <v>42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</row>
    <row r="59" spans="1:11">
      <c r="A59" s="69" t="s">
        <v>2</v>
      </c>
      <c r="B59" s="69"/>
      <c r="C59" s="69"/>
      <c r="D59" s="69"/>
      <c r="E59" s="69"/>
      <c r="F59" s="69"/>
      <c r="G59" s="69"/>
      <c r="H59" s="69"/>
      <c r="I59" s="69"/>
      <c r="J59" s="69"/>
      <c r="K59" s="69"/>
    </row>
    <row r="60" spans="1:11">
      <c r="A60" s="6"/>
      <c r="B60" s="6"/>
      <c r="C60" s="7"/>
      <c r="D60" s="7"/>
      <c r="E60" s="7"/>
      <c r="F60" s="7"/>
      <c r="G60" s="8"/>
      <c r="H60" s="9"/>
      <c r="I60" s="9"/>
      <c r="J60" s="9"/>
      <c r="K60" s="9"/>
    </row>
    <row r="61" spans="1:11">
      <c r="A61" s="55" t="s">
        <v>3</v>
      </c>
      <c r="B61" s="10"/>
      <c r="C61" s="10"/>
      <c r="D61" s="56" t="s">
        <v>4</v>
      </c>
      <c r="E61" s="10" t="s">
        <v>5</v>
      </c>
      <c r="F61" s="11"/>
      <c r="G61" s="10"/>
      <c r="H61" s="12"/>
      <c r="I61" s="12"/>
      <c r="J61" s="12"/>
      <c r="K61" s="9"/>
    </row>
    <row r="62" spans="1:11">
      <c r="A62" s="55" t="s">
        <v>6</v>
      </c>
      <c r="B62" s="10"/>
      <c r="C62" s="10"/>
      <c r="D62" s="56" t="s">
        <v>4</v>
      </c>
      <c r="E62" s="10" t="s">
        <v>7</v>
      </c>
      <c r="F62" s="11"/>
      <c r="G62" s="10"/>
      <c r="H62" s="12"/>
      <c r="I62" s="12"/>
      <c r="J62" s="12"/>
      <c r="K62" s="9"/>
    </row>
    <row r="63" spans="1:11">
      <c r="A63" s="55" t="s">
        <v>8</v>
      </c>
      <c r="B63" s="10"/>
      <c r="C63" s="10"/>
      <c r="D63" s="56" t="s">
        <v>4</v>
      </c>
      <c r="E63" s="13">
        <v>2026</v>
      </c>
      <c r="F63" s="11"/>
      <c r="G63" s="13"/>
      <c r="H63" s="12"/>
      <c r="I63" s="12"/>
      <c r="J63" s="12"/>
      <c r="K63" s="9"/>
    </row>
    <row r="64" spans="1:11">
      <c r="A64" s="55" t="s">
        <v>9</v>
      </c>
      <c r="B64" s="10"/>
      <c r="C64" s="10"/>
      <c r="D64" s="56" t="s">
        <v>4</v>
      </c>
      <c r="E64" s="14">
        <f>J76</f>
        <v>7006427</v>
      </c>
      <c r="F64" s="11"/>
      <c r="G64" s="14"/>
      <c r="H64" s="12"/>
      <c r="I64" s="12"/>
      <c r="J64" s="12"/>
      <c r="K64" s="9"/>
    </row>
    <row r="65" spans="1:11" ht="15.75">
      <c r="A65" s="10"/>
      <c r="B65" s="10"/>
      <c r="C65" s="15" t="s">
        <v>10</v>
      </c>
      <c r="D65" s="56" t="s">
        <v>4</v>
      </c>
      <c r="E65" s="16" t="str">
        <f>PROPER(IF(E64=0,"nol",IF(E64&lt;0,"minus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64),"000000000000000"),1,3)=0,"",MID(TEXT(ABS(E64),"000000000000000"),1,1)&amp;" ratus "&amp;MID(TEXT(ABS(E64),"000000000000000"),2,1)&amp;" puluh "&amp;MID(TEXT(ABS(E64),"000000000000000"),3,1)&amp;" trilyun ")&amp;IF(--MID(TEXT(ABS(E64),"000000000000000"),4,3)=0,"",MID(TEXT(ABS(E64),"000000000000000"),4,1)&amp;" ratus "&amp;MID(TEXT(ABS(E64),"000000000000000"),5,1)&amp;" puluh "&amp;MID(TEXT(ABS(E64),"000000000000000"),6,1)&amp;" milyar ")&amp;IF(--MID(TEXT(ABS(E64),"000000000000000"),7,3)=0,"",MID(TEXT(ABS(E64),"000000000000000"),7,1)&amp;" ratus "&amp;MID(TEXT(ABS(E64),"000000000000000"),8,1)&amp;" puluh "&amp;MID(TEXT(ABS(E64),"000000000000000"),9,1)&amp;" juta ")&amp;IF(--MID(TEXT(ABS(E64),"000000000000000"),10,3)=0,"",IF(--MID(TEXT(ABS(E64),"000000000000000"),10,3)=1,"*",MID(TEXT(ABS(E64),"000000000000000"),10,1)&amp;" ratus "&amp;MID(TEXT(ABS(E64),"000000000000000"),11,1)&amp;" puluh ")&amp;MID(TEXT(ABS(E64),"000000000000000"),12,1)&amp;" ribu ")&amp;IF(--MID(TEXT(ABS(E64),"000000000000000"),13,3)=0,"",MID(TEXT(ABS(E64),"000000000000000"),13,1)&amp;" ratus "&amp;MID(TEXT(ABS(E64),"000000000000000"),14,1)&amp;" puluh "&amp;MID(TEXT(ABS(E64),"000000000000000"),15,1)),1,"satu"),2,"dua"),3,"tiga"),4,"empat"),5,"lima"),6,"enam"),7,"tujuh"),8,"delapan"),9,"sembilan"),"0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Juta Enam Ribu Empat Ratus Dua Puluh Tujuh Rupiah</v>
      </c>
      <c r="F65" s="11"/>
      <c r="G65" s="16"/>
      <c r="H65" s="12"/>
      <c r="I65" s="12"/>
      <c r="J65" s="12"/>
      <c r="K65" s="9"/>
    </row>
    <row r="66" spans="1:11" ht="15.75">
      <c r="A66" s="10"/>
      <c r="B66" s="10"/>
      <c r="C66" s="15"/>
      <c r="D66" s="15"/>
      <c r="E66" s="15"/>
      <c r="F66" s="11"/>
      <c r="G66" s="16"/>
      <c r="H66" s="12"/>
      <c r="I66" s="12"/>
      <c r="J66" s="12"/>
      <c r="K66" s="9"/>
    </row>
    <row r="67" spans="1:11">
      <c r="A67" s="10" t="s">
        <v>11</v>
      </c>
      <c r="B67" s="10"/>
      <c r="C67" s="10"/>
      <c r="D67" s="10"/>
      <c r="E67" s="10"/>
      <c r="F67" s="10"/>
      <c r="G67" s="10"/>
      <c r="H67" s="12"/>
      <c r="I67" s="12"/>
      <c r="J67" s="12"/>
      <c r="K67" s="9"/>
    </row>
    <row r="68" spans="1:11">
      <c r="A68" s="60" t="s">
        <v>12</v>
      </c>
      <c r="B68" s="60"/>
      <c r="C68" s="60"/>
      <c r="D68" s="60"/>
      <c r="E68" s="60"/>
      <c r="F68" s="60"/>
      <c r="G68" s="60"/>
      <c r="H68" s="60"/>
      <c r="I68" s="60"/>
      <c r="J68" s="60"/>
      <c r="K68" s="60"/>
    </row>
    <row r="69" spans="1:11" ht="60">
      <c r="A69" s="17" t="s">
        <v>13</v>
      </c>
      <c r="B69" s="18" t="s">
        <v>14</v>
      </c>
      <c r="C69" s="61" t="s">
        <v>15</v>
      </c>
      <c r="D69" s="62"/>
      <c r="E69" s="63"/>
      <c r="F69" s="19"/>
      <c r="G69" s="20" t="s">
        <v>16</v>
      </c>
      <c r="H69" s="21" t="s">
        <v>37</v>
      </c>
      <c r="I69" s="21"/>
      <c r="J69" s="32" t="s">
        <v>17</v>
      </c>
      <c r="K69" s="33" t="s">
        <v>18</v>
      </c>
    </row>
    <row r="70" spans="1:11">
      <c r="A70" s="28">
        <v>1</v>
      </c>
      <c r="B70" s="25"/>
      <c r="C70" s="29" t="s">
        <v>23</v>
      </c>
      <c r="D70" s="59"/>
      <c r="E70" s="27"/>
      <c r="F70" s="26"/>
      <c r="G70" s="57" t="s">
        <v>19</v>
      </c>
      <c r="H70" s="57" t="s">
        <v>19</v>
      </c>
      <c r="I70" s="57"/>
      <c r="J70" s="57" t="s">
        <v>19</v>
      </c>
      <c r="K70" s="57" t="s">
        <v>19</v>
      </c>
    </row>
    <row r="71" spans="1:11">
      <c r="A71" s="25"/>
      <c r="B71" s="58" t="s">
        <v>20</v>
      </c>
      <c r="C71" s="64" t="s">
        <v>43</v>
      </c>
      <c r="D71" s="65"/>
      <c r="E71" s="66"/>
      <c r="F71" s="26"/>
      <c r="G71" s="24">
        <v>12000000</v>
      </c>
      <c r="H71" s="23">
        <f>H24+J24</f>
        <v>0</v>
      </c>
      <c r="I71" s="23"/>
      <c r="J71" s="23">
        <v>0</v>
      </c>
      <c r="K71" s="34">
        <f t="shared" ref="K71:K75" si="1">G71-H71-J71</f>
        <v>12000000</v>
      </c>
    </row>
    <row r="72" spans="1:11">
      <c r="A72" s="25"/>
      <c r="B72" s="58" t="s">
        <v>21</v>
      </c>
      <c r="C72" s="26" t="s">
        <v>24</v>
      </c>
      <c r="D72" s="10"/>
      <c r="E72" s="27"/>
      <c r="F72" s="26"/>
      <c r="G72" s="22">
        <v>18000000</v>
      </c>
      <c r="H72" s="23">
        <f t="shared" ref="H72:H74" si="2">H25+J25</f>
        <v>1192745</v>
      </c>
      <c r="I72" s="23"/>
      <c r="J72" s="35">
        <v>1031376</v>
      </c>
      <c r="K72" s="36">
        <f t="shared" si="1"/>
        <v>15775879</v>
      </c>
    </row>
    <row r="73" spans="1:11">
      <c r="A73" s="25"/>
      <c r="B73" s="58" t="s">
        <v>22</v>
      </c>
      <c r="C73" s="26" t="s">
        <v>25</v>
      </c>
      <c r="D73" s="10"/>
      <c r="E73" s="27"/>
      <c r="F73" s="26"/>
      <c r="G73" s="22">
        <v>80000000</v>
      </c>
      <c r="H73" s="23">
        <f t="shared" si="2"/>
        <v>4273340</v>
      </c>
      <c r="I73" s="23"/>
      <c r="J73" s="35">
        <v>4795427</v>
      </c>
      <c r="K73" s="36">
        <f t="shared" si="1"/>
        <v>70931233</v>
      </c>
    </row>
    <row r="74" spans="1:11">
      <c r="A74" s="25"/>
      <c r="B74" s="58" t="s">
        <v>39</v>
      </c>
      <c r="C74" s="26" t="s">
        <v>26</v>
      </c>
      <c r="D74" s="10"/>
      <c r="E74" s="27"/>
      <c r="F74" s="26"/>
      <c r="G74" s="22">
        <v>20400000</v>
      </c>
      <c r="H74" s="23">
        <f t="shared" si="2"/>
        <v>904100</v>
      </c>
      <c r="I74" s="23"/>
      <c r="J74" s="35">
        <v>1179624</v>
      </c>
      <c r="K74" s="36">
        <f t="shared" si="1"/>
        <v>18316276</v>
      </c>
    </row>
    <row r="75" spans="1:11">
      <c r="A75" s="25"/>
      <c r="B75" s="58" t="s">
        <v>40</v>
      </c>
      <c r="C75" s="26" t="s">
        <v>38</v>
      </c>
      <c r="D75" s="10"/>
      <c r="E75" s="27"/>
      <c r="F75" s="26"/>
      <c r="G75" s="22">
        <v>50000000</v>
      </c>
      <c r="H75" s="23">
        <f>H28+J28</f>
        <v>62369180</v>
      </c>
      <c r="I75" s="23"/>
      <c r="J75" s="35">
        <v>0</v>
      </c>
      <c r="K75" s="36">
        <f t="shared" si="1"/>
        <v>-12369180</v>
      </c>
    </row>
    <row r="76" spans="1:11">
      <c r="A76" s="37"/>
      <c r="B76" s="37"/>
      <c r="C76" s="37" t="s">
        <v>27</v>
      </c>
      <c r="D76" s="37"/>
      <c r="E76" s="37"/>
      <c r="F76" s="38"/>
      <c r="G76" s="39">
        <f>SUM(G70:G75)</f>
        <v>180400000</v>
      </c>
      <c r="H76" s="40">
        <f>SUM(H70:H75)</f>
        <v>68739365</v>
      </c>
      <c r="I76" s="40"/>
      <c r="J76" s="40">
        <f>SUM(J70:J75)</f>
        <v>7006427</v>
      </c>
      <c r="K76" s="40">
        <f>SUM(K70:K75)</f>
        <v>104654208</v>
      </c>
    </row>
    <row r="77" spans="1:11">
      <c r="A77" s="41"/>
      <c r="B77" s="8"/>
      <c r="C77" s="8"/>
      <c r="D77" s="8"/>
      <c r="E77" s="8"/>
      <c r="F77" s="8"/>
      <c r="G77" s="42"/>
      <c r="H77" s="42"/>
      <c r="I77" s="42"/>
      <c r="J77" s="42"/>
      <c r="K77" s="42"/>
    </row>
    <row r="78" spans="1:11">
      <c r="A78" s="67" t="s">
        <v>28</v>
      </c>
      <c r="B78" s="67"/>
      <c r="C78" s="67"/>
      <c r="D78" s="11" t="s">
        <v>4</v>
      </c>
      <c r="E78" s="14">
        <f>J76</f>
        <v>7006427</v>
      </c>
      <c r="F78" s="43"/>
      <c r="G78" s="44"/>
      <c r="H78" s="44"/>
      <c r="I78" s="44"/>
      <c r="J78" s="9"/>
      <c r="K78" s="9"/>
    </row>
    <row r="79" spans="1:11">
      <c r="A79" s="10" t="s">
        <v>29</v>
      </c>
      <c r="B79" s="10"/>
      <c r="C79" s="10"/>
      <c r="D79" s="11" t="s">
        <v>4</v>
      </c>
      <c r="E79" s="45"/>
      <c r="F79" s="45"/>
      <c r="G79" s="46"/>
      <c r="H79" s="12"/>
      <c r="I79" s="12"/>
      <c r="J79" s="9"/>
      <c r="K79" s="9"/>
    </row>
    <row r="80" spans="1:11">
      <c r="A80" s="10" t="s">
        <v>30</v>
      </c>
      <c r="B80" s="10"/>
      <c r="C80" s="10"/>
      <c r="D80" s="11" t="s">
        <v>4</v>
      </c>
      <c r="E80" s="47"/>
      <c r="F80" s="47"/>
      <c r="G80" s="46"/>
      <c r="H80" s="12"/>
      <c r="I80" s="12"/>
      <c r="J80" s="9"/>
      <c r="K80" s="9"/>
    </row>
    <row r="81" spans="1:11">
      <c r="A81" s="10" t="s">
        <v>31</v>
      </c>
      <c r="B81" s="10"/>
      <c r="C81" s="10"/>
      <c r="D81" s="11" t="s">
        <v>4</v>
      </c>
      <c r="E81" s="47">
        <f>E79+E80</f>
        <v>0</v>
      </c>
      <c r="F81" s="47"/>
      <c r="G81" s="10"/>
      <c r="H81" s="12"/>
      <c r="I81" s="12"/>
      <c r="J81" s="49"/>
      <c r="K81" s="49"/>
    </row>
    <row r="82" spans="1:11">
      <c r="A82" s="13"/>
      <c r="B82" s="13"/>
      <c r="C82" s="13"/>
      <c r="D82" s="11"/>
      <c r="E82" s="13"/>
      <c r="F82" s="13"/>
      <c r="G82" s="10"/>
      <c r="H82" s="12"/>
      <c r="I82" s="12"/>
      <c r="J82" s="49"/>
      <c r="K82" s="49"/>
    </row>
    <row r="83" spans="1:11">
      <c r="A83" s="67" t="s">
        <v>32</v>
      </c>
      <c r="B83" s="67"/>
      <c r="C83" s="67"/>
      <c r="D83" s="11" t="s">
        <v>4</v>
      </c>
      <c r="E83" s="43">
        <f>E78-E81</f>
        <v>7006427</v>
      </c>
      <c r="F83" s="43"/>
      <c r="G83" s="10"/>
      <c r="H83" s="12"/>
      <c r="I83" s="12"/>
      <c r="J83" s="49"/>
      <c r="K83" s="49"/>
    </row>
    <row r="84" spans="1:11" ht="15.75">
      <c r="A84" s="13"/>
      <c r="B84" s="13"/>
      <c r="C84" s="10"/>
      <c r="D84" s="10"/>
      <c r="E84" s="16" t="str">
        <f>PROPER(IF(E83=0,"nol",IF(E83&lt;0,"minus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83),"000000000000000"),1,3)=0,"",MID(TEXT(ABS(E83),"000000000000000"),1,1)&amp;" ratus "&amp;MID(TEXT(ABS(E83),"000000000000000"),2,1)&amp;" puluh "&amp;MID(TEXT(ABS(E83),"000000000000000"),3,1)&amp;" trilyun ")&amp;IF(--MID(TEXT(ABS(E83),"000000000000000"),4,3)=0,"",MID(TEXT(ABS(E83),"000000000000000"),4,1)&amp;" ratus "&amp;MID(TEXT(ABS(E83),"000000000000000"),5,1)&amp;" puluh "&amp;MID(TEXT(ABS(E83),"000000000000000"),6,1)&amp;" milyar ")&amp;IF(--MID(TEXT(ABS(E83),"000000000000000"),7,3)=0,"",MID(TEXT(ABS(E83),"000000000000000"),7,1)&amp;" ratus "&amp;MID(TEXT(ABS(E83),"000000000000000"),8,1)&amp;" puluh "&amp;MID(TEXT(ABS(E83),"000000000000000"),9,1)&amp;" juta ")&amp;IF(--MID(TEXT(ABS(E83),"000000000000000"),10,3)=0,"",IF(--MID(TEXT(ABS(E83),"000000000000000"),10,3)=1,"*",MID(TEXT(ABS(E83),"000000000000000"),10,1)&amp;" ratus "&amp;MID(TEXT(ABS(E83),"000000000000000"),11,1)&amp;" puluh ")&amp;MID(TEXT(ABS(E83),"000000000000000"),12,1)&amp;" ribu ")&amp;IF(--MID(TEXT(ABS(E83),"000000000000000"),13,3)=0,"",MID(TEXT(ABS(E83),"000000000000000"),13,1)&amp;" ratus "&amp;MID(TEXT(ABS(E83),"000000000000000"),14,1)&amp;" puluh "&amp;MID(TEXT(ABS(E83),"000000000000000"),15,1)),1,"satu"),2,"dua"),3,"tiga"),4,"empat"),5,"lima"),6,"enam"),7,"tujuh"),8,"delapan"),9,"sembilan"),"0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Juta Enam Ribu Empat Ratus Dua Puluh Tujuh Rupiah</v>
      </c>
      <c r="F84" s="10"/>
      <c r="G84" s="10"/>
      <c r="H84" s="10"/>
      <c r="I84" s="10"/>
      <c r="J84" s="49"/>
      <c r="K84" s="49"/>
    </row>
    <row r="85" spans="1:11">
      <c r="A85" s="48"/>
      <c r="B85" s="48"/>
      <c r="C85" s="48"/>
      <c r="D85" s="48"/>
      <c r="E85" s="48"/>
      <c r="F85" s="48"/>
      <c r="G85" s="30"/>
      <c r="H85" s="49"/>
      <c r="I85" s="49"/>
      <c r="J85" s="49"/>
      <c r="K85" s="49"/>
    </row>
    <row r="86" spans="1:11">
      <c r="A86" s="30"/>
      <c r="B86" s="30"/>
      <c r="C86" s="30"/>
      <c r="D86" s="30"/>
      <c r="E86" s="30"/>
      <c r="F86" s="30"/>
      <c r="G86" s="30"/>
      <c r="H86"/>
      <c r="I86"/>
      <c r="J86" s="49"/>
      <c r="K86" s="49"/>
    </row>
    <row r="87" spans="1:11">
      <c r="A87" s="13"/>
      <c r="B87" s="13"/>
      <c r="C87" s="10"/>
      <c r="D87" s="10"/>
      <c r="E87" s="10"/>
      <c r="F87" s="10"/>
      <c r="G87" s="10"/>
      <c r="I87" s="50"/>
      <c r="J87" s="50" t="s">
        <v>51</v>
      </c>
      <c r="K87" s="49"/>
    </row>
    <row r="88" spans="1:11">
      <c r="A88" s="12" t="s">
        <v>33</v>
      </c>
      <c r="B88" s="10"/>
      <c r="C88" s="10"/>
      <c r="D88" s="10"/>
      <c r="E88" s="10"/>
      <c r="F88" s="10"/>
      <c r="G88" s="10"/>
      <c r="I88" s="12"/>
      <c r="J88" s="12" t="s">
        <v>34</v>
      </c>
      <c r="K88" s="49"/>
    </row>
    <row r="89" spans="1:11">
      <c r="A89" s="10"/>
      <c r="B89" s="10"/>
      <c r="C89" s="10"/>
      <c r="D89" s="10"/>
      <c r="E89" s="10"/>
      <c r="F89" s="10"/>
      <c r="G89" s="10"/>
      <c r="I89" s="12"/>
      <c r="J89" s="12"/>
      <c r="K89" s="49"/>
    </row>
    <row r="90" spans="1:11">
      <c r="A90" s="10"/>
      <c r="B90" s="10"/>
      <c r="C90" s="10"/>
      <c r="D90" s="10"/>
      <c r="E90" s="10"/>
      <c r="F90" s="10"/>
      <c r="G90" s="10"/>
      <c r="I90" s="12"/>
      <c r="J90" s="12"/>
      <c r="K90" s="49"/>
    </row>
    <row r="91" spans="1:11">
      <c r="A91" s="10"/>
      <c r="B91" s="10"/>
      <c r="C91" s="10"/>
      <c r="D91" s="10"/>
      <c r="E91" s="10"/>
      <c r="F91" s="10"/>
      <c r="G91" s="10"/>
      <c r="I91" s="12"/>
      <c r="J91" s="12"/>
      <c r="K91" s="49"/>
    </row>
    <row r="92" spans="1:11">
      <c r="A92" s="10"/>
      <c r="B92" s="10"/>
      <c r="C92" s="10"/>
      <c r="D92" s="10"/>
      <c r="E92" s="10"/>
      <c r="F92" s="10"/>
      <c r="G92" s="10"/>
      <c r="I92" s="12"/>
      <c r="J92" s="12"/>
      <c r="K92" s="49"/>
    </row>
    <row r="93" spans="1:11">
      <c r="A93" s="51" t="s">
        <v>41</v>
      </c>
      <c r="B93" s="51"/>
      <c r="C93" s="52"/>
      <c r="D93" s="52"/>
      <c r="E93" s="52"/>
      <c r="F93" s="52"/>
      <c r="G93" s="10" t="s">
        <v>35</v>
      </c>
      <c r="I93" s="51"/>
      <c r="J93" s="51" t="s">
        <v>36</v>
      </c>
      <c r="K93" s="49"/>
    </row>
    <row r="98" spans="1:11" ht="15.75">
      <c r="C98" s="2"/>
      <c r="D98" s="2"/>
      <c r="E98" s="2"/>
      <c r="F98" s="2"/>
    </row>
    <row r="99" spans="1:11" ht="15.75">
      <c r="A99" s="3"/>
      <c r="B99" s="3"/>
      <c r="C99" s="2"/>
      <c r="D99" s="2"/>
      <c r="E99" s="2"/>
      <c r="F99" s="2"/>
      <c r="G99" s="3"/>
      <c r="H99" s="4"/>
      <c r="I99" s="4"/>
      <c r="J99" s="4"/>
      <c r="K99" s="5"/>
    </row>
    <row r="100" spans="1:11">
      <c r="H100" s="5"/>
      <c r="I100" s="5"/>
      <c r="J100" s="5"/>
      <c r="K100" s="5"/>
    </row>
    <row r="101" spans="1:11">
      <c r="H101" s="5"/>
      <c r="I101" s="5"/>
      <c r="J101" s="5"/>
      <c r="K101" s="5"/>
    </row>
    <row r="102" spans="1:11">
      <c r="A102" s="68" t="s">
        <v>0</v>
      </c>
      <c r="B102" s="68"/>
      <c r="C102" s="69"/>
      <c r="D102" s="69"/>
      <c r="E102" s="69"/>
      <c r="F102" s="69"/>
      <c r="G102" s="69"/>
      <c r="H102" s="69"/>
      <c r="I102" s="69"/>
      <c r="J102" s="69"/>
      <c r="K102" s="69"/>
    </row>
    <row r="103" spans="1:11">
      <c r="A103" s="69" t="s">
        <v>52</v>
      </c>
      <c r="B103" s="69"/>
      <c r="C103" s="69"/>
      <c r="D103" s="69"/>
      <c r="E103" s="69"/>
      <c r="F103" s="69"/>
      <c r="G103" s="69"/>
      <c r="H103" s="69"/>
      <c r="I103" s="69"/>
      <c r="J103" s="69"/>
      <c r="K103" s="69"/>
    </row>
    <row r="104" spans="1:11">
      <c r="A104" s="69" t="s">
        <v>1</v>
      </c>
      <c r="B104" s="69"/>
      <c r="C104" s="69"/>
      <c r="D104" s="69"/>
      <c r="E104" s="69"/>
      <c r="F104" s="69"/>
      <c r="G104" s="69"/>
      <c r="H104" s="69"/>
      <c r="I104" s="69"/>
      <c r="J104" s="69"/>
      <c r="K104" s="69"/>
    </row>
    <row r="105" spans="1:11">
      <c r="A105" s="69" t="s">
        <v>42</v>
      </c>
      <c r="B105" s="69"/>
      <c r="C105" s="69"/>
      <c r="D105" s="69"/>
      <c r="E105" s="69"/>
      <c r="F105" s="69"/>
      <c r="G105" s="69"/>
      <c r="H105" s="69"/>
      <c r="I105" s="69"/>
      <c r="J105" s="69"/>
      <c r="K105" s="69"/>
    </row>
    <row r="106" spans="1:11">
      <c r="A106" s="69" t="s">
        <v>2</v>
      </c>
      <c r="B106" s="69"/>
      <c r="C106" s="69"/>
      <c r="D106" s="69"/>
      <c r="E106" s="69"/>
      <c r="F106" s="69"/>
      <c r="G106" s="69"/>
      <c r="H106" s="69"/>
      <c r="I106" s="69"/>
      <c r="J106" s="69"/>
      <c r="K106" s="69"/>
    </row>
    <row r="107" spans="1:11">
      <c r="A107" s="6"/>
      <c r="B107" s="6"/>
      <c r="C107" s="7"/>
      <c r="D107" s="7"/>
      <c r="E107" s="7"/>
      <c r="F107" s="7"/>
      <c r="G107" s="8"/>
      <c r="H107" s="9"/>
      <c r="I107" s="9"/>
      <c r="J107" s="9"/>
      <c r="K107" s="9"/>
    </row>
    <row r="108" spans="1:11">
      <c r="A108" s="55" t="s">
        <v>3</v>
      </c>
      <c r="B108" s="10"/>
      <c r="C108" s="10"/>
      <c r="D108" s="56" t="s">
        <v>4</v>
      </c>
      <c r="E108" s="10" t="s">
        <v>5</v>
      </c>
      <c r="F108" s="11"/>
      <c r="G108" s="10"/>
      <c r="H108" s="12"/>
      <c r="I108" s="12"/>
      <c r="J108" s="12"/>
      <c r="K108" s="9"/>
    </row>
    <row r="109" spans="1:11">
      <c r="A109" s="55" t="s">
        <v>6</v>
      </c>
      <c r="B109" s="10"/>
      <c r="C109" s="10"/>
      <c r="D109" s="56" t="s">
        <v>4</v>
      </c>
      <c r="E109" s="10" t="s">
        <v>7</v>
      </c>
      <c r="F109" s="11"/>
      <c r="G109" s="10"/>
      <c r="H109" s="12"/>
      <c r="I109" s="12"/>
      <c r="J109" s="12"/>
      <c r="K109" s="9"/>
    </row>
    <row r="110" spans="1:11">
      <c r="A110" s="55" t="s">
        <v>8</v>
      </c>
      <c r="B110" s="10"/>
      <c r="C110" s="10"/>
      <c r="D110" s="56" t="s">
        <v>4</v>
      </c>
      <c r="E110" s="13">
        <v>2026</v>
      </c>
      <c r="F110" s="11"/>
      <c r="G110" s="13"/>
      <c r="H110" s="12"/>
      <c r="I110" s="12"/>
      <c r="J110" s="12"/>
      <c r="K110" s="9"/>
    </row>
    <row r="111" spans="1:11">
      <c r="A111" s="55" t="s">
        <v>9</v>
      </c>
      <c r="B111" s="10"/>
      <c r="C111" s="10"/>
      <c r="D111" s="56" t="s">
        <v>4</v>
      </c>
      <c r="E111" s="14">
        <f>J123</f>
        <v>1003500</v>
      </c>
      <c r="F111" s="11"/>
      <c r="G111" s="14"/>
      <c r="H111" s="12"/>
      <c r="I111" s="12"/>
      <c r="J111" s="12"/>
      <c r="K111" s="9"/>
    </row>
    <row r="112" spans="1:11" ht="15.75">
      <c r="A112" s="10"/>
      <c r="B112" s="10"/>
      <c r="C112" s="15" t="s">
        <v>10</v>
      </c>
      <c r="D112" s="56" t="s">
        <v>4</v>
      </c>
      <c r="E112" s="16" t="str">
        <f>PROPER(IF(E111=0,"nol",IF(E111&lt;0,"minus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111),"000000000000000"),1,3)=0,"",MID(TEXT(ABS(E111),"000000000000000"),1,1)&amp;" ratus "&amp;MID(TEXT(ABS(E111),"000000000000000"),2,1)&amp;" puluh "&amp;MID(TEXT(ABS(E111),"000000000000000"),3,1)&amp;" trilyun ")&amp;IF(--MID(TEXT(ABS(E111),"000000000000000"),4,3)=0,"",MID(TEXT(ABS(E111),"000000000000000"),4,1)&amp;" ratus "&amp;MID(TEXT(ABS(E111),"000000000000000"),5,1)&amp;" puluh "&amp;MID(TEXT(ABS(E111),"000000000000000"),6,1)&amp;" milyar ")&amp;IF(--MID(TEXT(ABS(E111),"000000000000000"),7,3)=0,"",MID(TEXT(ABS(E111),"000000000000000"),7,1)&amp;" ratus "&amp;MID(TEXT(ABS(E111),"000000000000000"),8,1)&amp;" puluh "&amp;MID(TEXT(ABS(E111),"000000000000000"),9,1)&amp;" juta ")&amp;IF(--MID(TEXT(ABS(E111),"000000000000000"),10,3)=0,"",IF(--MID(TEXT(ABS(E111),"000000000000000"),10,3)=1,"*",MID(TEXT(ABS(E111),"000000000000000"),10,1)&amp;" ratus "&amp;MID(TEXT(ABS(E111),"000000000000000"),11,1)&amp;" puluh ")&amp;MID(TEXT(ABS(E111),"000000000000000"),12,1)&amp;" ribu ")&amp;IF(--MID(TEXT(ABS(E111),"000000000000000"),13,3)=0,"",MID(TEXT(ABS(E111),"000000000000000"),13,1)&amp;" ratus "&amp;MID(TEXT(ABS(E111),"000000000000000"),14,1)&amp;" puluh "&amp;MID(TEXT(ABS(E111),"000000000000000"),15,1)),1,"satu"),2,"dua"),3,"tiga"),4,"empat"),5,"lima"),6,"enam"),7,"tujuh"),8,"delapan"),9,"sembilan"),"0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Tiga Ribu Lima Ratus Rupiah</v>
      </c>
      <c r="F112" s="11"/>
      <c r="G112" s="16"/>
      <c r="H112" s="12"/>
      <c r="I112" s="12"/>
      <c r="J112" s="12"/>
      <c r="K112" s="9"/>
    </row>
    <row r="113" spans="1:11" ht="15.75">
      <c r="A113" s="10"/>
      <c r="B113" s="10"/>
      <c r="C113" s="15"/>
      <c r="D113" s="15"/>
      <c r="E113" s="15"/>
      <c r="F113" s="11"/>
      <c r="G113" s="16"/>
      <c r="H113" s="12"/>
      <c r="I113" s="12"/>
      <c r="J113" s="12"/>
      <c r="K113" s="9"/>
    </row>
    <row r="114" spans="1:11">
      <c r="A114" s="10" t="s">
        <v>11</v>
      </c>
      <c r="B114" s="10"/>
      <c r="C114" s="10"/>
      <c r="D114" s="10"/>
      <c r="E114" s="10"/>
      <c r="F114" s="10"/>
      <c r="G114" s="10"/>
      <c r="H114" s="12"/>
      <c r="I114" s="12"/>
      <c r="J114" s="12"/>
      <c r="K114" s="9"/>
    </row>
    <row r="115" spans="1:11">
      <c r="A115" s="60" t="s">
        <v>12</v>
      </c>
      <c r="B115" s="60"/>
      <c r="C115" s="60"/>
      <c r="D115" s="60"/>
      <c r="E115" s="60"/>
      <c r="F115" s="60"/>
      <c r="G115" s="60"/>
      <c r="H115" s="60"/>
      <c r="I115" s="60"/>
      <c r="J115" s="60"/>
      <c r="K115" s="60"/>
    </row>
    <row r="116" spans="1:11" ht="60">
      <c r="A116" s="17" t="s">
        <v>13</v>
      </c>
      <c r="B116" s="18" t="s">
        <v>14</v>
      </c>
      <c r="C116" s="61" t="s">
        <v>15</v>
      </c>
      <c r="D116" s="62"/>
      <c r="E116" s="63"/>
      <c r="F116" s="19"/>
      <c r="G116" s="20" t="s">
        <v>16</v>
      </c>
      <c r="H116" s="21" t="s">
        <v>37</v>
      </c>
      <c r="I116" s="21"/>
      <c r="J116" s="32" t="s">
        <v>17</v>
      </c>
      <c r="K116" s="33" t="s">
        <v>18</v>
      </c>
    </row>
    <row r="117" spans="1:11">
      <c r="A117" s="28">
        <v>1</v>
      </c>
      <c r="B117" s="25"/>
      <c r="C117" s="29" t="s">
        <v>23</v>
      </c>
      <c r="D117" s="59"/>
      <c r="E117" s="27"/>
      <c r="F117" s="26"/>
      <c r="G117" s="57" t="s">
        <v>19</v>
      </c>
      <c r="H117" s="57" t="s">
        <v>19</v>
      </c>
      <c r="I117" s="57"/>
      <c r="J117" s="57" t="s">
        <v>19</v>
      </c>
      <c r="K117" s="57" t="s">
        <v>19</v>
      </c>
    </row>
    <row r="118" spans="1:11">
      <c r="A118" s="25"/>
      <c r="B118" s="58" t="s">
        <v>20</v>
      </c>
      <c r="C118" s="64" t="s">
        <v>43</v>
      </c>
      <c r="D118" s="65"/>
      <c r="E118" s="66"/>
      <c r="F118" s="26"/>
      <c r="G118" s="24">
        <v>12000000</v>
      </c>
      <c r="H118" s="23">
        <f>H71+J71</f>
        <v>0</v>
      </c>
      <c r="I118" s="23"/>
      <c r="J118" s="23">
        <v>0</v>
      </c>
      <c r="K118" s="34">
        <f t="shared" ref="K118:K122" si="3">G118-H118-J118</f>
        <v>12000000</v>
      </c>
    </row>
    <row r="119" spans="1:11">
      <c r="A119" s="25"/>
      <c r="B119" s="58" t="s">
        <v>21</v>
      </c>
      <c r="C119" s="26" t="s">
        <v>24</v>
      </c>
      <c r="D119" s="10"/>
      <c r="E119" s="27"/>
      <c r="F119" s="26"/>
      <c r="G119" s="22">
        <v>18000000</v>
      </c>
      <c r="H119" s="23">
        <f t="shared" ref="H119:H121" si="4">H72+J72</f>
        <v>2224121</v>
      </c>
      <c r="I119" s="23"/>
      <c r="J119" s="35">
        <v>0</v>
      </c>
      <c r="K119" s="36">
        <f t="shared" si="3"/>
        <v>15775879</v>
      </c>
    </row>
    <row r="120" spans="1:11">
      <c r="A120" s="25"/>
      <c r="B120" s="58" t="s">
        <v>22</v>
      </c>
      <c r="C120" s="26" t="s">
        <v>25</v>
      </c>
      <c r="D120" s="10"/>
      <c r="E120" s="27"/>
      <c r="F120" s="26"/>
      <c r="G120" s="22">
        <v>80000000</v>
      </c>
      <c r="H120" s="23">
        <f t="shared" si="4"/>
        <v>9068767</v>
      </c>
      <c r="I120" s="23"/>
      <c r="J120" s="35">
        <v>1003500</v>
      </c>
      <c r="K120" s="36">
        <f t="shared" si="3"/>
        <v>69927733</v>
      </c>
    </row>
    <row r="121" spans="1:11">
      <c r="A121" s="25"/>
      <c r="B121" s="58" t="s">
        <v>39</v>
      </c>
      <c r="C121" s="26" t="s">
        <v>26</v>
      </c>
      <c r="D121" s="10"/>
      <c r="E121" s="27"/>
      <c r="F121" s="26"/>
      <c r="G121" s="22">
        <v>20400000</v>
      </c>
      <c r="H121" s="23">
        <f t="shared" si="4"/>
        <v>2083724</v>
      </c>
      <c r="I121" s="23"/>
      <c r="J121" s="35">
        <v>0</v>
      </c>
      <c r="K121" s="36">
        <f t="shared" si="3"/>
        <v>18316276</v>
      </c>
    </row>
    <row r="122" spans="1:11">
      <c r="A122" s="25"/>
      <c r="B122" s="58" t="s">
        <v>40</v>
      </c>
      <c r="C122" s="26" t="s">
        <v>38</v>
      </c>
      <c r="D122" s="10"/>
      <c r="E122" s="27"/>
      <c r="F122" s="26"/>
      <c r="G122" s="22">
        <v>50000000</v>
      </c>
      <c r="H122" s="23">
        <f>H75+J75</f>
        <v>62369180</v>
      </c>
      <c r="I122" s="23"/>
      <c r="J122" s="35">
        <v>0</v>
      </c>
      <c r="K122" s="36">
        <f t="shared" si="3"/>
        <v>-12369180</v>
      </c>
    </row>
    <row r="123" spans="1:11">
      <c r="A123" s="37"/>
      <c r="B123" s="37"/>
      <c r="C123" s="37" t="s">
        <v>27</v>
      </c>
      <c r="D123" s="37"/>
      <c r="E123" s="37"/>
      <c r="F123" s="38"/>
      <c r="G123" s="39">
        <f>SUM(G117:G122)</f>
        <v>180400000</v>
      </c>
      <c r="H123" s="40">
        <f>SUM(H117:H122)</f>
        <v>75745792</v>
      </c>
      <c r="I123" s="40"/>
      <c r="J123" s="40">
        <f>SUM(J117:J122)</f>
        <v>1003500</v>
      </c>
      <c r="K123" s="40">
        <f>SUM(K117:K122)</f>
        <v>103650708</v>
      </c>
    </row>
    <row r="124" spans="1:11">
      <c r="A124" s="41"/>
      <c r="B124" s="8"/>
      <c r="C124" s="8"/>
      <c r="D124" s="8"/>
      <c r="E124" s="8"/>
      <c r="F124" s="8"/>
      <c r="G124" s="42"/>
      <c r="H124" s="42"/>
      <c r="I124" s="42"/>
      <c r="J124" s="42"/>
      <c r="K124" s="42"/>
    </row>
    <row r="125" spans="1:11">
      <c r="A125" s="67" t="s">
        <v>28</v>
      </c>
      <c r="B125" s="67"/>
      <c r="C125" s="67"/>
      <c r="D125" s="11" t="s">
        <v>4</v>
      </c>
      <c r="E125" s="14">
        <f>J123</f>
        <v>1003500</v>
      </c>
      <c r="F125" s="43"/>
      <c r="G125" s="44"/>
      <c r="H125" s="44"/>
      <c r="I125" s="44"/>
      <c r="J125" s="9"/>
      <c r="K125" s="9"/>
    </row>
    <row r="126" spans="1:11">
      <c r="A126" s="10" t="s">
        <v>29</v>
      </c>
      <c r="B126" s="10"/>
      <c r="C126" s="10"/>
      <c r="D126" s="11" t="s">
        <v>4</v>
      </c>
      <c r="E126" s="45"/>
      <c r="F126" s="45"/>
      <c r="G126" s="46"/>
      <c r="H126" s="12"/>
      <c r="I126" s="12"/>
      <c r="J126" s="9"/>
      <c r="K126" s="9"/>
    </row>
    <row r="127" spans="1:11">
      <c r="A127" s="10" t="s">
        <v>30</v>
      </c>
      <c r="B127" s="10"/>
      <c r="C127" s="10"/>
      <c r="D127" s="11" t="s">
        <v>4</v>
      </c>
      <c r="E127" s="47"/>
      <c r="F127" s="47"/>
      <c r="G127" s="46"/>
      <c r="H127" s="12"/>
      <c r="I127" s="12"/>
      <c r="J127" s="9"/>
      <c r="K127" s="9"/>
    </row>
    <row r="128" spans="1:11">
      <c r="A128" s="10" t="s">
        <v>31</v>
      </c>
      <c r="B128" s="10"/>
      <c r="C128" s="10"/>
      <c r="D128" s="11" t="s">
        <v>4</v>
      </c>
      <c r="E128" s="47">
        <f>E126+E127</f>
        <v>0</v>
      </c>
      <c r="F128" s="47"/>
      <c r="G128" s="10"/>
      <c r="H128" s="12"/>
      <c r="I128" s="12"/>
      <c r="J128" s="49"/>
      <c r="K128" s="49"/>
    </row>
    <row r="129" spans="1:11">
      <c r="A129" s="13"/>
      <c r="B129" s="13"/>
      <c r="C129" s="13"/>
      <c r="D129" s="11"/>
      <c r="E129" s="13"/>
      <c r="F129" s="13"/>
      <c r="G129" s="10"/>
      <c r="H129" s="12"/>
      <c r="I129" s="12"/>
      <c r="J129" s="49"/>
      <c r="K129" s="49"/>
    </row>
    <row r="130" spans="1:11">
      <c r="A130" s="67" t="s">
        <v>32</v>
      </c>
      <c r="B130" s="67"/>
      <c r="C130" s="67"/>
      <c r="D130" s="11" t="s">
        <v>4</v>
      </c>
      <c r="E130" s="43">
        <f>E125-E128</f>
        <v>1003500</v>
      </c>
      <c r="F130" s="43"/>
      <c r="G130" s="10"/>
      <c r="H130" s="12"/>
      <c r="I130" s="12"/>
      <c r="J130" s="49"/>
      <c r="K130" s="49"/>
    </row>
    <row r="131" spans="1:11" ht="15.75">
      <c r="A131" s="13"/>
      <c r="B131" s="13"/>
      <c r="C131" s="10"/>
      <c r="D131" s="10"/>
      <c r="E131" s="16" t="str">
        <f>PROPER(IF(E130=0,"nol",IF(E130&lt;0,"minus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130),"000000000000000"),1,3)=0,"",MID(TEXT(ABS(E130),"000000000000000"),1,1)&amp;" ratus "&amp;MID(TEXT(ABS(E130),"000000000000000"),2,1)&amp;" puluh "&amp;MID(TEXT(ABS(E130),"000000000000000"),3,1)&amp;" trilyun ")&amp;IF(--MID(TEXT(ABS(E130),"000000000000000"),4,3)=0,"",MID(TEXT(ABS(E130),"000000000000000"),4,1)&amp;" ratus "&amp;MID(TEXT(ABS(E130),"000000000000000"),5,1)&amp;" puluh "&amp;MID(TEXT(ABS(E130),"000000000000000"),6,1)&amp;" milyar ")&amp;IF(--MID(TEXT(ABS(E130),"000000000000000"),7,3)=0,"",MID(TEXT(ABS(E130),"000000000000000"),7,1)&amp;" ratus "&amp;MID(TEXT(ABS(E130),"000000000000000"),8,1)&amp;" puluh "&amp;MID(TEXT(ABS(E130),"000000000000000"),9,1)&amp;" juta ")&amp;IF(--MID(TEXT(ABS(E130),"000000000000000"),10,3)=0,"",IF(--MID(TEXT(ABS(E130),"000000000000000"),10,3)=1,"*",MID(TEXT(ABS(E130),"000000000000000"),10,1)&amp;" ratus "&amp;MID(TEXT(ABS(E130),"000000000000000"),11,1)&amp;" puluh ")&amp;MID(TEXT(ABS(E130),"000000000000000"),12,1)&amp;" ribu ")&amp;IF(--MID(TEXT(ABS(E130),"000000000000000"),13,3)=0,"",MID(TEXT(ABS(E130),"000000000000000"),13,1)&amp;" ratus "&amp;MID(TEXT(ABS(E130),"000000000000000"),14,1)&amp;" puluh "&amp;MID(TEXT(ABS(E130),"000000000000000"),15,1)),1,"satu"),2,"dua"),3,"tiga"),4,"empat"),5,"lima"),6,"enam"),7,"tujuh"),8,"delapan"),9,"sembilan"),"0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Tiga Ribu Lima Ratus Rupiah</v>
      </c>
      <c r="F131" s="10"/>
      <c r="G131" s="10"/>
      <c r="H131" s="10"/>
      <c r="I131" s="10"/>
      <c r="J131" s="49"/>
      <c r="K131" s="49"/>
    </row>
    <row r="132" spans="1:11">
      <c r="A132" s="48"/>
      <c r="B132" s="48"/>
      <c r="C132" s="48"/>
      <c r="D132" s="48"/>
      <c r="E132" s="48"/>
      <c r="F132" s="48"/>
      <c r="G132" s="30"/>
      <c r="H132" s="49"/>
      <c r="I132" s="49"/>
      <c r="J132" s="49"/>
      <c r="K132" s="49"/>
    </row>
    <row r="133" spans="1:11">
      <c r="A133" s="30"/>
      <c r="B133" s="30"/>
      <c r="C133" s="30"/>
      <c r="D133" s="30"/>
      <c r="E133" s="30"/>
      <c r="F133" s="30"/>
      <c r="G133" s="30"/>
      <c r="H133"/>
      <c r="I133"/>
      <c r="J133" s="49"/>
      <c r="K133" s="49"/>
    </row>
    <row r="134" spans="1:11">
      <c r="A134" s="13"/>
      <c r="B134" s="13"/>
      <c r="C134" s="10"/>
      <c r="D134" s="10"/>
      <c r="E134" s="10"/>
      <c r="F134" s="10"/>
      <c r="G134" s="10"/>
      <c r="I134" s="50"/>
      <c r="J134" s="50" t="s">
        <v>53</v>
      </c>
      <c r="K134" s="49"/>
    </row>
    <row r="135" spans="1:11">
      <c r="A135" s="12" t="s">
        <v>33</v>
      </c>
      <c r="B135" s="10"/>
      <c r="C135" s="10"/>
      <c r="D135" s="10"/>
      <c r="E135" s="10"/>
      <c r="F135" s="10"/>
      <c r="G135" s="10"/>
      <c r="I135" s="12"/>
      <c r="J135" s="12" t="s">
        <v>34</v>
      </c>
      <c r="K135" s="49"/>
    </row>
    <row r="136" spans="1:11">
      <c r="A136" s="10"/>
      <c r="B136" s="10"/>
      <c r="C136" s="10"/>
      <c r="D136" s="10"/>
      <c r="E136" s="10"/>
      <c r="F136" s="10"/>
      <c r="G136" s="10"/>
      <c r="I136" s="12"/>
      <c r="J136" s="12"/>
      <c r="K136" s="49"/>
    </row>
    <row r="137" spans="1:11">
      <c r="A137" s="10"/>
      <c r="B137" s="10"/>
      <c r="C137" s="10"/>
      <c r="D137" s="10"/>
      <c r="E137" s="10"/>
      <c r="F137" s="10"/>
      <c r="G137" s="10"/>
      <c r="I137" s="12"/>
      <c r="J137" s="12"/>
      <c r="K137" s="49"/>
    </row>
    <row r="138" spans="1:11">
      <c r="A138" s="10"/>
      <c r="B138" s="10"/>
      <c r="C138" s="10"/>
      <c r="D138" s="10"/>
      <c r="E138" s="10"/>
      <c r="F138" s="10"/>
      <c r="G138" s="10"/>
      <c r="I138" s="12"/>
      <c r="J138" s="12"/>
      <c r="K138" s="49"/>
    </row>
    <row r="139" spans="1:11">
      <c r="A139" s="10"/>
      <c r="B139" s="10"/>
      <c r="C139" s="10"/>
      <c r="D139" s="10"/>
      <c r="E139" s="10"/>
      <c r="F139" s="10"/>
      <c r="G139" s="10"/>
      <c r="I139" s="12"/>
      <c r="J139" s="12"/>
      <c r="K139" s="49"/>
    </row>
    <row r="140" spans="1:11">
      <c r="A140" s="51" t="s">
        <v>41</v>
      </c>
      <c r="B140" s="51"/>
      <c r="C140" s="52"/>
      <c r="D140" s="52"/>
      <c r="E140" s="52"/>
      <c r="F140" s="52"/>
      <c r="G140" s="10" t="s">
        <v>35</v>
      </c>
      <c r="I140" s="51"/>
      <c r="J140" s="51" t="s">
        <v>36</v>
      </c>
      <c r="K140" s="49"/>
    </row>
    <row r="145" spans="1:11" ht="15.75">
      <c r="C145" s="2"/>
      <c r="D145" s="2"/>
      <c r="E145" s="2"/>
      <c r="F145" s="2"/>
    </row>
    <row r="146" spans="1:11" ht="15.75">
      <c r="A146" s="3"/>
      <c r="B146" s="3"/>
      <c r="C146" s="2"/>
      <c r="D146" s="2"/>
      <c r="E146" s="2"/>
      <c r="F146" s="2"/>
      <c r="G146" s="3"/>
      <c r="H146" s="4"/>
      <c r="I146" s="4"/>
      <c r="J146" s="4"/>
      <c r="K146" s="5"/>
    </row>
    <row r="147" spans="1:11">
      <c r="H147" s="5"/>
      <c r="I147" s="5"/>
      <c r="J147" s="5"/>
      <c r="K147" s="5"/>
    </row>
    <row r="148" spans="1:11">
      <c r="H148" s="5"/>
      <c r="I148" s="5"/>
      <c r="J148" s="5"/>
      <c r="K148" s="5"/>
    </row>
    <row r="149" spans="1:11">
      <c r="A149" s="68" t="s">
        <v>0</v>
      </c>
      <c r="B149" s="68"/>
      <c r="C149" s="69"/>
      <c r="D149" s="69"/>
      <c r="E149" s="69"/>
      <c r="F149" s="69"/>
      <c r="G149" s="69"/>
      <c r="H149" s="69"/>
      <c r="I149" s="69"/>
      <c r="J149" s="69"/>
      <c r="K149" s="69"/>
    </row>
    <row r="150" spans="1:11">
      <c r="A150" s="69" t="s">
        <v>54</v>
      </c>
      <c r="B150" s="69"/>
      <c r="C150" s="69"/>
      <c r="D150" s="69"/>
      <c r="E150" s="69"/>
      <c r="F150" s="69"/>
      <c r="G150" s="69"/>
      <c r="H150" s="69"/>
      <c r="I150" s="69"/>
      <c r="J150" s="69"/>
      <c r="K150" s="69"/>
    </row>
    <row r="151" spans="1:11">
      <c r="A151" s="69" t="s">
        <v>1</v>
      </c>
      <c r="B151" s="69"/>
      <c r="C151" s="69"/>
      <c r="D151" s="69"/>
      <c r="E151" s="69"/>
      <c r="F151" s="69"/>
      <c r="G151" s="69"/>
      <c r="H151" s="69"/>
      <c r="I151" s="69"/>
      <c r="J151" s="69"/>
      <c r="K151" s="69"/>
    </row>
    <row r="152" spans="1:11">
      <c r="A152" s="69" t="s">
        <v>42</v>
      </c>
      <c r="B152" s="69"/>
      <c r="C152" s="69"/>
      <c r="D152" s="69"/>
      <c r="E152" s="69"/>
      <c r="F152" s="69"/>
      <c r="G152" s="69"/>
      <c r="H152" s="69"/>
      <c r="I152" s="69"/>
      <c r="J152" s="69"/>
      <c r="K152" s="69"/>
    </row>
    <row r="153" spans="1:11">
      <c r="A153" s="69" t="s">
        <v>2</v>
      </c>
      <c r="B153" s="69"/>
      <c r="C153" s="69"/>
      <c r="D153" s="69"/>
      <c r="E153" s="69"/>
      <c r="F153" s="69"/>
      <c r="G153" s="69"/>
      <c r="H153" s="69"/>
      <c r="I153" s="69"/>
      <c r="J153" s="69"/>
      <c r="K153" s="69"/>
    </row>
    <row r="154" spans="1:11">
      <c r="A154" s="6"/>
      <c r="B154" s="6"/>
      <c r="C154" s="7"/>
      <c r="D154" s="7"/>
      <c r="E154" s="7"/>
      <c r="F154" s="7"/>
      <c r="G154" s="8"/>
      <c r="H154" s="9"/>
      <c r="I154" s="9"/>
      <c r="J154" s="9"/>
      <c r="K154" s="9"/>
    </row>
    <row r="155" spans="1:11">
      <c r="A155" s="55" t="s">
        <v>3</v>
      </c>
      <c r="B155" s="10"/>
      <c r="C155" s="10"/>
      <c r="D155" s="56" t="s">
        <v>4</v>
      </c>
      <c r="E155" s="10" t="s">
        <v>5</v>
      </c>
      <c r="F155" s="11"/>
      <c r="G155" s="10"/>
      <c r="H155" s="12"/>
      <c r="I155" s="12"/>
      <c r="J155" s="12"/>
      <c r="K155" s="9"/>
    </row>
    <row r="156" spans="1:11">
      <c r="A156" s="55" t="s">
        <v>6</v>
      </c>
      <c r="B156" s="10"/>
      <c r="C156" s="10"/>
      <c r="D156" s="56" t="s">
        <v>4</v>
      </c>
      <c r="E156" s="10" t="s">
        <v>7</v>
      </c>
      <c r="F156" s="11"/>
      <c r="G156" s="10"/>
      <c r="H156" s="12"/>
      <c r="I156" s="12"/>
      <c r="J156" s="12"/>
      <c r="K156" s="9"/>
    </row>
    <row r="157" spans="1:11">
      <c r="A157" s="55" t="s">
        <v>8</v>
      </c>
      <c r="B157" s="10"/>
      <c r="C157" s="10"/>
      <c r="D157" s="56" t="s">
        <v>4</v>
      </c>
      <c r="E157" s="13">
        <v>2026</v>
      </c>
      <c r="F157" s="11"/>
      <c r="G157" s="13"/>
      <c r="H157" s="12"/>
      <c r="I157" s="12"/>
      <c r="J157" s="12"/>
      <c r="K157" s="9"/>
    </row>
    <row r="158" spans="1:11">
      <c r="A158" s="55" t="s">
        <v>9</v>
      </c>
      <c r="B158" s="10"/>
      <c r="C158" s="10"/>
      <c r="D158" s="56" t="s">
        <v>4</v>
      </c>
      <c r="E158" s="14">
        <f>J170</f>
        <v>1896000</v>
      </c>
      <c r="F158" s="11"/>
      <c r="G158" s="14"/>
      <c r="H158" s="12"/>
      <c r="I158" s="12"/>
      <c r="J158" s="12"/>
      <c r="K158" s="9"/>
    </row>
    <row r="159" spans="1:11" ht="15.75">
      <c r="A159" s="10"/>
      <c r="B159" s="10"/>
      <c r="C159" s="15" t="s">
        <v>10</v>
      </c>
      <c r="D159" s="56" t="s">
        <v>4</v>
      </c>
      <c r="E159" s="16" t="str">
        <f>PROPER(IF(E158=0,"nol",IF(E158&lt;0,"minus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158),"000000000000000"),1,3)=0,"",MID(TEXT(ABS(E158),"000000000000000"),1,1)&amp;" ratus "&amp;MID(TEXT(ABS(E158),"000000000000000"),2,1)&amp;" puluh "&amp;MID(TEXT(ABS(E158),"000000000000000"),3,1)&amp;" trilyun ")&amp;IF(--MID(TEXT(ABS(E158),"000000000000000"),4,3)=0,"",MID(TEXT(ABS(E158),"000000000000000"),4,1)&amp;" ratus "&amp;MID(TEXT(ABS(E158),"000000000000000"),5,1)&amp;" puluh "&amp;MID(TEXT(ABS(E158),"000000000000000"),6,1)&amp;" milyar ")&amp;IF(--MID(TEXT(ABS(E158),"000000000000000"),7,3)=0,"",MID(TEXT(ABS(E158),"000000000000000"),7,1)&amp;" ratus "&amp;MID(TEXT(ABS(E158),"000000000000000"),8,1)&amp;" puluh "&amp;MID(TEXT(ABS(E158),"000000000000000"),9,1)&amp;" juta ")&amp;IF(--MID(TEXT(ABS(E158),"000000000000000"),10,3)=0,"",IF(--MID(TEXT(ABS(E158),"000000000000000"),10,3)=1,"*",MID(TEXT(ABS(E158),"000000000000000"),10,1)&amp;" ratus "&amp;MID(TEXT(ABS(E158),"000000000000000"),11,1)&amp;" puluh ")&amp;MID(TEXT(ABS(E158),"000000000000000"),12,1)&amp;" ribu ")&amp;IF(--MID(TEXT(ABS(E158),"000000000000000"),13,3)=0,"",MID(TEXT(ABS(E158),"000000000000000"),13,1)&amp;" ratus "&amp;MID(TEXT(ABS(E158),"000000000000000"),14,1)&amp;" puluh "&amp;MID(TEXT(ABS(E158),"000000000000000"),15,1)),1,"satu"),2,"dua"),3,"tiga"),4,"empat"),5,"lima"),6,"enam"),7,"tujuh"),8,"delapan"),9,"sembilan"),"0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Delapan Ratus Sembilan Puluh Enam Ribu Rupiah</v>
      </c>
      <c r="F159" s="11"/>
      <c r="G159" s="16"/>
      <c r="H159" s="12"/>
      <c r="I159" s="12"/>
      <c r="J159" s="12"/>
      <c r="K159" s="9"/>
    </row>
    <row r="160" spans="1:11" ht="15.75">
      <c r="A160" s="10"/>
      <c r="B160" s="10"/>
      <c r="C160" s="15"/>
      <c r="D160" s="15"/>
      <c r="E160" s="15"/>
      <c r="F160" s="11"/>
      <c r="G160" s="16"/>
      <c r="H160" s="12"/>
      <c r="I160" s="12"/>
      <c r="J160" s="12"/>
      <c r="K160" s="9"/>
    </row>
    <row r="161" spans="1:11">
      <c r="A161" s="10" t="s">
        <v>11</v>
      </c>
      <c r="B161" s="10"/>
      <c r="C161" s="10"/>
      <c r="D161" s="10"/>
      <c r="E161" s="10"/>
      <c r="F161" s="10"/>
      <c r="G161" s="10"/>
      <c r="H161" s="12"/>
      <c r="I161" s="12"/>
      <c r="J161" s="12"/>
      <c r="K161" s="9"/>
    </row>
    <row r="162" spans="1:11">
      <c r="A162" s="60" t="s">
        <v>12</v>
      </c>
      <c r="B162" s="60"/>
      <c r="C162" s="60"/>
      <c r="D162" s="60"/>
      <c r="E162" s="60"/>
      <c r="F162" s="60"/>
      <c r="G162" s="60"/>
      <c r="H162" s="60"/>
      <c r="I162" s="60"/>
      <c r="J162" s="60"/>
      <c r="K162" s="60"/>
    </row>
    <row r="163" spans="1:11" ht="60">
      <c r="A163" s="17" t="s">
        <v>13</v>
      </c>
      <c r="B163" s="18" t="s">
        <v>14</v>
      </c>
      <c r="C163" s="61" t="s">
        <v>15</v>
      </c>
      <c r="D163" s="62"/>
      <c r="E163" s="63"/>
      <c r="F163" s="19"/>
      <c r="G163" s="20" t="s">
        <v>16</v>
      </c>
      <c r="H163" s="21" t="s">
        <v>37</v>
      </c>
      <c r="I163" s="21"/>
      <c r="J163" s="32" t="s">
        <v>17</v>
      </c>
      <c r="K163" s="33" t="s">
        <v>18</v>
      </c>
    </row>
    <row r="164" spans="1:11">
      <c r="A164" s="28">
        <v>1</v>
      </c>
      <c r="B164" s="25"/>
      <c r="C164" s="29" t="s">
        <v>23</v>
      </c>
      <c r="D164" s="59"/>
      <c r="E164" s="27"/>
      <c r="F164" s="26"/>
      <c r="G164" s="57" t="s">
        <v>19</v>
      </c>
      <c r="H164" s="57" t="s">
        <v>19</v>
      </c>
      <c r="I164" s="57"/>
      <c r="J164" s="57" t="s">
        <v>19</v>
      </c>
      <c r="K164" s="57" t="s">
        <v>19</v>
      </c>
    </row>
    <row r="165" spans="1:11">
      <c r="A165" s="25"/>
      <c r="B165" s="58" t="s">
        <v>20</v>
      </c>
      <c r="C165" s="64" t="s">
        <v>43</v>
      </c>
      <c r="D165" s="65"/>
      <c r="E165" s="66"/>
      <c r="F165" s="26"/>
      <c r="G165" s="24">
        <v>12000000</v>
      </c>
      <c r="H165" s="23">
        <f>H118+J118</f>
        <v>0</v>
      </c>
      <c r="I165" s="23"/>
      <c r="J165" s="23">
        <v>0</v>
      </c>
      <c r="K165" s="34">
        <f t="shared" ref="K165:K169" si="5">G165-H165-J165</f>
        <v>12000000</v>
      </c>
    </row>
    <row r="166" spans="1:11">
      <c r="A166" s="25"/>
      <c r="B166" s="58" t="s">
        <v>21</v>
      </c>
      <c r="C166" s="26" t="s">
        <v>24</v>
      </c>
      <c r="D166" s="10"/>
      <c r="E166" s="27"/>
      <c r="F166" s="26"/>
      <c r="G166" s="22">
        <v>18000000</v>
      </c>
      <c r="H166" s="23">
        <f t="shared" ref="H166:H168" si="6">H119+J119</f>
        <v>2224121</v>
      </c>
      <c r="I166" s="23"/>
      <c r="J166" s="35">
        <v>0</v>
      </c>
      <c r="K166" s="36">
        <f t="shared" si="5"/>
        <v>15775879</v>
      </c>
    </row>
    <row r="167" spans="1:11">
      <c r="A167" s="25"/>
      <c r="B167" s="58" t="s">
        <v>22</v>
      </c>
      <c r="C167" s="26" t="s">
        <v>25</v>
      </c>
      <c r="D167" s="10"/>
      <c r="E167" s="27"/>
      <c r="F167" s="26"/>
      <c r="G167" s="22">
        <v>80000000</v>
      </c>
      <c r="H167" s="23">
        <f t="shared" si="6"/>
        <v>10072267</v>
      </c>
      <c r="I167" s="23"/>
      <c r="J167" s="35">
        <v>0</v>
      </c>
      <c r="K167" s="36">
        <f t="shared" si="5"/>
        <v>69927733</v>
      </c>
    </row>
    <row r="168" spans="1:11">
      <c r="A168" s="25"/>
      <c r="B168" s="58" t="s">
        <v>39</v>
      </c>
      <c r="C168" s="26" t="s">
        <v>26</v>
      </c>
      <c r="D168" s="10"/>
      <c r="E168" s="27"/>
      <c r="F168" s="26"/>
      <c r="G168" s="22">
        <v>20400000</v>
      </c>
      <c r="H168" s="23">
        <f t="shared" si="6"/>
        <v>2083724</v>
      </c>
      <c r="I168" s="23"/>
      <c r="J168" s="35">
        <v>0</v>
      </c>
      <c r="K168" s="36">
        <f t="shared" si="5"/>
        <v>18316276</v>
      </c>
    </row>
    <row r="169" spans="1:11">
      <c r="A169" s="25"/>
      <c r="B169" s="58" t="s">
        <v>40</v>
      </c>
      <c r="C169" s="26" t="s">
        <v>38</v>
      </c>
      <c r="D169" s="10"/>
      <c r="E169" s="27"/>
      <c r="F169" s="26"/>
      <c r="G169" s="22">
        <v>50000000</v>
      </c>
      <c r="H169" s="23">
        <f>H122+J122</f>
        <v>62369180</v>
      </c>
      <c r="I169" s="23"/>
      <c r="J169" s="35">
        <v>1896000</v>
      </c>
      <c r="K169" s="36">
        <f t="shared" si="5"/>
        <v>-14265180</v>
      </c>
    </row>
    <row r="170" spans="1:11">
      <c r="A170" s="37"/>
      <c r="B170" s="37"/>
      <c r="C170" s="37" t="s">
        <v>27</v>
      </c>
      <c r="D170" s="37"/>
      <c r="E170" s="37"/>
      <c r="F170" s="38"/>
      <c r="G170" s="39">
        <f>SUM(G164:G169)</f>
        <v>180400000</v>
      </c>
      <c r="H170" s="40">
        <f>SUM(H164:H169)</f>
        <v>76749292</v>
      </c>
      <c r="I170" s="40"/>
      <c r="J170" s="40">
        <f>SUM(J164:J169)</f>
        <v>1896000</v>
      </c>
      <c r="K170" s="40">
        <f>SUM(K164:K169)</f>
        <v>101754708</v>
      </c>
    </row>
    <row r="171" spans="1:11">
      <c r="A171" s="41"/>
      <c r="B171" s="8"/>
      <c r="C171" s="8"/>
      <c r="D171" s="8"/>
      <c r="E171" s="8"/>
      <c r="F171" s="8"/>
      <c r="G171" s="42"/>
      <c r="H171" s="42"/>
      <c r="I171" s="42"/>
      <c r="J171" s="42"/>
      <c r="K171" s="42"/>
    </row>
    <row r="172" spans="1:11">
      <c r="A172" s="67" t="s">
        <v>28</v>
      </c>
      <c r="B172" s="67"/>
      <c r="C172" s="67"/>
      <c r="D172" s="11" t="s">
        <v>4</v>
      </c>
      <c r="E172" s="14">
        <f>J170</f>
        <v>1896000</v>
      </c>
      <c r="F172" s="43"/>
      <c r="G172" s="44"/>
      <c r="H172" s="44"/>
      <c r="I172" s="44"/>
      <c r="J172" s="9"/>
      <c r="K172" s="9"/>
    </row>
    <row r="173" spans="1:11">
      <c r="A173" s="10" t="s">
        <v>29</v>
      </c>
      <c r="B173" s="10"/>
      <c r="C173" s="10"/>
      <c r="D173" s="11" t="s">
        <v>4</v>
      </c>
      <c r="E173" s="45"/>
      <c r="F173" s="45"/>
      <c r="G173" s="46"/>
      <c r="H173" s="12"/>
      <c r="I173" s="12"/>
      <c r="J173" s="9"/>
      <c r="K173" s="9"/>
    </row>
    <row r="174" spans="1:11">
      <c r="A174" s="10" t="s">
        <v>30</v>
      </c>
      <c r="B174" s="10"/>
      <c r="C174" s="10"/>
      <c r="D174" s="11" t="s">
        <v>4</v>
      </c>
      <c r="E174" s="47"/>
      <c r="F174" s="47"/>
      <c r="G174" s="46"/>
      <c r="H174" s="12"/>
      <c r="I174" s="12"/>
      <c r="J174" s="9"/>
      <c r="K174" s="9"/>
    </row>
    <row r="175" spans="1:11">
      <c r="A175" s="10" t="s">
        <v>31</v>
      </c>
      <c r="B175" s="10"/>
      <c r="C175" s="10"/>
      <c r="D175" s="11" t="s">
        <v>4</v>
      </c>
      <c r="E175" s="47">
        <f>E173+E174</f>
        <v>0</v>
      </c>
      <c r="F175" s="47"/>
      <c r="G175" s="10"/>
      <c r="H175" s="12"/>
      <c r="I175" s="12"/>
      <c r="J175" s="49"/>
      <c r="K175" s="49"/>
    </row>
    <row r="176" spans="1:11">
      <c r="A176" s="13"/>
      <c r="B176" s="13"/>
      <c r="C176" s="13"/>
      <c r="D176" s="11"/>
      <c r="E176" s="13"/>
      <c r="F176" s="13"/>
      <c r="G176" s="10"/>
      <c r="H176" s="12"/>
      <c r="I176" s="12"/>
      <c r="J176" s="49"/>
      <c r="K176" s="49"/>
    </row>
    <row r="177" spans="1:11">
      <c r="A177" s="67" t="s">
        <v>32</v>
      </c>
      <c r="B177" s="67"/>
      <c r="C177" s="67"/>
      <c r="D177" s="11" t="s">
        <v>4</v>
      </c>
      <c r="E177" s="43">
        <f>E172-E175</f>
        <v>1896000</v>
      </c>
      <c r="F177" s="43"/>
      <c r="G177" s="10"/>
      <c r="H177" s="12"/>
      <c r="I177" s="12"/>
      <c r="J177" s="49"/>
      <c r="K177" s="49"/>
    </row>
    <row r="178" spans="1:11" ht="15.75">
      <c r="A178" s="13"/>
      <c r="B178" s="13"/>
      <c r="C178" s="10"/>
      <c r="D178" s="10"/>
      <c r="E178" s="16" t="str">
        <f>PROPER(IF(E177=0,"nol",IF(E177&lt;0,"minus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177),"000000000000000"),1,3)=0,"",MID(TEXT(ABS(E177),"000000000000000"),1,1)&amp;" ratus "&amp;MID(TEXT(ABS(E177),"000000000000000"),2,1)&amp;" puluh "&amp;MID(TEXT(ABS(E177),"000000000000000"),3,1)&amp;" trilyun ")&amp;IF(--MID(TEXT(ABS(E177),"000000000000000"),4,3)=0,"",MID(TEXT(ABS(E177),"000000000000000"),4,1)&amp;" ratus "&amp;MID(TEXT(ABS(E177),"000000000000000"),5,1)&amp;" puluh "&amp;MID(TEXT(ABS(E177),"000000000000000"),6,1)&amp;" milyar ")&amp;IF(--MID(TEXT(ABS(E177),"000000000000000"),7,3)=0,"",MID(TEXT(ABS(E177),"000000000000000"),7,1)&amp;" ratus "&amp;MID(TEXT(ABS(E177),"000000000000000"),8,1)&amp;" puluh "&amp;MID(TEXT(ABS(E177),"000000000000000"),9,1)&amp;" juta ")&amp;IF(--MID(TEXT(ABS(E177),"000000000000000"),10,3)=0,"",IF(--MID(TEXT(ABS(E177),"000000000000000"),10,3)=1,"*",MID(TEXT(ABS(E177),"000000000000000"),10,1)&amp;" ratus "&amp;MID(TEXT(ABS(E177),"000000000000000"),11,1)&amp;" puluh ")&amp;MID(TEXT(ABS(E177),"000000000000000"),12,1)&amp;" ribu ")&amp;IF(--MID(TEXT(ABS(E177),"000000000000000"),13,3)=0,"",MID(TEXT(ABS(E177),"000000000000000"),13,1)&amp;" ratus "&amp;MID(TEXT(ABS(E177),"000000000000000"),14,1)&amp;" puluh "&amp;MID(TEXT(ABS(E177),"000000000000000"),15,1)),1,"satu"),2,"dua"),3,"tiga"),4,"empat"),5,"lima"),6,"enam"),7,"tujuh"),8,"delapan"),9,"sembilan"),"0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Delapan Ratus Sembilan Puluh Enam Ribu Rupiah</v>
      </c>
      <c r="F178" s="10"/>
      <c r="G178" s="10"/>
      <c r="H178" s="10"/>
      <c r="I178" s="10"/>
      <c r="J178" s="49"/>
      <c r="K178" s="49"/>
    </row>
    <row r="179" spans="1:11">
      <c r="A179" s="48"/>
      <c r="B179" s="48"/>
      <c r="C179" s="48"/>
      <c r="D179" s="48"/>
      <c r="E179" s="48"/>
      <c r="F179" s="48"/>
      <c r="G179" s="30"/>
      <c r="H179" s="49"/>
      <c r="I179" s="49"/>
      <c r="J179" s="49"/>
      <c r="K179" s="49"/>
    </row>
    <row r="180" spans="1:11">
      <c r="A180" s="30"/>
      <c r="B180" s="30"/>
      <c r="C180" s="30"/>
      <c r="D180" s="30"/>
      <c r="E180" s="30"/>
      <c r="F180" s="30"/>
      <c r="G180" s="30"/>
      <c r="H180"/>
      <c r="I180"/>
      <c r="J180" s="49"/>
      <c r="K180" s="49"/>
    </row>
    <row r="181" spans="1:11">
      <c r="A181" s="13"/>
      <c r="B181" s="13"/>
      <c r="C181" s="10"/>
      <c r="D181" s="10"/>
      <c r="E181" s="10"/>
      <c r="F181" s="10"/>
      <c r="G181" s="10"/>
      <c r="I181" s="50"/>
      <c r="J181" s="50" t="s">
        <v>55</v>
      </c>
      <c r="K181" s="49"/>
    </row>
    <row r="182" spans="1:11">
      <c r="A182" s="12" t="s">
        <v>33</v>
      </c>
      <c r="B182" s="10"/>
      <c r="C182" s="10"/>
      <c r="D182" s="10"/>
      <c r="E182" s="10"/>
      <c r="F182" s="10"/>
      <c r="G182" s="10"/>
      <c r="I182" s="12"/>
      <c r="J182" s="12" t="s">
        <v>34</v>
      </c>
      <c r="K182" s="49"/>
    </row>
    <row r="183" spans="1:11">
      <c r="A183" s="10"/>
      <c r="B183" s="10"/>
      <c r="C183" s="10"/>
      <c r="D183" s="10"/>
      <c r="E183" s="10"/>
      <c r="F183" s="10"/>
      <c r="G183" s="10"/>
      <c r="I183" s="12"/>
      <c r="J183" s="12"/>
      <c r="K183" s="49"/>
    </row>
    <row r="184" spans="1:11">
      <c r="A184" s="10"/>
      <c r="B184" s="10"/>
      <c r="C184" s="10"/>
      <c r="D184" s="10"/>
      <c r="E184" s="10"/>
      <c r="F184" s="10"/>
      <c r="G184" s="10"/>
      <c r="I184" s="12"/>
      <c r="J184" s="12"/>
      <c r="K184" s="49"/>
    </row>
    <row r="185" spans="1:11">
      <c r="A185" s="10"/>
      <c r="B185" s="10"/>
      <c r="C185" s="10"/>
      <c r="D185" s="10"/>
      <c r="E185" s="10"/>
      <c r="F185" s="10"/>
      <c r="G185" s="10"/>
      <c r="I185" s="12"/>
      <c r="J185" s="12"/>
      <c r="K185" s="49"/>
    </row>
    <row r="186" spans="1:11">
      <c r="A186" s="10"/>
      <c r="B186" s="10"/>
      <c r="C186" s="10"/>
      <c r="D186" s="10"/>
      <c r="E186" s="10"/>
      <c r="F186" s="10"/>
      <c r="G186" s="10"/>
      <c r="I186" s="12"/>
      <c r="J186" s="12"/>
      <c r="K186" s="49"/>
    </row>
    <row r="187" spans="1:11">
      <c r="A187" s="51" t="s">
        <v>41</v>
      </c>
      <c r="B187" s="51"/>
      <c r="C187" s="52"/>
      <c r="D187" s="52"/>
      <c r="E187" s="52"/>
      <c r="F187" s="52"/>
      <c r="G187" s="10" t="s">
        <v>35</v>
      </c>
      <c r="I187" s="51"/>
      <c r="J187" s="51" t="s">
        <v>36</v>
      </c>
      <c r="K187" s="49"/>
    </row>
  </sheetData>
  <mergeCells count="40">
    <mergeCell ref="A115:K115"/>
    <mergeCell ref="C116:E116"/>
    <mergeCell ref="C118:E118"/>
    <mergeCell ref="A125:C125"/>
    <mergeCell ref="A130:C130"/>
    <mergeCell ref="A102:K102"/>
    <mergeCell ref="A103:K103"/>
    <mergeCell ref="A104:K104"/>
    <mergeCell ref="A105:K105"/>
    <mergeCell ref="A106:K106"/>
    <mergeCell ref="A78:C78"/>
    <mergeCell ref="A83:C83"/>
    <mergeCell ref="A57:K57"/>
    <mergeCell ref="A58:K58"/>
    <mergeCell ref="A59:K59"/>
    <mergeCell ref="A68:K68"/>
    <mergeCell ref="C69:E69"/>
    <mergeCell ref="C71:E71"/>
    <mergeCell ref="A56:K56"/>
    <mergeCell ref="A8:K8"/>
    <mergeCell ref="A9:K9"/>
    <mergeCell ref="A10:K10"/>
    <mergeCell ref="A11:K11"/>
    <mergeCell ref="A12:K12"/>
    <mergeCell ref="A21:K21"/>
    <mergeCell ref="C22:E22"/>
    <mergeCell ref="C24:E24"/>
    <mergeCell ref="A31:C31"/>
    <mergeCell ref="A36:C36"/>
    <mergeCell ref="A55:K55"/>
    <mergeCell ref="A149:K149"/>
    <mergeCell ref="A150:K150"/>
    <mergeCell ref="A151:K151"/>
    <mergeCell ref="A152:K152"/>
    <mergeCell ref="A153:K153"/>
    <mergeCell ref="A162:K162"/>
    <mergeCell ref="C163:E163"/>
    <mergeCell ref="C165:E165"/>
    <mergeCell ref="A172:C172"/>
    <mergeCell ref="A177:C177"/>
  </mergeCells>
  <pageMargins left="0.23622047244094491" right="0.23622047244094491" top="0.15748031496062992" bottom="0.74803149606299213" header="0.31496062992125984" footer="0.31496062992125984"/>
  <pageSetup paperSize="9" scale="84" orientation="portrait" horizontalDpi="4294967293" r:id="rId1"/>
  <rowBreaks count="3" manualBreakCount="3">
    <brk id="47" max="10" man="1"/>
    <brk id="94" max="10" man="1"/>
    <brk id="141" max="1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971E0-089F-4A51-8825-45C941CFD500}">
  <dimension ref="A1:W187"/>
  <sheetViews>
    <sheetView tabSelected="1" view="pageBreakPreview" zoomScaleNormal="100" workbookViewId="0">
      <selection activeCell="K46" sqref="A1:K46"/>
    </sheetView>
  </sheetViews>
  <sheetFormatPr defaultColWidth="9" defaultRowHeight="15"/>
  <cols>
    <col min="1" max="1" width="3.5703125" customWidth="1"/>
    <col min="2" max="2" width="5.5703125" customWidth="1"/>
    <col min="3" max="3" width="12.28515625" customWidth="1"/>
    <col min="4" max="4" width="1.85546875" customWidth="1"/>
    <col min="5" max="5" width="25" customWidth="1"/>
    <col min="6" max="6" width="1.140625" customWidth="1"/>
    <col min="7" max="7" width="18" customWidth="1"/>
    <col min="8" max="8" width="16.5703125" style="1" customWidth="1"/>
    <col min="9" max="9" width="16.5703125" style="1" hidden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2.570312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1" spans="1:23">
      <c r="L1" s="30"/>
      <c r="M1" s="31"/>
      <c r="N1" s="31"/>
      <c r="O1" s="31"/>
      <c r="P1" s="31"/>
      <c r="Q1" s="31"/>
      <c r="R1" s="31"/>
      <c r="S1" s="31"/>
      <c r="T1" s="31"/>
      <c r="U1" s="31"/>
      <c r="V1" s="31"/>
      <c r="W1" s="30"/>
    </row>
    <row r="2" spans="1:23">
      <c r="L2" s="30"/>
      <c r="M2" s="31"/>
      <c r="N2" s="31"/>
      <c r="O2" s="31"/>
      <c r="P2" s="31"/>
      <c r="Q2" s="31"/>
      <c r="R2" s="31"/>
      <c r="S2" s="31"/>
      <c r="T2" s="31"/>
      <c r="U2" s="31"/>
      <c r="V2" s="31"/>
      <c r="W2" s="30"/>
    </row>
    <row r="3" spans="1:23">
      <c r="L3" s="30"/>
      <c r="M3" s="31"/>
      <c r="N3" s="31"/>
      <c r="O3" s="31"/>
      <c r="P3" s="31"/>
      <c r="Q3" s="31"/>
      <c r="R3" s="31"/>
      <c r="S3" s="31"/>
      <c r="T3" s="31"/>
      <c r="U3" s="31"/>
      <c r="V3" s="31"/>
      <c r="W3" s="30"/>
    </row>
    <row r="4" spans="1:23" ht="15.75">
      <c r="C4" s="2"/>
      <c r="D4" s="2"/>
      <c r="E4" s="2"/>
      <c r="F4" s="2"/>
      <c r="L4" s="30"/>
      <c r="M4" s="31"/>
      <c r="N4" s="31"/>
      <c r="O4" s="31"/>
      <c r="P4" s="31"/>
      <c r="Q4" s="31"/>
      <c r="R4" s="31"/>
      <c r="S4" s="31"/>
      <c r="T4" s="31"/>
      <c r="U4" s="31"/>
      <c r="V4" s="31"/>
      <c r="W4" s="30"/>
    </row>
    <row r="5" spans="1:23" ht="15.75">
      <c r="A5" s="3"/>
      <c r="B5" s="3"/>
      <c r="C5" s="2"/>
      <c r="D5" s="2"/>
      <c r="E5" s="2"/>
      <c r="F5" s="2"/>
      <c r="G5" s="3"/>
      <c r="H5" s="4"/>
      <c r="I5" s="4"/>
      <c r="J5" s="4"/>
      <c r="K5" s="5"/>
      <c r="L5" s="30"/>
      <c r="M5" s="31"/>
      <c r="N5" s="31"/>
      <c r="O5" s="31"/>
      <c r="P5" s="31"/>
      <c r="Q5" s="31"/>
      <c r="R5" s="31"/>
      <c r="S5" s="31"/>
      <c r="T5" s="31"/>
      <c r="U5" s="31"/>
      <c r="V5" s="31"/>
      <c r="W5" s="30"/>
    </row>
    <row r="6" spans="1:23">
      <c r="H6" s="5"/>
      <c r="I6" s="5"/>
      <c r="J6" s="5"/>
      <c r="K6" s="5"/>
      <c r="L6" s="30"/>
      <c r="M6" s="31"/>
      <c r="N6" s="31"/>
      <c r="O6" s="31"/>
      <c r="P6" s="31"/>
      <c r="Q6" s="31"/>
      <c r="R6" s="31"/>
      <c r="S6" s="31"/>
      <c r="T6" s="31"/>
      <c r="U6" s="31"/>
      <c r="V6" s="31"/>
      <c r="W6" s="30"/>
    </row>
    <row r="7" spans="1:23">
      <c r="H7" s="5"/>
      <c r="I7" s="5"/>
      <c r="J7" s="5"/>
      <c r="K7" s="5"/>
      <c r="L7" s="30"/>
      <c r="M7" s="31"/>
      <c r="N7" s="31"/>
      <c r="O7" s="31"/>
      <c r="P7" s="31"/>
      <c r="Q7" s="31"/>
      <c r="R7" s="31"/>
      <c r="S7" s="31"/>
      <c r="T7" s="31"/>
      <c r="U7" s="31"/>
      <c r="V7" s="31"/>
      <c r="W7" s="30"/>
    </row>
    <row r="8" spans="1:23" ht="15" customHeight="1">
      <c r="A8" s="68" t="s">
        <v>0</v>
      </c>
      <c r="B8" s="68"/>
      <c r="C8" s="69"/>
      <c r="D8" s="69"/>
      <c r="E8" s="69"/>
      <c r="F8" s="69"/>
      <c r="G8" s="69"/>
      <c r="H8" s="69"/>
      <c r="I8" s="69"/>
      <c r="J8" s="69"/>
      <c r="K8" s="69"/>
      <c r="L8" s="30"/>
      <c r="M8" s="31"/>
      <c r="N8" s="31"/>
      <c r="O8" s="31"/>
      <c r="P8" s="31"/>
      <c r="Q8" s="31"/>
      <c r="R8" s="31"/>
      <c r="S8" s="31"/>
      <c r="T8" s="31"/>
      <c r="U8" s="31"/>
      <c r="V8" s="31"/>
      <c r="W8" s="30"/>
    </row>
    <row r="9" spans="1:23" ht="15" customHeight="1">
      <c r="A9" s="69" t="s">
        <v>57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30"/>
      <c r="M9" s="31"/>
      <c r="N9" s="31"/>
      <c r="O9" s="31"/>
      <c r="P9" s="31"/>
      <c r="Q9" s="31"/>
      <c r="R9" s="31"/>
      <c r="S9" s="31"/>
      <c r="T9" s="31"/>
      <c r="U9" s="31"/>
      <c r="V9" s="31"/>
      <c r="W9" s="30"/>
    </row>
    <row r="10" spans="1:23" ht="15" customHeight="1">
      <c r="A10" s="69" t="s">
        <v>1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30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0"/>
    </row>
    <row r="11" spans="1:23" ht="15" customHeight="1">
      <c r="A11" s="69" t="s">
        <v>42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30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0"/>
    </row>
    <row r="12" spans="1:23" ht="15" customHeight="1">
      <c r="A12" s="69" t="s">
        <v>2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30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0"/>
    </row>
    <row r="13" spans="1:23">
      <c r="A13" s="6"/>
      <c r="B13" s="6"/>
      <c r="C13" s="7"/>
      <c r="D13" s="7"/>
      <c r="E13" s="7"/>
      <c r="F13" s="7"/>
      <c r="G13" s="8"/>
      <c r="H13" s="9"/>
      <c r="I13" s="9"/>
      <c r="J13" s="9"/>
      <c r="K13" s="9"/>
      <c r="L13" s="30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0"/>
    </row>
    <row r="14" spans="1:23">
      <c r="A14" s="55" t="s">
        <v>3</v>
      </c>
      <c r="B14" s="10"/>
      <c r="C14" s="10"/>
      <c r="D14" s="56" t="s">
        <v>4</v>
      </c>
      <c r="E14" s="10" t="s">
        <v>5</v>
      </c>
      <c r="F14" s="11"/>
      <c r="G14" s="10"/>
      <c r="H14" s="12"/>
      <c r="I14" s="12"/>
      <c r="J14" s="12"/>
      <c r="K14" s="9"/>
      <c r="L14" s="30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0"/>
    </row>
    <row r="15" spans="1:23">
      <c r="A15" s="55" t="s">
        <v>6</v>
      </c>
      <c r="B15" s="10"/>
      <c r="C15" s="10"/>
      <c r="D15" s="56" t="s">
        <v>4</v>
      </c>
      <c r="E15" s="10" t="s">
        <v>7</v>
      </c>
      <c r="F15" s="11"/>
      <c r="G15" s="10"/>
      <c r="H15" s="12"/>
      <c r="I15" s="12"/>
      <c r="J15" s="12"/>
      <c r="K15" s="9"/>
      <c r="L15" s="30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0"/>
    </row>
    <row r="16" spans="1:23">
      <c r="A16" s="55" t="s">
        <v>8</v>
      </c>
      <c r="B16" s="10"/>
      <c r="C16" s="10"/>
      <c r="D16" s="56" t="s">
        <v>4</v>
      </c>
      <c r="E16" s="13">
        <v>2026</v>
      </c>
      <c r="F16" s="11"/>
      <c r="G16" s="13"/>
      <c r="H16" s="12"/>
      <c r="I16" s="12"/>
      <c r="J16" s="12"/>
      <c r="K16" s="9"/>
      <c r="L16" s="30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0"/>
    </row>
    <row r="17" spans="1:23">
      <c r="A17" s="55" t="s">
        <v>9</v>
      </c>
      <c r="B17" s="10"/>
      <c r="C17" s="10"/>
      <c r="D17" s="56" t="s">
        <v>4</v>
      </c>
      <c r="E17" s="14">
        <f>J29</f>
        <v>5833332</v>
      </c>
      <c r="F17" s="11"/>
      <c r="G17" s="14"/>
      <c r="H17" s="12"/>
      <c r="I17" s="12"/>
      <c r="J17" s="12"/>
      <c r="K17" s="9"/>
      <c r="L17" s="30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0"/>
    </row>
    <row r="18" spans="1:23" ht="15.75">
      <c r="A18" s="10"/>
      <c r="B18" s="10"/>
      <c r="C18" s="15" t="s">
        <v>10</v>
      </c>
      <c r="D18" s="56" t="s">
        <v>4</v>
      </c>
      <c r="E18" s="16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Juta Delapan Ratus Tiga Puluh Tiga Ribu Tiga Ratus Tiga Puluh Dua Rupiah</v>
      </c>
      <c r="F18" s="11"/>
      <c r="G18" s="16"/>
      <c r="H18" s="12"/>
      <c r="I18" s="12"/>
      <c r="J18" s="12"/>
      <c r="K18" s="9"/>
      <c r="L18" s="30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0"/>
    </row>
    <row r="19" spans="1:23" ht="15.75">
      <c r="A19" s="10"/>
      <c r="B19" s="10"/>
      <c r="C19" s="15"/>
      <c r="D19" s="15"/>
      <c r="E19" s="15"/>
      <c r="F19" s="11"/>
      <c r="G19" s="16"/>
      <c r="H19" s="12"/>
      <c r="I19" s="12"/>
      <c r="J19" s="12"/>
      <c r="K19" s="9"/>
      <c r="L19" s="30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0"/>
    </row>
    <row r="20" spans="1:23">
      <c r="A20" s="10" t="s">
        <v>11</v>
      </c>
      <c r="B20" s="10"/>
      <c r="C20" s="10"/>
      <c r="D20" s="10"/>
      <c r="E20" s="10"/>
      <c r="F20" s="10"/>
      <c r="G20" s="10"/>
      <c r="H20" s="12"/>
      <c r="I20" s="12"/>
      <c r="J20" s="12"/>
      <c r="K20" s="9"/>
      <c r="L20" s="30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0"/>
    </row>
    <row r="21" spans="1:23">
      <c r="A21" s="60" t="s">
        <v>12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30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0"/>
    </row>
    <row r="22" spans="1:23" ht="61.5" customHeight="1">
      <c r="A22" s="17" t="s">
        <v>13</v>
      </c>
      <c r="B22" s="18" t="s">
        <v>14</v>
      </c>
      <c r="C22" s="61" t="s">
        <v>15</v>
      </c>
      <c r="D22" s="62"/>
      <c r="E22" s="63"/>
      <c r="F22" s="19"/>
      <c r="G22" s="20" t="s">
        <v>16</v>
      </c>
      <c r="H22" s="21" t="s">
        <v>37</v>
      </c>
      <c r="I22" s="21"/>
      <c r="J22" s="32" t="s">
        <v>17</v>
      </c>
      <c r="K22" s="33" t="s">
        <v>18</v>
      </c>
      <c r="L22" s="30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0"/>
    </row>
    <row r="23" spans="1:23">
      <c r="A23" s="28">
        <v>1</v>
      </c>
      <c r="B23" s="25"/>
      <c r="C23" s="29" t="s">
        <v>23</v>
      </c>
      <c r="D23" s="59"/>
      <c r="E23" s="27"/>
      <c r="F23" s="26"/>
      <c r="G23" s="57" t="s">
        <v>19</v>
      </c>
      <c r="H23" s="57" t="s">
        <v>19</v>
      </c>
      <c r="I23" s="57"/>
      <c r="J23" s="57" t="s">
        <v>19</v>
      </c>
      <c r="K23" s="57" t="s">
        <v>19</v>
      </c>
      <c r="L23" s="30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0"/>
    </row>
    <row r="24" spans="1:23" ht="30.75" customHeight="1">
      <c r="A24" s="25"/>
      <c r="B24" s="58" t="s">
        <v>20</v>
      </c>
      <c r="C24" s="64" t="s">
        <v>43</v>
      </c>
      <c r="D24" s="65"/>
      <c r="E24" s="66"/>
      <c r="F24" s="26"/>
      <c r="G24" s="24">
        <v>12000000</v>
      </c>
      <c r="H24" s="23">
        <f>FEBRUARI!H165+FEBRUARI!J165</f>
        <v>0</v>
      </c>
      <c r="I24" s="23"/>
      <c r="J24" s="23">
        <v>0</v>
      </c>
      <c r="K24" s="34">
        <f t="shared" ref="K24:K28" si="0">G24-H24-J24</f>
        <v>12000000</v>
      </c>
      <c r="L24" s="30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0"/>
    </row>
    <row r="25" spans="1:23">
      <c r="A25" s="25"/>
      <c r="B25" s="58" t="s">
        <v>21</v>
      </c>
      <c r="C25" s="26" t="s">
        <v>24</v>
      </c>
      <c r="D25" s="10"/>
      <c r="E25" s="27"/>
      <c r="F25" s="26"/>
      <c r="G25" s="22">
        <v>18000000</v>
      </c>
      <c r="H25" s="23">
        <f>FEBRUARI!H166+FEBRUARI!J166</f>
        <v>2224121</v>
      </c>
      <c r="I25" s="23"/>
      <c r="J25" s="35">
        <v>1252278</v>
      </c>
      <c r="K25" s="36">
        <f t="shared" si="0"/>
        <v>14523601</v>
      </c>
      <c r="L25" s="30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0"/>
    </row>
    <row r="26" spans="1:23">
      <c r="A26" s="25"/>
      <c r="B26" s="58" t="s">
        <v>22</v>
      </c>
      <c r="C26" s="26" t="s">
        <v>25</v>
      </c>
      <c r="D26" s="10"/>
      <c r="E26" s="27"/>
      <c r="F26" s="26"/>
      <c r="G26" s="22">
        <v>80000000</v>
      </c>
      <c r="H26" s="23">
        <f>FEBRUARI!H167+FEBRUARI!J167</f>
        <v>10072267</v>
      </c>
      <c r="I26" s="23"/>
      <c r="J26" s="35">
        <v>3187164</v>
      </c>
      <c r="K26" s="36">
        <f t="shared" si="0"/>
        <v>66740569</v>
      </c>
      <c r="L26" s="30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0"/>
    </row>
    <row r="27" spans="1:23">
      <c r="A27" s="25"/>
      <c r="B27" s="58" t="s">
        <v>39</v>
      </c>
      <c r="C27" s="26" t="s">
        <v>26</v>
      </c>
      <c r="D27" s="10"/>
      <c r="E27" s="27"/>
      <c r="F27" s="26"/>
      <c r="G27" s="22">
        <v>20400000</v>
      </c>
      <c r="H27" s="23">
        <f>FEBRUARI!H168+FEBRUARI!J168</f>
        <v>2083724</v>
      </c>
      <c r="I27" s="23"/>
      <c r="J27" s="35">
        <v>1393890</v>
      </c>
      <c r="K27" s="36">
        <f t="shared" si="0"/>
        <v>16922386</v>
      </c>
      <c r="L27" s="30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0"/>
    </row>
    <row r="28" spans="1:23">
      <c r="A28" s="25"/>
      <c r="B28" s="58" t="s">
        <v>40</v>
      </c>
      <c r="C28" s="26" t="s">
        <v>38</v>
      </c>
      <c r="D28" s="10"/>
      <c r="E28" s="27"/>
      <c r="F28" s="26"/>
      <c r="G28" s="22">
        <v>50000000</v>
      </c>
      <c r="H28" s="23">
        <f>FEBRUARI!H169+FEBRUARI!J169</f>
        <v>64265180</v>
      </c>
      <c r="I28" s="23"/>
      <c r="J28" s="35">
        <v>0</v>
      </c>
      <c r="K28" s="36">
        <f t="shared" si="0"/>
        <v>-14265180</v>
      </c>
      <c r="L28" s="30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0"/>
    </row>
    <row r="29" spans="1:23">
      <c r="A29" s="37"/>
      <c r="B29" s="37"/>
      <c r="C29" s="37" t="s">
        <v>27</v>
      </c>
      <c r="D29" s="37"/>
      <c r="E29" s="37"/>
      <c r="F29" s="38"/>
      <c r="G29" s="39">
        <f>SUM(G23:G28)</f>
        <v>180400000</v>
      </c>
      <c r="H29" s="40">
        <f>SUM(H23:H28)</f>
        <v>78645292</v>
      </c>
      <c r="I29" s="40"/>
      <c r="J29" s="40">
        <f>SUM(J23:J28)</f>
        <v>5833332</v>
      </c>
      <c r="K29" s="40">
        <f>SUM(K23:K28)</f>
        <v>95921376</v>
      </c>
      <c r="L29" s="30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0"/>
    </row>
    <row r="30" spans="1:23">
      <c r="A30" s="41"/>
      <c r="B30" s="8"/>
      <c r="C30" s="8"/>
      <c r="D30" s="8"/>
      <c r="E30" s="8"/>
      <c r="F30" s="8"/>
      <c r="G30" s="42"/>
      <c r="H30" s="42"/>
      <c r="I30" s="42"/>
      <c r="J30" s="42"/>
      <c r="K30" s="42"/>
      <c r="L30" s="30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0"/>
    </row>
    <row r="31" spans="1:23">
      <c r="A31" s="67" t="s">
        <v>28</v>
      </c>
      <c r="B31" s="67"/>
      <c r="C31" s="67"/>
      <c r="D31" s="11" t="s">
        <v>4</v>
      </c>
      <c r="E31" s="14">
        <f>J29</f>
        <v>5833332</v>
      </c>
      <c r="F31" s="43"/>
      <c r="G31" s="44"/>
      <c r="H31" s="44"/>
      <c r="I31" s="44"/>
      <c r="J31" s="9"/>
      <c r="K31" s="9"/>
      <c r="L31" s="30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0"/>
    </row>
    <row r="32" spans="1:23">
      <c r="A32" s="10" t="s">
        <v>29</v>
      </c>
      <c r="B32" s="10"/>
      <c r="C32" s="10"/>
      <c r="D32" s="11" t="s">
        <v>4</v>
      </c>
      <c r="E32" s="45"/>
      <c r="F32" s="45"/>
      <c r="G32" s="46"/>
      <c r="H32" s="12"/>
      <c r="I32" s="12"/>
      <c r="J32" s="9"/>
      <c r="K32" s="9"/>
      <c r="L32" s="30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0"/>
    </row>
    <row r="33" spans="1:23">
      <c r="A33" s="10" t="s">
        <v>30</v>
      </c>
      <c r="B33" s="10"/>
      <c r="C33" s="10"/>
      <c r="D33" s="11" t="s">
        <v>4</v>
      </c>
      <c r="E33" s="47"/>
      <c r="F33" s="47"/>
      <c r="G33" s="46"/>
      <c r="H33" s="12"/>
      <c r="I33" s="12"/>
      <c r="J33" s="9"/>
      <c r="K33" s="9"/>
      <c r="L33" s="30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0"/>
    </row>
    <row r="34" spans="1:23">
      <c r="A34" s="10" t="s">
        <v>31</v>
      </c>
      <c r="B34" s="10"/>
      <c r="C34" s="10"/>
      <c r="D34" s="11" t="s">
        <v>4</v>
      </c>
      <c r="E34" s="47">
        <f>E32+E33</f>
        <v>0</v>
      </c>
      <c r="F34" s="47"/>
      <c r="G34" s="10"/>
      <c r="H34" s="12"/>
      <c r="I34" s="12"/>
      <c r="J34" s="49"/>
      <c r="K34" s="49"/>
      <c r="L34" s="30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0"/>
    </row>
    <row r="35" spans="1:23">
      <c r="A35" s="13"/>
      <c r="B35" s="13"/>
      <c r="C35" s="13"/>
      <c r="D35" s="11"/>
      <c r="E35" s="13"/>
      <c r="F35" s="13"/>
      <c r="G35" s="10"/>
      <c r="H35" s="12"/>
      <c r="I35" s="12"/>
      <c r="J35" s="49"/>
      <c r="K35" s="49"/>
      <c r="L35" s="30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0"/>
    </row>
    <row r="36" spans="1:23">
      <c r="A36" s="67" t="s">
        <v>32</v>
      </c>
      <c r="B36" s="67"/>
      <c r="C36" s="67"/>
      <c r="D36" s="11" t="s">
        <v>4</v>
      </c>
      <c r="E36" s="43">
        <f>E31-E34</f>
        <v>5833332</v>
      </c>
      <c r="F36" s="43"/>
      <c r="G36" s="10"/>
      <c r="H36" s="12"/>
      <c r="I36" s="12"/>
      <c r="J36" s="49"/>
      <c r="K36" s="49"/>
      <c r="L36" s="30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0"/>
    </row>
    <row r="37" spans="1:23" ht="15.75">
      <c r="A37" s="13"/>
      <c r="B37" s="13"/>
      <c r="C37" s="10"/>
      <c r="D37" s="10"/>
      <c r="E37" s="16" t="str">
        <f>PROPER(IF(E36=0,"nol",IF(E36&lt;0,"minus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36),"000000000000000"),1,3)=0,"",MID(TEXT(ABS(E36),"000000000000000"),1,1)&amp;" ratus "&amp;MID(TEXT(ABS(E36),"000000000000000"),2,1)&amp;" puluh "&amp;MID(TEXT(ABS(E36),"000000000000000"),3,1)&amp;" trilyun ")&amp;IF(--MID(TEXT(ABS(E36),"000000000000000"),4,3)=0,"",MID(TEXT(ABS(E36),"000000000000000"),4,1)&amp;" ratus "&amp;MID(TEXT(ABS(E36),"000000000000000"),5,1)&amp;" puluh "&amp;MID(TEXT(ABS(E36),"000000000000000"),6,1)&amp;" milyar ")&amp;IF(--MID(TEXT(ABS(E36),"000000000000000"),7,3)=0,"",MID(TEXT(ABS(E36),"000000000000000"),7,1)&amp;" ratus "&amp;MID(TEXT(ABS(E36),"000000000000000"),8,1)&amp;" puluh "&amp;MID(TEXT(ABS(E36),"000000000000000"),9,1)&amp;" juta ")&amp;IF(--MID(TEXT(ABS(E36),"000000000000000"),10,3)=0,"",IF(--MID(TEXT(ABS(E36),"000000000000000"),10,3)=1,"*",MID(TEXT(ABS(E36),"000000000000000"),10,1)&amp;" ratus "&amp;MID(TEXT(ABS(E36),"000000000000000"),11,1)&amp;" puluh ")&amp;MID(TEXT(ABS(E36),"000000000000000"),12,1)&amp;" ribu ")&amp;IF(--MID(TEXT(ABS(E36),"000000000000000"),13,3)=0,"",MID(TEXT(ABS(E36),"000000000000000"),13,1)&amp;" ratus "&amp;MID(TEXT(ABS(E36),"000000000000000"),14,1)&amp;" puluh "&amp;MID(TEXT(ABS(E36),"000000000000000"),15,1)),1,"satu"),2,"dua"),3,"tiga"),4,"empat"),5,"lima"),6,"enam"),7,"tujuh"),8,"delapan"),9,"sembilan"),"0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Lima Juta Delapan Ratus Tiga Puluh Tiga Ribu Tiga Ratus Tiga Puluh Dua Rupiah</v>
      </c>
      <c r="F37" s="10"/>
      <c r="G37" s="10"/>
      <c r="H37" s="10"/>
      <c r="I37" s="10"/>
      <c r="J37" s="49"/>
      <c r="K37" s="49"/>
      <c r="L37" s="30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0"/>
    </row>
    <row r="38" spans="1:23">
      <c r="A38" s="48"/>
      <c r="B38" s="48"/>
      <c r="C38" s="48"/>
      <c r="D38" s="48"/>
      <c r="E38" s="48"/>
      <c r="F38" s="48"/>
      <c r="G38" s="30"/>
      <c r="H38" s="49"/>
      <c r="I38" s="49"/>
      <c r="J38" s="49"/>
      <c r="K38" s="49"/>
      <c r="L38" s="30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0"/>
    </row>
    <row r="39" spans="1:23">
      <c r="A39" s="30"/>
      <c r="B39" s="30"/>
      <c r="C39" s="30"/>
      <c r="D39" s="30"/>
      <c r="E39" s="30"/>
      <c r="F39" s="30"/>
      <c r="G39" s="30"/>
      <c r="H39"/>
      <c r="I39"/>
      <c r="J39" s="49"/>
      <c r="K39" s="49"/>
      <c r="L39" s="30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0"/>
    </row>
    <row r="40" spans="1:23">
      <c r="A40" s="13"/>
      <c r="B40" s="13"/>
      <c r="C40" s="10"/>
      <c r="D40" s="10"/>
      <c r="E40" s="10"/>
      <c r="F40" s="10"/>
      <c r="G40" s="10"/>
      <c r="I40" s="50"/>
      <c r="J40" s="50" t="s">
        <v>56</v>
      </c>
      <c r="K40" s="49"/>
      <c r="L40" s="30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0"/>
    </row>
    <row r="41" spans="1:23">
      <c r="A41" s="12" t="s">
        <v>33</v>
      </c>
      <c r="B41" s="10"/>
      <c r="C41" s="10"/>
      <c r="D41" s="10"/>
      <c r="E41" s="10"/>
      <c r="F41" s="10"/>
      <c r="G41" s="10"/>
      <c r="I41" s="12"/>
      <c r="J41" s="12" t="s">
        <v>34</v>
      </c>
      <c r="K41" s="49"/>
      <c r="L41" s="30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0"/>
    </row>
    <row r="42" spans="1:23">
      <c r="A42" s="10"/>
      <c r="B42" s="10"/>
      <c r="C42" s="10"/>
      <c r="D42" s="10"/>
      <c r="E42" s="10"/>
      <c r="F42" s="10"/>
      <c r="G42" s="10"/>
      <c r="I42" s="12"/>
      <c r="J42" s="12"/>
      <c r="K42" s="49"/>
      <c r="L42" s="30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0"/>
    </row>
    <row r="43" spans="1:23">
      <c r="A43" s="10"/>
      <c r="B43" s="10"/>
      <c r="C43" s="10"/>
      <c r="D43" s="10"/>
      <c r="E43" s="10"/>
      <c r="F43" s="10"/>
      <c r="G43" s="10"/>
      <c r="I43" s="12"/>
      <c r="J43" s="12"/>
      <c r="K43" s="49"/>
      <c r="L43" s="30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0"/>
    </row>
    <row r="44" spans="1:23">
      <c r="A44" s="10"/>
      <c r="B44" s="10"/>
      <c r="C44" s="10"/>
      <c r="D44" s="10"/>
      <c r="E44" s="10"/>
      <c r="F44" s="10"/>
      <c r="G44" s="10"/>
      <c r="I44" s="12"/>
      <c r="J44" s="12"/>
      <c r="K44" s="49"/>
      <c r="L44" s="30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0"/>
    </row>
    <row r="45" spans="1:23">
      <c r="A45" s="10"/>
      <c r="B45" s="10"/>
      <c r="C45" s="10"/>
      <c r="D45" s="10"/>
      <c r="E45" s="10"/>
      <c r="F45" s="10"/>
      <c r="G45" s="10"/>
      <c r="I45" s="12"/>
      <c r="J45" s="12"/>
      <c r="K45" s="49"/>
      <c r="L45" s="30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0"/>
    </row>
    <row r="46" spans="1:23">
      <c r="A46" s="51" t="s">
        <v>41</v>
      </c>
      <c r="B46" s="51"/>
      <c r="C46" s="52"/>
      <c r="D46" s="52"/>
      <c r="E46" s="52"/>
      <c r="F46" s="52"/>
      <c r="G46" s="10" t="s">
        <v>35</v>
      </c>
      <c r="I46" s="51"/>
      <c r="J46" s="51" t="s">
        <v>36</v>
      </c>
      <c r="K46" s="49"/>
      <c r="L46" s="30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0"/>
    </row>
    <row r="47" spans="1:23">
      <c r="A47" s="53"/>
      <c r="B47" s="53"/>
      <c r="C47" s="54"/>
      <c r="D47" s="54"/>
      <c r="E47" s="54"/>
      <c r="F47" s="54"/>
      <c r="G47" s="54"/>
      <c r="H47" s="53"/>
      <c r="I47" s="53"/>
      <c r="J47" s="53"/>
      <c r="K47" s="49"/>
      <c r="L47" s="30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0"/>
    </row>
    <row r="51" spans="1:11" ht="15.75">
      <c r="C51" s="2"/>
      <c r="D51" s="2"/>
      <c r="E51" s="2"/>
      <c r="F51" s="2"/>
    </row>
    <row r="52" spans="1:11" ht="15.75">
      <c r="A52" s="3"/>
      <c r="B52" s="3"/>
      <c r="C52" s="2"/>
      <c r="D52" s="2"/>
      <c r="E52" s="2"/>
      <c r="F52" s="2"/>
      <c r="G52" s="3"/>
      <c r="H52" s="4"/>
      <c r="I52" s="4"/>
      <c r="J52" s="4"/>
      <c r="K52" s="5"/>
    </row>
    <row r="53" spans="1:11">
      <c r="H53" s="5"/>
      <c r="I53" s="5"/>
      <c r="J53" s="5"/>
      <c r="K53" s="5"/>
    </row>
    <row r="54" spans="1:11">
      <c r="H54" s="5"/>
      <c r="I54" s="5"/>
      <c r="J54" s="5"/>
      <c r="K54" s="5"/>
    </row>
    <row r="55" spans="1:11">
      <c r="A55" s="68" t="s">
        <v>0</v>
      </c>
      <c r="B55" s="68"/>
      <c r="C55" s="69"/>
      <c r="D55" s="69"/>
      <c r="E55" s="69"/>
      <c r="F55" s="69"/>
      <c r="G55" s="69"/>
      <c r="H55" s="69"/>
      <c r="I55" s="69"/>
      <c r="J55" s="69"/>
      <c r="K55" s="69"/>
    </row>
    <row r="56" spans="1:11">
      <c r="A56" s="69" t="s">
        <v>50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</row>
    <row r="57" spans="1:11">
      <c r="A57" s="69" t="s">
        <v>1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</row>
    <row r="58" spans="1:11">
      <c r="A58" s="69" t="s">
        <v>42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</row>
    <row r="59" spans="1:11">
      <c r="A59" s="69" t="s">
        <v>2</v>
      </c>
      <c r="B59" s="69"/>
      <c r="C59" s="69"/>
      <c r="D59" s="69"/>
      <c r="E59" s="69"/>
      <c r="F59" s="69"/>
      <c r="G59" s="69"/>
      <c r="H59" s="69"/>
      <c r="I59" s="69"/>
      <c r="J59" s="69"/>
      <c r="K59" s="69"/>
    </row>
    <row r="60" spans="1:11">
      <c r="A60" s="6"/>
      <c r="B60" s="6"/>
      <c r="C60" s="7"/>
      <c r="D60" s="7"/>
      <c r="E60" s="7"/>
      <c r="F60" s="7"/>
      <c r="G60" s="8"/>
      <c r="H60" s="9"/>
      <c r="I60" s="9"/>
      <c r="J60" s="9"/>
      <c r="K60" s="9"/>
    </row>
    <row r="61" spans="1:11">
      <c r="A61" s="55" t="s">
        <v>3</v>
      </c>
      <c r="B61" s="10"/>
      <c r="C61" s="10"/>
      <c r="D61" s="56" t="s">
        <v>4</v>
      </c>
      <c r="E61" s="10" t="s">
        <v>5</v>
      </c>
      <c r="F61" s="11"/>
      <c r="G61" s="10"/>
      <c r="H61" s="12"/>
      <c r="I61" s="12"/>
      <c r="J61" s="12"/>
      <c r="K61" s="9"/>
    </row>
    <row r="62" spans="1:11">
      <c r="A62" s="55" t="s">
        <v>6</v>
      </c>
      <c r="B62" s="10"/>
      <c r="C62" s="10"/>
      <c r="D62" s="56" t="s">
        <v>4</v>
      </c>
      <c r="E62" s="10" t="s">
        <v>7</v>
      </c>
      <c r="F62" s="11"/>
      <c r="G62" s="10"/>
      <c r="H62" s="12"/>
      <c r="I62" s="12"/>
      <c r="J62" s="12"/>
      <c r="K62" s="9"/>
    </row>
    <row r="63" spans="1:11">
      <c r="A63" s="55" t="s">
        <v>8</v>
      </c>
      <c r="B63" s="10"/>
      <c r="C63" s="10"/>
      <c r="D63" s="56" t="s">
        <v>4</v>
      </c>
      <c r="E63" s="13">
        <v>2026</v>
      </c>
      <c r="F63" s="11"/>
      <c r="G63" s="13"/>
      <c r="H63" s="12"/>
      <c r="I63" s="12"/>
      <c r="J63" s="12"/>
      <c r="K63" s="9"/>
    </row>
    <row r="64" spans="1:11">
      <c r="A64" s="55" t="s">
        <v>9</v>
      </c>
      <c r="B64" s="10"/>
      <c r="C64" s="10"/>
      <c r="D64" s="56" t="s">
        <v>4</v>
      </c>
      <c r="E64" s="14">
        <f>J76</f>
        <v>7006427</v>
      </c>
      <c r="F64" s="11"/>
      <c r="G64" s="14"/>
      <c r="H64" s="12"/>
      <c r="I64" s="12"/>
      <c r="J64" s="12"/>
      <c r="K64" s="9"/>
    </row>
    <row r="65" spans="1:11" ht="15.75">
      <c r="A65" s="10"/>
      <c r="B65" s="10"/>
      <c r="C65" s="15" t="s">
        <v>10</v>
      </c>
      <c r="D65" s="56" t="s">
        <v>4</v>
      </c>
      <c r="E65" s="16" t="str">
        <f>PROPER(IF(E64=0,"nol",IF(E64&lt;0,"minus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64),"000000000000000"),1,3)=0,"",MID(TEXT(ABS(E64),"000000000000000"),1,1)&amp;" ratus "&amp;MID(TEXT(ABS(E64),"000000000000000"),2,1)&amp;" puluh "&amp;MID(TEXT(ABS(E64),"000000000000000"),3,1)&amp;" trilyun ")&amp;IF(--MID(TEXT(ABS(E64),"000000000000000"),4,3)=0,"",MID(TEXT(ABS(E64),"000000000000000"),4,1)&amp;" ratus "&amp;MID(TEXT(ABS(E64),"000000000000000"),5,1)&amp;" puluh "&amp;MID(TEXT(ABS(E64),"000000000000000"),6,1)&amp;" milyar ")&amp;IF(--MID(TEXT(ABS(E64),"000000000000000"),7,3)=0,"",MID(TEXT(ABS(E64),"000000000000000"),7,1)&amp;" ratus "&amp;MID(TEXT(ABS(E64),"000000000000000"),8,1)&amp;" puluh "&amp;MID(TEXT(ABS(E64),"000000000000000"),9,1)&amp;" juta ")&amp;IF(--MID(TEXT(ABS(E64),"000000000000000"),10,3)=0,"",IF(--MID(TEXT(ABS(E64),"000000000000000"),10,3)=1,"*",MID(TEXT(ABS(E64),"000000000000000"),10,1)&amp;" ratus "&amp;MID(TEXT(ABS(E64),"000000000000000"),11,1)&amp;" puluh ")&amp;MID(TEXT(ABS(E64),"000000000000000"),12,1)&amp;" ribu ")&amp;IF(--MID(TEXT(ABS(E64),"000000000000000"),13,3)=0,"",MID(TEXT(ABS(E64),"000000000000000"),13,1)&amp;" ratus "&amp;MID(TEXT(ABS(E64),"000000000000000"),14,1)&amp;" puluh "&amp;MID(TEXT(ABS(E64),"000000000000000"),15,1)),1,"satu"),2,"dua"),3,"tiga"),4,"empat"),5,"lima"),6,"enam"),7,"tujuh"),8,"delapan"),9,"sembilan"),"0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Juta Enam Ribu Empat Ratus Dua Puluh Tujuh Rupiah</v>
      </c>
      <c r="F65" s="11"/>
      <c r="G65" s="16"/>
      <c r="H65" s="12"/>
      <c r="I65" s="12"/>
      <c r="J65" s="12"/>
      <c r="K65" s="9"/>
    </row>
    <row r="66" spans="1:11" ht="15.75">
      <c r="A66" s="10"/>
      <c r="B66" s="10"/>
      <c r="C66" s="15"/>
      <c r="D66" s="15"/>
      <c r="E66" s="15"/>
      <c r="F66" s="11"/>
      <c r="G66" s="16"/>
      <c r="H66" s="12"/>
      <c r="I66" s="12"/>
      <c r="J66" s="12"/>
      <c r="K66" s="9"/>
    </row>
    <row r="67" spans="1:11">
      <c r="A67" s="10" t="s">
        <v>11</v>
      </c>
      <c r="B67" s="10"/>
      <c r="C67" s="10"/>
      <c r="D67" s="10"/>
      <c r="E67" s="10"/>
      <c r="F67" s="10"/>
      <c r="G67" s="10"/>
      <c r="H67" s="12"/>
      <c r="I67" s="12"/>
      <c r="J67" s="12"/>
      <c r="K67" s="9"/>
    </row>
    <row r="68" spans="1:11">
      <c r="A68" s="60" t="s">
        <v>12</v>
      </c>
      <c r="B68" s="60"/>
      <c r="C68" s="60"/>
      <c r="D68" s="60"/>
      <c r="E68" s="60"/>
      <c r="F68" s="60"/>
      <c r="G68" s="60"/>
      <c r="H68" s="60"/>
      <c r="I68" s="60"/>
      <c r="J68" s="60"/>
      <c r="K68" s="60"/>
    </row>
    <row r="69" spans="1:11" ht="60">
      <c r="A69" s="17" t="s">
        <v>13</v>
      </c>
      <c r="B69" s="18" t="s">
        <v>14</v>
      </c>
      <c r="C69" s="61" t="s">
        <v>15</v>
      </c>
      <c r="D69" s="62"/>
      <c r="E69" s="63"/>
      <c r="F69" s="19"/>
      <c r="G69" s="20" t="s">
        <v>16</v>
      </c>
      <c r="H69" s="21" t="s">
        <v>37</v>
      </c>
      <c r="I69" s="21"/>
      <c r="J69" s="32" t="s">
        <v>17</v>
      </c>
      <c r="K69" s="33" t="s">
        <v>18</v>
      </c>
    </row>
    <row r="70" spans="1:11">
      <c r="A70" s="28">
        <v>1</v>
      </c>
      <c r="B70" s="25"/>
      <c r="C70" s="29" t="s">
        <v>23</v>
      </c>
      <c r="D70" s="59"/>
      <c r="E70" s="27"/>
      <c r="F70" s="26"/>
      <c r="G70" s="57" t="s">
        <v>19</v>
      </c>
      <c r="H70" s="57" t="s">
        <v>19</v>
      </c>
      <c r="I70" s="57"/>
      <c r="J70" s="57" t="s">
        <v>19</v>
      </c>
      <c r="K70" s="57" t="s">
        <v>19</v>
      </c>
    </row>
    <row r="71" spans="1:11">
      <c r="A71" s="25"/>
      <c r="B71" s="58" t="s">
        <v>20</v>
      </c>
      <c r="C71" s="64" t="s">
        <v>43</v>
      </c>
      <c r="D71" s="65"/>
      <c r="E71" s="66"/>
      <c r="F71" s="26"/>
      <c r="G71" s="24">
        <v>12000000</v>
      </c>
      <c r="H71" s="23">
        <f>H24+J24</f>
        <v>0</v>
      </c>
      <c r="I71" s="23"/>
      <c r="J71" s="23">
        <v>0</v>
      </c>
      <c r="K71" s="34">
        <f t="shared" ref="K71:K75" si="1">G71-H71-J71</f>
        <v>12000000</v>
      </c>
    </row>
    <row r="72" spans="1:11">
      <c r="A72" s="25"/>
      <c r="B72" s="58" t="s">
        <v>21</v>
      </c>
      <c r="C72" s="26" t="s">
        <v>24</v>
      </c>
      <c r="D72" s="10"/>
      <c r="E72" s="27"/>
      <c r="F72" s="26"/>
      <c r="G72" s="22">
        <v>18000000</v>
      </c>
      <c r="H72" s="23">
        <f t="shared" ref="H72:H74" si="2">H25+J25</f>
        <v>3476399</v>
      </c>
      <c r="I72" s="23"/>
      <c r="J72" s="35">
        <v>1031376</v>
      </c>
      <c r="K72" s="36">
        <f t="shared" si="1"/>
        <v>13492225</v>
      </c>
    </row>
    <row r="73" spans="1:11">
      <c r="A73" s="25"/>
      <c r="B73" s="58" t="s">
        <v>22</v>
      </c>
      <c r="C73" s="26" t="s">
        <v>25</v>
      </c>
      <c r="D73" s="10"/>
      <c r="E73" s="27"/>
      <c r="F73" s="26"/>
      <c r="G73" s="22">
        <v>80000000</v>
      </c>
      <c r="H73" s="23">
        <f t="shared" si="2"/>
        <v>13259431</v>
      </c>
      <c r="I73" s="23"/>
      <c r="J73" s="35">
        <v>4795427</v>
      </c>
      <c r="K73" s="36">
        <f t="shared" si="1"/>
        <v>61945142</v>
      </c>
    </row>
    <row r="74" spans="1:11">
      <c r="A74" s="25"/>
      <c r="B74" s="58" t="s">
        <v>39</v>
      </c>
      <c r="C74" s="26" t="s">
        <v>26</v>
      </c>
      <c r="D74" s="10"/>
      <c r="E74" s="27"/>
      <c r="F74" s="26"/>
      <c r="G74" s="22">
        <v>20400000</v>
      </c>
      <c r="H74" s="23">
        <f t="shared" si="2"/>
        <v>3477614</v>
      </c>
      <c r="I74" s="23"/>
      <c r="J74" s="35">
        <v>1179624</v>
      </c>
      <c r="K74" s="36">
        <f t="shared" si="1"/>
        <v>15742762</v>
      </c>
    </row>
    <row r="75" spans="1:11">
      <c r="A75" s="25"/>
      <c r="B75" s="58" t="s">
        <v>40</v>
      </c>
      <c r="C75" s="26" t="s">
        <v>38</v>
      </c>
      <c r="D75" s="10"/>
      <c r="E75" s="27"/>
      <c r="F75" s="26"/>
      <c r="G75" s="22">
        <v>50000000</v>
      </c>
      <c r="H75" s="23">
        <f>H28+J28</f>
        <v>64265180</v>
      </c>
      <c r="I75" s="23"/>
      <c r="J75" s="35">
        <v>0</v>
      </c>
      <c r="K75" s="36">
        <f t="shared" si="1"/>
        <v>-14265180</v>
      </c>
    </row>
    <row r="76" spans="1:11">
      <c r="A76" s="37"/>
      <c r="B76" s="37"/>
      <c r="C76" s="37" t="s">
        <v>27</v>
      </c>
      <c r="D76" s="37"/>
      <c r="E76" s="37"/>
      <c r="F76" s="38"/>
      <c r="G76" s="39">
        <f>SUM(G70:G75)</f>
        <v>180400000</v>
      </c>
      <c r="H76" s="40">
        <f>SUM(H70:H75)</f>
        <v>84478624</v>
      </c>
      <c r="I76" s="40"/>
      <c r="J76" s="40">
        <f>SUM(J70:J75)</f>
        <v>7006427</v>
      </c>
      <c r="K76" s="40">
        <f>SUM(K70:K75)</f>
        <v>88914949</v>
      </c>
    </row>
    <row r="77" spans="1:11">
      <c r="A77" s="41"/>
      <c r="B77" s="8"/>
      <c r="C77" s="8"/>
      <c r="D77" s="8"/>
      <c r="E77" s="8"/>
      <c r="F77" s="8"/>
      <c r="G77" s="42"/>
      <c r="H77" s="42"/>
      <c r="I77" s="42"/>
      <c r="J77" s="42"/>
      <c r="K77" s="42"/>
    </row>
    <row r="78" spans="1:11">
      <c r="A78" s="67" t="s">
        <v>28</v>
      </c>
      <c r="B78" s="67"/>
      <c r="C78" s="67"/>
      <c r="D78" s="11" t="s">
        <v>4</v>
      </c>
      <c r="E78" s="14">
        <f>J76</f>
        <v>7006427</v>
      </c>
      <c r="F78" s="43"/>
      <c r="G78" s="44"/>
      <c r="H78" s="44"/>
      <c r="I78" s="44"/>
      <c r="J78" s="9"/>
      <c r="K78" s="9"/>
    </row>
    <row r="79" spans="1:11">
      <c r="A79" s="10" t="s">
        <v>29</v>
      </c>
      <c r="B79" s="10"/>
      <c r="C79" s="10"/>
      <c r="D79" s="11" t="s">
        <v>4</v>
      </c>
      <c r="E79" s="45"/>
      <c r="F79" s="45"/>
      <c r="G79" s="46"/>
      <c r="H79" s="12"/>
      <c r="I79" s="12"/>
      <c r="J79" s="9"/>
      <c r="K79" s="9"/>
    </row>
    <row r="80" spans="1:11">
      <c r="A80" s="10" t="s">
        <v>30</v>
      </c>
      <c r="B80" s="10"/>
      <c r="C80" s="10"/>
      <c r="D80" s="11" t="s">
        <v>4</v>
      </c>
      <c r="E80" s="47"/>
      <c r="F80" s="47"/>
      <c r="G80" s="46"/>
      <c r="H80" s="12"/>
      <c r="I80" s="12"/>
      <c r="J80" s="9"/>
      <c r="K80" s="9"/>
    </row>
    <row r="81" spans="1:11">
      <c r="A81" s="10" t="s">
        <v>31</v>
      </c>
      <c r="B81" s="10"/>
      <c r="C81" s="10"/>
      <c r="D81" s="11" t="s">
        <v>4</v>
      </c>
      <c r="E81" s="47">
        <f>E79+E80</f>
        <v>0</v>
      </c>
      <c r="F81" s="47"/>
      <c r="G81" s="10"/>
      <c r="H81" s="12"/>
      <c r="I81" s="12"/>
      <c r="J81" s="49"/>
      <c r="K81" s="49"/>
    </row>
    <row r="82" spans="1:11">
      <c r="A82" s="13"/>
      <c r="B82" s="13"/>
      <c r="C82" s="13"/>
      <c r="D82" s="11"/>
      <c r="E82" s="13"/>
      <c r="F82" s="13"/>
      <c r="G82" s="10"/>
      <c r="H82" s="12"/>
      <c r="I82" s="12"/>
      <c r="J82" s="49"/>
      <c r="K82" s="49"/>
    </row>
    <row r="83" spans="1:11">
      <c r="A83" s="67" t="s">
        <v>32</v>
      </c>
      <c r="B83" s="67"/>
      <c r="C83" s="67"/>
      <c r="D83" s="11" t="s">
        <v>4</v>
      </c>
      <c r="E83" s="43">
        <f>E78-E81</f>
        <v>7006427</v>
      </c>
      <c r="F83" s="43"/>
      <c r="G83" s="10"/>
      <c r="H83" s="12"/>
      <c r="I83" s="12"/>
      <c r="J83" s="49"/>
      <c r="K83" s="49"/>
    </row>
    <row r="84" spans="1:11" ht="15.75">
      <c r="A84" s="13"/>
      <c r="B84" s="13"/>
      <c r="C84" s="10"/>
      <c r="D84" s="10"/>
      <c r="E84" s="16" t="str">
        <f>PROPER(IF(E83=0,"nol",IF(E83&lt;0,"minus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83),"000000000000000"),1,3)=0,"",MID(TEXT(ABS(E83),"000000000000000"),1,1)&amp;" ratus "&amp;MID(TEXT(ABS(E83),"000000000000000"),2,1)&amp;" puluh "&amp;MID(TEXT(ABS(E83),"000000000000000"),3,1)&amp;" trilyun ")&amp;IF(--MID(TEXT(ABS(E83),"000000000000000"),4,3)=0,"",MID(TEXT(ABS(E83),"000000000000000"),4,1)&amp;" ratus "&amp;MID(TEXT(ABS(E83),"000000000000000"),5,1)&amp;" puluh "&amp;MID(TEXT(ABS(E83),"000000000000000"),6,1)&amp;" milyar ")&amp;IF(--MID(TEXT(ABS(E83),"000000000000000"),7,3)=0,"",MID(TEXT(ABS(E83),"000000000000000"),7,1)&amp;" ratus "&amp;MID(TEXT(ABS(E83),"000000000000000"),8,1)&amp;" puluh "&amp;MID(TEXT(ABS(E83),"000000000000000"),9,1)&amp;" juta ")&amp;IF(--MID(TEXT(ABS(E83),"000000000000000"),10,3)=0,"",IF(--MID(TEXT(ABS(E83),"000000000000000"),10,3)=1,"*",MID(TEXT(ABS(E83),"000000000000000"),10,1)&amp;" ratus "&amp;MID(TEXT(ABS(E83),"000000000000000"),11,1)&amp;" puluh ")&amp;MID(TEXT(ABS(E83),"000000000000000"),12,1)&amp;" ribu ")&amp;IF(--MID(TEXT(ABS(E83),"000000000000000"),13,3)=0,"",MID(TEXT(ABS(E83),"000000000000000"),13,1)&amp;" ratus "&amp;MID(TEXT(ABS(E83),"000000000000000"),14,1)&amp;" puluh "&amp;MID(TEXT(ABS(E83),"000000000000000"),15,1)),1,"satu"),2,"dua"),3,"tiga"),4,"empat"),5,"lima"),6,"enam"),7,"tujuh"),8,"delapan"),9,"sembilan"),"0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Tujuh Juta Enam Ribu Empat Ratus Dua Puluh Tujuh Rupiah</v>
      </c>
      <c r="F84" s="10"/>
      <c r="G84" s="10"/>
      <c r="H84" s="10"/>
      <c r="I84" s="10"/>
      <c r="J84" s="49"/>
      <c r="K84" s="49"/>
    </row>
    <row r="85" spans="1:11">
      <c r="A85" s="48"/>
      <c r="B85" s="48"/>
      <c r="C85" s="48"/>
      <c r="D85" s="48"/>
      <c r="E85" s="48"/>
      <c r="F85" s="48"/>
      <c r="G85" s="30"/>
      <c r="H85" s="49"/>
      <c r="I85" s="49"/>
      <c r="J85" s="49"/>
      <c r="K85" s="49"/>
    </row>
    <row r="86" spans="1:11">
      <c r="A86" s="30"/>
      <c r="B86" s="30"/>
      <c r="C86" s="30"/>
      <c r="D86" s="30"/>
      <c r="E86" s="30"/>
      <c r="F86" s="30"/>
      <c r="G86" s="30"/>
      <c r="H86"/>
      <c r="I86"/>
      <c r="J86" s="49"/>
      <c r="K86" s="49"/>
    </row>
    <row r="87" spans="1:11">
      <c r="A87" s="13"/>
      <c r="B87" s="13"/>
      <c r="C87" s="10"/>
      <c r="D87" s="10"/>
      <c r="E87" s="10"/>
      <c r="F87" s="10"/>
      <c r="G87" s="10"/>
      <c r="I87" s="50"/>
      <c r="J87" s="50" t="s">
        <v>51</v>
      </c>
      <c r="K87" s="49"/>
    </row>
    <row r="88" spans="1:11">
      <c r="A88" s="12" t="s">
        <v>33</v>
      </c>
      <c r="B88" s="10"/>
      <c r="C88" s="10"/>
      <c r="D88" s="10"/>
      <c r="E88" s="10"/>
      <c r="F88" s="10"/>
      <c r="G88" s="10"/>
      <c r="I88" s="12"/>
      <c r="J88" s="12" t="s">
        <v>34</v>
      </c>
      <c r="K88" s="49"/>
    </row>
    <row r="89" spans="1:11">
      <c r="A89" s="10"/>
      <c r="B89" s="10"/>
      <c r="C89" s="10"/>
      <c r="D89" s="10"/>
      <c r="E89" s="10"/>
      <c r="F89" s="10"/>
      <c r="G89" s="10"/>
      <c r="I89" s="12"/>
      <c r="J89" s="12"/>
      <c r="K89" s="49"/>
    </row>
    <row r="90" spans="1:11">
      <c r="A90" s="10"/>
      <c r="B90" s="10"/>
      <c r="C90" s="10"/>
      <c r="D90" s="10"/>
      <c r="E90" s="10"/>
      <c r="F90" s="10"/>
      <c r="G90" s="10"/>
      <c r="I90" s="12"/>
      <c r="J90" s="12"/>
      <c r="K90" s="49"/>
    </row>
    <row r="91" spans="1:11">
      <c r="A91" s="10"/>
      <c r="B91" s="10"/>
      <c r="C91" s="10"/>
      <c r="D91" s="10"/>
      <c r="E91" s="10"/>
      <c r="F91" s="10"/>
      <c r="G91" s="10"/>
      <c r="I91" s="12"/>
      <c r="J91" s="12"/>
      <c r="K91" s="49"/>
    </row>
    <row r="92" spans="1:11">
      <c r="A92" s="10"/>
      <c r="B92" s="10"/>
      <c r="C92" s="10"/>
      <c r="D92" s="10"/>
      <c r="E92" s="10"/>
      <c r="F92" s="10"/>
      <c r="G92" s="10"/>
      <c r="I92" s="12"/>
      <c r="J92" s="12"/>
      <c r="K92" s="49"/>
    </row>
    <row r="93" spans="1:11">
      <c r="A93" s="51" t="s">
        <v>41</v>
      </c>
      <c r="B93" s="51"/>
      <c r="C93" s="52"/>
      <c r="D93" s="52"/>
      <c r="E93" s="52"/>
      <c r="F93" s="52"/>
      <c r="G93" s="10" t="s">
        <v>35</v>
      </c>
      <c r="I93" s="51"/>
      <c r="J93" s="51" t="s">
        <v>36</v>
      </c>
      <c r="K93" s="49"/>
    </row>
    <row r="98" spans="1:11" ht="15.75">
      <c r="C98" s="2"/>
      <c r="D98" s="2"/>
      <c r="E98" s="2"/>
      <c r="F98" s="2"/>
    </row>
    <row r="99" spans="1:11" ht="15.75">
      <c r="A99" s="3"/>
      <c r="B99" s="3"/>
      <c r="C99" s="2"/>
      <c r="D99" s="2"/>
      <c r="E99" s="2"/>
      <c r="F99" s="2"/>
      <c r="G99" s="3"/>
      <c r="H99" s="4"/>
      <c r="I99" s="4"/>
      <c r="J99" s="4"/>
      <c r="K99" s="5"/>
    </row>
    <row r="100" spans="1:11">
      <c r="H100" s="5"/>
      <c r="I100" s="5"/>
      <c r="J100" s="5"/>
      <c r="K100" s="5"/>
    </row>
    <row r="101" spans="1:11">
      <c r="H101" s="5"/>
      <c r="I101" s="5"/>
      <c r="J101" s="5"/>
      <c r="K101" s="5"/>
    </row>
    <row r="102" spans="1:11">
      <c r="A102" s="68" t="s">
        <v>0</v>
      </c>
      <c r="B102" s="68"/>
      <c r="C102" s="69"/>
      <c r="D102" s="69"/>
      <c r="E102" s="69"/>
      <c r="F102" s="69"/>
      <c r="G102" s="69"/>
      <c r="H102" s="69"/>
      <c r="I102" s="69"/>
      <c r="J102" s="69"/>
      <c r="K102" s="69"/>
    </row>
    <row r="103" spans="1:11">
      <c r="A103" s="69" t="s">
        <v>52</v>
      </c>
      <c r="B103" s="69"/>
      <c r="C103" s="69"/>
      <c r="D103" s="69"/>
      <c r="E103" s="69"/>
      <c r="F103" s="69"/>
      <c r="G103" s="69"/>
      <c r="H103" s="69"/>
      <c r="I103" s="69"/>
      <c r="J103" s="69"/>
      <c r="K103" s="69"/>
    </row>
    <row r="104" spans="1:11">
      <c r="A104" s="69" t="s">
        <v>1</v>
      </c>
      <c r="B104" s="69"/>
      <c r="C104" s="69"/>
      <c r="D104" s="69"/>
      <c r="E104" s="69"/>
      <c r="F104" s="69"/>
      <c r="G104" s="69"/>
      <c r="H104" s="69"/>
      <c r="I104" s="69"/>
      <c r="J104" s="69"/>
      <c r="K104" s="69"/>
    </row>
    <row r="105" spans="1:11">
      <c r="A105" s="69" t="s">
        <v>42</v>
      </c>
      <c r="B105" s="69"/>
      <c r="C105" s="69"/>
      <c r="D105" s="69"/>
      <c r="E105" s="69"/>
      <c r="F105" s="69"/>
      <c r="G105" s="69"/>
      <c r="H105" s="69"/>
      <c r="I105" s="69"/>
      <c r="J105" s="69"/>
      <c r="K105" s="69"/>
    </row>
    <row r="106" spans="1:11">
      <c r="A106" s="69" t="s">
        <v>2</v>
      </c>
      <c r="B106" s="69"/>
      <c r="C106" s="69"/>
      <c r="D106" s="69"/>
      <c r="E106" s="69"/>
      <c r="F106" s="69"/>
      <c r="G106" s="69"/>
      <c r="H106" s="69"/>
      <c r="I106" s="69"/>
      <c r="J106" s="69"/>
      <c r="K106" s="69"/>
    </row>
    <row r="107" spans="1:11">
      <c r="A107" s="6"/>
      <c r="B107" s="6"/>
      <c r="C107" s="7"/>
      <c r="D107" s="7"/>
      <c r="E107" s="7"/>
      <c r="F107" s="7"/>
      <c r="G107" s="8"/>
      <c r="H107" s="9"/>
      <c r="I107" s="9"/>
      <c r="J107" s="9"/>
      <c r="K107" s="9"/>
    </row>
    <row r="108" spans="1:11">
      <c r="A108" s="55" t="s">
        <v>3</v>
      </c>
      <c r="B108" s="10"/>
      <c r="C108" s="10"/>
      <c r="D108" s="56" t="s">
        <v>4</v>
      </c>
      <c r="E108" s="10" t="s">
        <v>5</v>
      </c>
      <c r="F108" s="11"/>
      <c r="G108" s="10"/>
      <c r="H108" s="12"/>
      <c r="I108" s="12"/>
      <c r="J108" s="12"/>
      <c r="K108" s="9"/>
    </row>
    <row r="109" spans="1:11">
      <c r="A109" s="55" t="s">
        <v>6</v>
      </c>
      <c r="B109" s="10"/>
      <c r="C109" s="10"/>
      <c r="D109" s="56" t="s">
        <v>4</v>
      </c>
      <c r="E109" s="10" t="s">
        <v>7</v>
      </c>
      <c r="F109" s="11"/>
      <c r="G109" s="10"/>
      <c r="H109" s="12"/>
      <c r="I109" s="12"/>
      <c r="J109" s="12"/>
      <c r="K109" s="9"/>
    </row>
    <row r="110" spans="1:11">
      <c r="A110" s="55" t="s">
        <v>8</v>
      </c>
      <c r="B110" s="10"/>
      <c r="C110" s="10"/>
      <c r="D110" s="56" t="s">
        <v>4</v>
      </c>
      <c r="E110" s="13">
        <v>2026</v>
      </c>
      <c r="F110" s="11"/>
      <c r="G110" s="13"/>
      <c r="H110" s="12"/>
      <c r="I110" s="12"/>
      <c r="J110" s="12"/>
      <c r="K110" s="9"/>
    </row>
    <row r="111" spans="1:11">
      <c r="A111" s="55" t="s">
        <v>9</v>
      </c>
      <c r="B111" s="10"/>
      <c r="C111" s="10"/>
      <c r="D111" s="56" t="s">
        <v>4</v>
      </c>
      <c r="E111" s="14">
        <f>J123</f>
        <v>1003500</v>
      </c>
      <c r="F111" s="11"/>
      <c r="G111" s="14"/>
      <c r="H111" s="12"/>
      <c r="I111" s="12"/>
      <c r="J111" s="12"/>
      <c r="K111" s="9"/>
    </row>
    <row r="112" spans="1:11" ht="15.75">
      <c r="A112" s="10"/>
      <c r="B112" s="10"/>
      <c r="C112" s="15" t="s">
        <v>10</v>
      </c>
      <c r="D112" s="56" t="s">
        <v>4</v>
      </c>
      <c r="E112" s="16" t="str">
        <f>PROPER(IF(E111=0,"nol",IF(E111&lt;0,"minus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111),"000000000000000"),1,3)=0,"",MID(TEXT(ABS(E111),"000000000000000"),1,1)&amp;" ratus "&amp;MID(TEXT(ABS(E111),"000000000000000"),2,1)&amp;" puluh "&amp;MID(TEXT(ABS(E111),"000000000000000"),3,1)&amp;" trilyun ")&amp;IF(--MID(TEXT(ABS(E111),"000000000000000"),4,3)=0,"",MID(TEXT(ABS(E111),"000000000000000"),4,1)&amp;" ratus "&amp;MID(TEXT(ABS(E111),"000000000000000"),5,1)&amp;" puluh "&amp;MID(TEXT(ABS(E111),"000000000000000"),6,1)&amp;" milyar ")&amp;IF(--MID(TEXT(ABS(E111),"000000000000000"),7,3)=0,"",MID(TEXT(ABS(E111),"000000000000000"),7,1)&amp;" ratus "&amp;MID(TEXT(ABS(E111),"000000000000000"),8,1)&amp;" puluh "&amp;MID(TEXT(ABS(E111),"000000000000000"),9,1)&amp;" juta ")&amp;IF(--MID(TEXT(ABS(E111),"000000000000000"),10,3)=0,"",IF(--MID(TEXT(ABS(E111),"000000000000000"),10,3)=1,"*",MID(TEXT(ABS(E111),"000000000000000"),10,1)&amp;" ratus "&amp;MID(TEXT(ABS(E111),"000000000000000"),11,1)&amp;" puluh ")&amp;MID(TEXT(ABS(E111),"000000000000000"),12,1)&amp;" ribu ")&amp;IF(--MID(TEXT(ABS(E111),"000000000000000"),13,3)=0,"",MID(TEXT(ABS(E111),"000000000000000"),13,1)&amp;" ratus "&amp;MID(TEXT(ABS(E111),"000000000000000"),14,1)&amp;" puluh "&amp;MID(TEXT(ABS(E111),"000000000000000"),15,1)),1,"satu"),2,"dua"),3,"tiga"),4,"empat"),5,"lima"),6,"enam"),7,"tujuh"),8,"delapan"),9,"sembilan"),"0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Tiga Ribu Lima Ratus Rupiah</v>
      </c>
      <c r="F112" s="11"/>
      <c r="G112" s="16"/>
      <c r="H112" s="12"/>
      <c r="I112" s="12"/>
      <c r="J112" s="12"/>
      <c r="K112" s="9"/>
    </row>
    <row r="113" spans="1:11" ht="15.75">
      <c r="A113" s="10"/>
      <c r="B113" s="10"/>
      <c r="C113" s="15"/>
      <c r="D113" s="15"/>
      <c r="E113" s="15"/>
      <c r="F113" s="11"/>
      <c r="G113" s="16"/>
      <c r="H113" s="12"/>
      <c r="I113" s="12"/>
      <c r="J113" s="12"/>
      <c r="K113" s="9"/>
    </row>
    <row r="114" spans="1:11">
      <c r="A114" s="10" t="s">
        <v>11</v>
      </c>
      <c r="B114" s="10"/>
      <c r="C114" s="10"/>
      <c r="D114" s="10"/>
      <c r="E114" s="10"/>
      <c r="F114" s="10"/>
      <c r="G114" s="10"/>
      <c r="H114" s="12"/>
      <c r="I114" s="12"/>
      <c r="J114" s="12"/>
      <c r="K114" s="9"/>
    </row>
    <row r="115" spans="1:11">
      <c r="A115" s="60" t="s">
        <v>12</v>
      </c>
      <c r="B115" s="60"/>
      <c r="C115" s="60"/>
      <c r="D115" s="60"/>
      <c r="E115" s="60"/>
      <c r="F115" s="60"/>
      <c r="G115" s="60"/>
      <c r="H115" s="60"/>
      <c r="I115" s="60"/>
      <c r="J115" s="60"/>
      <c r="K115" s="60"/>
    </row>
    <row r="116" spans="1:11" ht="60">
      <c r="A116" s="17" t="s">
        <v>13</v>
      </c>
      <c r="B116" s="18" t="s">
        <v>14</v>
      </c>
      <c r="C116" s="61" t="s">
        <v>15</v>
      </c>
      <c r="D116" s="62"/>
      <c r="E116" s="63"/>
      <c r="F116" s="19"/>
      <c r="G116" s="20" t="s">
        <v>16</v>
      </c>
      <c r="H116" s="21" t="s">
        <v>37</v>
      </c>
      <c r="I116" s="21"/>
      <c r="J116" s="32" t="s">
        <v>17</v>
      </c>
      <c r="K116" s="33" t="s">
        <v>18</v>
      </c>
    </row>
    <row r="117" spans="1:11">
      <c r="A117" s="28">
        <v>1</v>
      </c>
      <c r="B117" s="25"/>
      <c r="C117" s="29" t="s">
        <v>23</v>
      </c>
      <c r="D117" s="59"/>
      <c r="E117" s="27"/>
      <c r="F117" s="26"/>
      <c r="G117" s="57" t="s">
        <v>19</v>
      </c>
      <c r="H117" s="57" t="s">
        <v>19</v>
      </c>
      <c r="I117" s="57"/>
      <c r="J117" s="57" t="s">
        <v>19</v>
      </c>
      <c r="K117" s="57" t="s">
        <v>19</v>
      </c>
    </row>
    <row r="118" spans="1:11">
      <c r="A118" s="25"/>
      <c r="B118" s="58" t="s">
        <v>20</v>
      </c>
      <c r="C118" s="64" t="s">
        <v>43</v>
      </c>
      <c r="D118" s="65"/>
      <c r="E118" s="66"/>
      <c r="F118" s="26"/>
      <c r="G118" s="24">
        <v>12000000</v>
      </c>
      <c r="H118" s="23">
        <f>H71+J71</f>
        <v>0</v>
      </c>
      <c r="I118" s="23"/>
      <c r="J118" s="23">
        <v>0</v>
      </c>
      <c r="K118" s="34">
        <f t="shared" ref="K118:K122" si="3">G118-H118-J118</f>
        <v>12000000</v>
      </c>
    </row>
    <row r="119" spans="1:11">
      <c r="A119" s="25"/>
      <c r="B119" s="58" t="s">
        <v>21</v>
      </c>
      <c r="C119" s="26" t="s">
        <v>24</v>
      </c>
      <c r="D119" s="10"/>
      <c r="E119" s="27"/>
      <c r="F119" s="26"/>
      <c r="G119" s="22">
        <v>18000000</v>
      </c>
      <c r="H119" s="23">
        <f t="shared" ref="H119:H121" si="4">H72+J72</f>
        <v>4507775</v>
      </c>
      <c r="I119" s="23"/>
      <c r="J119" s="35">
        <v>0</v>
      </c>
      <c r="K119" s="36">
        <f t="shared" si="3"/>
        <v>13492225</v>
      </c>
    </row>
    <row r="120" spans="1:11">
      <c r="A120" s="25"/>
      <c r="B120" s="58" t="s">
        <v>22</v>
      </c>
      <c r="C120" s="26" t="s">
        <v>25</v>
      </c>
      <c r="D120" s="10"/>
      <c r="E120" s="27"/>
      <c r="F120" s="26"/>
      <c r="G120" s="22">
        <v>80000000</v>
      </c>
      <c r="H120" s="23">
        <f t="shared" si="4"/>
        <v>18054858</v>
      </c>
      <c r="I120" s="23"/>
      <c r="J120" s="35">
        <v>1003500</v>
      </c>
      <c r="K120" s="36">
        <f t="shared" si="3"/>
        <v>60941642</v>
      </c>
    </row>
    <row r="121" spans="1:11">
      <c r="A121" s="25"/>
      <c r="B121" s="58" t="s">
        <v>39</v>
      </c>
      <c r="C121" s="26" t="s">
        <v>26</v>
      </c>
      <c r="D121" s="10"/>
      <c r="E121" s="27"/>
      <c r="F121" s="26"/>
      <c r="G121" s="22">
        <v>20400000</v>
      </c>
      <c r="H121" s="23">
        <f t="shared" si="4"/>
        <v>4657238</v>
      </c>
      <c r="I121" s="23"/>
      <c r="J121" s="35">
        <v>0</v>
      </c>
      <c r="K121" s="36">
        <f t="shared" si="3"/>
        <v>15742762</v>
      </c>
    </row>
    <row r="122" spans="1:11">
      <c r="A122" s="25"/>
      <c r="B122" s="58" t="s">
        <v>40</v>
      </c>
      <c r="C122" s="26" t="s">
        <v>38</v>
      </c>
      <c r="D122" s="10"/>
      <c r="E122" s="27"/>
      <c r="F122" s="26"/>
      <c r="G122" s="22">
        <v>50000000</v>
      </c>
      <c r="H122" s="23">
        <f>H75+J75</f>
        <v>64265180</v>
      </c>
      <c r="I122" s="23"/>
      <c r="J122" s="35">
        <v>0</v>
      </c>
      <c r="K122" s="36">
        <f t="shared" si="3"/>
        <v>-14265180</v>
      </c>
    </row>
    <row r="123" spans="1:11">
      <c r="A123" s="37"/>
      <c r="B123" s="37"/>
      <c r="C123" s="37" t="s">
        <v>27</v>
      </c>
      <c r="D123" s="37"/>
      <c r="E123" s="37"/>
      <c r="F123" s="38"/>
      <c r="G123" s="39">
        <f>SUM(G117:G122)</f>
        <v>180400000</v>
      </c>
      <c r="H123" s="40">
        <f>SUM(H117:H122)</f>
        <v>91485051</v>
      </c>
      <c r="I123" s="40"/>
      <c r="J123" s="40">
        <f>SUM(J117:J122)</f>
        <v>1003500</v>
      </c>
      <c r="K123" s="40">
        <f>SUM(K117:K122)</f>
        <v>87911449</v>
      </c>
    </row>
    <row r="124" spans="1:11">
      <c r="A124" s="41"/>
      <c r="B124" s="8"/>
      <c r="C124" s="8"/>
      <c r="D124" s="8"/>
      <c r="E124" s="8"/>
      <c r="F124" s="8"/>
      <c r="G124" s="42"/>
      <c r="H124" s="42"/>
      <c r="I124" s="42"/>
      <c r="J124" s="42"/>
      <c r="K124" s="42"/>
    </row>
    <row r="125" spans="1:11">
      <c r="A125" s="67" t="s">
        <v>28</v>
      </c>
      <c r="B125" s="67"/>
      <c r="C125" s="67"/>
      <c r="D125" s="11" t="s">
        <v>4</v>
      </c>
      <c r="E125" s="14">
        <f>J123</f>
        <v>1003500</v>
      </c>
      <c r="F125" s="43"/>
      <c r="G125" s="44"/>
      <c r="H125" s="44"/>
      <c r="I125" s="44"/>
      <c r="J125" s="9"/>
      <c r="K125" s="9"/>
    </row>
    <row r="126" spans="1:11">
      <c r="A126" s="10" t="s">
        <v>29</v>
      </c>
      <c r="B126" s="10"/>
      <c r="C126" s="10"/>
      <c r="D126" s="11" t="s">
        <v>4</v>
      </c>
      <c r="E126" s="45"/>
      <c r="F126" s="45"/>
      <c r="G126" s="46"/>
      <c r="H126" s="12"/>
      <c r="I126" s="12"/>
      <c r="J126" s="9"/>
      <c r="K126" s="9"/>
    </row>
    <row r="127" spans="1:11">
      <c r="A127" s="10" t="s">
        <v>30</v>
      </c>
      <c r="B127" s="10"/>
      <c r="C127" s="10"/>
      <c r="D127" s="11" t="s">
        <v>4</v>
      </c>
      <c r="E127" s="47"/>
      <c r="F127" s="47"/>
      <c r="G127" s="46"/>
      <c r="H127" s="12"/>
      <c r="I127" s="12"/>
      <c r="J127" s="9"/>
      <c r="K127" s="9"/>
    </row>
    <row r="128" spans="1:11">
      <c r="A128" s="10" t="s">
        <v>31</v>
      </c>
      <c r="B128" s="10"/>
      <c r="C128" s="10"/>
      <c r="D128" s="11" t="s">
        <v>4</v>
      </c>
      <c r="E128" s="47">
        <f>E126+E127</f>
        <v>0</v>
      </c>
      <c r="F128" s="47"/>
      <c r="G128" s="10"/>
      <c r="H128" s="12"/>
      <c r="I128" s="12"/>
      <c r="J128" s="49"/>
      <c r="K128" s="49"/>
    </row>
    <row r="129" spans="1:11">
      <c r="A129" s="13"/>
      <c r="B129" s="13"/>
      <c r="C129" s="13"/>
      <c r="D129" s="11"/>
      <c r="E129" s="13"/>
      <c r="F129" s="13"/>
      <c r="G129" s="10"/>
      <c r="H129" s="12"/>
      <c r="I129" s="12"/>
      <c r="J129" s="49"/>
      <c r="K129" s="49"/>
    </row>
    <row r="130" spans="1:11">
      <c r="A130" s="67" t="s">
        <v>32</v>
      </c>
      <c r="B130" s="67"/>
      <c r="C130" s="67"/>
      <c r="D130" s="11" t="s">
        <v>4</v>
      </c>
      <c r="E130" s="43">
        <f>E125-E128</f>
        <v>1003500</v>
      </c>
      <c r="F130" s="43"/>
      <c r="G130" s="10"/>
      <c r="H130" s="12"/>
      <c r="I130" s="12"/>
      <c r="J130" s="49"/>
      <c r="K130" s="49"/>
    </row>
    <row r="131" spans="1:11" ht="15.75">
      <c r="A131" s="13"/>
      <c r="B131" s="13"/>
      <c r="C131" s="10"/>
      <c r="D131" s="10"/>
      <c r="E131" s="16" t="str">
        <f>PROPER(IF(E130=0,"nol",IF(E130&lt;0,"minus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130),"000000000000000"),1,3)=0,"",MID(TEXT(ABS(E130),"000000000000000"),1,1)&amp;" ratus "&amp;MID(TEXT(ABS(E130),"000000000000000"),2,1)&amp;" puluh "&amp;MID(TEXT(ABS(E130),"000000000000000"),3,1)&amp;" trilyun ")&amp;IF(--MID(TEXT(ABS(E130),"000000000000000"),4,3)=0,"",MID(TEXT(ABS(E130),"000000000000000"),4,1)&amp;" ratus "&amp;MID(TEXT(ABS(E130),"000000000000000"),5,1)&amp;" puluh "&amp;MID(TEXT(ABS(E130),"000000000000000"),6,1)&amp;" milyar ")&amp;IF(--MID(TEXT(ABS(E130),"000000000000000"),7,3)=0,"",MID(TEXT(ABS(E130),"000000000000000"),7,1)&amp;" ratus "&amp;MID(TEXT(ABS(E130),"000000000000000"),8,1)&amp;" puluh "&amp;MID(TEXT(ABS(E130),"000000000000000"),9,1)&amp;" juta ")&amp;IF(--MID(TEXT(ABS(E130),"000000000000000"),10,3)=0,"",IF(--MID(TEXT(ABS(E130),"000000000000000"),10,3)=1,"*",MID(TEXT(ABS(E130),"000000000000000"),10,1)&amp;" ratus "&amp;MID(TEXT(ABS(E130),"000000000000000"),11,1)&amp;" puluh ")&amp;MID(TEXT(ABS(E130),"000000000000000"),12,1)&amp;" ribu ")&amp;IF(--MID(TEXT(ABS(E130),"000000000000000"),13,3)=0,"",MID(TEXT(ABS(E130),"000000000000000"),13,1)&amp;" ratus "&amp;MID(TEXT(ABS(E130),"000000000000000"),14,1)&amp;" puluh "&amp;MID(TEXT(ABS(E130),"000000000000000"),15,1)),1,"satu"),2,"dua"),3,"tiga"),4,"empat"),5,"lima"),6,"enam"),7,"tujuh"),8,"delapan"),9,"sembilan"),"0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Tiga Ribu Lima Ratus Rupiah</v>
      </c>
      <c r="F131" s="10"/>
      <c r="G131" s="10"/>
      <c r="H131" s="10"/>
      <c r="I131" s="10"/>
      <c r="J131" s="49"/>
      <c r="K131" s="49"/>
    </row>
    <row r="132" spans="1:11">
      <c r="A132" s="48"/>
      <c r="B132" s="48"/>
      <c r="C132" s="48"/>
      <c r="D132" s="48"/>
      <c r="E132" s="48"/>
      <c r="F132" s="48"/>
      <c r="G132" s="30"/>
      <c r="H132" s="49"/>
      <c r="I132" s="49"/>
      <c r="J132" s="49"/>
      <c r="K132" s="49"/>
    </row>
    <row r="133" spans="1:11">
      <c r="A133" s="30"/>
      <c r="B133" s="30"/>
      <c r="C133" s="30"/>
      <c r="D133" s="30"/>
      <c r="E133" s="30"/>
      <c r="F133" s="30"/>
      <c r="G133" s="30"/>
      <c r="H133"/>
      <c r="I133"/>
      <c r="J133" s="49"/>
      <c r="K133" s="49"/>
    </row>
    <row r="134" spans="1:11">
      <c r="A134" s="13"/>
      <c r="B134" s="13"/>
      <c r="C134" s="10"/>
      <c r="D134" s="10"/>
      <c r="E134" s="10"/>
      <c r="F134" s="10"/>
      <c r="G134" s="10"/>
      <c r="I134" s="50"/>
      <c r="J134" s="50" t="s">
        <v>53</v>
      </c>
      <c r="K134" s="49"/>
    </row>
    <row r="135" spans="1:11">
      <c r="A135" s="12" t="s">
        <v>33</v>
      </c>
      <c r="B135" s="10"/>
      <c r="C135" s="10"/>
      <c r="D135" s="10"/>
      <c r="E135" s="10"/>
      <c r="F135" s="10"/>
      <c r="G135" s="10"/>
      <c r="I135" s="12"/>
      <c r="J135" s="12" t="s">
        <v>34</v>
      </c>
      <c r="K135" s="49"/>
    </row>
    <row r="136" spans="1:11">
      <c r="A136" s="10"/>
      <c r="B136" s="10"/>
      <c r="C136" s="10"/>
      <c r="D136" s="10"/>
      <c r="E136" s="10"/>
      <c r="F136" s="10"/>
      <c r="G136" s="10"/>
      <c r="I136" s="12"/>
      <c r="J136" s="12"/>
      <c r="K136" s="49"/>
    </row>
    <row r="137" spans="1:11">
      <c r="A137" s="10"/>
      <c r="B137" s="10"/>
      <c r="C137" s="10"/>
      <c r="D137" s="10"/>
      <c r="E137" s="10"/>
      <c r="F137" s="10"/>
      <c r="G137" s="10"/>
      <c r="I137" s="12"/>
      <c r="J137" s="12"/>
      <c r="K137" s="49"/>
    </row>
    <row r="138" spans="1:11">
      <c r="A138" s="10"/>
      <c r="B138" s="10"/>
      <c r="C138" s="10"/>
      <c r="D138" s="10"/>
      <c r="E138" s="10"/>
      <c r="F138" s="10"/>
      <c r="G138" s="10"/>
      <c r="I138" s="12"/>
      <c r="J138" s="12"/>
      <c r="K138" s="49"/>
    </row>
    <row r="139" spans="1:11">
      <c r="A139" s="10"/>
      <c r="B139" s="10"/>
      <c r="C139" s="10"/>
      <c r="D139" s="10"/>
      <c r="E139" s="10"/>
      <c r="F139" s="10"/>
      <c r="G139" s="10"/>
      <c r="I139" s="12"/>
      <c r="J139" s="12"/>
      <c r="K139" s="49"/>
    </row>
    <row r="140" spans="1:11">
      <c r="A140" s="51" t="s">
        <v>41</v>
      </c>
      <c r="B140" s="51"/>
      <c r="C140" s="52"/>
      <c r="D140" s="52"/>
      <c r="E140" s="52"/>
      <c r="F140" s="52"/>
      <c r="G140" s="10" t="s">
        <v>35</v>
      </c>
      <c r="I140" s="51"/>
      <c r="J140" s="51" t="s">
        <v>36</v>
      </c>
      <c r="K140" s="49"/>
    </row>
    <row r="145" spans="1:11" ht="15.75">
      <c r="C145" s="2"/>
      <c r="D145" s="2"/>
      <c r="E145" s="2"/>
      <c r="F145" s="2"/>
    </row>
    <row r="146" spans="1:11" ht="15.75">
      <c r="A146" s="3"/>
      <c r="B146" s="3"/>
      <c r="C146" s="2"/>
      <c r="D146" s="2"/>
      <c r="E146" s="2"/>
      <c r="F146" s="2"/>
      <c r="G146" s="3"/>
      <c r="H146" s="4"/>
      <c r="I146" s="4"/>
      <c r="J146" s="4"/>
      <c r="K146" s="5"/>
    </row>
    <row r="147" spans="1:11">
      <c r="H147" s="5"/>
      <c r="I147" s="5"/>
      <c r="J147" s="5"/>
      <c r="K147" s="5"/>
    </row>
    <row r="148" spans="1:11">
      <c r="H148" s="5"/>
      <c r="I148" s="5"/>
      <c r="J148" s="5"/>
      <c r="K148" s="5"/>
    </row>
    <row r="149" spans="1:11">
      <c r="A149" s="68" t="s">
        <v>0</v>
      </c>
      <c r="B149" s="68"/>
      <c r="C149" s="69"/>
      <c r="D149" s="69"/>
      <c r="E149" s="69"/>
      <c r="F149" s="69"/>
      <c r="G149" s="69"/>
      <c r="H149" s="69"/>
      <c r="I149" s="69"/>
      <c r="J149" s="69"/>
      <c r="K149" s="69"/>
    </row>
    <row r="150" spans="1:11">
      <c r="A150" s="69" t="s">
        <v>54</v>
      </c>
      <c r="B150" s="69"/>
      <c r="C150" s="69"/>
      <c r="D150" s="69"/>
      <c r="E150" s="69"/>
      <c r="F150" s="69"/>
      <c r="G150" s="69"/>
      <c r="H150" s="69"/>
      <c r="I150" s="69"/>
      <c r="J150" s="69"/>
      <c r="K150" s="69"/>
    </row>
    <row r="151" spans="1:11">
      <c r="A151" s="69" t="s">
        <v>1</v>
      </c>
      <c r="B151" s="69"/>
      <c r="C151" s="69"/>
      <c r="D151" s="69"/>
      <c r="E151" s="69"/>
      <c r="F151" s="69"/>
      <c r="G151" s="69"/>
      <c r="H151" s="69"/>
      <c r="I151" s="69"/>
      <c r="J151" s="69"/>
      <c r="K151" s="69"/>
    </row>
    <row r="152" spans="1:11">
      <c r="A152" s="69" t="s">
        <v>42</v>
      </c>
      <c r="B152" s="69"/>
      <c r="C152" s="69"/>
      <c r="D152" s="69"/>
      <c r="E152" s="69"/>
      <c r="F152" s="69"/>
      <c r="G152" s="69"/>
      <c r="H152" s="69"/>
      <c r="I152" s="69"/>
      <c r="J152" s="69"/>
      <c r="K152" s="69"/>
    </row>
    <row r="153" spans="1:11">
      <c r="A153" s="69" t="s">
        <v>2</v>
      </c>
      <c r="B153" s="69"/>
      <c r="C153" s="69"/>
      <c r="D153" s="69"/>
      <c r="E153" s="69"/>
      <c r="F153" s="69"/>
      <c r="G153" s="69"/>
      <c r="H153" s="69"/>
      <c r="I153" s="69"/>
      <c r="J153" s="69"/>
      <c r="K153" s="69"/>
    </row>
    <row r="154" spans="1:11">
      <c r="A154" s="6"/>
      <c r="B154" s="6"/>
      <c r="C154" s="7"/>
      <c r="D154" s="7"/>
      <c r="E154" s="7"/>
      <c r="F154" s="7"/>
      <c r="G154" s="8"/>
      <c r="H154" s="9"/>
      <c r="I154" s="9"/>
      <c r="J154" s="9"/>
      <c r="K154" s="9"/>
    </row>
    <row r="155" spans="1:11">
      <c r="A155" s="55" t="s">
        <v>3</v>
      </c>
      <c r="B155" s="10"/>
      <c r="C155" s="10"/>
      <c r="D155" s="56" t="s">
        <v>4</v>
      </c>
      <c r="E155" s="10" t="s">
        <v>5</v>
      </c>
      <c r="F155" s="11"/>
      <c r="G155" s="10"/>
      <c r="H155" s="12"/>
      <c r="I155" s="12"/>
      <c r="J155" s="12"/>
      <c r="K155" s="9"/>
    </row>
    <row r="156" spans="1:11">
      <c r="A156" s="55" t="s">
        <v>6</v>
      </c>
      <c r="B156" s="10"/>
      <c r="C156" s="10"/>
      <c r="D156" s="56" t="s">
        <v>4</v>
      </c>
      <c r="E156" s="10" t="s">
        <v>7</v>
      </c>
      <c r="F156" s="11"/>
      <c r="G156" s="10"/>
      <c r="H156" s="12"/>
      <c r="I156" s="12"/>
      <c r="J156" s="12"/>
      <c r="K156" s="9"/>
    </row>
    <row r="157" spans="1:11">
      <c r="A157" s="55" t="s">
        <v>8</v>
      </c>
      <c r="B157" s="10"/>
      <c r="C157" s="10"/>
      <c r="D157" s="56" t="s">
        <v>4</v>
      </c>
      <c r="E157" s="13">
        <v>2026</v>
      </c>
      <c r="F157" s="11"/>
      <c r="G157" s="13"/>
      <c r="H157" s="12"/>
      <c r="I157" s="12"/>
      <c r="J157" s="12"/>
      <c r="K157" s="9"/>
    </row>
    <row r="158" spans="1:11">
      <c r="A158" s="55" t="s">
        <v>9</v>
      </c>
      <c r="B158" s="10"/>
      <c r="C158" s="10"/>
      <c r="D158" s="56" t="s">
        <v>4</v>
      </c>
      <c r="E158" s="14">
        <f>J170</f>
        <v>1896000</v>
      </c>
      <c r="F158" s="11"/>
      <c r="G158" s="14"/>
      <c r="H158" s="12"/>
      <c r="I158" s="12"/>
      <c r="J158" s="12"/>
      <c r="K158" s="9"/>
    </row>
    <row r="159" spans="1:11" ht="15.75">
      <c r="A159" s="10"/>
      <c r="B159" s="10"/>
      <c r="C159" s="15" t="s">
        <v>10</v>
      </c>
      <c r="D159" s="56" t="s">
        <v>4</v>
      </c>
      <c r="E159" s="16" t="str">
        <f>PROPER(IF(E158=0,"nol",IF(E158&lt;0,"minus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158),"000000000000000"),1,3)=0,"",MID(TEXT(ABS(E158),"000000000000000"),1,1)&amp;" ratus "&amp;MID(TEXT(ABS(E158),"000000000000000"),2,1)&amp;" puluh "&amp;MID(TEXT(ABS(E158),"000000000000000"),3,1)&amp;" trilyun ")&amp;IF(--MID(TEXT(ABS(E158),"000000000000000"),4,3)=0,"",MID(TEXT(ABS(E158),"000000000000000"),4,1)&amp;" ratus "&amp;MID(TEXT(ABS(E158),"000000000000000"),5,1)&amp;" puluh "&amp;MID(TEXT(ABS(E158),"000000000000000"),6,1)&amp;" milyar ")&amp;IF(--MID(TEXT(ABS(E158),"000000000000000"),7,3)=0,"",MID(TEXT(ABS(E158),"000000000000000"),7,1)&amp;" ratus "&amp;MID(TEXT(ABS(E158),"000000000000000"),8,1)&amp;" puluh "&amp;MID(TEXT(ABS(E158),"000000000000000"),9,1)&amp;" juta ")&amp;IF(--MID(TEXT(ABS(E158),"000000000000000"),10,3)=0,"",IF(--MID(TEXT(ABS(E158),"000000000000000"),10,3)=1,"*",MID(TEXT(ABS(E158),"000000000000000"),10,1)&amp;" ratus "&amp;MID(TEXT(ABS(E158),"000000000000000"),11,1)&amp;" puluh ")&amp;MID(TEXT(ABS(E158),"000000000000000"),12,1)&amp;" ribu ")&amp;IF(--MID(TEXT(ABS(E158),"000000000000000"),13,3)=0,"",MID(TEXT(ABS(E158),"000000000000000"),13,1)&amp;" ratus "&amp;MID(TEXT(ABS(E158),"000000000000000"),14,1)&amp;" puluh "&amp;MID(TEXT(ABS(E158),"000000000000000"),15,1)),1,"satu"),2,"dua"),3,"tiga"),4,"empat"),5,"lima"),6,"enam"),7,"tujuh"),8,"delapan"),9,"sembilan"),"0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Delapan Ratus Sembilan Puluh Enam Ribu Rupiah</v>
      </c>
      <c r="F159" s="11"/>
      <c r="G159" s="16"/>
      <c r="H159" s="12"/>
      <c r="I159" s="12"/>
      <c r="J159" s="12"/>
      <c r="K159" s="9"/>
    </row>
    <row r="160" spans="1:11" ht="15.75">
      <c r="A160" s="10"/>
      <c r="B160" s="10"/>
      <c r="C160" s="15"/>
      <c r="D160" s="15"/>
      <c r="E160" s="15"/>
      <c r="F160" s="11"/>
      <c r="G160" s="16"/>
      <c r="H160" s="12"/>
      <c r="I160" s="12"/>
      <c r="J160" s="12"/>
      <c r="K160" s="9"/>
    </row>
    <row r="161" spans="1:11">
      <c r="A161" s="10" t="s">
        <v>11</v>
      </c>
      <c r="B161" s="10"/>
      <c r="C161" s="10"/>
      <c r="D161" s="10"/>
      <c r="E161" s="10"/>
      <c r="F161" s="10"/>
      <c r="G161" s="10"/>
      <c r="H161" s="12"/>
      <c r="I161" s="12"/>
      <c r="J161" s="12"/>
      <c r="K161" s="9"/>
    </row>
    <row r="162" spans="1:11">
      <c r="A162" s="60" t="s">
        <v>12</v>
      </c>
      <c r="B162" s="60"/>
      <c r="C162" s="60"/>
      <c r="D162" s="60"/>
      <c r="E162" s="60"/>
      <c r="F162" s="60"/>
      <c r="G162" s="60"/>
      <c r="H162" s="60"/>
      <c r="I162" s="60"/>
      <c r="J162" s="60"/>
      <c r="K162" s="60"/>
    </row>
    <row r="163" spans="1:11" ht="60">
      <c r="A163" s="17" t="s">
        <v>13</v>
      </c>
      <c r="B163" s="18" t="s">
        <v>14</v>
      </c>
      <c r="C163" s="61" t="s">
        <v>15</v>
      </c>
      <c r="D163" s="62"/>
      <c r="E163" s="63"/>
      <c r="F163" s="19"/>
      <c r="G163" s="20" t="s">
        <v>16</v>
      </c>
      <c r="H163" s="21" t="s">
        <v>37</v>
      </c>
      <c r="I163" s="21"/>
      <c r="J163" s="32" t="s">
        <v>17</v>
      </c>
      <c r="K163" s="33" t="s">
        <v>18</v>
      </c>
    </row>
    <row r="164" spans="1:11">
      <c r="A164" s="28">
        <v>1</v>
      </c>
      <c r="B164" s="25"/>
      <c r="C164" s="29" t="s">
        <v>23</v>
      </c>
      <c r="D164" s="59"/>
      <c r="E164" s="27"/>
      <c r="F164" s="26"/>
      <c r="G164" s="57" t="s">
        <v>19</v>
      </c>
      <c r="H164" s="57" t="s">
        <v>19</v>
      </c>
      <c r="I164" s="57"/>
      <c r="J164" s="57" t="s">
        <v>19</v>
      </c>
      <c r="K164" s="57" t="s">
        <v>19</v>
      </c>
    </row>
    <row r="165" spans="1:11">
      <c r="A165" s="25"/>
      <c r="B165" s="58" t="s">
        <v>20</v>
      </c>
      <c r="C165" s="64" t="s">
        <v>43</v>
      </c>
      <c r="D165" s="65"/>
      <c r="E165" s="66"/>
      <c r="F165" s="26"/>
      <c r="G165" s="24">
        <v>12000000</v>
      </c>
      <c r="H165" s="23">
        <f>H118+J118</f>
        <v>0</v>
      </c>
      <c r="I165" s="23"/>
      <c r="J165" s="23">
        <v>0</v>
      </c>
      <c r="K165" s="34">
        <f t="shared" ref="K165:K169" si="5">G165-H165-J165</f>
        <v>12000000</v>
      </c>
    </row>
    <row r="166" spans="1:11">
      <c r="A166" s="25"/>
      <c r="B166" s="58" t="s">
        <v>21</v>
      </c>
      <c r="C166" s="26" t="s">
        <v>24</v>
      </c>
      <c r="D166" s="10"/>
      <c r="E166" s="27"/>
      <c r="F166" s="26"/>
      <c r="G166" s="22">
        <v>18000000</v>
      </c>
      <c r="H166" s="23">
        <f t="shared" ref="H166:H168" si="6">H119+J119</f>
        <v>4507775</v>
      </c>
      <c r="I166" s="23"/>
      <c r="J166" s="35">
        <v>0</v>
      </c>
      <c r="K166" s="36">
        <f t="shared" si="5"/>
        <v>13492225</v>
      </c>
    </row>
    <row r="167" spans="1:11">
      <c r="A167" s="25"/>
      <c r="B167" s="58" t="s">
        <v>22</v>
      </c>
      <c r="C167" s="26" t="s">
        <v>25</v>
      </c>
      <c r="D167" s="10"/>
      <c r="E167" s="27"/>
      <c r="F167" s="26"/>
      <c r="G167" s="22">
        <v>80000000</v>
      </c>
      <c r="H167" s="23">
        <f t="shared" si="6"/>
        <v>19058358</v>
      </c>
      <c r="I167" s="23"/>
      <c r="J167" s="35">
        <v>0</v>
      </c>
      <c r="K167" s="36">
        <f t="shared" si="5"/>
        <v>60941642</v>
      </c>
    </row>
    <row r="168" spans="1:11">
      <c r="A168" s="25"/>
      <c r="B168" s="58" t="s">
        <v>39</v>
      </c>
      <c r="C168" s="26" t="s">
        <v>26</v>
      </c>
      <c r="D168" s="10"/>
      <c r="E168" s="27"/>
      <c r="F168" s="26"/>
      <c r="G168" s="22">
        <v>20400000</v>
      </c>
      <c r="H168" s="23">
        <f t="shared" si="6"/>
        <v>4657238</v>
      </c>
      <c r="I168" s="23"/>
      <c r="J168" s="35">
        <v>0</v>
      </c>
      <c r="K168" s="36">
        <f t="shared" si="5"/>
        <v>15742762</v>
      </c>
    </row>
    <row r="169" spans="1:11">
      <c r="A169" s="25"/>
      <c r="B169" s="58" t="s">
        <v>40</v>
      </c>
      <c r="C169" s="26" t="s">
        <v>38</v>
      </c>
      <c r="D169" s="10"/>
      <c r="E169" s="27"/>
      <c r="F169" s="26"/>
      <c r="G169" s="22">
        <v>50000000</v>
      </c>
      <c r="H169" s="23">
        <f>H122+J122</f>
        <v>64265180</v>
      </c>
      <c r="I169" s="23"/>
      <c r="J169" s="35">
        <v>1896000</v>
      </c>
      <c r="K169" s="36">
        <f t="shared" si="5"/>
        <v>-16161180</v>
      </c>
    </row>
    <row r="170" spans="1:11">
      <c r="A170" s="37"/>
      <c r="B170" s="37"/>
      <c r="C170" s="37" t="s">
        <v>27</v>
      </c>
      <c r="D170" s="37"/>
      <c r="E170" s="37"/>
      <c r="F170" s="38"/>
      <c r="G170" s="39">
        <f>SUM(G164:G169)</f>
        <v>180400000</v>
      </c>
      <c r="H170" s="40">
        <f>SUM(H164:H169)</f>
        <v>92488551</v>
      </c>
      <c r="I170" s="40"/>
      <c r="J170" s="40">
        <f>SUM(J164:J169)</f>
        <v>1896000</v>
      </c>
      <c r="K170" s="40">
        <f>SUM(K164:K169)</f>
        <v>86015449</v>
      </c>
    </row>
    <row r="171" spans="1:11">
      <c r="A171" s="41"/>
      <c r="B171" s="8"/>
      <c r="C171" s="8"/>
      <c r="D171" s="8"/>
      <c r="E171" s="8"/>
      <c r="F171" s="8"/>
      <c r="G171" s="42"/>
      <c r="H171" s="42"/>
      <c r="I171" s="42"/>
      <c r="J171" s="42"/>
      <c r="K171" s="42"/>
    </row>
    <row r="172" spans="1:11">
      <c r="A172" s="67" t="s">
        <v>28</v>
      </c>
      <c r="B172" s="67"/>
      <c r="C172" s="67"/>
      <c r="D172" s="11" t="s">
        <v>4</v>
      </c>
      <c r="E172" s="14">
        <f>J170</f>
        <v>1896000</v>
      </c>
      <c r="F172" s="43"/>
      <c r="G172" s="44"/>
      <c r="H172" s="44"/>
      <c r="I172" s="44"/>
      <c r="J172" s="9"/>
      <c r="K172" s="9"/>
    </row>
    <row r="173" spans="1:11">
      <c r="A173" s="10" t="s">
        <v>29</v>
      </c>
      <c r="B173" s="10"/>
      <c r="C173" s="10"/>
      <c r="D173" s="11" t="s">
        <v>4</v>
      </c>
      <c r="E173" s="45"/>
      <c r="F173" s="45"/>
      <c r="G173" s="46"/>
      <c r="H173" s="12"/>
      <c r="I173" s="12"/>
      <c r="J173" s="9"/>
      <c r="K173" s="9"/>
    </row>
    <row r="174" spans="1:11">
      <c r="A174" s="10" t="s">
        <v>30</v>
      </c>
      <c r="B174" s="10"/>
      <c r="C174" s="10"/>
      <c r="D174" s="11" t="s">
        <v>4</v>
      </c>
      <c r="E174" s="47"/>
      <c r="F174" s="47"/>
      <c r="G174" s="46"/>
      <c r="H174" s="12"/>
      <c r="I174" s="12"/>
      <c r="J174" s="9"/>
      <c r="K174" s="9"/>
    </row>
    <row r="175" spans="1:11">
      <c r="A175" s="10" t="s">
        <v>31</v>
      </c>
      <c r="B175" s="10"/>
      <c r="C175" s="10"/>
      <c r="D175" s="11" t="s">
        <v>4</v>
      </c>
      <c r="E175" s="47">
        <f>E173+E174</f>
        <v>0</v>
      </c>
      <c r="F175" s="47"/>
      <c r="G175" s="10"/>
      <c r="H175" s="12"/>
      <c r="I175" s="12"/>
      <c r="J175" s="49"/>
      <c r="K175" s="49"/>
    </row>
    <row r="176" spans="1:11">
      <c r="A176" s="13"/>
      <c r="B176" s="13"/>
      <c r="C176" s="13"/>
      <c r="D176" s="11"/>
      <c r="E176" s="13"/>
      <c r="F176" s="13"/>
      <c r="G176" s="10"/>
      <c r="H176" s="12"/>
      <c r="I176" s="12"/>
      <c r="J176" s="49"/>
      <c r="K176" s="49"/>
    </row>
    <row r="177" spans="1:11">
      <c r="A177" s="67" t="s">
        <v>32</v>
      </c>
      <c r="B177" s="67"/>
      <c r="C177" s="67"/>
      <c r="D177" s="11" t="s">
        <v>4</v>
      </c>
      <c r="E177" s="43">
        <f>E172-E175</f>
        <v>1896000</v>
      </c>
      <c r="F177" s="43"/>
      <c r="G177" s="10"/>
      <c r="H177" s="12"/>
      <c r="I177" s="12"/>
      <c r="J177" s="49"/>
      <c r="K177" s="49"/>
    </row>
    <row r="178" spans="1:11" ht="15.75">
      <c r="A178" s="13"/>
      <c r="B178" s="13"/>
      <c r="C178" s="10"/>
      <c r="D178" s="10"/>
      <c r="E178" s="16" t="str">
        <f>PROPER(IF(E177=0,"nol",IF(E177&lt;0,"minus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177),"000000000000000"),1,3)=0,"",MID(TEXT(ABS(E177),"000000000000000"),1,1)&amp;" ratus "&amp;MID(TEXT(ABS(E177),"000000000000000"),2,1)&amp;" puluh "&amp;MID(TEXT(ABS(E177),"000000000000000"),3,1)&amp;" trilyun ")&amp;IF(--MID(TEXT(ABS(E177),"000000000000000"),4,3)=0,"",MID(TEXT(ABS(E177),"000000000000000"),4,1)&amp;" ratus "&amp;MID(TEXT(ABS(E177),"000000000000000"),5,1)&amp;" puluh "&amp;MID(TEXT(ABS(E177),"000000000000000"),6,1)&amp;" milyar ")&amp;IF(--MID(TEXT(ABS(E177),"000000000000000"),7,3)=0,"",MID(TEXT(ABS(E177),"000000000000000"),7,1)&amp;" ratus "&amp;MID(TEXT(ABS(E177),"000000000000000"),8,1)&amp;" puluh "&amp;MID(TEXT(ABS(E177),"000000000000000"),9,1)&amp;" juta ")&amp;IF(--MID(TEXT(ABS(E177),"000000000000000"),10,3)=0,"",IF(--MID(TEXT(ABS(E177),"000000000000000"),10,3)=1,"*",MID(TEXT(ABS(E177),"000000000000000"),10,1)&amp;" ratus "&amp;MID(TEXT(ABS(E177),"000000000000000"),11,1)&amp;" puluh ")&amp;MID(TEXT(ABS(E177),"000000000000000"),12,1)&amp;" ribu ")&amp;IF(--MID(TEXT(ABS(E177),"000000000000000"),13,3)=0,"",MID(TEXT(ABS(E177),"000000000000000"),13,1)&amp;" ratus "&amp;MID(TEXT(ABS(E177),"000000000000000"),14,1)&amp;" puluh "&amp;MID(TEXT(ABS(E177),"000000000000000"),15,1)),1,"satu"),2,"dua"),3,"tiga"),4,"empat"),5,"lima"),6,"enam"),7,"tujuh"),8,"delapan"),9,"sembilan"),"0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Satu Juta Delapan Ratus Sembilan Puluh Enam Ribu Rupiah</v>
      </c>
      <c r="F178" s="10"/>
      <c r="G178" s="10"/>
      <c r="H178" s="10"/>
      <c r="I178" s="10"/>
      <c r="J178" s="49"/>
      <c r="K178" s="49"/>
    </row>
    <row r="179" spans="1:11">
      <c r="A179" s="48"/>
      <c r="B179" s="48"/>
      <c r="C179" s="48"/>
      <c r="D179" s="48"/>
      <c r="E179" s="48"/>
      <c r="F179" s="48"/>
      <c r="G179" s="30"/>
      <c r="H179" s="49"/>
      <c r="I179" s="49"/>
      <c r="J179" s="49"/>
      <c r="K179" s="49"/>
    </row>
    <row r="180" spans="1:11">
      <c r="A180" s="30"/>
      <c r="B180" s="30"/>
      <c r="C180" s="30"/>
      <c r="D180" s="30"/>
      <c r="E180" s="30"/>
      <c r="F180" s="30"/>
      <c r="G180" s="30"/>
      <c r="H180"/>
      <c r="I180"/>
      <c r="J180" s="49"/>
      <c r="K180" s="49"/>
    </row>
    <row r="181" spans="1:11">
      <c r="A181" s="13"/>
      <c r="B181" s="13"/>
      <c r="C181" s="10"/>
      <c r="D181" s="10"/>
      <c r="E181" s="10"/>
      <c r="F181" s="10"/>
      <c r="G181" s="10"/>
      <c r="I181" s="50"/>
      <c r="J181" s="50" t="s">
        <v>55</v>
      </c>
      <c r="K181" s="49"/>
    </row>
    <row r="182" spans="1:11">
      <c r="A182" s="12" t="s">
        <v>33</v>
      </c>
      <c r="B182" s="10"/>
      <c r="C182" s="10"/>
      <c r="D182" s="10"/>
      <c r="E182" s="10"/>
      <c r="F182" s="10"/>
      <c r="G182" s="10"/>
      <c r="I182" s="12"/>
      <c r="J182" s="12" t="s">
        <v>34</v>
      </c>
      <c r="K182" s="49"/>
    </row>
    <row r="183" spans="1:11">
      <c r="A183" s="10"/>
      <c r="B183" s="10"/>
      <c r="C183" s="10"/>
      <c r="D183" s="10"/>
      <c r="E183" s="10"/>
      <c r="F183" s="10"/>
      <c r="G183" s="10"/>
      <c r="I183" s="12"/>
      <c r="J183" s="12"/>
      <c r="K183" s="49"/>
    </row>
    <row r="184" spans="1:11">
      <c r="A184" s="10"/>
      <c r="B184" s="10"/>
      <c r="C184" s="10"/>
      <c r="D184" s="10"/>
      <c r="E184" s="10"/>
      <c r="F184" s="10"/>
      <c r="G184" s="10"/>
      <c r="I184" s="12"/>
      <c r="J184" s="12"/>
      <c r="K184" s="49"/>
    </row>
    <row r="185" spans="1:11">
      <c r="A185" s="10"/>
      <c r="B185" s="10"/>
      <c r="C185" s="10"/>
      <c r="D185" s="10"/>
      <c r="E185" s="10"/>
      <c r="F185" s="10"/>
      <c r="G185" s="10"/>
      <c r="I185" s="12"/>
      <c r="J185" s="12"/>
      <c r="K185" s="49"/>
    </row>
    <row r="186" spans="1:11">
      <c r="A186" s="10"/>
      <c r="B186" s="10"/>
      <c r="C186" s="10"/>
      <c r="D186" s="10"/>
      <c r="E186" s="10"/>
      <c r="F186" s="10"/>
      <c r="G186" s="10"/>
      <c r="I186" s="12"/>
      <c r="J186" s="12"/>
      <c r="K186" s="49"/>
    </row>
    <row r="187" spans="1:11">
      <c r="A187" s="51" t="s">
        <v>41</v>
      </c>
      <c r="B187" s="51"/>
      <c r="C187" s="52"/>
      <c r="D187" s="52"/>
      <c r="E187" s="52"/>
      <c r="F187" s="52"/>
      <c r="G187" s="10" t="s">
        <v>35</v>
      </c>
      <c r="I187" s="51"/>
      <c r="J187" s="51" t="s">
        <v>36</v>
      </c>
      <c r="K187" s="49"/>
    </row>
  </sheetData>
  <mergeCells count="40">
    <mergeCell ref="C163:E163"/>
    <mergeCell ref="C165:E165"/>
    <mergeCell ref="A172:C172"/>
    <mergeCell ref="A177:C177"/>
    <mergeCell ref="A149:K149"/>
    <mergeCell ref="A150:K150"/>
    <mergeCell ref="A151:K151"/>
    <mergeCell ref="A152:K152"/>
    <mergeCell ref="A153:K153"/>
    <mergeCell ref="A162:K162"/>
    <mergeCell ref="A106:K106"/>
    <mergeCell ref="A115:K115"/>
    <mergeCell ref="C116:E116"/>
    <mergeCell ref="C118:E118"/>
    <mergeCell ref="A125:C125"/>
    <mergeCell ref="A130:C130"/>
    <mergeCell ref="A78:C78"/>
    <mergeCell ref="A83:C83"/>
    <mergeCell ref="A102:K102"/>
    <mergeCell ref="A103:K103"/>
    <mergeCell ref="A104:K104"/>
    <mergeCell ref="A105:K105"/>
    <mergeCell ref="A57:K57"/>
    <mergeCell ref="A58:K58"/>
    <mergeCell ref="A59:K59"/>
    <mergeCell ref="A68:K68"/>
    <mergeCell ref="C69:E69"/>
    <mergeCell ref="C71:E71"/>
    <mergeCell ref="C22:E22"/>
    <mergeCell ref="C24:E24"/>
    <mergeCell ref="A31:C31"/>
    <mergeCell ref="A36:C36"/>
    <mergeCell ref="A55:K55"/>
    <mergeCell ref="A56:K56"/>
    <mergeCell ref="A8:K8"/>
    <mergeCell ref="A9:K9"/>
    <mergeCell ref="A10:K10"/>
    <mergeCell ref="A11:K11"/>
    <mergeCell ref="A12:K12"/>
    <mergeCell ref="A21:K21"/>
  </mergeCells>
  <pageMargins left="0.23622047244094491" right="0.23622047244094491" top="0.15748031496062992" bottom="0.74803149606299213" header="0.31496062992125984" footer="0.31496062992125984"/>
  <pageSetup paperSize="9" scale="84" orientation="portrait" horizontalDpi="4294967293" r:id="rId1"/>
  <rowBreaks count="3" manualBreakCount="3">
    <brk id="47" max="10" man="1"/>
    <brk id="94" max="10" man="1"/>
    <brk id="141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JANUARI</vt:lpstr>
      <vt:lpstr>FEBRUARI</vt:lpstr>
      <vt:lpstr>MARET</vt:lpstr>
      <vt:lpstr>FEBRUARI!Print_Area</vt:lpstr>
      <vt:lpstr>JANUARI!Print_Area</vt:lpstr>
      <vt:lpstr>MARET!Print_Area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HYPE FLEX</cp:lastModifiedBy>
  <cp:lastPrinted>2026-03-16T05:56:01Z</cp:lastPrinted>
  <dcterms:created xsi:type="dcterms:W3CDTF">2017-02-01T01:06:00Z</dcterms:created>
  <dcterms:modified xsi:type="dcterms:W3CDTF">2026-03-16T06:24:25Z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DE23324BCA84430FAFA59EF0E6CBE3D1_12</vt:lpwstr>
  </property>
  <property fmtid="{D5CDD505-2E9C-101B-9397-08002B2CF9AE}" pid="3" name="KSOProductBuildVer">
    <vt:lpwstr>1033-12.2.0.22549</vt:lpwstr>
  </property>
</Properties>
</file>