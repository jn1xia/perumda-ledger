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15ABB2CF-9B29-479C-8287-5F4C65FD7F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FEBRUARI!$A$1:$K$335</definedName>
    <definedName name="_xlnm.Print_Area" localSheetId="0">JANUARI!$A$1:$K$437</definedName>
    <definedName name="_xlnm.Print_Area" localSheetId="2">MARET!$A$1:$K$437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0" i="17" l="1"/>
  <c r="E344" i="17"/>
  <c r="J339" i="17"/>
  <c r="G339" i="17"/>
  <c r="H338" i="17"/>
  <c r="K338" i="17" s="1"/>
  <c r="H337" i="17"/>
  <c r="K337" i="17" s="1"/>
  <c r="H336" i="17"/>
  <c r="K336" i="17" s="1"/>
  <c r="H335" i="17"/>
  <c r="K335" i="17" s="1"/>
  <c r="H334" i="17"/>
  <c r="K334" i="17" s="1"/>
  <c r="H333" i="17"/>
  <c r="K333" i="17" s="1"/>
  <c r="H332" i="17"/>
  <c r="K332" i="17" s="1"/>
  <c r="H331" i="17"/>
  <c r="K331" i="17" s="1"/>
  <c r="H279" i="17"/>
  <c r="H228" i="17"/>
  <c r="H177" i="17"/>
  <c r="H126" i="17"/>
  <c r="H79" i="17"/>
  <c r="H75" i="17"/>
  <c r="H25" i="17"/>
  <c r="H26" i="17"/>
  <c r="H27" i="17"/>
  <c r="H28" i="17"/>
  <c r="H29" i="17"/>
  <c r="H30" i="17"/>
  <c r="H31" i="17"/>
  <c r="H32" i="17"/>
  <c r="E293" i="17"/>
  <c r="J288" i="17"/>
  <c r="G288" i="17"/>
  <c r="E242" i="17"/>
  <c r="J237" i="17"/>
  <c r="G237" i="17"/>
  <c r="E191" i="17"/>
  <c r="J186" i="17"/>
  <c r="G186" i="17"/>
  <c r="E140" i="17"/>
  <c r="J135" i="17"/>
  <c r="G135" i="17"/>
  <c r="E89" i="17"/>
  <c r="J84" i="17"/>
  <c r="G84" i="17"/>
  <c r="E38" i="17"/>
  <c r="J33" i="17"/>
  <c r="E35" i="17" s="1"/>
  <c r="E40" i="17" s="1"/>
  <c r="E41" i="17" s="1"/>
  <c r="G33" i="17"/>
  <c r="E17" i="17"/>
  <c r="E18" i="17" s="1"/>
  <c r="H25" i="16"/>
  <c r="K25" i="16" s="1"/>
  <c r="H26" i="16"/>
  <c r="H27" i="16"/>
  <c r="H28" i="16"/>
  <c r="H29" i="16"/>
  <c r="H30" i="16"/>
  <c r="H31" i="16"/>
  <c r="H32" i="16"/>
  <c r="H24" i="16"/>
  <c r="H75" i="16" s="1"/>
  <c r="H126" i="16" s="1"/>
  <c r="E395" i="15"/>
  <c r="J390" i="15"/>
  <c r="E392" i="15" s="1"/>
  <c r="E397" i="15" s="1"/>
  <c r="E398" i="15" s="1"/>
  <c r="G390" i="15"/>
  <c r="H389" i="15"/>
  <c r="K389" i="15" s="1"/>
  <c r="H388" i="15"/>
  <c r="K388" i="15" s="1"/>
  <c r="H387" i="15"/>
  <c r="K387" i="15" s="1"/>
  <c r="H386" i="15"/>
  <c r="K386" i="15" s="1"/>
  <c r="H385" i="15"/>
  <c r="K384" i="15"/>
  <c r="H384" i="15"/>
  <c r="H383" i="15"/>
  <c r="K383" i="15" s="1"/>
  <c r="H382" i="15"/>
  <c r="K382" i="15" s="1"/>
  <c r="H381" i="15"/>
  <c r="K381" i="15" s="1"/>
  <c r="E374" i="15"/>
  <c r="E375" i="15" s="1"/>
  <c r="H333" i="15"/>
  <c r="E344" i="15"/>
  <c r="J339" i="15"/>
  <c r="G339" i="15"/>
  <c r="H338" i="15"/>
  <c r="K338" i="15" s="1"/>
  <c r="H337" i="15"/>
  <c r="K337" i="15" s="1"/>
  <c r="H336" i="15"/>
  <c r="K336" i="15" s="1"/>
  <c r="H335" i="15"/>
  <c r="K335" i="15" s="1"/>
  <c r="H334" i="15"/>
  <c r="K334" i="15" s="1"/>
  <c r="K333" i="15"/>
  <c r="H332" i="15"/>
  <c r="K332" i="15" s="1"/>
  <c r="H331" i="15"/>
  <c r="K331" i="15" s="1"/>
  <c r="H330" i="15"/>
  <c r="E191" i="16"/>
  <c r="J186" i="16"/>
  <c r="G186" i="16"/>
  <c r="E140" i="16"/>
  <c r="J135" i="16"/>
  <c r="E137" i="16" s="1"/>
  <c r="E142" i="16" s="1"/>
  <c r="E143" i="16" s="1"/>
  <c r="G135" i="16"/>
  <c r="E89" i="16"/>
  <c r="J84" i="16"/>
  <c r="G84" i="16"/>
  <c r="E38" i="16"/>
  <c r="J33" i="16"/>
  <c r="E17" i="16" s="1"/>
  <c r="E18" i="16" s="1"/>
  <c r="G33" i="16"/>
  <c r="K24" i="16"/>
  <c r="E293" i="15"/>
  <c r="J288" i="15"/>
  <c r="E290" i="15" s="1"/>
  <c r="E295" i="15" s="1"/>
  <c r="E296" i="15" s="1"/>
  <c r="G288" i="15"/>
  <c r="H287" i="15"/>
  <c r="K287" i="15" s="1"/>
  <c r="H286" i="15"/>
  <c r="K286" i="15" s="1"/>
  <c r="H285" i="15"/>
  <c r="K285" i="15" s="1"/>
  <c r="H284" i="15"/>
  <c r="K284" i="15" s="1"/>
  <c r="H283" i="15"/>
  <c r="K283" i="15" s="1"/>
  <c r="H282" i="15"/>
  <c r="K282" i="15" s="1"/>
  <c r="H281" i="15"/>
  <c r="K281" i="15" s="1"/>
  <c r="H280" i="15"/>
  <c r="H288" i="15" s="1"/>
  <c r="H279" i="15"/>
  <c r="K279" i="15" s="1"/>
  <c r="H231" i="15"/>
  <c r="E242" i="15"/>
  <c r="J237" i="15"/>
  <c r="E239" i="15" s="1"/>
  <c r="E244" i="15" s="1"/>
  <c r="E245" i="15" s="1"/>
  <c r="G237" i="15"/>
  <c r="H236" i="15"/>
  <c r="K236" i="15" s="1"/>
  <c r="H235" i="15"/>
  <c r="K235" i="15" s="1"/>
  <c r="K234" i="15"/>
  <c r="H234" i="15"/>
  <c r="H233" i="15"/>
  <c r="K233" i="15" s="1"/>
  <c r="H232" i="15"/>
  <c r="K232" i="15" s="1"/>
  <c r="K231" i="15"/>
  <c r="H230" i="15"/>
  <c r="K230" i="15" s="1"/>
  <c r="H229" i="15"/>
  <c r="H237" i="15" s="1"/>
  <c r="K228" i="15"/>
  <c r="H228" i="15"/>
  <c r="E341" i="17" l="1"/>
  <c r="E346" i="17" s="1"/>
  <c r="E347" i="17" s="1"/>
  <c r="E323" i="17"/>
  <c r="E324" i="17" s="1"/>
  <c r="H339" i="17"/>
  <c r="K330" i="17"/>
  <c r="K339" i="17" s="1"/>
  <c r="E290" i="17"/>
  <c r="E295" i="17" s="1"/>
  <c r="E296" i="17" s="1"/>
  <c r="E272" i="17"/>
  <c r="E273" i="17" s="1"/>
  <c r="E239" i="17"/>
  <c r="E244" i="17" s="1"/>
  <c r="E245" i="17" s="1"/>
  <c r="E221" i="17"/>
  <c r="E222" i="17" s="1"/>
  <c r="E188" i="17"/>
  <c r="E193" i="17" s="1"/>
  <c r="E194" i="17" s="1"/>
  <c r="E170" i="17"/>
  <c r="E171" i="17" s="1"/>
  <c r="E137" i="17"/>
  <c r="E142" i="17" s="1"/>
  <c r="E143" i="17" s="1"/>
  <c r="E119" i="17"/>
  <c r="E120" i="17" s="1"/>
  <c r="E86" i="17"/>
  <c r="E91" i="17" s="1"/>
  <c r="E92" i="17" s="1"/>
  <c r="E68" i="17"/>
  <c r="E69" i="17" s="1"/>
  <c r="H83" i="17"/>
  <c r="K32" i="17"/>
  <c r="H82" i="17"/>
  <c r="K31" i="17"/>
  <c r="H81" i="17"/>
  <c r="K30" i="17"/>
  <c r="H80" i="17"/>
  <c r="K29" i="17"/>
  <c r="K28" i="17"/>
  <c r="K27" i="17"/>
  <c r="H78" i="17"/>
  <c r="K26" i="17"/>
  <c r="H77" i="17"/>
  <c r="K25" i="17"/>
  <c r="H76" i="17"/>
  <c r="E188" i="16"/>
  <c r="E193" i="16" s="1"/>
  <c r="E194" i="16" s="1"/>
  <c r="E170" i="16"/>
  <c r="E171" i="16" s="1"/>
  <c r="H77" i="16"/>
  <c r="K26" i="16"/>
  <c r="K27" i="16"/>
  <c r="H78" i="16"/>
  <c r="H129" i="16" s="1"/>
  <c r="H79" i="16"/>
  <c r="K28" i="16"/>
  <c r="H80" i="16"/>
  <c r="K29" i="16"/>
  <c r="H81" i="16"/>
  <c r="K30" i="16"/>
  <c r="H82" i="16"/>
  <c r="K82" i="16" s="1"/>
  <c r="K31" i="16"/>
  <c r="H83" i="16"/>
  <c r="H134" i="16" s="1"/>
  <c r="K32" i="16"/>
  <c r="H390" i="15"/>
  <c r="K385" i="15"/>
  <c r="K390" i="15" s="1"/>
  <c r="E341" i="15"/>
  <c r="E346" i="15" s="1"/>
  <c r="E347" i="15" s="1"/>
  <c r="E323" i="15"/>
  <c r="E324" i="15" s="1"/>
  <c r="H339" i="15"/>
  <c r="K330" i="15"/>
  <c r="K339" i="15" s="1"/>
  <c r="E35" i="16"/>
  <c r="E40" i="16" s="1"/>
  <c r="E41" i="16" s="1"/>
  <c r="H128" i="16"/>
  <c r="K128" i="16" s="1"/>
  <c r="K77" i="16"/>
  <c r="H76" i="16"/>
  <c r="H33" i="16"/>
  <c r="K83" i="16"/>
  <c r="K33" i="16"/>
  <c r="H133" i="16"/>
  <c r="H184" i="16" s="1"/>
  <c r="H84" i="16"/>
  <c r="K133" i="16"/>
  <c r="H185" i="16"/>
  <c r="K134" i="16"/>
  <c r="H179" i="16"/>
  <c r="E86" i="16"/>
  <c r="E91" i="16" s="1"/>
  <c r="E92" i="16" s="1"/>
  <c r="E68" i="16"/>
  <c r="E69" i="16" s="1"/>
  <c r="H180" i="16"/>
  <c r="K129" i="16"/>
  <c r="K126" i="16"/>
  <c r="K78" i="16"/>
  <c r="H130" i="16"/>
  <c r="K79" i="16"/>
  <c r="H177" i="16"/>
  <c r="H24" i="17" s="1"/>
  <c r="K75" i="16"/>
  <c r="E119" i="16"/>
  <c r="E120" i="16" s="1"/>
  <c r="K280" i="15"/>
  <c r="K288" i="15" s="1"/>
  <c r="E272" i="15"/>
  <c r="E273" i="15" s="1"/>
  <c r="K229" i="15"/>
  <c r="K237" i="15" s="1"/>
  <c r="E221" i="15"/>
  <c r="E222" i="15" s="1"/>
  <c r="H182" i="15"/>
  <c r="E191" i="15"/>
  <c r="J186" i="15"/>
  <c r="E188" i="15" s="1"/>
  <c r="E193" i="15" s="1"/>
  <c r="E194" i="15" s="1"/>
  <c r="G186" i="15"/>
  <c r="H185" i="15"/>
  <c r="K185" i="15" s="1"/>
  <c r="H184" i="15"/>
  <c r="K184" i="15" s="1"/>
  <c r="K183" i="15"/>
  <c r="H183" i="15"/>
  <c r="K182" i="15"/>
  <c r="H181" i="15"/>
  <c r="K181" i="15" s="1"/>
  <c r="H180" i="15"/>
  <c r="K180" i="15" s="1"/>
  <c r="H179" i="15"/>
  <c r="K179" i="15" s="1"/>
  <c r="H178" i="15"/>
  <c r="H186" i="15" s="1"/>
  <c r="K177" i="15"/>
  <c r="H177" i="15"/>
  <c r="E140" i="15"/>
  <c r="J135" i="15"/>
  <c r="E137" i="15" s="1"/>
  <c r="E142" i="15" s="1"/>
  <c r="E143" i="15" s="1"/>
  <c r="G135" i="15"/>
  <c r="H134" i="15"/>
  <c r="K134" i="15" s="1"/>
  <c r="H133" i="15"/>
  <c r="K133" i="15" s="1"/>
  <c r="K132" i="15"/>
  <c r="H132" i="15"/>
  <c r="H131" i="15"/>
  <c r="K131" i="15" s="1"/>
  <c r="H130" i="15"/>
  <c r="K130" i="15" s="1"/>
  <c r="H129" i="15"/>
  <c r="K129" i="15" s="1"/>
  <c r="H128" i="15"/>
  <c r="K128" i="15" s="1"/>
  <c r="H127" i="15"/>
  <c r="H135" i="15" s="1"/>
  <c r="K126" i="15"/>
  <c r="H126" i="15"/>
  <c r="H76" i="15"/>
  <c r="K76" i="15" s="1"/>
  <c r="H77" i="15"/>
  <c r="K77" i="15" s="1"/>
  <c r="H78" i="15"/>
  <c r="K78" i="15" s="1"/>
  <c r="H79" i="15"/>
  <c r="K79" i="15" s="1"/>
  <c r="H80" i="15"/>
  <c r="H81" i="15"/>
  <c r="H82" i="15"/>
  <c r="H83" i="15"/>
  <c r="H75" i="15"/>
  <c r="E89" i="15"/>
  <c r="J84" i="15"/>
  <c r="E86" i="15" s="1"/>
  <c r="E91" i="15" s="1"/>
  <c r="E92" i="15" s="1"/>
  <c r="G84" i="15"/>
  <c r="K83" i="15"/>
  <c r="K82" i="15"/>
  <c r="K81" i="15"/>
  <c r="K80" i="15"/>
  <c r="K75" i="15"/>
  <c r="K25" i="15"/>
  <c r="E38" i="15"/>
  <c r="J33" i="15"/>
  <c r="E35" i="15" s="1"/>
  <c r="E40" i="15" s="1"/>
  <c r="E41" i="15" s="1"/>
  <c r="G33" i="15"/>
  <c r="K32" i="15"/>
  <c r="H33" i="17" l="1"/>
  <c r="K24" i="17"/>
  <c r="K33" i="17" s="1"/>
  <c r="K83" i="17"/>
  <c r="H134" i="17"/>
  <c r="K82" i="17"/>
  <c r="H133" i="17"/>
  <c r="K81" i="17"/>
  <c r="H132" i="17"/>
  <c r="K80" i="17"/>
  <c r="H131" i="17"/>
  <c r="K79" i="17"/>
  <c r="H130" i="17"/>
  <c r="K78" i="17"/>
  <c r="H129" i="17"/>
  <c r="K77" i="17"/>
  <c r="H128" i="17"/>
  <c r="K76" i="17"/>
  <c r="H127" i="17"/>
  <c r="K75" i="17"/>
  <c r="K84" i="17" s="1"/>
  <c r="H84" i="17"/>
  <c r="H131" i="16"/>
  <c r="K80" i="16"/>
  <c r="H132" i="16"/>
  <c r="K81" i="16"/>
  <c r="K184" i="16"/>
  <c r="K76" i="16"/>
  <c r="H127" i="16"/>
  <c r="H181" i="16"/>
  <c r="K130" i="16"/>
  <c r="K179" i="16"/>
  <c r="K84" i="16"/>
  <c r="H135" i="16"/>
  <c r="K180" i="16"/>
  <c r="K177" i="16"/>
  <c r="K185" i="16"/>
  <c r="K186" i="15"/>
  <c r="K178" i="15"/>
  <c r="E170" i="15"/>
  <c r="E171" i="15" s="1"/>
  <c r="K127" i="15"/>
  <c r="K135" i="15" s="1"/>
  <c r="E119" i="15"/>
  <c r="E120" i="15" s="1"/>
  <c r="E68" i="15"/>
  <c r="E69" i="15" s="1"/>
  <c r="H84" i="15"/>
  <c r="K84" i="15"/>
  <c r="K27" i="15"/>
  <c r="K26" i="15"/>
  <c r="K31" i="15"/>
  <c r="K24" i="15"/>
  <c r="K29" i="15"/>
  <c r="H33" i="15"/>
  <c r="E17" i="15"/>
  <c r="E18" i="15" s="1"/>
  <c r="K28" i="15"/>
  <c r="K131" i="16" l="1"/>
  <c r="H182" i="16"/>
  <c r="K134" i="17"/>
  <c r="H185" i="17"/>
  <c r="K133" i="17"/>
  <c r="H184" i="17"/>
  <c r="K132" i="17"/>
  <c r="H183" i="17"/>
  <c r="K131" i="17"/>
  <c r="H182" i="17"/>
  <c r="K130" i="17"/>
  <c r="H181" i="17"/>
  <c r="K129" i="17"/>
  <c r="H180" i="17"/>
  <c r="K128" i="17"/>
  <c r="H179" i="17"/>
  <c r="K127" i="17"/>
  <c r="H178" i="17"/>
  <c r="K126" i="17"/>
  <c r="H135" i="17"/>
  <c r="K132" i="16"/>
  <c r="H183" i="16"/>
  <c r="H178" i="16"/>
  <c r="K127" i="16"/>
  <c r="K181" i="16"/>
  <c r="K30" i="15"/>
  <c r="K33" i="15"/>
  <c r="K135" i="17" l="1"/>
  <c r="K135" i="16"/>
  <c r="K182" i="16"/>
  <c r="H186" i="16"/>
  <c r="K185" i="17"/>
  <c r="H236" i="17"/>
  <c r="K184" i="17"/>
  <c r="H235" i="17"/>
  <c r="K183" i="17"/>
  <c r="H234" i="17"/>
  <c r="K182" i="17"/>
  <c r="H233" i="17"/>
  <c r="H232" i="17"/>
  <c r="K181" i="17"/>
  <c r="K180" i="17"/>
  <c r="H231" i="17"/>
  <c r="K179" i="17"/>
  <c r="H230" i="17"/>
  <c r="H229" i="17"/>
  <c r="K178" i="17"/>
  <c r="K177" i="17"/>
  <c r="H186" i="17"/>
  <c r="K183" i="16"/>
  <c r="K178" i="16"/>
  <c r="K186" i="16" s="1"/>
  <c r="K186" i="17" l="1"/>
  <c r="H287" i="17"/>
  <c r="K287" i="17" s="1"/>
  <c r="K236" i="17"/>
  <c r="K235" i="17"/>
  <c r="H286" i="17"/>
  <c r="K286" i="17" s="1"/>
  <c r="K234" i="17"/>
  <c r="H285" i="17"/>
  <c r="K285" i="17" s="1"/>
  <c r="H284" i="17"/>
  <c r="K284" i="17" s="1"/>
  <c r="K233" i="17"/>
  <c r="H283" i="17"/>
  <c r="K283" i="17" s="1"/>
  <c r="K232" i="17"/>
  <c r="H282" i="17"/>
  <c r="K282" i="17" s="1"/>
  <c r="K231" i="17"/>
  <c r="H281" i="17"/>
  <c r="K281" i="17" s="1"/>
  <c r="K230" i="17"/>
  <c r="K229" i="17"/>
  <c r="H280" i="17"/>
  <c r="K280" i="17" s="1"/>
  <c r="H237" i="17"/>
  <c r="K228" i="17"/>
  <c r="K279" i="17" l="1"/>
  <c r="K288" i="17" s="1"/>
  <c r="H288" i="17"/>
  <c r="K237" i="17"/>
</calcChain>
</file>

<file path=xl/sharedStrings.xml><?xml version="1.0" encoding="utf-8"?>
<sst xmlns="http://schemas.openxmlformats.org/spreadsheetml/2006/main" count="1254" uniqueCount="84">
  <si>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</si>
  <si>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</si>
  <si>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</si>
  <si>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</si>
  <si>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</si>
  <si>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</si>
  <si>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</si>
  <si>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</si>
  <si>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</si>
  <si>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</si>
  <si>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</si>
  <si>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</si>
  <si>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</si>
  <si>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</si>
  <si>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</si>
  <si>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</si>
  <si>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</si>
  <si>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</si>
  <si>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</si>
  <si>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</si>
  <si>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</si>
  <si>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</si>
  <si>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</si>
  <si>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Tunjangan Pegawai Umum</t>
  </si>
  <si>
    <t>Tunjangan Jabatan</t>
  </si>
  <si>
    <t>Tunjangan Fungsional (Kordinator)</t>
  </si>
  <si>
    <t>Tunjangan Transportasi</t>
  </si>
  <si>
    <t>Tunjangan Makan</t>
  </si>
  <si>
    <t>Tunjangan Kesehatan (JKN)</t>
  </si>
  <si>
    <t>Tunjangan Hari Raya Keagamaan (THR)</t>
  </si>
  <si>
    <t>Tunjangan Representatif Direktur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</si>
  <si>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</si>
  <si>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</si>
  <si>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</si>
  <si>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</si>
  <si>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</si>
  <si>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</si>
  <si>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</si>
  <si>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</si>
  <si>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</si>
  <si>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</si>
  <si>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</si>
  <si>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Tunjangan Ketenagakerjaan (JKK, JKM &amp; JHT)</t>
  </si>
  <si>
    <t>1.4</t>
  </si>
  <si>
    <t>1.5</t>
  </si>
  <si>
    <t>1.6</t>
  </si>
  <si>
    <t>1.7</t>
  </si>
  <si>
    <t>1.8</t>
  </si>
  <si>
    <t>1.9</t>
  </si>
  <si>
    <t>Tunjangan Pajak Penghasilan</t>
  </si>
  <si>
    <t>IRNA WAHYUNI N.</t>
  </si>
  <si>
    <t>PERUMDA PASAR BANJARMASIN</t>
  </si>
  <si>
    <r>
      <t>Nomor : 04/DIV-KEU/PPB/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</si>
  <si>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05 Januari 2026</t>
  </si>
  <si>
    <r>
      <t>Nomor : 22/DIV-KEU/PPB/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</si>
  <si>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</si>
  <si>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24/DIV-KEU/PPB/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</si>
  <si>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</si>
  <si>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87/DIV-KEU/PPB/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</si>
  <si>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73A/DIV-KEU/PPB/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</si>
  <si>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Januari 2026</t>
  </si>
  <si>
    <r>
      <t>Nomor : 73B/DIV-KEU/PPB/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</si>
  <si>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Januari 2026</t>
  </si>
  <si>
    <r>
      <t>Nomor : 107/DIV-KEU/PPB/I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</si>
  <si>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Februari 2026</t>
  </si>
  <si>
    <r>
      <t>Nomor : 054/DIV-KEU/PPB/I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</si>
  <si>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11 Februari 2026</t>
  </si>
  <si>
    <r>
      <t>Nomor : 73C/DIV-KEU/PPB/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</si>
  <si>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73D/DIV-KEU/PPB/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</si>
  <si>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094C/DIV-KEU/PPB/I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</si>
  <si>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24 Februari 2026</t>
  </si>
  <si>
    <r>
      <t>Nomor : 094F/DIV-KEU/PPB/I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</si>
  <si>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001/DIV-KEU/PPB/II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</si>
  <si>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Maret 2026</t>
  </si>
  <si>
    <r>
      <t>Nomor : 003A/DIV-KEU/PPB/II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</si>
  <si>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03 Maret 2026</t>
  </si>
  <si>
    <r>
      <t>Nomor : 004/DIV-KEU/PPB/II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</si>
  <si>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006A/DIV-KEU/PPB/II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</si>
  <si>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025/DIV-KEU/PPB/II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</si>
  <si>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Maret 2026</t>
  </si>
  <si>
    <t>Banjarmasin, 25 Maret 2026</t>
  </si>
  <si>
    <r>
      <t>Nomor : 050A/DIV-KEU/PPB/II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</si>
  <si>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Maret 2026</t>
  </si>
  <si>
    <r>
      <t>Nomor : 056/DIV-KEU/PPB/II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</si>
</sst>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86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0" fontId="7" fillId="0" borderId="2" xfId="4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0" fontId="3" fillId="0" borderId="2" xfId="4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67" fontId="3" fillId="0" borderId="8" xfId="1" applyNumberFormat="1" applyFont="1" applyBorder="1" applyAlignment="1">
      <alignment horizontal="right" vertical="center"/>
    </xf>
    <xf numFmtId="165" fontId="8" fillId="0" borderId="7" xfId="3" applyFont="1" applyBorder="1" applyAlignment="1" applyProtection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4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16" fillId="0" borderId="6" xfId="0" applyFont="1" applyBorder="1"/>
    <xf numFmtId="164" fontId="17" fillId="0" borderId="0" xfId="1" applyFont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horizontal="left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357</xdr:row>
      <xdr:rowOff>9525</xdr:rowOff>
    </xdr:from>
    <xdr:to>
      <xdr:col>10</xdr:col>
      <xdr:colOff>1162050</xdr:colOff>
      <xdr:row>366</xdr:row>
      <xdr:rowOff>95859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3A248CB-D5E8-43CE-90CE-39EE34A4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239000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306</xdr:row>
      <xdr:rowOff>9525</xdr:rowOff>
    </xdr:from>
    <xdr:to>
      <xdr:col>10</xdr:col>
      <xdr:colOff>1162050</xdr:colOff>
      <xdr:row>315</xdr:row>
      <xdr:rowOff>95859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7EDF79-5C4E-45AC-BA3F-361494DCF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205537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255</xdr:row>
      <xdr:rowOff>9525</xdr:rowOff>
    </xdr:from>
    <xdr:to>
      <xdr:col>10</xdr:col>
      <xdr:colOff>1162050</xdr:colOff>
      <xdr:row>264</xdr:row>
      <xdr:rowOff>95859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CCB76F-CFBF-4329-A921-65CB478DE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172075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204</xdr:row>
      <xdr:rowOff>9525</xdr:rowOff>
    </xdr:from>
    <xdr:to>
      <xdr:col>10</xdr:col>
      <xdr:colOff>1162050</xdr:colOff>
      <xdr:row>213</xdr:row>
      <xdr:rowOff>95859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F9F51F5-4D80-43BD-8350-EEBD4AE0D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138612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153</xdr:row>
      <xdr:rowOff>9525</xdr:rowOff>
    </xdr:from>
    <xdr:to>
      <xdr:col>10</xdr:col>
      <xdr:colOff>1162050</xdr:colOff>
      <xdr:row>162</xdr:row>
      <xdr:rowOff>95859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4784AD-E08B-46F0-95AE-A662849C5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105150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102</xdr:row>
      <xdr:rowOff>9525</xdr:rowOff>
    </xdr:from>
    <xdr:to>
      <xdr:col>10</xdr:col>
      <xdr:colOff>1162050</xdr:colOff>
      <xdr:row>111</xdr:row>
      <xdr:rowOff>95859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1FD3C4-A4CB-4438-94BC-3901058E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071687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51</xdr:row>
      <xdr:rowOff>9525</xdr:rowOff>
    </xdr:from>
    <xdr:to>
      <xdr:col>10</xdr:col>
      <xdr:colOff>1162050</xdr:colOff>
      <xdr:row>60</xdr:row>
      <xdr:rowOff>95859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F2240E-66BB-4E23-9434-925460B97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38225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1162049</xdr:colOff>
      <xdr:row>9</xdr:row>
      <xdr:rowOff>95860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8D89FF-2B3C-4634-8D0E-0959649D3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0C66070-29D0-4F92-8A48-A67C67166841}"/>
            </a:ext>
          </a:extLst>
        </xdr:cNvPr>
        <xdr:cNvCxnSpPr/>
      </xdr:nvCxnSpPr>
      <xdr:spPr>
        <a:xfrm>
          <a:off x="19050" y="12096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57</xdr:row>
      <xdr:rowOff>47625</xdr:rowOff>
    </xdr:from>
    <xdr:to>
      <xdr:col>10</xdr:col>
      <xdr:colOff>1162050</xdr:colOff>
      <xdr:row>57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2CC18-200B-4B99-9792-B6649E9C5228}"/>
            </a:ext>
          </a:extLst>
        </xdr:cNvPr>
        <xdr:cNvCxnSpPr/>
      </xdr:nvCxnSpPr>
      <xdr:spPr>
        <a:xfrm>
          <a:off x="19050" y="12096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108</xdr:row>
      <xdr:rowOff>47625</xdr:rowOff>
    </xdr:from>
    <xdr:to>
      <xdr:col>10</xdr:col>
      <xdr:colOff>1162050</xdr:colOff>
      <xdr:row>108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B56C3C1-D194-424E-B71F-16924EE95837}"/>
            </a:ext>
          </a:extLst>
        </xdr:cNvPr>
        <xdr:cNvCxnSpPr/>
      </xdr:nvCxnSpPr>
      <xdr:spPr>
        <a:xfrm>
          <a:off x="19050" y="115824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159</xdr:row>
      <xdr:rowOff>47625</xdr:rowOff>
    </xdr:from>
    <xdr:to>
      <xdr:col>10</xdr:col>
      <xdr:colOff>1162050</xdr:colOff>
      <xdr:row>159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94A5C8-28F4-4A97-B65F-99D50F3A9B92}"/>
            </a:ext>
          </a:extLst>
        </xdr:cNvPr>
        <xdr:cNvCxnSpPr/>
      </xdr:nvCxnSpPr>
      <xdr:spPr>
        <a:xfrm>
          <a:off x="19050" y="2191702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210</xdr:row>
      <xdr:rowOff>47625</xdr:rowOff>
    </xdr:from>
    <xdr:to>
      <xdr:col>10</xdr:col>
      <xdr:colOff>1162050</xdr:colOff>
      <xdr:row>210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D4D7E4B-3798-49AA-B8EC-849AA562FD4E}"/>
            </a:ext>
          </a:extLst>
        </xdr:cNvPr>
        <xdr:cNvCxnSpPr/>
      </xdr:nvCxnSpPr>
      <xdr:spPr>
        <a:xfrm>
          <a:off x="19050" y="3225165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261</xdr:row>
      <xdr:rowOff>47625</xdr:rowOff>
    </xdr:from>
    <xdr:to>
      <xdr:col>10</xdr:col>
      <xdr:colOff>1162050</xdr:colOff>
      <xdr:row>261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EBA94FC-5661-43BD-9DC4-9A22C090841E}"/>
            </a:ext>
          </a:extLst>
        </xdr:cNvPr>
        <xdr:cNvCxnSpPr/>
      </xdr:nvCxnSpPr>
      <xdr:spPr>
        <a:xfrm>
          <a:off x="19050" y="425862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312</xdr:row>
      <xdr:rowOff>47625</xdr:rowOff>
    </xdr:from>
    <xdr:to>
      <xdr:col>10</xdr:col>
      <xdr:colOff>1162050</xdr:colOff>
      <xdr:row>312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FDB31C-47A5-45C4-BE61-FDF9599F02FE}"/>
            </a:ext>
          </a:extLst>
        </xdr:cNvPr>
        <xdr:cNvCxnSpPr/>
      </xdr:nvCxnSpPr>
      <xdr:spPr>
        <a:xfrm>
          <a:off x="19050" y="529209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363</xdr:row>
      <xdr:rowOff>47625</xdr:rowOff>
    </xdr:from>
    <xdr:to>
      <xdr:col>10</xdr:col>
      <xdr:colOff>1162050</xdr:colOff>
      <xdr:row>363</xdr:row>
      <xdr:rowOff>47625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2747C23-B244-43E4-8FDC-11B390D51881}"/>
            </a:ext>
          </a:extLst>
        </xdr:cNvPr>
        <xdr:cNvCxnSpPr/>
      </xdr:nvCxnSpPr>
      <xdr:spPr>
        <a:xfrm>
          <a:off x="19050" y="6325552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153</xdr:row>
      <xdr:rowOff>9525</xdr:rowOff>
    </xdr:from>
    <xdr:to>
      <xdr:col>10</xdr:col>
      <xdr:colOff>1162050</xdr:colOff>
      <xdr:row>162</xdr:row>
      <xdr:rowOff>95859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FD3DD5-0C1A-401C-8186-C283EC6E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105150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102</xdr:row>
      <xdr:rowOff>9525</xdr:rowOff>
    </xdr:from>
    <xdr:to>
      <xdr:col>10</xdr:col>
      <xdr:colOff>1162050</xdr:colOff>
      <xdr:row>111</xdr:row>
      <xdr:rowOff>95859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29FE7D-0278-4F6F-85E3-757763C13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071687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51</xdr:row>
      <xdr:rowOff>9525</xdr:rowOff>
    </xdr:from>
    <xdr:to>
      <xdr:col>10</xdr:col>
      <xdr:colOff>1162050</xdr:colOff>
      <xdr:row>60</xdr:row>
      <xdr:rowOff>95859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7B3ABD-AB0E-4E00-B68A-DB9A454FA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38225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1162049</xdr:colOff>
      <xdr:row>9</xdr:row>
      <xdr:rowOff>95860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AA3994-5445-4135-983D-FFC4ECAB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504376C-8743-4A7E-981B-3E616C898006}"/>
            </a:ext>
          </a:extLst>
        </xdr:cNvPr>
        <xdr:cNvCxnSpPr/>
      </xdr:nvCxnSpPr>
      <xdr:spPr>
        <a:xfrm>
          <a:off x="19050" y="12096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57</xdr:row>
      <xdr:rowOff>47625</xdr:rowOff>
    </xdr:from>
    <xdr:to>
      <xdr:col>10</xdr:col>
      <xdr:colOff>1162050</xdr:colOff>
      <xdr:row>57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FE3B800-314F-4818-8799-B2D25692DE0E}"/>
            </a:ext>
          </a:extLst>
        </xdr:cNvPr>
        <xdr:cNvCxnSpPr/>
      </xdr:nvCxnSpPr>
      <xdr:spPr>
        <a:xfrm>
          <a:off x="19050" y="115824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108</xdr:row>
      <xdr:rowOff>47625</xdr:rowOff>
    </xdr:from>
    <xdr:to>
      <xdr:col>10</xdr:col>
      <xdr:colOff>1162050</xdr:colOff>
      <xdr:row>108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083B3D6-B085-49E7-8FBB-312CE4CCADC8}"/>
            </a:ext>
          </a:extLst>
        </xdr:cNvPr>
        <xdr:cNvCxnSpPr/>
      </xdr:nvCxnSpPr>
      <xdr:spPr>
        <a:xfrm>
          <a:off x="19050" y="2191702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159</xdr:row>
      <xdr:rowOff>47625</xdr:rowOff>
    </xdr:from>
    <xdr:to>
      <xdr:col>10</xdr:col>
      <xdr:colOff>1162050</xdr:colOff>
      <xdr:row>159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8D826AE-A401-4BF3-AB31-1A9D06539D7E}"/>
            </a:ext>
          </a:extLst>
        </xdr:cNvPr>
        <xdr:cNvCxnSpPr/>
      </xdr:nvCxnSpPr>
      <xdr:spPr>
        <a:xfrm>
          <a:off x="19050" y="3225165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306</xdr:row>
      <xdr:rowOff>9525</xdr:rowOff>
    </xdr:from>
    <xdr:to>
      <xdr:col>10</xdr:col>
      <xdr:colOff>1162050</xdr:colOff>
      <xdr:row>315</xdr:row>
      <xdr:rowOff>95859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1679BBA-FA26-4098-98D8-FEFF0E1A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205537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255</xdr:row>
      <xdr:rowOff>9525</xdr:rowOff>
    </xdr:from>
    <xdr:to>
      <xdr:col>10</xdr:col>
      <xdr:colOff>1162050</xdr:colOff>
      <xdr:row>264</xdr:row>
      <xdr:rowOff>95859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F56AE-74F0-4CEF-AFB8-484B7895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172075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204</xdr:row>
      <xdr:rowOff>9525</xdr:rowOff>
    </xdr:from>
    <xdr:to>
      <xdr:col>10</xdr:col>
      <xdr:colOff>1162050</xdr:colOff>
      <xdr:row>213</xdr:row>
      <xdr:rowOff>95859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B55FB4-8DFC-4ADC-BDB2-A3811AF3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138612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153</xdr:row>
      <xdr:rowOff>9525</xdr:rowOff>
    </xdr:from>
    <xdr:to>
      <xdr:col>10</xdr:col>
      <xdr:colOff>1162050</xdr:colOff>
      <xdr:row>162</xdr:row>
      <xdr:rowOff>95859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46E712-1569-46D7-A4C5-B9530B61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105150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102</xdr:row>
      <xdr:rowOff>9525</xdr:rowOff>
    </xdr:from>
    <xdr:to>
      <xdr:col>10</xdr:col>
      <xdr:colOff>1162050</xdr:colOff>
      <xdr:row>111</xdr:row>
      <xdr:rowOff>95859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ED397C-28BE-4327-981B-59F94A4E8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0716875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51</xdr:row>
      <xdr:rowOff>9525</xdr:rowOff>
    </xdr:from>
    <xdr:to>
      <xdr:col>10</xdr:col>
      <xdr:colOff>1162050</xdr:colOff>
      <xdr:row>60</xdr:row>
      <xdr:rowOff>95859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A88A4D-F2EF-4304-BCB2-DA972891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382250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1162049</xdr:colOff>
      <xdr:row>9</xdr:row>
      <xdr:rowOff>95860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F255E7-23AA-4DD5-A141-5DE61CE7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972425" cy="1819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0D35C11-F06A-44DE-8671-D8BBBF7A1297}"/>
            </a:ext>
          </a:extLst>
        </xdr:cNvPr>
        <xdr:cNvCxnSpPr/>
      </xdr:nvCxnSpPr>
      <xdr:spPr>
        <a:xfrm>
          <a:off x="19050" y="12096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57</xdr:row>
      <xdr:rowOff>47625</xdr:rowOff>
    </xdr:from>
    <xdr:to>
      <xdr:col>10</xdr:col>
      <xdr:colOff>1162050</xdr:colOff>
      <xdr:row>57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B7B172D-E357-4D07-A1DA-F2A51F96FB24}"/>
            </a:ext>
          </a:extLst>
        </xdr:cNvPr>
        <xdr:cNvCxnSpPr/>
      </xdr:nvCxnSpPr>
      <xdr:spPr>
        <a:xfrm>
          <a:off x="19050" y="115824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108</xdr:row>
      <xdr:rowOff>47625</xdr:rowOff>
    </xdr:from>
    <xdr:to>
      <xdr:col>10</xdr:col>
      <xdr:colOff>1162050</xdr:colOff>
      <xdr:row>108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8373E09-A785-45C7-9CE9-A508DD52C74B}"/>
            </a:ext>
          </a:extLst>
        </xdr:cNvPr>
        <xdr:cNvCxnSpPr/>
      </xdr:nvCxnSpPr>
      <xdr:spPr>
        <a:xfrm>
          <a:off x="19050" y="2191702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159</xdr:row>
      <xdr:rowOff>47625</xdr:rowOff>
    </xdr:from>
    <xdr:to>
      <xdr:col>10</xdr:col>
      <xdr:colOff>1162050</xdr:colOff>
      <xdr:row>159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AD0478C-5AB8-4DA5-94D8-893A9F52E9A1}"/>
            </a:ext>
          </a:extLst>
        </xdr:cNvPr>
        <xdr:cNvCxnSpPr/>
      </xdr:nvCxnSpPr>
      <xdr:spPr>
        <a:xfrm>
          <a:off x="19050" y="3225165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210</xdr:row>
      <xdr:rowOff>47625</xdr:rowOff>
    </xdr:from>
    <xdr:to>
      <xdr:col>10</xdr:col>
      <xdr:colOff>1162050</xdr:colOff>
      <xdr:row>210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B809294-6299-4431-BF54-8FD770DB8878}"/>
            </a:ext>
          </a:extLst>
        </xdr:cNvPr>
        <xdr:cNvCxnSpPr/>
      </xdr:nvCxnSpPr>
      <xdr:spPr>
        <a:xfrm>
          <a:off x="19050" y="425862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261</xdr:row>
      <xdr:rowOff>47625</xdr:rowOff>
    </xdr:from>
    <xdr:to>
      <xdr:col>10</xdr:col>
      <xdr:colOff>1162050</xdr:colOff>
      <xdr:row>261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48016D8-152A-4099-9BC6-65A0FCB13FC0}"/>
            </a:ext>
          </a:extLst>
        </xdr:cNvPr>
        <xdr:cNvCxnSpPr/>
      </xdr:nvCxnSpPr>
      <xdr:spPr>
        <a:xfrm>
          <a:off x="19050" y="529209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312</xdr:row>
      <xdr:rowOff>47625</xdr:rowOff>
    </xdr:from>
    <xdr:to>
      <xdr:col>10</xdr:col>
      <xdr:colOff>1162050</xdr:colOff>
      <xdr:row>312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BB8E7FE-9A9E-4A35-ADDA-87FD86581002}"/>
            </a:ext>
          </a:extLst>
        </xdr:cNvPr>
        <xdr:cNvCxnSpPr/>
      </xdr:nvCxnSpPr>
      <xdr:spPr>
        <a:xfrm>
          <a:off x="19050" y="529209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B201-A5E6-4B0A-B2B2-D8266F5DD049}">
  <dimension ref="A1:W407"/>
  <sheetViews>
    <sheetView view="pageBreakPreview" topLeftCell="A368" zoomScaleNormal="100" workbookViewId="0">
      <selection activeCell="A368" sqref="A368:K368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7"/>
    </row>
    <row r="2" spans="1:23"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7"/>
    </row>
    <row r="3" spans="1:23">
      <c r="L3" s="37"/>
      <c r="M3" s="38"/>
      <c r="N3" s="38"/>
      <c r="O3" s="38"/>
      <c r="P3" s="38"/>
      <c r="Q3" s="38"/>
      <c r="R3" s="38"/>
      <c r="S3" s="38"/>
      <c r="T3" s="38"/>
      <c r="U3" s="38"/>
      <c r="V3" s="38"/>
      <c r="W3" s="37"/>
    </row>
    <row r="4" spans="1:23" ht="15.75">
      <c r="C4" s="2"/>
      <c r="D4" s="2"/>
      <c r="E4" s="2"/>
      <c r="F4" s="2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7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7"/>
    </row>
    <row r="6" spans="1:23">
      <c r="H6" s="5"/>
      <c r="I6" s="5"/>
      <c r="J6" s="5"/>
      <c r="K6" s="5"/>
      <c r="L6" s="37"/>
      <c r="M6" s="38"/>
      <c r="N6" s="38"/>
      <c r="O6" s="38"/>
      <c r="P6" s="38"/>
      <c r="Q6" s="38"/>
      <c r="R6" s="38"/>
      <c r="S6" s="38"/>
      <c r="T6" s="38"/>
      <c r="U6" s="38"/>
      <c r="V6" s="38"/>
      <c r="W6" s="37"/>
    </row>
    <row r="7" spans="1:23">
      <c r="H7" s="5"/>
      <c r="I7" s="5"/>
      <c r="J7" s="5"/>
      <c r="K7" s="5"/>
      <c r="L7" s="37"/>
      <c r="M7" s="38"/>
      <c r="N7" s="38"/>
      <c r="O7" s="38"/>
      <c r="P7" s="38"/>
      <c r="Q7" s="38"/>
      <c r="R7" s="38"/>
      <c r="S7" s="38"/>
      <c r="T7" s="38"/>
      <c r="U7" s="38"/>
      <c r="V7" s="38"/>
      <c r="W7" s="37"/>
    </row>
    <row r="8" spans="1:23" ht="15" customHeight="1">
      <c r="A8" s="73" t="s">
        <v>0</v>
      </c>
      <c r="B8" s="73"/>
      <c r="C8" s="74"/>
      <c r="D8" s="74"/>
      <c r="E8" s="74"/>
      <c r="F8" s="74"/>
      <c r="G8" s="74"/>
      <c r="H8" s="74"/>
      <c r="I8" s="74"/>
      <c r="J8" s="74"/>
      <c r="K8" s="74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7"/>
    </row>
    <row r="9" spans="1:23" ht="15" customHeight="1">
      <c r="A9" s="74" t="s">
        <v>52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7"/>
    </row>
    <row r="10" spans="1:23" ht="15" customHeight="1">
      <c r="A10" s="74" t="s">
        <v>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7"/>
    </row>
    <row r="11" spans="1:23" ht="15" customHeight="1">
      <c r="A11" s="74" t="s">
        <v>51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7"/>
    </row>
    <row r="12" spans="1:23" ht="15" customHeight="1">
      <c r="A12" s="74" t="s">
        <v>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7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7"/>
    </row>
    <row r="14" spans="1:23">
      <c r="A14" s="62" t="s">
        <v>3</v>
      </c>
      <c r="B14" s="10"/>
      <c r="C14" s="10"/>
      <c r="D14" s="63" t="s">
        <v>4</v>
      </c>
      <c r="E14" s="10" t="s">
        <v>5</v>
      </c>
      <c r="F14" s="11"/>
      <c r="G14" s="10"/>
      <c r="H14" s="12"/>
      <c r="I14" s="12"/>
      <c r="J14" s="12"/>
      <c r="K14" s="9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7"/>
    </row>
    <row r="15" spans="1:23">
      <c r="A15" s="62" t="s">
        <v>6</v>
      </c>
      <c r="B15" s="10"/>
      <c r="C15" s="10"/>
      <c r="D15" s="63" t="s">
        <v>4</v>
      </c>
      <c r="E15" s="10" t="s">
        <v>7</v>
      </c>
      <c r="F15" s="11"/>
      <c r="G15" s="10"/>
      <c r="H15" s="12"/>
      <c r="I15" s="12"/>
      <c r="J15" s="12"/>
      <c r="K15" s="9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7"/>
    </row>
    <row r="16" spans="1:23">
      <c r="A16" s="62" t="s">
        <v>8</v>
      </c>
      <c r="B16" s="10"/>
      <c r="C16" s="10"/>
      <c r="D16" s="63" t="s">
        <v>4</v>
      </c>
      <c r="E16" s="13">
        <v>2026</v>
      </c>
      <c r="F16" s="11"/>
      <c r="G16" s="13"/>
      <c r="H16" s="12"/>
      <c r="I16" s="12"/>
      <c r="J16" s="12"/>
      <c r="K16" s="9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</row>
    <row r="17" spans="1:23">
      <c r="A17" s="62" t="s">
        <v>9</v>
      </c>
      <c r="B17" s="10"/>
      <c r="C17" s="10"/>
      <c r="D17" s="63" t="s">
        <v>4</v>
      </c>
      <c r="E17" s="14">
        <f>J33</f>
        <v>8982640</v>
      </c>
      <c r="F17" s="11"/>
      <c r="G17" s="14"/>
      <c r="H17" s="12"/>
      <c r="I17" s="12"/>
      <c r="J17" s="12"/>
      <c r="K17" s="9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7"/>
    </row>
    <row r="18" spans="1:23" ht="15.75">
      <c r="A18" s="10"/>
      <c r="B18" s="10"/>
      <c r="C18" s="15" t="s">
        <v>10</v>
      </c>
      <c r="D18" s="6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Sembilan Ratus Delapan Puluh Dua Ribu Enam Ratus Empat Puluh Rupiah</v>
      </c>
      <c r="F18" s="11"/>
      <c r="G18" s="16"/>
      <c r="H18" s="12"/>
      <c r="I18" s="12"/>
      <c r="J18" s="12"/>
      <c r="K18" s="9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7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7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7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7"/>
    </row>
    <row r="21" spans="1:23">
      <c r="A21" s="75" t="s">
        <v>12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37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7"/>
    </row>
    <row r="22" spans="1:23" ht="61.5" customHeight="1">
      <c r="A22" s="17" t="s">
        <v>13</v>
      </c>
      <c r="B22" s="18" t="s">
        <v>14</v>
      </c>
      <c r="C22" s="76" t="s">
        <v>15</v>
      </c>
      <c r="D22" s="77"/>
      <c r="E22" s="78"/>
      <c r="F22" s="19"/>
      <c r="G22" s="20" t="s">
        <v>16</v>
      </c>
      <c r="H22" s="21" t="s">
        <v>41</v>
      </c>
      <c r="I22" s="21"/>
      <c r="J22" s="39" t="s">
        <v>17</v>
      </c>
      <c r="K22" s="40" t="s">
        <v>18</v>
      </c>
      <c r="L22" s="37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7"/>
    </row>
    <row r="23" spans="1:23" ht="15.75" customHeight="1">
      <c r="A23" s="22">
        <v>1</v>
      </c>
      <c r="B23" s="25"/>
      <c r="C23" s="29" t="s">
        <v>23</v>
      </c>
      <c r="D23" s="67"/>
      <c r="E23" s="26"/>
      <c r="F23" s="23"/>
      <c r="G23" s="64" t="s">
        <v>19</v>
      </c>
      <c r="H23" s="64" t="s">
        <v>19</v>
      </c>
      <c r="I23" s="64"/>
      <c r="J23" s="64" t="s">
        <v>19</v>
      </c>
      <c r="K23" s="64" t="s">
        <v>19</v>
      </c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7"/>
    </row>
    <row r="24" spans="1:23" ht="15.75" customHeight="1">
      <c r="A24" s="25"/>
      <c r="B24" s="65" t="s">
        <v>20</v>
      </c>
      <c r="C24" s="70" t="s">
        <v>24</v>
      </c>
      <c r="D24" s="71"/>
      <c r="E24" s="72"/>
      <c r="F24" s="23"/>
      <c r="G24" s="24">
        <v>300000000</v>
      </c>
      <c r="H24" s="27">
        <v>0</v>
      </c>
      <c r="I24" s="27"/>
      <c r="J24" s="27">
        <v>0</v>
      </c>
      <c r="K24" s="41">
        <f t="shared" ref="K24:K32" si="0">G24-H24-J24</f>
        <v>300000000</v>
      </c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7"/>
    </row>
    <row r="25" spans="1:23">
      <c r="A25" s="25"/>
      <c r="B25" s="65" t="s">
        <v>21</v>
      </c>
      <c r="C25" s="70" t="s">
        <v>25</v>
      </c>
      <c r="D25" s="71"/>
      <c r="E25" s="72"/>
      <c r="F25" s="23"/>
      <c r="G25" s="28">
        <v>15000000</v>
      </c>
      <c r="H25" s="27">
        <v>0</v>
      </c>
      <c r="I25" s="27"/>
      <c r="J25" s="27">
        <v>0</v>
      </c>
      <c r="K25" s="41">
        <f t="shared" si="0"/>
        <v>15000000</v>
      </c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7"/>
    </row>
    <row r="26" spans="1:23">
      <c r="A26" s="25"/>
      <c r="B26" s="65" t="s">
        <v>22</v>
      </c>
      <c r="C26" s="79" t="s">
        <v>26</v>
      </c>
      <c r="D26" s="80"/>
      <c r="E26" s="81"/>
      <c r="F26" s="23"/>
      <c r="G26" s="24">
        <v>115048000</v>
      </c>
      <c r="H26" s="27">
        <v>0</v>
      </c>
      <c r="I26" s="27"/>
      <c r="J26" s="27">
        <v>0</v>
      </c>
      <c r="K26" s="41">
        <f t="shared" si="0"/>
        <v>115048000</v>
      </c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7"/>
    </row>
    <row r="27" spans="1:23" ht="15" customHeight="1">
      <c r="A27" s="25"/>
      <c r="B27" s="65" t="s">
        <v>43</v>
      </c>
      <c r="C27" s="70" t="s">
        <v>27</v>
      </c>
      <c r="D27" s="71"/>
      <c r="E27" s="72"/>
      <c r="F27" s="23"/>
      <c r="G27" s="24">
        <v>171988668</v>
      </c>
      <c r="H27" s="27">
        <v>0</v>
      </c>
      <c r="I27" s="27"/>
      <c r="J27" s="27">
        <v>0</v>
      </c>
      <c r="K27" s="41">
        <f t="shared" si="0"/>
        <v>171988668</v>
      </c>
      <c r="L27" s="37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7"/>
    </row>
    <row r="28" spans="1:23" ht="15" customHeight="1">
      <c r="A28" s="25"/>
      <c r="B28" s="65" t="s">
        <v>44</v>
      </c>
      <c r="C28" s="70" t="s">
        <v>28</v>
      </c>
      <c r="D28" s="71"/>
      <c r="E28" s="72"/>
      <c r="F28" s="23"/>
      <c r="G28" s="24">
        <v>92440133</v>
      </c>
      <c r="H28" s="27">
        <v>0</v>
      </c>
      <c r="I28" s="27"/>
      <c r="J28" s="27">
        <v>8982640</v>
      </c>
      <c r="K28" s="41">
        <f t="shared" si="0"/>
        <v>83457493</v>
      </c>
      <c r="L28" s="37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7"/>
    </row>
    <row r="29" spans="1:23" ht="15" customHeight="1">
      <c r="A29" s="25"/>
      <c r="B29" s="65" t="s">
        <v>45</v>
      </c>
      <c r="C29" s="70" t="s">
        <v>42</v>
      </c>
      <c r="D29" s="71"/>
      <c r="E29" s="72"/>
      <c r="F29" s="23"/>
      <c r="G29" s="24">
        <v>64388964</v>
      </c>
      <c r="H29" s="27">
        <v>0</v>
      </c>
      <c r="I29" s="27"/>
      <c r="J29" s="27">
        <v>0</v>
      </c>
      <c r="K29" s="41">
        <f t="shared" si="0"/>
        <v>64388964</v>
      </c>
      <c r="L29" s="37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7"/>
    </row>
    <row r="30" spans="1:23">
      <c r="A30" s="30"/>
      <c r="B30" s="66" t="s">
        <v>46</v>
      </c>
      <c r="C30" s="82" t="s">
        <v>29</v>
      </c>
      <c r="D30" s="83"/>
      <c r="E30" s="84"/>
      <c r="F30" s="31"/>
      <c r="G30" s="24">
        <v>214466910</v>
      </c>
      <c r="H30" s="27">
        <v>0</v>
      </c>
      <c r="I30" s="27"/>
      <c r="J30" s="27">
        <v>0</v>
      </c>
      <c r="K30" s="41">
        <f t="shared" si="0"/>
        <v>214466910</v>
      </c>
      <c r="L30" s="37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7"/>
    </row>
    <row r="31" spans="1:23">
      <c r="A31" s="30"/>
      <c r="B31" s="66" t="s">
        <v>47</v>
      </c>
      <c r="C31" s="32" t="s">
        <v>30</v>
      </c>
      <c r="D31" s="33"/>
      <c r="E31" s="34"/>
      <c r="F31" s="31"/>
      <c r="G31" s="24">
        <v>25000000</v>
      </c>
      <c r="H31" s="27">
        <v>0</v>
      </c>
      <c r="I31" s="27"/>
      <c r="J31" s="27">
        <v>0</v>
      </c>
      <c r="K31" s="41">
        <f t="shared" si="0"/>
        <v>25000000</v>
      </c>
      <c r="L31" s="37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7"/>
    </row>
    <row r="32" spans="1:23">
      <c r="A32" s="35"/>
      <c r="B32" s="66" t="s">
        <v>48</v>
      </c>
      <c r="C32" s="68" t="s">
        <v>49</v>
      </c>
      <c r="D32" s="10"/>
      <c r="E32" s="36"/>
      <c r="F32" s="31"/>
      <c r="G32" s="24">
        <v>178488817</v>
      </c>
      <c r="H32" s="27">
        <v>0</v>
      </c>
      <c r="I32" s="27"/>
      <c r="J32" s="42">
        <v>0</v>
      </c>
      <c r="K32" s="43">
        <f t="shared" si="0"/>
        <v>178488817</v>
      </c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7"/>
    </row>
    <row r="33" spans="1:23">
      <c r="A33" s="44"/>
      <c r="B33" s="44"/>
      <c r="C33" s="44" t="s">
        <v>31</v>
      </c>
      <c r="D33" s="44"/>
      <c r="E33" s="44"/>
      <c r="F33" s="45"/>
      <c r="G33" s="46">
        <f>SUM(G23:G32)</f>
        <v>1176821492</v>
      </c>
      <c r="H33" s="47">
        <f>SUM(H23:H32)</f>
        <v>0</v>
      </c>
      <c r="I33" s="47"/>
      <c r="J33" s="47">
        <f>SUM(J23:J32)</f>
        <v>8982640</v>
      </c>
      <c r="K33" s="47">
        <f>SUM(K23:K32)</f>
        <v>1167838852</v>
      </c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7"/>
    </row>
    <row r="34" spans="1:23">
      <c r="A34" s="48"/>
      <c r="B34" s="8"/>
      <c r="C34" s="8"/>
      <c r="D34" s="8"/>
      <c r="E34" s="8"/>
      <c r="F34" s="8"/>
      <c r="G34" s="49"/>
      <c r="H34" s="49"/>
      <c r="I34" s="49"/>
      <c r="J34" s="49"/>
      <c r="K34" s="49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7"/>
    </row>
    <row r="35" spans="1:23">
      <c r="A35" s="85" t="s">
        <v>32</v>
      </c>
      <c r="B35" s="85"/>
      <c r="C35" s="85"/>
      <c r="D35" s="11" t="s">
        <v>4</v>
      </c>
      <c r="E35" s="14">
        <f>J33</f>
        <v>8982640</v>
      </c>
      <c r="F35" s="50"/>
      <c r="G35" s="51"/>
      <c r="H35" s="51"/>
      <c r="I35" s="51"/>
      <c r="J35" s="9"/>
      <c r="K35" s="9"/>
      <c r="L35" s="37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7"/>
    </row>
    <row r="36" spans="1:23">
      <c r="A36" s="10" t="s">
        <v>33</v>
      </c>
      <c r="B36" s="10"/>
      <c r="C36" s="10"/>
      <c r="D36" s="11" t="s">
        <v>4</v>
      </c>
      <c r="E36" s="52"/>
      <c r="F36" s="52"/>
      <c r="G36" s="53"/>
      <c r="H36" s="12"/>
      <c r="I36" s="12"/>
      <c r="J36" s="9"/>
      <c r="K36" s="9"/>
      <c r="L36" s="37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7"/>
    </row>
    <row r="37" spans="1:23">
      <c r="A37" s="10" t="s">
        <v>34</v>
      </c>
      <c r="B37" s="10"/>
      <c r="C37" s="10"/>
      <c r="D37" s="11" t="s">
        <v>4</v>
      </c>
      <c r="E37" s="54"/>
      <c r="F37" s="54"/>
      <c r="G37" s="53"/>
      <c r="H37" s="12"/>
      <c r="I37" s="12"/>
      <c r="J37" s="9"/>
      <c r="K37" s="9"/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7"/>
    </row>
    <row r="38" spans="1:23">
      <c r="A38" s="10" t="s">
        <v>35</v>
      </c>
      <c r="B38" s="10"/>
      <c r="C38" s="10"/>
      <c r="D38" s="11" t="s">
        <v>4</v>
      </c>
      <c r="E38" s="54">
        <f>E36+E37</f>
        <v>0</v>
      </c>
      <c r="F38" s="54"/>
      <c r="G38" s="10"/>
      <c r="H38" s="12"/>
      <c r="I38" s="12"/>
      <c r="J38" s="56"/>
      <c r="K38" s="56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7"/>
    </row>
    <row r="39" spans="1:23">
      <c r="A39" s="13"/>
      <c r="B39" s="13"/>
      <c r="C39" s="13"/>
      <c r="D39" s="11"/>
      <c r="E39" s="13"/>
      <c r="F39" s="13"/>
      <c r="G39" s="10"/>
      <c r="H39" s="12"/>
      <c r="I39" s="12"/>
      <c r="J39" s="56"/>
      <c r="K39" s="56"/>
      <c r="L39" s="37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7"/>
    </row>
    <row r="40" spans="1:23">
      <c r="A40" s="85" t="s">
        <v>36</v>
      </c>
      <c r="B40" s="85"/>
      <c r="C40" s="85"/>
      <c r="D40" s="11" t="s">
        <v>4</v>
      </c>
      <c r="E40" s="50">
        <f>E35-E38</f>
        <v>8982640</v>
      </c>
      <c r="F40" s="50"/>
      <c r="G40" s="10"/>
      <c r="H40" s="12"/>
      <c r="I40" s="12"/>
      <c r="J40" s="56"/>
      <c r="K40" s="56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7"/>
    </row>
    <row r="41" spans="1:23" ht="15.75">
      <c r="A41" s="13"/>
      <c r="B41" s="13"/>
      <c r="C41" s="10"/>
      <c r="D41" s="10"/>
      <c r="E41" s="16" t="str">
        <f>PROPER(IF(E40=0,"nol",IF(E40&lt;0,"minus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40),"000000000000000"),1,3)=0,"",MID(TEXT(ABS(E40),"000000000000000"),1,1)&amp;" ratus "&amp;MID(TEXT(ABS(E40),"000000000000000"),2,1)&amp;" puluh "&amp;MID(TEXT(ABS(E40),"000000000000000"),3,1)&amp;" trilyun ")&amp;IF(--MID(TEXT(ABS(E40),"000000000000000"),4,3)=0,"",MID(TEXT(ABS(E40),"000000000000000"),4,1)&amp;" ratus "&amp;MID(TEXT(ABS(E40),"000000000000000"),5,1)&amp;" puluh "&amp;MID(TEXT(ABS(E40),"000000000000000"),6,1)&amp;" milyar ")&amp;IF(--MID(TEXT(ABS(E40),"000000000000000"),7,3)=0,"",MID(TEXT(ABS(E40),"000000000000000"),7,1)&amp;" ratus "&amp;MID(TEXT(ABS(E40),"000000000000000"),8,1)&amp;" puluh "&amp;MID(TEXT(ABS(E40),"000000000000000"),9,1)&amp;" juta ")&amp;IF(--MID(TEXT(ABS(E40),"000000000000000"),10,3)=0,"",IF(--MID(TEXT(ABS(E40),"000000000000000"),10,3)=1,"*",MID(TEXT(ABS(E40),"000000000000000"),10,1)&amp;" ratus "&amp;MID(TEXT(ABS(E40),"000000000000000"),11,1)&amp;" puluh ")&amp;MID(TEXT(ABS(E40),"000000000000000"),12,1)&amp;" ribu ")&amp;IF(--MID(TEXT(ABS(E40),"000000000000000"),13,3)=0,"",MID(TEXT(ABS(E40),"000000000000000"),13,1)&amp;" ratus "&amp;MID(TEXT(ABS(E40),"000000000000000"),14,1)&amp;" puluh "&amp;MID(TEXT(ABS(E40),"000000000000000"),15,1)),1,"satu"),2,"dua"),3,"tiga"),4,"empat"),5,"lima"),6,"enam"),7,"tujuh"),8,"delapan"),9,"sembilan"),"0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Sembilan Ratus Delapan Puluh Dua Ribu Enam Ratus Empat Puluh Rupiah</v>
      </c>
      <c r="F41" s="10"/>
      <c r="G41" s="10"/>
      <c r="H41" s="10"/>
      <c r="I41" s="10"/>
      <c r="J41" s="56"/>
      <c r="K41" s="56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7"/>
    </row>
    <row r="42" spans="1:23">
      <c r="A42" s="55"/>
      <c r="B42" s="55"/>
      <c r="C42" s="55"/>
      <c r="D42" s="55"/>
      <c r="E42" s="55"/>
      <c r="F42" s="55"/>
      <c r="G42" s="37"/>
      <c r="H42" s="56"/>
      <c r="I42" s="56"/>
      <c r="J42" s="56"/>
      <c r="K42" s="56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7"/>
    </row>
    <row r="43" spans="1:23">
      <c r="A43" s="37"/>
      <c r="B43" s="37"/>
      <c r="C43" s="37"/>
      <c r="D43" s="37"/>
      <c r="E43" s="37"/>
      <c r="F43" s="37"/>
      <c r="G43" s="37"/>
      <c r="H43"/>
      <c r="I43"/>
      <c r="J43" s="56"/>
      <c r="K43" s="56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7"/>
    </row>
    <row r="44" spans="1:23">
      <c r="A44" s="13"/>
      <c r="B44" s="13"/>
      <c r="C44" s="10"/>
      <c r="D44" s="10"/>
      <c r="E44" s="10"/>
      <c r="F44" s="10"/>
      <c r="G44" s="10"/>
      <c r="I44" s="57"/>
      <c r="J44" s="57" t="s">
        <v>53</v>
      </c>
      <c r="K44" s="56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7"/>
    </row>
    <row r="45" spans="1:23">
      <c r="A45" s="12" t="s">
        <v>37</v>
      </c>
      <c r="B45" s="10"/>
      <c r="C45" s="10"/>
      <c r="D45" s="10"/>
      <c r="E45" s="10"/>
      <c r="F45" s="10"/>
      <c r="G45" s="10"/>
      <c r="I45" s="12"/>
      <c r="J45" s="12" t="s">
        <v>38</v>
      </c>
      <c r="K45" s="56"/>
      <c r="L45" s="37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7"/>
    </row>
    <row r="46" spans="1:23">
      <c r="A46" s="10"/>
      <c r="B46" s="10"/>
      <c r="C46" s="10"/>
      <c r="D46" s="10"/>
      <c r="E46" s="10"/>
      <c r="F46" s="10"/>
      <c r="G46" s="10"/>
      <c r="I46" s="12"/>
      <c r="J46" s="12"/>
      <c r="K46" s="56"/>
      <c r="L46" s="37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7"/>
    </row>
    <row r="47" spans="1:23">
      <c r="A47" s="10"/>
      <c r="B47" s="10"/>
      <c r="C47" s="10"/>
      <c r="D47" s="10"/>
      <c r="E47" s="10"/>
      <c r="F47" s="10"/>
      <c r="G47" s="10"/>
      <c r="I47" s="12"/>
      <c r="J47" s="12"/>
      <c r="K47" s="56"/>
      <c r="L47" s="37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7"/>
    </row>
    <row r="48" spans="1:23">
      <c r="A48" s="10"/>
      <c r="B48" s="10"/>
      <c r="C48" s="10"/>
      <c r="D48" s="10"/>
      <c r="E48" s="10"/>
      <c r="F48" s="10"/>
      <c r="G48" s="10"/>
      <c r="I48" s="12"/>
      <c r="J48" s="12"/>
      <c r="K48" s="56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7"/>
    </row>
    <row r="49" spans="1:23">
      <c r="A49" s="10"/>
      <c r="B49" s="10"/>
      <c r="C49" s="10"/>
      <c r="D49" s="10"/>
      <c r="E49" s="10"/>
      <c r="F49" s="10"/>
      <c r="G49" s="10"/>
      <c r="I49" s="12"/>
      <c r="J49" s="12"/>
      <c r="K49" s="56"/>
      <c r="L49" s="3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7"/>
    </row>
    <row r="50" spans="1:23">
      <c r="A50" s="69" t="s">
        <v>50</v>
      </c>
      <c r="B50" s="58"/>
      <c r="C50" s="59"/>
      <c r="D50" s="59"/>
      <c r="E50" s="59"/>
      <c r="F50" s="59"/>
      <c r="G50" s="10" t="s">
        <v>39</v>
      </c>
      <c r="I50" s="58"/>
      <c r="J50" s="58" t="s">
        <v>40</v>
      </c>
      <c r="K50" s="56"/>
      <c r="L50" s="3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7"/>
    </row>
    <row r="51" spans="1:23">
      <c r="A51" s="60"/>
      <c r="B51" s="60"/>
      <c r="C51" s="61"/>
      <c r="D51" s="61"/>
      <c r="E51" s="61"/>
      <c r="F51" s="61"/>
      <c r="G51" s="61"/>
      <c r="H51" s="60"/>
      <c r="I51" s="60"/>
      <c r="J51" s="60"/>
      <c r="K51" s="56"/>
      <c r="L51" s="37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7"/>
    </row>
    <row r="55" spans="1:23" ht="15.75">
      <c r="C55" s="2"/>
      <c r="D55" s="2"/>
      <c r="E55" s="2"/>
      <c r="F55" s="2"/>
    </row>
    <row r="56" spans="1:23" ht="15.75">
      <c r="A56" s="3"/>
      <c r="B56" s="3"/>
      <c r="C56" s="2"/>
      <c r="D56" s="2"/>
      <c r="E56" s="2"/>
      <c r="F56" s="2"/>
      <c r="G56" s="3"/>
      <c r="H56" s="4"/>
      <c r="I56" s="4"/>
      <c r="J56" s="4"/>
      <c r="K56" s="5"/>
    </row>
    <row r="57" spans="1:23">
      <c r="H57" s="5"/>
      <c r="I57" s="5"/>
      <c r="J57" s="5"/>
      <c r="K57" s="5"/>
    </row>
    <row r="58" spans="1:23">
      <c r="H58" s="5"/>
      <c r="I58" s="5"/>
      <c r="J58" s="5"/>
      <c r="K58" s="5"/>
    </row>
    <row r="59" spans="1:23">
      <c r="A59" s="73" t="s">
        <v>0</v>
      </c>
      <c r="B59" s="73"/>
      <c r="C59" s="74"/>
      <c r="D59" s="74"/>
      <c r="E59" s="74"/>
      <c r="F59" s="74"/>
      <c r="G59" s="74"/>
      <c r="H59" s="74"/>
      <c r="I59" s="74"/>
      <c r="J59" s="74"/>
      <c r="K59" s="74"/>
    </row>
    <row r="60" spans="1:23">
      <c r="A60" s="74" t="s">
        <v>54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</row>
    <row r="61" spans="1:23">
      <c r="A61" s="74" t="s">
        <v>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spans="1:23">
      <c r="A62" s="74" t="s">
        <v>51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</row>
    <row r="63" spans="1:23">
      <c r="A63" s="74" t="s">
        <v>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</row>
    <row r="64" spans="1:23">
      <c r="A64" s="6"/>
      <c r="B64" s="6"/>
      <c r="C64" s="7"/>
      <c r="D64" s="7"/>
      <c r="E64" s="7"/>
      <c r="F64" s="7"/>
      <c r="G64" s="8"/>
      <c r="H64" s="9"/>
      <c r="I64" s="9"/>
      <c r="J64" s="9"/>
      <c r="K64" s="9"/>
    </row>
    <row r="65" spans="1:11">
      <c r="A65" s="62" t="s">
        <v>3</v>
      </c>
      <c r="B65" s="10"/>
      <c r="C65" s="10"/>
      <c r="D65" s="63" t="s">
        <v>4</v>
      </c>
      <c r="E65" s="10" t="s">
        <v>5</v>
      </c>
      <c r="F65" s="11"/>
      <c r="G65" s="10"/>
      <c r="H65" s="12"/>
      <c r="I65" s="12"/>
      <c r="J65" s="12"/>
      <c r="K65" s="9"/>
    </row>
    <row r="66" spans="1:11">
      <c r="A66" s="62" t="s">
        <v>6</v>
      </c>
      <c r="B66" s="10"/>
      <c r="C66" s="10"/>
      <c r="D66" s="63" t="s">
        <v>4</v>
      </c>
      <c r="E66" s="10" t="s">
        <v>7</v>
      </c>
      <c r="F66" s="11"/>
      <c r="G66" s="10"/>
      <c r="H66" s="12"/>
      <c r="I66" s="12"/>
      <c r="J66" s="12"/>
      <c r="K66" s="9"/>
    </row>
    <row r="67" spans="1:11">
      <c r="A67" s="62" t="s">
        <v>8</v>
      </c>
      <c r="B67" s="10"/>
      <c r="C67" s="10"/>
      <c r="D67" s="63" t="s">
        <v>4</v>
      </c>
      <c r="E67" s="13">
        <v>2026</v>
      </c>
      <c r="F67" s="11"/>
      <c r="G67" s="13"/>
      <c r="H67" s="12"/>
      <c r="I67" s="12"/>
      <c r="J67" s="12"/>
      <c r="K67" s="9"/>
    </row>
    <row r="68" spans="1:11">
      <c r="A68" s="62" t="s">
        <v>9</v>
      </c>
      <c r="B68" s="10"/>
      <c r="C68" s="10"/>
      <c r="D68" s="63" t="s">
        <v>4</v>
      </c>
      <c r="E68" s="14">
        <f>J84</f>
        <v>3850000</v>
      </c>
      <c r="F68" s="11"/>
      <c r="G68" s="14"/>
      <c r="H68" s="12"/>
      <c r="I68" s="12"/>
      <c r="J68" s="12"/>
      <c r="K68" s="9"/>
    </row>
    <row r="69" spans="1:11" ht="15.75">
      <c r="A69" s="10"/>
      <c r="B69" s="10"/>
      <c r="C69" s="15" t="s">
        <v>10</v>
      </c>
      <c r="D69" s="63" t="s">
        <v>4</v>
      </c>
      <c r="E69" s="16" t="str">
        <f>PROPER(IF(E68=0,"nol",IF(E68&lt;0,"minus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68),"000000000000000"),1,3)=0,"",MID(TEXT(ABS(E68),"000000000000000"),1,1)&amp;" ratus "&amp;MID(TEXT(ABS(E68),"000000000000000"),2,1)&amp;" puluh "&amp;MID(TEXT(ABS(E68),"000000000000000"),3,1)&amp;" trilyun ")&amp;IF(--MID(TEXT(ABS(E68),"000000000000000"),4,3)=0,"",MID(TEXT(ABS(E68),"000000000000000"),4,1)&amp;" ratus "&amp;MID(TEXT(ABS(E68),"000000000000000"),5,1)&amp;" puluh "&amp;MID(TEXT(ABS(E68),"000000000000000"),6,1)&amp;" milyar ")&amp;IF(--MID(TEXT(ABS(E68),"000000000000000"),7,3)=0,"",MID(TEXT(ABS(E68),"000000000000000"),7,1)&amp;" ratus "&amp;MID(TEXT(ABS(E68),"000000000000000"),8,1)&amp;" puluh "&amp;MID(TEXT(ABS(E68),"000000000000000"),9,1)&amp;" juta ")&amp;IF(--MID(TEXT(ABS(E68),"000000000000000"),10,3)=0,"",IF(--MID(TEXT(ABS(E68),"000000000000000"),10,3)=1,"*",MID(TEXT(ABS(E68),"000000000000000"),10,1)&amp;" ratus "&amp;MID(TEXT(ABS(E68),"000000000000000"),11,1)&amp;" puluh ")&amp;MID(TEXT(ABS(E68),"000000000000000"),12,1)&amp;" ribu ")&amp;IF(--MID(TEXT(ABS(E68),"000000000000000"),13,3)=0,"",MID(TEXT(ABS(E68),"000000000000000"),13,1)&amp;" ratus "&amp;MID(TEXT(ABS(E68),"000000000000000"),14,1)&amp;" puluh "&amp;MID(TEXT(ABS(E68),"000000000000000"),15,1)),1,"satu"),2,"dua"),3,"tiga"),4,"empat"),5,"lima"),6,"enam"),7,"tujuh"),8,"delapan"),9,"sembilan"),"0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Delapan Ratus Lima Puluh Ribu Rupiah</v>
      </c>
      <c r="F69" s="11"/>
      <c r="G69" s="16"/>
      <c r="H69" s="12"/>
      <c r="I69" s="12"/>
      <c r="J69" s="12"/>
      <c r="K69" s="9"/>
    </row>
    <row r="70" spans="1:11" ht="15.75">
      <c r="A70" s="10"/>
      <c r="B70" s="10"/>
      <c r="C70" s="15"/>
      <c r="D70" s="15"/>
      <c r="E70" s="15"/>
      <c r="F70" s="11"/>
      <c r="G70" s="16"/>
      <c r="H70" s="12"/>
      <c r="I70" s="12"/>
      <c r="J70" s="12"/>
      <c r="K70" s="9"/>
    </row>
    <row r="71" spans="1:11">
      <c r="A71" s="10" t="s">
        <v>11</v>
      </c>
      <c r="B71" s="10"/>
      <c r="C71" s="10"/>
      <c r="D71" s="10"/>
      <c r="E71" s="10"/>
      <c r="F71" s="10"/>
      <c r="G71" s="10"/>
      <c r="H71" s="12"/>
      <c r="I71" s="12"/>
      <c r="J71" s="12"/>
      <c r="K71" s="9"/>
    </row>
    <row r="72" spans="1:11">
      <c r="A72" s="75" t="s">
        <v>12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spans="1:11" ht="60">
      <c r="A73" s="17" t="s">
        <v>13</v>
      </c>
      <c r="B73" s="18" t="s">
        <v>14</v>
      </c>
      <c r="C73" s="76" t="s">
        <v>15</v>
      </c>
      <c r="D73" s="77"/>
      <c r="E73" s="78"/>
      <c r="F73" s="19"/>
      <c r="G73" s="20" t="s">
        <v>16</v>
      </c>
      <c r="H73" s="21" t="s">
        <v>41</v>
      </c>
      <c r="I73" s="21"/>
      <c r="J73" s="39" t="s">
        <v>17</v>
      </c>
      <c r="K73" s="40" t="s">
        <v>18</v>
      </c>
    </row>
    <row r="74" spans="1:11">
      <c r="A74" s="22">
        <v>1</v>
      </c>
      <c r="B74" s="25"/>
      <c r="C74" s="29" t="s">
        <v>23</v>
      </c>
      <c r="D74" s="67"/>
      <c r="E74" s="26"/>
      <c r="F74" s="23"/>
      <c r="G74" s="64" t="s">
        <v>19</v>
      </c>
      <c r="H74" s="64" t="s">
        <v>19</v>
      </c>
      <c r="I74" s="64"/>
      <c r="J74" s="64" t="s">
        <v>19</v>
      </c>
      <c r="K74" s="64" t="s">
        <v>19</v>
      </c>
    </row>
    <row r="75" spans="1:11">
      <c r="A75" s="25"/>
      <c r="B75" s="65" t="s">
        <v>20</v>
      </c>
      <c r="C75" s="70" t="s">
        <v>24</v>
      </c>
      <c r="D75" s="71"/>
      <c r="E75" s="72"/>
      <c r="F75" s="23"/>
      <c r="G75" s="24">
        <v>300000000</v>
      </c>
      <c r="H75" s="27">
        <f>H24+J24</f>
        <v>0</v>
      </c>
      <c r="I75" s="27"/>
      <c r="J75" s="27">
        <v>0</v>
      </c>
      <c r="K75" s="41">
        <f t="shared" ref="K75:K83" si="1">G75-H75-J75</f>
        <v>300000000</v>
      </c>
    </row>
    <row r="76" spans="1:11">
      <c r="A76" s="25"/>
      <c r="B76" s="65" t="s">
        <v>21</v>
      </c>
      <c r="C76" s="70" t="s">
        <v>25</v>
      </c>
      <c r="D76" s="71"/>
      <c r="E76" s="72"/>
      <c r="F76" s="23"/>
      <c r="G76" s="28">
        <v>15000000</v>
      </c>
      <c r="H76" s="27">
        <f t="shared" ref="H76:H83" si="2">H25+J25</f>
        <v>0</v>
      </c>
      <c r="I76" s="27"/>
      <c r="J76" s="27">
        <v>0</v>
      </c>
      <c r="K76" s="41">
        <f t="shared" si="1"/>
        <v>15000000</v>
      </c>
    </row>
    <row r="77" spans="1:11">
      <c r="A77" s="25"/>
      <c r="B77" s="65" t="s">
        <v>22</v>
      </c>
      <c r="C77" s="79" t="s">
        <v>26</v>
      </c>
      <c r="D77" s="80"/>
      <c r="E77" s="81"/>
      <c r="F77" s="23"/>
      <c r="G77" s="24">
        <v>115048000</v>
      </c>
      <c r="H77" s="27">
        <f t="shared" si="2"/>
        <v>0</v>
      </c>
      <c r="I77" s="27"/>
      <c r="J77" s="27">
        <v>0</v>
      </c>
      <c r="K77" s="41">
        <f t="shared" si="1"/>
        <v>115048000</v>
      </c>
    </row>
    <row r="78" spans="1:11">
      <c r="A78" s="25"/>
      <c r="B78" s="65" t="s">
        <v>43</v>
      </c>
      <c r="C78" s="70" t="s">
        <v>27</v>
      </c>
      <c r="D78" s="71"/>
      <c r="E78" s="72"/>
      <c r="F78" s="23"/>
      <c r="G78" s="24">
        <v>171988668</v>
      </c>
      <c r="H78" s="27">
        <f t="shared" si="2"/>
        <v>0</v>
      </c>
      <c r="I78" s="27"/>
      <c r="J78" s="27">
        <v>0</v>
      </c>
      <c r="K78" s="41">
        <f t="shared" si="1"/>
        <v>171988668</v>
      </c>
    </row>
    <row r="79" spans="1:11">
      <c r="A79" s="25"/>
      <c r="B79" s="65" t="s">
        <v>44</v>
      </c>
      <c r="C79" s="70" t="s">
        <v>28</v>
      </c>
      <c r="D79" s="71"/>
      <c r="E79" s="72"/>
      <c r="F79" s="23"/>
      <c r="G79" s="24">
        <v>92440133</v>
      </c>
      <c r="H79" s="27">
        <f t="shared" si="2"/>
        <v>8982640</v>
      </c>
      <c r="I79" s="27"/>
      <c r="J79" s="27">
        <v>0</v>
      </c>
      <c r="K79" s="41">
        <f t="shared" si="1"/>
        <v>83457493</v>
      </c>
    </row>
    <row r="80" spans="1:11">
      <c r="A80" s="25"/>
      <c r="B80" s="65" t="s">
        <v>45</v>
      </c>
      <c r="C80" s="70" t="s">
        <v>42</v>
      </c>
      <c r="D80" s="71"/>
      <c r="E80" s="72"/>
      <c r="F80" s="23"/>
      <c r="G80" s="24">
        <v>64388964</v>
      </c>
      <c r="H80" s="27">
        <f t="shared" si="2"/>
        <v>0</v>
      </c>
      <c r="I80" s="27"/>
      <c r="J80" s="27">
        <v>0</v>
      </c>
      <c r="K80" s="41">
        <f t="shared" si="1"/>
        <v>64388964</v>
      </c>
    </row>
    <row r="81" spans="1:11">
      <c r="A81" s="30"/>
      <c r="B81" s="66" t="s">
        <v>46</v>
      </c>
      <c r="C81" s="82" t="s">
        <v>29</v>
      </c>
      <c r="D81" s="83"/>
      <c r="E81" s="84"/>
      <c r="F81" s="31"/>
      <c r="G81" s="24">
        <v>214466910</v>
      </c>
      <c r="H81" s="27">
        <f t="shared" si="2"/>
        <v>0</v>
      </c>
      <c r="I81" s="27"/>
      <c r="J81" s="27">
        <v>0</v>
      </c>
      <c r="K81" s="41">
        <f t="shared" si="1"/>
        <v>214466910</v>
      </c>
    </row>
    <row r="82" spans="1:11">
      <c r="A82" s="30"/>
      <c r="B82" s="66" t="s">
        <v>47</v>
      </c>
      <c r="C82" s="32" t="s">
        <v>30</v>
      </c>
      <c r="D82" s="33"/>
      <c r="E82" s="34"/>
      <c r="F82" s="31"/>
      <c r="G82" s="24">
        <v>25000000</v>
      </c>
      <c r="H82" s="27">
        <f t="shared" si="2"/>
        <v>0</v>
      </c>
      <c r="I82" s="27"/>
      <c r="J82" s="27">
        <v>3850000</v>
      </c>
      <c r="K82" s="41">
        <f t="shared" si="1"/>
        <v>21150000</v>
      </c>
    </row>
    <row r="83" spans="1:11">
      <c r="A83" s="35"/>
      <c r="B83" s="66" t="s">
        <v>48</v>
      </c>
      <c r="C83" s="68" t="s">
        <v>49</v>
      </c>
      <c r="D83" s="10"/>
      <c r="E83" s="36"/>
      <c r="F83" s="31"/>
      <c r="G83" s="24">
        <v>178488817</v>
      </c>
      <c r="H83" s="27">
        <f t="shared" si="2"/>
        <v>0</v>
      </c>
      <c r="I83" s="27"/>
      <c r="J83" s="42">
        <v>0</v>
      </c>
      <c r="K83" s="43">
        <f t="shared" si="1"/>
        <v>178488817</v>
      </c>
    </row>
    <row r="84" spans="1:11">
      <c r="A84" s="44"/>
      <c r="B84" s="44"/>
      <c r="C84" s="44" t="s">
        <v>31</v>
      </c>
      <c r="D84" s="44"/>
      <c r="E84" s="44"/>
      <c r="F84" s="45"/>
      <c r="G84" s="46">
        <f>SUM(G74:G83)</f>
        <v>1176821492</v>
      </c>
      <c r="H84" s="47">
        <f>SUM(H74:H83)</f>
        <v>8982640</v>
      </c>
      <c r="I84" s="47"/>
      <c r="J84" s="47">
        <f>SUM(J74:J83)</f>
        <v>3850000</v>
      </c>
      <c r="K84" s="47">
        <f>SUM(K74:K83)</f>
        <v>1163988852</v>
      </c>
    </row>
    <row r="85" spans="1:11">
      <c r="A85" s="48"/>
      <c r="B85" s="8"/>
      <c r="C85" s="8"/>
      <c r="D85" s="8"/>
      <c r="E85" s="8"/>
      <c r="F85" s="8"/>
      <c r="G85" s="49"/>
      <c r="H85" s="49"/>
      <c r="I85" s="49"/>
      <c r="J85" s="49"/>
      <c r="K85" s="49"/>
    </row>
    <row r="86" spans="1:11">
      <c r="A86" s="85" t="s">
        <v>32</v>
      </c>
      <c r="B86" s="85"/>
      <c r="C86" s="85"/>
      <c r="D86" s="11" t="s">
        <v>4</v>
      </c>
      <c r="E86" s="14">
        <f>J84</f>
        <v>3850000</v>
      </c>
      <c r="F86" s="50"/>
      <c r="G86" s="51"/>
      <c r="H86" s="51"/>
      <c r="I86" s="51"/>
      <c r="J86" s="9"/>
      <c r="K86" s="9"/>
    </row>
    <row r="87" spans="1:11">
      <c r="A87" s="10" t="s">
        <v>33</v>
      </c>
      <c r="B87" s="10"/>
      <c r="C87" s="10"/>
      <c r="D87" s="11" t="s">
        <v>4</v>
      </c>
      <c r="E87" s="52"/>
      <c r="F87" s="52"/>
      <c r="G87" s="53"/>
      <c r="H87" s="12"/>
      <c r="I87" s="12"/>
      <c r="J87" s="9"/>
      <c r="K87" s="9"/>
    </row>
    <row r="88" spans="1:11">
      <c r="A88" s="10" t="s">
        <v>34</v>
      </c>
      <c r="B88" s="10"/>
      <c r="C88" s="10"/>
      <c r="D88" s="11" t="s">
        <v>4</v>
      </c>
      <c r="E88" s="54"/>
      <c r="F88" s="54"/>
      <c r="G88" s="53"/>
      <c r="H88" s="12"/>
      <c r="I88" s="12"/>
      <c r="J88" s="9"/>
      <c r="K88" s="9"/>
    </row>
    <row r="89" spans="1:11">
      <c r="A89" s="10" t="s">
        <v>35</v>
      </c>
      <c r="B89" s="10"/>
      <c r="C89" s="10"/>
      <c r="D89" s="11" t="s">
        <v>4</v>
      </c>
      <c r="E89" s="54">
        <f>E87+E88</f>
        <v>0</v>
      </c>
      <c r="F89" s="54"/>
      <c r="G89" s="10"/>
      <c r="H89" s="12"/>
      <c r="I89" s="12"/>
      <c r="J89" s="56"/>
      <c r="K89" s="56"/>
    </row>
    <row r="90" spans="1:11">
      <c r="A90" s="13"/>
      <c r="B90" s="13"/>
      <c r="C90" s="13"/>
      <c r="D90" s="11"/>
      <c r="E90" s="13"/>
      <c r="F90" s="13"/>
      <c r="G90" s="10"/>
      <c r="H90" s="12"/>
      <c r="I90" s="12"/>
      <c r="J90" s="56"/>
      <c r="K90" s="56"/>
    </row>
    <row r="91" spans="1:11">
      <c r="A91" s="85" t="s">
        <v>36</v>
      </c>
      <c r="B91" s="85"/>
      <c r="C91" s="85"/>
      <c r="D91" s="11" t="s">
        <v>4</v>
      </c>
      <c r="E91" s="50">
        <f>E86-E89</f>
        <v>3850000</v>
      </c>
      <c r="F91" s="50"/>
      <c r="G91" s="10"/>
      <c r="H91" s="12"/>
      <c r="I91" s="12"/>
      <c r="J91" s="56"/>
      <c r="K91" s="56"/>
    </row>
    <row r="92" spans="1:11" ht="15.75">
      <c r="A92" s="13"/>
      <c r="B92" s="13"/>
      <c r="C92" s="10"/>
      <c r="D92" s="10"/>
      <c r="E92" s="16" t="str">
        <f>PROPER(IF(E91=0,"nol",IF(E91&lt;0,"minus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91),"000000000000000"),1,3)=0,"",MID(TEXT(ABS(E91),"000000000000000"),1,1)&amp;" ratus "&amp;MID(TEXT(ABS(E91),"000000000000000"),2,1)&amp;" puluh "&amp;MID(TEXT(ABS(E91),"000000000000000"),3,1)&amp;" trilyun ")&amp;IF(--MID(TEXT(ABS(E91),"000000000000000"),4,3)=0,"",MID(TEXT(ABS(E91),"000000000000000"),4,1)&amp;" ratus "&amp;MID(TEXT(ABS(E91),"000000000000000"),5,1)&amp;" puluh "&amp;MID(TEXT(ABS(E91),"000000000000000"),6,1)&amp;" milyar ")&amp;IF(--MID(TEXT(ABS(E91),"000000000000000"),7,3)=0,"",MID(TEXT(ABS(E91),"000000000000000"),7,1)&amp;" ratus "&amp;MID(TEXT(ABS(E91),"000000000000000"),8,1)&amp;" puluh "&amp;MID(TEXT(ABS(E91),"000000000000000"),9,1)&amp;" juta ")&amp;IF(--MID(TEXT(ABS(E91),"000000000000000"),10,3)=0,"",IF(--MID(TEXT(ABS(E91),"000000000000000"),10,3)=1,"*",MID(TEXT(ABS(E91),"000000000000000"),10,1)&amp;" ratus "&amp;MID(TEXT(ABS(E91),"000000000000000"),11,1)&amp;" puluh ")&amp;MID(TEXT(ABS(E91),"000000000000000"),12,1)&amp;" ribu ")&amp;IF(--MID(TEXT(ABS(E91),"000000000000000"),13,3)=0,"",MID(TEXT(ABS(E91),"000000000000000"),13,1)&amp;" ratus "&amp;MID(TEXT(ABS(E91),"000000000000000"),14,1)&amp;" puluh "&amp;MID(TEXT(ABS(E91),"000000000000000"),15,1)),1,"satu"),2,"dua"),3,"tiga"),4,"empat"),5,"lima"),6,"enam"),7,"tujuh"),8,"delapan"),9,"sembilan"),"0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Delapan Ratus Lima Puluh Ribu Rupiah</v>
      </c>
      <c r="F92" s="10"/>
      <c r="G92" s="10"/>
      <c r="H92" s="10"/>
      <c r="I92" s="10"/>
      <c r="J92" s="56"/>
      <c r="K92" s="56"/>
    </row>
    <row r="93" spans="1:11">
      <c r="A93" s="55"/>
      <c r="B93" s="55"/>
      <c r="C93" s="55"/>
      <c r="D93" s="55"/>
      <c r="E93" s="55"/>
      <c r="F93" s="55"/>
      <c r="G93" s="37"/>
      <c r="H93" s="56"/>
      <c r="I93" s="56"/>
      <c r="J93" s="56"/>
      <c r="K93" s="56"/>
    </row>
    <row r="94" spans="1:11">
      <c r="A94" s="37"/>
      <c r="B94" s="37"/>
      <c r="C94" s="37"/>
      <c r="D94" s="37"/>
      <c r="E94" s="37"/>
      <c r="F94" s="37"/>
      <c r="G94" s="37"/>
      <c r="H94"/>
      <c r="I94"/>
      <c r="J94" s="56"/>
      <c r="K94" s="56"/>
    </row>
    <row r="95" spans="1:11">
      <c r="A95" s="13"/>
      <c r="B95" s="13"/>
      <c r="C95" s="10"/>
      <c r="D95" s="10"/>
      <c r="E95" s="10"/>
      <c r="F95" s="10"/>
      <c r="G95" s="10"/>
      <c r="I95" s="57"/>
      <c r="J95" s="57" t="s">
        <v>55</v>
      </c>
      <c r="K95" s="56"/>
    </row>
    <row r="96" spans="1:11">
      <c r="A96" s="12" t="s">
        <v>37</v>
      </c>
      <c r="B96" s="10"/>
      <c r="C96" s="10"/>
      <c r="D96" s="10"/>
      <c r="E96" s="10"/>
      <c r="F96" s="10"/>
      <c r="G96" s="10"/>
      <c r="I96" s="12"/>
      <c r="J96" s="12" t="s">
        <v>38</v>
      </c>
      <c r="K96" s="56"/>
    </row>
    <row r="97" spans="1:11">
      <c r="A97" s="10"/>
      <c r="B97" s="10"/>
      <c r="C97" s="10"/>
      <c r="D97" s="10"/>
      <c r="E97" s="10"/>
      <c r="F97" s="10"/>
      <c r="G97" s="10"/>
      <c r="I97" s="12"/>
      <c r="J97" s="12"/>
      <c r="K97" s="56"/>
    </row>
    <row r="98" spans="1:11">
      <c r="A98" s="10"/>
      <c r="B98" s="10"/>
      <c r="C98" s="10"/>
      <c r="D98" s="10"/>
      <c r="E98" s="10"/>
      <c r="F98" s="10"/>
      <c r="G98" s="10"/>
      <c r="I98" s="12"/>
      <c r="J98" s="12"/>
      <c r="K98" s="56"/>
    </row>
    <row r="99" spans="1:11">
      <c r="A99" s="10"/>
      <c r="B99" s="10"/>
      <c r="C99" s="10"/>
      <c r="D99" s="10"/>
      <c r="E99" s="10"/>
      <c r="F99" s="10"/>
      <c r="G99" s="10"/>
      <c r="I99" s="12"/>
      <c r="J99" s="12"/>
      <c r="K99" s="56"/>
    </row>
    <row r="100" spans="1:11">
      <c r="A100" s="10"/>
      <c r="B100" s="10"/>
      <c r="C100" s="10"/>
      <c r="D100" s="10"/>
      <c r="E100" s="10"/>
      <c r="F100" s="10"/>
      <c r="G100" s="10"/>
      <c r="I100" s="12"/>
      <c r="J100" s="12"/>
      <c r="K100" s="56"/>
    </row>
    <row r="101" spans="1:11">
      <c r="A101" s="69" t="s">
        <v>50</v>
      </c>
      <c r="B101" s="58"/>
      <c r="C101" s="59"/>
      <c r="D101" s="59"/>
      <c r="E101" s="59"/>
      <c r="F101" s="59"/>
      <c r="G101" s="10" t="s">
        <v>39</v>
      </c>
      <c r="I101" s="58"/>
      <c r="J101" s="58" t="s">
        <v>40</v>
      </c>
      <c r="K101" s="56"/>
    </row>
    <row r="106" spans="1:11" ht="15.75">
      <c r="C106" s="2"/>
      <c r="D106" s="2"/>
      <c r="E106" s="2"/>
      <c r="F106" s="2"/>
    </row>
    <row r="107" spans="1:11" ht="15.75">
      <c r="A107" s="3"/>
      <c r="B107" s="3"/>
      <c r="C107" s="2"/>
      <c r="D107" s="2"/>
      <c r="E107" s="2"/>
      <c r="F107" s="2"/>
      <c r="G107" s="3"/>
      <c r="H107" s="4"/>
      <c r="I107" s="4"/>
      <c r="J107" s="4"/>
      <c r="K107" s="5"/>
    </row>
    <row r="108" spans="1:11">
      <c r="H108" s="5"/>
      <c r="I108" s="5"/>
      <c r="J108" s="5"/>
      <c r="K108" s="5"/>
    </row>
    <row r="109" spans="1:11">
      <c r="H109" s="5"/>
      <c r="I109" s="5"/>
      <c r="J109" s="5"/>
      <c r="K109" s="5"/>
    </row>
    <row r="110" spans="1:11">
      <c r="A110" s="73" t="s">
        <v>0</v>
      </c>
      <c r="B110" s="73"/>
      <c r="C110" s="74"/>
      <c r="D110" s="74"/>
      <c r="E110" s="74"/>
      <c r="F110" s="74"/>
      <c r="G110" s="74"/>
      <c r="H110" s="74"/>
      <c r="I110" s="74"/>
      <c r="J110" s="74"/>
      <c r="K110" s="74"/>
    </row>
    <row r="111" spans="1:11">
      <c r="A111" s="74" t="s">
        <v>56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</row>
    <row r="112" spans="1:11">
      <c r="A112" s="74" t="s">
        <v>1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</row>
    <row r="113" spans="1:11">
      <c r="A113" s="74" t="s">
        <v>51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>
      <c r="A114" s="74" t="s">
        <v>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</row>
    <row r="115" spans="1:11">
      <c r="A115" s="6"/>
      <c r="B115" s="6"/>
      <c r="C115" s="7"/>
      <c r="D115" s="7"/>
      <c r="E115" s="7"/>
      <c r="F115" s="7"/>
      <c r="G115" s="8"/>
      <c r="H115" s="9"/>
      <c r="I115" s="9"/>
      <c r="J115" s="9"/>
      <c r="K115" s="9"/>
    </row>
    <row r="116" spans="1:11">
      <c r="A116" s="62" t="s">
        <v>3</v>
      </c>
      <c r="B116" s="10"/>
      <c r="C116" s="10"/>
      <c r="D116" s="63" t="s">
        <v>4</v>
      </c>
      <c r="E116" s="10" t="s">
        <v>5</v>
      </c>
      <c r="F116" s="11"/>
      <c r="G116" s="10"/>
      <c r="H116" s="12"/>
      <c r="I116" s="12"/>
      <c r="J116" s="12"/>
      <c r="K116" s="9"/>
    </row>
    <row r="117" spans="1:11">
      <c r="A117" s="62" t="s">
        <v>6</v>
      </c>
      <c r="B117" s="10"/>
      <c r="C117" s="10"/>
      <c r="D117" s="63" t="s">
        <v>4</v>
      </c>
      <c r="E117" s="10" t="s">
        <v>7</v>
      </c>
      <c r="F117" s="11"/>
      <c r="G117" s="10"/>
      <c r="H117" s="12"/>
      <c r="I117" s="12"/>
      <c r="J117" s="12"/>
      <c r="K117" s="9"/>
    </row>
    <row r="118" spans="1:11">
      <c r="A118" s="62" t="s">
        <v>8</v>
      </c>
      <c r="B118" s="10"/>
      <c r="C118" s="10"/>
      <c r="D118" s="63" t="s">
        <v>4</v>
      </c>
      <c r="E118" s="13">
        <v>2026</v>
      </c>
      <c r="F118" s="11"/>
      <c r="G118" s="13"/>
      <c r="H118" s="12"/>
      <c r="I118" s="12"/>
      <c r="J118" s="12"/>
      <c r="K118" s="9"/>
    </row>
    <row r="119" spans="1:11">
      <c r="A119" s="62" t="s">
        <v>9</v>
      </c>
      <c r="B119" s="10"/>
      <c r="C119" s="10"/>
      <c r="D119" s="63" t="s">
        <v>4</v>
      </c>
      <c r="E119" s="14">
        <f>J135</f>
        <v>4664634</v>
      </c>
      <c r="F119" s="11"/>
      <c r="G119" s="14"/>
      <c r="H119" s="12"/>
      <c r="I119" s="12"/>
      <c r="J119" s="12"/>
      <c r="K119" s="9"/>
    </row>
    <row r="120" spans="1:11" ht="15.75">
      <c r="A120" s="10"/>
      <c r="B120" s="10"/>
      <c r="C120" s="15" t="s">
        <v>10</v>
      </c>
      <c r="D120" s="63" t="s">
        <v>4</v>
      </c>
      <c r="E120" s="16" t="str">
        <f>PROPER(IF(E119=0,"nol",IF(E119&lt;0,"minus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119),"000000000000000"),1,3)=0,"",MID(TEXT(ABS(E119),"000000000000000"),1,1)&amp;" ratus "&amp;MID(TEXT(ABS(E119),"000000000000000"),2,1)&amp;" puluh "&amp;MID(TEXT(ABS(E119),"000000000000000"),3,1)&amp;" trilyun ")&amp;IF(--MID(TEXT(ABS(E119),"000000000000000"),4,3)=0,"",MID(TEXT(ABS(E119),"000000000000000"),4,1)&amp;" ratus "&amp;MID(TEXT(ABS(E119),"000000000000000"),5,1)&amp;" puluh "&amp;MID(TEXT(ABS(E119),"000000000000000"),6,1)&amp;" milyar ")&amp;IF(--MID(TEXT(ABS(E119),"000000000000000"),7,3)=0,"",MID(TEXT(ABS(E119),"000000000000000"),7,1)&amp;" ratus "&amp;MID(TEXT(ABS(E119),"000000000000000"),8,1)&amp;" puluh "&amp;MID(TEXT(ABS(E119),"000000000000000"),9,1)&amp;" juta ")&amp;IF(--MID(TEXT(ABS(E119),"000000000000000"),10,3)=0,"",IF(--MID(TEXT(ABS(E119),"000000000000000"),10,3)=1,"*",MID(TEXT(ABS(E119),"000000000000000"),10,1)&amp;" ratus "&amp;MID(TEXT(ABS(E119),"000000000000000"),11,1)&amp;" puluh ")&amp;MID(TEXT(ABS(E119),"000000000000000"),12,1)&amp;" ribu ")&amp;IF(--MID(TEXT(ABS(E119),"000000000000000"),13,3)=0,"",MID(TEXT(ABS(E119),"000000000000000"),13,1)&amp;" ratus "&amp;MID(TEXT(ABS(E119),"000000000000000"),14,1)&amp;" puluh "&amp;MID(TEXT(ABS(E119),"000000000000000"),15,1)),1,"satu"),2,"dua"),3,"tiga"),4,"empat"),5,"lima"),6,"enam"),7,"tujuh"),8,"delapan"),9,"sembilan"),"0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Enam Ratus Enam Puluh Empat Ribu Enam Ratus Tiga Puluh Empat Rupiah</v>
      </c>
      <c r="F120" s="11"/>
      <c r="G120" s="16"/>
      <c r="H120" s="12"/>
      <c r="I120" s="12"/>
      <c r="J120" s="12"/>
      <c r="K120" s="9"/>
    </row>
    <row r="121" spans="1:11" ht="15.75">
      <c r="A121" s="10"/>
      <c r="B121" s="10"/>
      <c r="C121" s="15"/>
      <c r="D121" s="15"/>
      <c r="E121" s="15"/>
      <c r="F121" s="11"/>
      <c r="G121" s="16"/>
      <c r="H121" s="12"/>
      <c r="I121" s="12"/>
      <c r="J121" s="12"/>
      <c r="K121" s="9"/>
    </row>
    <row r="122" spans="1:11">
      <c r="A122" s="10" t="s">
        <v>11</v>
      </c>
      <c r="B122" s="10"/>
      <c r="C122" s="10"/>
      <c r="D122" s="10"/>
      <c r="E122" s="10"/>
      <c r="F122" s="10"/>
      <c r="G122" s="10"/>
      <c r="H122" s="12"/>
      <c r="I122" s="12"/>
      <c r="J122" s="12"/>
      <c r="K122" s="9"/>
    </row>
    <row r="123" spans="1:11">
      <c r="A123" s="75" t="s">
        <v>12</v>
      </c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spans="1:11" ht="60">
      <c r="A124" s="17" t="s">
        <v>13</v>
      </c>
      <c r="B124" s="18" t="s">
        <v>14</v>
      </c>
      <c r="C124" s="76" t="s">
        <v>15</v>
      </c>
      <c r="D124" s="77"/>
      <c r="E124" s="78"/>
      <c r="F124" s="19"/>
      <c r="G124" s="20" t="s">
        <v>16</v>
      </c>
      <c r="H124" s="21" t="s">
        <v>41</v>
      </c>
      <c r="I124" s="21"/>
      <c r="J124" s="39" t="s">
        <v>17</v>
      </c>
      <c r="K124" s="40" t="s">
        <v>18</v>
      </c>
    </row>
    <row r="125" spans="1:11">
      <c r="A125" s="22">
        <v>1</v>
      </c>
      <c r="B125" s="25"/>
      <c r="C125" s="29" t="s">
        <v>23</v>
      </c>
      <c r="D125" s="67"/>
      <c r="E125" s="26"/>
      <c r="F125" s="23"/>
      <c r="G125" s="64" t="s">
        <v>19</v>
      </c>
      <c r="H125" s="64" t="s">
        <v>19</v>
      </c>
      <c r="I125" s="64"/>
      <c r="J125" s="64" t="s">
        <v>19</v>
      </c>
      <c r="K125" s="64" t="s">
        <v>19</v>
      </c>
    </row>
    <row r="126" spans="1:11">
      <c r="A126" s="25"/>
      <c r="B126" s="65" t="s">
        <v>20</v>
      </c>
      <c r="C126" s="70" t="s">
        <v>24</v>
      </c>
      <c r="D126" s="71"/>
      <c r="E126" s="72"/>
      <c r="F126" s="23"/>
      <c r="G126" s="24">
        <v>300000000</v>
      </c>
      <c r="H126" s="27">
        <f>H75+J75</f>
        <v>0</v>
      </c>
      <c r="I126" s="27"/>
      <c r="J126" s="27">
        <v>0</v>
      </c>
      <c r="K126" s="41">
        <f t="shared" ref="K126:K134" si="3">G126-H126-J126</f>
        <v>300000000</v>
      </c>
    </row>
    <row r="127" spans="1:11">
      <c r="A127" s="25"/>
      <c r="B127" s="65" t="s">
        <v>21</v>
      </c>
      <c r="C127" s="70" t="s">
        <v>25</v>
      </c>
      <c r="D127" s="71"/>
      <c r="E127" s="72"/>
      <c r="F127" s="23"/>
      <c r="G127" s="28">
        <v>15000000</v>
      </c>
      <c r="H127" s="27">
        <f t="shared" ref="H127:H134" si="4">H76+J76</f>
        <v>0</v>
      </c>
      <c r="I127" s="27"/>
      <c r="J127" s="27">
        <v>0</v>
      </c>
      <c r="K127" s="41">
        <f t="shared" si="3"/>
        <v>15000000</v>
      </c>
    </row>
    <row r="128" spans="1:11">
      <c r="A128" s="25"/>
      <c r="B128" s="65" t="s">
        <v>22</v>
      </c>
      <c r="C128" s="79" t="s">
        <v>26</v>
      </c>
      <c r="D128" s="80"/>
      <c r="E128" s="81"/>
      <c r="F128" s="23"/>
      <c r="G128" s="24">
        <v>115048000</v>
      </c>
      <c r="H128" s="27">
        <f t="shared" si="4"/>
        <v>0</v>
      </c>
      <c r="I128" s="27"/>
      <c r="J128" s="27">
        <v>0</v>
      </c>
      <c r="K128" s="41">
        <f t="shared" si="3"/>
        <v>115048000</v>
      </c>
    </row>
    <row r="129" spans="1:11">
      <c r="A129" s="25"/>
      <c r="B129" s="65" t="s">
        <v>43</v>
      </c>
      <c r="C129" s="70" t="s">
        <v>27</v>
      </c>
      <c r="D129" s="71"/>
      <c r="E129" s="72"/>
      <c r="F129" s="23"/>
      <c r="G129" s="24">
        <v>171988668</v>
      </c>
      <c r="H129" s="27">
        <f t="shared" si="4"/>
        <v>0</v>
      </c>
      <c r="I129" s="27"/>
      <c r="J129" s="27">
        <v>0</v>
      </c>
      <c r="K129" s="41">
        <f t="shared" si="3"/>
        <v>171988668</v>
      </c>
    </row>
    <row r="130" spans="1:11">
      <c r="A130" s="25"/>
      <c r="B130" s="65" t="s">
        <v>44</v>
      </c>
      <c r="C130" s="70" t="s">
        <v>28</v>
      </c>
      <c r="D130" s="71"/>
      <c r="E130" s="72"/>
      <c r="F130" s="23"/>
      <c r="G130" s="24">
        <v>92440133</v>
      </c>
      <c r="H130" s="27">
        <f t="shared" si="4"/>
        <v>8982640</v>
      </c>
      <c r="I130" s="27"/>
      <c r="J130" s="27">
        <v>0</v>
      </c>
      <c r="K130" s="41">
        <f t="shared" si="3"/>
        <v>83457493</v>
      </c>
    </row>
    <row r="131" spans="1:11">
      <c r="A131" s="25"/>
      <c r="B131" s="65" t="s">
        <v>45</v>
      </c>
      <c r="C131" s="70" t="s">
        <v>42</v>
      </c>
      <c r="D131" s="71"/>
      <c r="E131" s="72"/>
      <c r="F131" s="23"/>
      <c r="G131" s="24">
        <v>64388964</v>
      </c>
      <c r="H131" s="27">
        <f t="shared" si="4"/>
        <v>0</v>
      </c>
      <c r="I131" s="27"/>
      <c r="J131" s="27">
        <v>4664634</v>
      </c>
      <c r="K131" s="41">
        <f t="shared" si="3"/>
        <v>59724330</v>
      </c>
    </row>
    <row r="132" spans="1:11">
      <c r="A132" s="30"/>
      <c r="B132" s="66" t="s">
        <v>46</v>
      </c>
      <c r="C132" s="82" t="s">
        <v>29</v>
      </c>
      <c r="D132" s="83"/>
      <c r="E132" s="84"/>
      <c r="F132" s="31"/>
      <c r="G132" s="24">
        <v>214466910</v>
      </c>
      <c r="H132" s="27">
        <f t="shared" si="4"/>
        <v>0</v>
      </c>
      <c r="I132" s="27"/>
      <c r="J132" s="27">
        <v>0</v>
      </c>
      <c r="K132" s="41">
        <f t="shared" si="3"/>
        <v>214466910</v>
      </c>
    </row>
    <row r="133" spans="1:11">
      <c r="A133" s="30"/>
      <c r="B133" s="66" t="s">
        <v>47</v>
      </c>
      <c r="C133" s="32" t="s">
        <v>30</v>
      </c>
      <c r="D133" s="33"/>
      <c r="E133" s="34"/>
      <c r="F133" s="31"/>
      <c r="G133" s="24">
        <v>25000000</v>
      </c>
      <c r="H133" s="27">
        <f t="shared" si="4"/>
        <v>3850000</v>
      </c>
      <c r="I133" s="27"/>
      <c r="J133" s="27">
        <v>0</v>
      </c>
      <c r="K133" s="41">
        <f t="shared" si="3"/>
        <v>21150000</v>
      </c>
    </row>
    <row r="134" spans="1:11">
      <c r="A134" s="35"/>
      <c r="B134" s="66" t="s">
        <v>48</v>
      </c>
      <c r="C134" s="68" t="s">
        <v>49</v>
      </c>
      <c r="D134" s="10"/>
      <c r="E134" s="36"/>
      <c r="F134" s="31"/>
      <c r="G134" s="24">
        <v>178488817</v>
      </c>
      <c r="H134" s="27">
        <f t="shared" si="4"/>
        <v>0</v>
      </c>
      <c r="I134" s="27"/>
      <c r="J134" s="42">
        <v>0</v>
      </c>
      <c r="K134" s="43">
        <f t="shared" si="3"/>
        <v>178488817</v>
      </c>
    </row>
    <row r="135" spans="1:11">
      <c r="A135" s="44"/>
      <c r="B135" s="44"/>
      <c r="C135" s="44" t="s">
        <v>31</v>
      </c>
      <c r="D135" s="44"/>
      <c r="E135" s="44"/>
      <c r="F135" s="45"/>
      <c r="G135" s="46">
        <f>SUM(G125:G134)</f>
        <v>1176821492</v>
      </c>
      <c r="H135" s="47">
        <f>SUM(H125:H134)</f>
        <v>12832640</v>
      </c>
      <c r="I135" s="47"/>
      <c r="J135" s="47">
        <f>SUM(J125:J134)</f>
        <v>4664634</v>
      </c>
      <c r="K135" s="47">
        <f>SUM(K125:K134)</f>
        <v>1159324218</v>
      </c>
    </row>
    <row r="136" spans="1:11">
      <c r="A136" s="48"/>
      <c r="B136" s="8"/>
      <c r="C136" s="8"/>
      <c r="D136" s="8"/>
      <c r="E136" s="8"/>
      <c r="F136" s="8"/>
      <c r="G136" s="49"/>
      <c r="H136" s="49"/>
      <c r="I136" s="49"/>
      <c r="J136" s="49"/>
      <c r="K136" s="49"/>
    </row>
    <row r="137" spans="1:11">
      <c r="A137" s="85" t="s">
        <v>32</v>
      </c>
      <c r="B137" s="85"/>
      <c r="C137" s="85"/>
      <c r="D137" s="11" t="s">
        <v>4</v>
      </c>
      <c r="E137" s="14">
        <f>J135</f>
        <v>4664634</v>
      </c>
      <c r="F137" s="50"/>
      <c r="G137" s="51"/>
      <c r="H137" s="51"/>
      <c r="I137" s="51"/>
      <c r="J137" s="9"/>
      <c r="K137" s="9"/>
    </row>
    <row r="138" spans="1:11">
      <c r="A138" s="10" t="s">
        <v>33</v>
      </c>
      <c r="B138" s="10"/>
      <c r="C138" s="10"/>
      <c r="D138" s="11" t="s">
        <v>4</v>
      </c>
      <c r="E138" s="52"/>
      <c r="F138" s="52"/>
      <c r="G138" s="53"/>
      <c r="H138" s="12"/>
      <c r="I138" s="12"/>
      <c r="J138" s="9"/>
      <c r="K138" s="9"/>
    </row>
    <row r="139" spans="1:11">
      <c r="A139" s="10" t="s">
        <v>34</v>
      </c>
      <c r="B139" s="10"/>
      <c r="C139" s="10"/>
      <c r="D139" s="11" t="s">
        <v>4</v>
      </c>
      <c r="E139" s="54"/>
      <c r="F139" s="54"/>
      <c r="G139" s="53"/>
      <c r="H139" s="12"/>
      <c r="I139" s="12"/>
      <c r="J139" s="9"/>
      <c r="K139" s="9"/>
    </row>
    <row r="140" spans="1:11">
      <c r="A140" s="10" t="s">
        <v>35</v>
      </c>
      <c r="B140" s="10"/>
      <c r="C140" s="10"/>
      <c r="D140" s="11" t="s">
        <v>4</v>
      </c>
      <c r="E140" s="54">
        <f>E138+E139</f>
        <v>0</v>
      </c>
      <c r="F140" s="54"/>
      <c r="G140" s="10"/>
      <c r="H140" s="12"/>
      <c r="I140" s="12"/>
      <c r="J140" s="56"/>
      <c r="K140" s="56"/>
    </row>
    <row r="141" spans="1:11">
      <c r="A141" s="13"/>
      <c r="B141" s="13"/>
      <c r="C141" s="13"/>
      <c r="D141" s="11"/>
      <c r="E141" s="13"/>
      <c r="F141" s="13"/>
      <c r="G141" s="10"/>
      <c r="H141" s="12"/>
      <c r="I141" s="12"/>
      <c r="J141" s="56"/>
      <c r="K141" s="56"/>
    </row>
    <row r="142" spans="1:11">
      <c r="A142" s="85" t="s">
        <v>36</v>
      </c>
      <c r="B142" s="85"/>
      <c r="C142" s="85"/>
      <c r="D142" s="11" t="s">
        <v>4</v>
      </c>
      <c r="E142" s="50">
        <f>E137-E140</f>
        <v>4664634</v>
      </c>
      <c r="F142" s="50"/>
      <c r="G142" s="10"/>
      <c r="H142" s="12"/>
      <c r="I142" s="12"/>
      <c r="J142" s="56"/>
      <c r="K142" s="56"/>
    </row>
    <row r="143" spans="1:11" ht="15.75">
      <c r="A143" s="13"/>
      <c r="B143" s="13"/>
      <c r="C143" s="10"/>
      <c r="D143" s="10"/>
      <c r="E143" s="16" t="str">
        <f>PROPER(IF(E142=0,"nol",IF(E142&lt;0,"minus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142),"000000000000000"),1,3)=0,"",MID(TEXT(ABS(E142),"000000000000000"),1,1)&amp;" ratus "&amp;MID(TEXT(ABS(E142),"000000000000000"),2,1)&amp;" puluh "&amp;MID(TEXT(ABS(E142),"000000000000000"),3,1)&amp;" trilyun ")&amp;IF(--MID(TEXT(ABS(E142),"000000000000000"),4,3)=0,"",MID(TEXT(ABS(E142),"000000000000000"),4,1)&amp;" ratus "&amp;MID(TEXT(ABS(E142),"000000000000000"),5,1)&amp;" puluh "&amp;MID(TEXT(ABS(E142),"000000000000000"),6,1)&amp;" milyar ")&amp;IF(--MID(TEXT(ABS(E142),"000000000000000"),7,3)=0,"",MID(TEXT(ABS(E142),"000000000000000"),7,1)&amp;" ratus "&amp;MID(TEXT(ABS(E142),"000000000000000"),8,1)&amp;" puluh "&amp;MID(TEXT(ABS(E142),"000000000000000"),9,1)&amp;" juta ")&amp;IF(--MID(TEXT(ABS(E142),"000000000000000"),10,3)=0,"",IF(--MID(TEXT(ABS(E142),"000000000000000"),10,3)=1,"*",MID(TEXT(ABS(E142),"000000000000000"),10,1)&amp;" ratus "&amp;MID(TEXT(ABS(E142),"000000000000000"),11,1)&amp;" puluh ")&amp;MID(TEXT(ABS(E142),"000000000000000"),12,1)&amp;" ribu ")&amp;IF(--MID(TEXT(ABS(E142),"000000000000000"),13,3)=0,"",MID(TEXT(ABS(E142),"000000000000000"),13,1)&amp;" ratus "&amp;MID(TEXT(ABS(E142),"000000000000000"),14,1)&amp;" puluh "&amp;MID(TEXT(ABS(E142),"000000000000000"),15,1)),1,"satu"),2,"dua"),3,"tiga"),4,"empat"),5,"lima"),6,"enam"),7,"tujuh"),8,"delapan"),9,"sembilan"),"0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Enam Ratus Enam Puluh Empat Ribu Enam Ratus Tiga Puluh Empat Rupiah</v>
      </c>
      <c r="F143" s="10"/>
      <c r="G143" s="10"/>
      <c r="H143" s="10"/>
      <c r="I143" s="10"/>
      <c r="J143" s="56"/>
      <c r="K143" s="56"/>
    </row>
    <row r="144" spans="1:11">
      <c r="A144" s="55"/>
      <c r="B144" s="55"/>
      <c r="C144" s="55"/>
      <c r="D144" s="55"/>
      <c r="E144" s="55"/>
      <c r="F144" s="55"/>
      <c r="G144" s="37"/>
      <c r="H144" s="56"/>
      <c r="I144" s="56"/>
      <c r="J144" s="56"/>
      <c r="K144" s="56"/>
    </row>
    <row r="145" spans="1:11">
      <c r="A145" s="37"/>
      <c r="B145" s="37"/>
      <c r="C145" s="37"/>
      <c r="D145" s="37"/>
      <c r="E145" s="37"/>
      <c r="F145" s="37"/>
      <c r="G145" s="37"/>
      <c r="H145"/>
      <c r="I145"/>
      <c r="J145" s="56"/>
      <c r="K145" s="56"/>
    </row>
    <row r="146" spans="1:11">
      <c r="A146" s="13"/>
      <c r="B146" s="13"/>
      <c r="C146" s="10"/>
      <c r="D146" s="10"/>
      <c r="E146" s="10"/>
      <c r="F146" s="10"/>
      <c r="G146" s="10"/>
      <c r="I146" s="57"/>
      <c r="J146" s="57" t="s">
        <v>57</v>
      </c>
      <c r="K146" s="56"/>
    </row>
    <row r="147" spans="1:11">
      <c r="A147" s="12" t="s">
        <v>37</v>
      </c>
      <c r="B147" s="10"/>
      <c r="C147" s="10"/>
      <c r="D147" s="10"/>
      <c r="E147" s="10"/>
      <c r="F147" s="10"/>
      <c r="G147" s="10"/>
      <c r="I147" s="12"/>
      <c r="J147" s="12" t="s">
        <v>38</v>
      </c>
      <c r="K147" s="56"/>
    </row>
    <row r="148" spans="1:11">
      <c r="A148" s="10"/>
      <c r="B148" s="10"/>
      <c r="C148" s="10"/>
      <c r="D148" s="10"/>
      <c r="E148" s="10"/>
      <c r="F148" s="10"/>
      <c r="G148" s="10"/>
      <c r="I148" s="12"/>
      <c r="J148" s="12"/>
      <c r="K148" s="56"/>
    </row>
    <row r="149" spans="1:11">
      <c r="A149" s="10"/>
      <c r="B149" s="10"/>
      <c r="C149" s="10"/>
      <c r="D149" s="10"/>
      <c r="E149" s="10"/>
      <c r="F149" s="10"/>
      <c r="G149" s="10"/>
      <c r="I149" s="12"/>
      <c r="J149" s="12"/>
      <c r="K149" s="56"/>
    </row>
    <row r="150" spans="1:11">
      <c r="A150" s="10"/>
      <c r="B150" s="10"/>
      <c r="C150" s="10"/>
      <c r="D150" s="10"/>
      <c r="E150" s="10"/>
      <c r="F150" s="10"/>
      <c r="G150" s="10"/>
      <c r="I150" s="12"/>
      <c r="J150" s="12"/>
      <c r="K150" s="56"/>
    </row>
    <row r="151" spans="1:11">
      <c r="A151" s="10"/>
      <c r="B151" s="10"/>
      <c r="C151" s="10"/>
      <c r="D151" s="10"/>
      <c r="E151" s="10"/>
      <c r="F151" s="10"/>
      <c r="G151" s="10"/>
      <c r="I151" s="12"/>
      <c r="J151" s="12"/>
      <c r="K151" s="56"/>
    </row>
    <row r="152" spans="1:11">
      <c r="A152" s="69" t="s">
        <v>50</v>
      </c>
      <c r="B152" s="58"/>
      <c r="C152" s="59"/>
      <c r="D152" s="59"/>
      <c r="E152" s="59"/>
      <c r="F152" s="59"/>
      <c r="G152" s="10" t="s">
        <v>39</v>
      </c>
      <c r="I152" s="58"/>
      <c r="J152" s="58" t="s">
        <v>40</v>
      </c>
      <c r="K152" s="56"/>
    </row>
    <row r="157" spans="1:11" ht="15.75">
      <c r="C157" s="2"/>
      <c r="D157" s="2"/>
      <c r="E157" s="2"/>
      <c r="F157" s="2"/>
    </row>
    <row r="158" spans="1:11" ht="15.75">
      <c r="A158" s="3"/>
      <c r="B158" s="3"/>
      <c r="C158" s="2"/>
      <c r="D158" s="2"/>
      <c r="E158" s="2"/>
      <c r="F158" s="2"/>
      <c r="G158" s="3"/>
      <c r="H158" s="4"/>
      <c r="I158" s="4"/>
      <c r="J158" s="4"/>
      <c r="K158" s="5"/>
    </row>
    <row r="159" spans="1:11">
      <c r="H159" s="5"/>
      <c r="I159" s="5"/>
      <c r="J159" s="5"/>
      <c r="K159" s="5"/>
    </row>
    <row r="160" spans="1:11">
      <c r="H160" s="5"/>
      <c r="I160" s="5"/>
      <c r="J160" s="5"/>
      <c r="K160" s="5"/>
    </row>
    <row r="161" spans="1:11">
      <c r="A161" s="73" t="s">
        <v>0</v>
      </c>
      <c r="B161" s="73"/>
      <c r="C161" s="74"/>
      <c r="D161" s="74"/>
      <c r="E161" s="74"/>
      <c r="F161" s="74"/>
      <c r="G161" s="74"/>
      <c r="H161" s="74"/>
      <c r="I161" s="74"/>
      <c r="J161" s="74"/>
      <c r="K161" s="74"/>
    </row>
    <row r="162" spans="1:11">
      <c r="A162" s="74" t="s">
        <v>59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</row>
    <row r="163" spans="1:11">
      <c r="A163" s="74" t="s">
        <v>1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</row>
    <row r="164" spans="1:11">
      <c r="A164" s="74" t="s">
        <v>51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</row>
    <row r="165" spans="1:11">
      <c r="A165" s="74" t="s">
        <v>2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</row>
    <row r="166" spans="1:11">
      <c r="A166" s="6"/>
      <c r="B166" s="6"/>
      <c r="C166" s="7"/>
      <c r="D166" s="7"/>
      <c r="E166" s="7"/>
      <c r="F166" s="7"/>
      <c r="G166" s="8"/>
      <c r="H166" s="9"/>
      <c r="I166" s="9"/>
      <c r="J166" s="9"/>
      <c r="K166" s="9"/>
    </row>
    <row r="167" spans="1:11">
      <c r="A167" s="62" t="s">
        <v>3</v>
      </c>
      <c r="B167" s="10"/>
      <c r="C167" s="10"/>
      <c r="D167" s="63" t="s">
        <v>4</v>
      </c>
      <c r="E167" s="10" t="s">
        <v>5</v>
      </c>
      <c r="F167" s="11"/>
      <c r="G167" s="10"/>
      <c r="H167" s="12"/>
      <c r="I167" s="12"/>
      <c r="J167" s="12"/>
      <c r="K167" s="9"/>
    </row>
    <row r="168" spans="1:11">
      <c r="A168" s="62" t="s">
        <v>6</v>
      </c>
      <c r="B168" s="10"/>
      <c r="C168" s="10"/>
      <c r="D168" s="63" t="s">
        <v>4</v>
      </c>
      <c r="E168" s="10" t="s">
        <v>7</v>
      </c>
      <c r="F168" s="11"/>
      <c r="G168" s="10"/>
      <c r="H168" s="12"/>
      <c r="I168" s="12"/>
      <c r="J168" s="12"/>
      <c r="K168" s="9"/>
    </row>
    <row r="169" spans="1:11">
      <c r="A169" s="62" t="s">
        <v>8</v>
      </c>
      <c r="B169" s="10"/>
      <c r="C169" s="10"/>
      <c r="D169" s="63" t="s">
        <v>4</v>
      </c>
      <c r="E169" s="13">
        <v>2026</v>
      </c>
      <c r="F169" s="11"/>
      <c r="G169" s="13"/>
      <c r="H169" s="12"/>
      <c r="I169" s="12"/>
      <c r="J169" s="12"/>
      <c r="K169" s="9"/>
    </row>
    <row r="170" spans="1:11">
      <c r="A170" s="62" t="s">
        <v>9</v>
      </c>
      <c r="B170" s="10"/>
      <c r="C170" s="10"/>
      <c r="D170" s="63" t="s">
        <v>4</v>
      </c>
      <c r="E170" s="14">
        <f>J186</f>
        <v>13315000</v>
      </c>
      <c r="F170" s="11"/>
      <c r="G170" s="14"/>
      <c r="H170" s="12"/>
      <c r="I170" s="12"/>
      <c r="J170" s="12"/>
      <c r="K170" s="9"/>
    </row>
    <row r="171" spans="1:11" ht="15.75">
      <c r="A171" s="10"/>
      <c r="B171" s="10"/>
      <c r="C171" s="15" t="s">
        <v>10</v>
      </c>
      <c r="D171" s="63" t="s">
        <v>4</v>
      </c>
      <c r="E171" s="16" t="str">
        <f>PROPER(IF(E170=0,"nol",IF(E170&lt;0,"minus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170),"000000000000000"),1,3)=0,"",MID(TEXT(ABS(E170),"000000000000000"),1,1)&amp;" ratus "&amp;MID(TEXT(ABS(E170),"000000000000000"),2,1)&amp;" puluh "&amp;MID(TEXT(ABS(E170),"000000000000000"),3,1)&amp;" trilyun ")&amp;IF(--MID(TEXT(ABS(E170),"000000000000000"),4,3)=0,"",MID(TEXT(ABS(E170),"000000000000000"),4,1)&amp;" ratus "&amp;MID(TEXT(ABS(E170),"000000000000000"),5,1)&amp;" puluh "&amp;MID(TEXT(ABS(E170),"000000000000000"),6,1)&amp;" milyar ")&amp;IF(--MID(TEXT(ABS(E170),"000000000000000"),7,3)=0,"",MID(TEXT(ABS(E170),"000000000000000"),7,1)&amp;" ratus "&amp;MID(TEXT(ABS(E170),"000000000000000"),8,1)&amp;" puluh "&amp;MID(TEXT(ABS(E170),"000000000000000"),9,1)&amp;" juta ")&amp;IF(--MID(TEXT(ABS(E170),"000000000000000"),10,3)=0,"",IF(--MID(TEXT(ABS(E170),"000000000000000"),10,3)=1,"*",MID(TEXT(ABS(E170),"000000000000000"),10,1)&amp;" ratus "&amp;MID(TEXT(ABS(E170),"000000000000000"),11,1)&amp;" puluh ")&amp;MID(TEXT(ABS(E170),"000000000000000"),12,1)&amp;" ribu ")&amp;IF(--MID(TEXT(ABS(E170),"000000000000000"),13,3)=0,"",MID(TEXT(ABS(E170),"000000000000000"),13,1)&amp;" ratus "&amp;MID(TEXT(ABS(E170),"000000000000000"),14,1)&amp;" puluh "&amp;MID(TEXT(ABS(E170),"000000000000000"),15,1)),1,"satu"),2,"dua"),3,"tiga"),4,"empat"),5,"lima"),6,"enam"),7,"tujuh"),8,"delapan"),9,"sembilan"),"0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Tiga Ratus Limabelas Ribu Rupiah</v>
      </c>
      <c r="F171" s="11"/>
      <c r="G171" s="16"/>
      <c r="H171" s="12"/>
      <c r="I171" s="12"/>
      <c r="J171" s="12"/>
      <c r="K171" s="9"/>
    </row>
    <row r="172" spans="1:11" ht="15.75">
      <c r="A172" s="10"/>
      <c r="B172" s="10"/>
      <c r="C172" s="15"/>
      <c r="D172" s="15"/>
      <c r="E172" s="15"/>
      <c r="F172" s="11"/>
      <c r="G172" s="16"/>
      <c r="H172" s="12"/>
      <c r="I172" s="12"/>
      <c r="J172" s="12"/>
      <c r="K172" s="9"/>
    </row>
    <row r="173" spans="1:11">
      <c r="A173" s="10" t="s">
        <v>11</v>
      </c>
      <c r="B173" s="10"/>
      <c r="C173" s="10"/>
      <c r="D173" s="10"/>
      <c r="E173" s="10"/>
      <c r="F173" s="10"/>
      <c r="G173" s="10"/>
      <c r="H173" s="12"/>
      <c r="I173" s="12"/>
      <c r="J173" s="12"/>
      <c r="K173" s="9"/>
    </row>
    <row r="174" spans="1:11">
      <c r="A174" s="75" t="s">
        <v>12</v>
      </c>
      <c r="B174" s="75"/>
      <c r="C174" s="75"/>
      <c r="D174" s="75"/>
      <c r="E174" s="75"/>
      <c r="F174" s="75"/>
      <c r="G174" s="75"/>
      <c r="H174" s="75"/>
      <c r="I174" s="75"/>
      <c r="J174" s="75"/>
      <c r="K174" s="75"/>
    </row>
    <row r="175" spans="1:11" ht="60">
      <c r="A175" s="17" t="s">
        <v>13</v>
      </c>
      <c r="B175" s="18" t="s">
        <v>14</v>
      </c>
      <c r="C175" s="76" t="s">
        <v>15</v>
      </c>
      <c r="D175" s="77"/>
      <c r="E175" s="78"/>
      <c r="F175" s="19"/>
      <c r="G175" s="20" t="s">
        <v>16</v>
      </c>
      <c r="H175" s="21" t="s">
        <v>41</v>
      </c>
      <c r="I175" s="21"/>
      <c r="J175" s="39" t="s">
        <v>17</v>
      </c>
      <c r="K175" s="40" t="s">
        <v>18</v>
      </c>
    </row>
    <row r="176" spans="1:11">
      <c r="A176" s="22">
        <v>1</v>
      </c>
      <c r="B176" s="25"/>
      <c r="C176" s="29" t="s">
        <v>23</v>
      </c>
      <c r="D176" s="67"/>
      <c r="E176" s="26"/>
      <c r="F176" s="23"/>
      <c r="G176" s="64" t="s">
        <v>19</v>
      </c>
      <c r="H176" s="64" t="s">
        <v>19</v>
      </c>
      <c r="I176" s="64"/>
      <c r="J176" s="64" t="s">
        <v>19</v>
      </c>
      <c r="K176" s="64" t="s">
        <v>19</v>
      </c>
    </row>
    <row r="177" spans="1:11">
      <c r="A177" s="25"/>
      <c r="B177" s="65" t="s">
        <v>20</v>
      </c>
      <c r="C177" s="70" t="s">
        <v>24</v>
      </c>
      <c r="D177" s="71"/>
      <c r="E177" s="72"/>
      <c r="F177" s="23"/>
      <c r="G177" s="24">
        <v>300000000</v>
      </c>
      <c r="H177" s="27">
        <f>H126+J126</f>
        <v>0</v>
      </c>
      <c r="I177" s="27"/>
      <c r="J177" s="27">
        <v>0</v>
      </c>
      <c r="K177" s="41">
        <f t="shared" ref="K177:K185" si="5">G177-H177-J177</f>
        <v>300000000</v>
      </c>
    </row>
    <row r="178" spans="1:11">
      <c r="A178" s="25"/>
      <c r="B178" s="65" t="s">
        <v>21</v>
      </c>
      <c r="C178" s="70" t="s">
        <v>25</v>
      </c>
      <c r="D178" s="71"/>
      <c r="E178" s="72"/>
      <c r="F178" s="23"/>
      <c r="G178" s="28">
        <v>15000000</v>
      </c>
      <c r="H178" s="27">
        <f t="shared" ref="H178:H185" si="6">H127+J127</f>
        <v>0</v>
      </c>
      <c r="I178" s="27"/>
      <c r="J178" s="27">
        <v>0</v>
      </c>
      <c r="K178" s="41">
        <f t="shared" si="5"/>
        <v>15000000</v>
      </c>
    </row>
    <row r="179" spans="1:11">
      <c r="A179" s="25"/>
      <c r="B179" s="65" t="s">
        <v>22</v>
      </c>
      <c r="C179" s="79" t="s">
        <v>26</v>
      </c>
      <c r="D179" s="80"/>
      <c r="E179" s="81"/>
      <c r="F179" s="23"/>
      <c r="G179" s="24">
        <v>115048000</v>
      </c>
      <c r="H179" s="27">
        <f t="shared" si="6"/>
        <v>0</v>
      </c>
      <c r="I179" s="27"/>
      <c r="J179" s="27">
        <v>0</v>
      </c>
      <c r="K179" s="41">
        <f t="shared" si="5"/>
        <v>115048000</v>
      </c>
    </row>
    <row r="180" spans="1:11">
      <c r="A180" s="25"/>
      <c r="B180" s="65" t="s">
        <v>43</v>
      </c>
      <c r="C180" s="70" t="s">
        <v>27</v>
      </c>
      <c r="D180" s="71"/>
      <c r="E180" s="72"/>
      <c r="F180" s="23"/>
      <c r="G180" s="24">
        <v>171988668</v>
      </c>
      <c r="H180" s="27">
        <f t="shared" si="6"/>
        <v>0</v>
      </c>
      <c r="I180" s="27"/>
      <c r="J180" s="27">
        <v>13315000</v>
      </c>
      <c r="K180" s="41">
        <f t="shared" si="5"/>
        <v>158673668</v>
      </c>
    </row>
    <row r="181" spans="1:11">
      <c r="A181" s="25"/>
      <c r="B181" s="65" t="s">
        <v>44</v>
      </c>
      <c r="C181" s="70" t="s">
        <v>28</v>
      </c>
      <c r="D181" s="71"/>
      <c r="E181" s="72"/>
      <c r="F181" s="23"/>
      <c r="G181" s="24">
        <v>92440133</v>
      </c>
      <c r="H181" s="27">
        <f t="shared" si="6"/>
        <v>8982640</v>
      </c>
      <c r="I181" s="27"/>
      <c r="J181" s="27">
        <v>0</v>
      </c>
      <c r="K181" s="41">
        <f t="shared" si="5"/>
        <v>83457493</v>
      </c>
    </row>
    <row r="182" spans="1:11">
      <c r="A182" s="25"/>
      <c r="B182" s="65" t="s">
        <v>45</v>
      </c>
      <c r="C182" s="70" t="s">
        <v>42</v>
      </c>
      <c r="D182" s="71"/>
      <c r="E182" s="72"/>
      <c r="F182" s="23"/>
      <c r="G182" s="24">
        <v>64388964</v>
      </c>
      <c r="H182" s="27">
        <f>H131+J131</f>
        <v>4664634</v>
      </c>
      <c r="I182" s="27"/>
      <c r="J182" s="27">
        <v>0</v>
      </c>
      <c r="K182" s="41">
        <f t="shared" si="5"/>
        <v>59724330</v>
      </c>
    </row>
    <row r="183" spans="1:11">
      <c r="A183" s="30"/>
      <c r="B183" s="66" t="s">
        <v>46</v>
      </c>
      <c r="C183" s="82" t="s">
        <v>29</v>
      </c>
      <c r="D183" s="83"/>
      <c r="E183" s="84"/>
      <c r="F183" s="31"/>
      <c r="G183" s="24">
        <v>214466910</v>
      </c>
      <c r="H183" s="27">
        <f t="shared" si="6"/>
        <v>0</v>
      </c>
      <c r="I183" s="27"/>
      <c r="J183" s="27">
        <v>0</v>
      </c>
      <c r="K183" s="41">
        <f t="shared" si="5"/>
        <v>214466910</v>
      </c>
    </row>
    <row r="184" spans="1:11">
      <c r="A184" s="30"/>
      <c r="B184" s="66" t="s">
        <v>47</v>
      </c>
      <c r="C184" s="32" t="s">
        <v>30</v>
      </c>
      <c r="D184" s="33"/>
      <c r="E184" s="34"/>
      <c r="F184" s="31"/>
      <c r="G184" s="24">
        <v>25000000</v>
      </c>
      <c r="H184" s="27">
        <f t="shared" si="6"/>
        <v>3850000</v>
      </c>
      <c r="I184" s="27"/>
      <c r="J184" s="27">
        <v>0</v>
      </c>
      <c r="K184" s="41">
        <f t="shared" si="5"/>
        <v>21150000</v>
      </c>
    </row>
    <row r="185" spans="1:11">
      <c r="A185" s="35"/>
      <c r="B185" s="66" t="s">
        <v>48</v>
      </c>
      <c r="C185" s="68" t="s">
        <v>49</v>
      </c>
      <c r="D185" s="10"/>
      <c r="E185" s="36"/>
      <c r="F185" s="31"/>
      <c r="G185" s="24">
        <v>178488817</v>
      </c>
      <c r="H185" s="27">
        <f t="shared" si="6"/>
        <v>0</v>
      </c>
      <c r="I185" s="27"/>
      <c r="J185" s="42">
        <v>0</v>
      </c>
      <c r="K185" s="43">
        <f t="shared" si="5"/>
        <v>178488817</v>
      </c>
    </row>
    <row r="186" spans="1:11">
      <c r="A186" s="44"/>
      <c r="B186" s="44"/>
      <c r="C186" s="44" t="s">
        <v>31</v>
      </c>
      <c r="D186" s="44"/>
      <c r="E186" s="44"/>
      <c r="F186" s="45"/>
      <c r="G186" s="46">
        <f>SUM(G176:G185)</f>
        <v>1176821492</v>
      </c>
      <c r="H186" s="47">
        <f>SUM(H176:H185)</f>
        <v>17497274</v>
      </c>
      <c r="I186" s="47"/>
      <c r="J186" s="47">
        <f>SUM(J176:J185)</f>
        <v>13315000</v>
      </c>
      <c r="K186" s="47">
        <f>SUM(K176:K185)</f>
        <v>1146009218</v>
      </c>
    </row>
    <row r="187" spans="1:11">
      <c r="A187" s="48"/>
      <c r="B187" s="8"/>
      <c r="C187" s="8"/>
      <c r="D187" s="8"/>
      <c r="E187" s="8"/>
      <c r="F187" s="8"/>
      <c r="G187" s="49"/>
      <c r="H187" s="49"/>
      <c r="I187" s="49"/>
      <c r="J187" s="49"/>
      <c r="K187" s="49"/>
    </row>
    <row r="188" spans="1:11">
      <c r="A188" s="85" t="s">
        <v>32</v>
      </c>
      <c r="B188" s="85"/>
      <c r="C188" s="85"/>
      <c r="D188" s="11" t="s">
        <v>4</v>
      </c>
      <c r="E188" s="14">
        <f>J186</f>
        <v>13315000</v>
      </c>
      <c r="F188" s="50"/>
      <c r="G188" s="51"/>
      <c r="H188" s="51"/>
      <c r="I188" s="51"/>
      <c r="J188" s="9"/>
      <c r="K188" s="9"/>
    </row>
    <row r="189" spans="1:11">
      <c r="A189" s="10" t="s">
        <v>33</v>
      </c>
      <c r="B189" s="10"/>
      <c r="C189" s="10"/>
      <c r="D189" s="11" t="s">
        <v>4</v>
      </c>
      <c r="E189" s="52"/>
      <c r="F189" s="52"/>
      <c r="G189" s="53"/>
      <c r="H189" s="12"/>
      <c r="I189" s="12"/>
      <c r="J189" s="9"/>
      <c r="K189" s="9"/>
    </row>
    <row r="190" spans="1:11">
      <c r="A190" s="10" t="s">
        <v>34</v>
      </c>
      <c r="B190" s="10"/>
      <c r="C190" s="10"/>
      <c r="D190" s="11" t="s">
        <v>4</v>
      </c>
      <c r="E190" s="54"/>
      <c r="F190" s="54"/>
      <c r="G190" s="53"/>
      <c r="H190" s="12"/>
      <c r="I190" s="12"/>
      <c r="J190" s="9"/>
      <c r="K190" s="9"/>
    </row>
    <row r="191" spans="1:11">
      <c r="A191" s="10" t="s">
        <v>35</v>
      </c>
      <c r="B191" s="10"/>
      <c r="C191" s="10"/>
      <c r="D191" s="11" t="s">
        <v>4</v>
      </c>
      <c r="E191" s="54">
        <f>E189+E190</f>
        <v>0</v>
      </c>
      <c r="F191" s="54"/>
      <c r="G191" s="10"/>
      <c r="H191" s="12"/>
      <c r="I191" s="12"/>
      <c r="J191" s="56"/>
      <c r="K191" s="56"/>
    </row>
    <row r="192" spans="1:11">
      <c r="A192" s="13"/>
      <c r="B192" s="13"/>
      <c r="C192" s="13"/>
      <c r="D192" s="11"/>
      <c r="E192" s="13"/>
      <c r="F192" s="13"/>
      <c r="G192" s="10"/>
      <c r="H192" s="12"/>
      <c r="I192" s="12"/>
      <c r="J192" s="56"/>
      <c r="K192" s="56"/>
    </row>
    <row r="193" spans="1:11">
      <c r="A193" s="85" t="s">
        <v>36</v>
      </c>
      <c r="B193" s="85"/>
      <c r="C193" s="85"/>
      <c r="D193" s="11" t="s">
        <v>4</v>
      </c>
      <c r="E193" s="50">
        <f>E188-E191</f>
        <v>13315000</v>
      </c>
      <c r="F193" s="50"/>
      <c r="G193" s="10"/>
      <c r="H193" s="12"/>
      <c r="I193" s="12"/>
      <c r="J193" s="56"/>
      <c r="K193" s="56"/>
    </row>
    <row r="194" spans="1:11" ht="15.75">
      <c r="A194" s="13"/>
      <c r="B194" s="13"/>
      <c r="C194" s="10"/>
      <c r="D194" s="10"/>
      <c r="E194" s="16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Tiga Ratus Limabelas Ribu Rupiah</v>
      </c>
      <c r="F194" s="10"/>
      <c r="G194" s="10"/>
      <c r="H194" s="10"/>
      <c r="I194" s="10"/>
      <c r="J194" s="56"/>
      <c r="K194" s="56"/>
    </row>
    <row r="195" spans="1:11">
      <c r="A195" s="55"/>
      <c r="B195" s="55"/>
      <c r="C195" s="55"/>
      <c r="D195" s="55"/>
      <c r="E195" s="55"/>
      <c r="F195" s="55"/>
      <c r="G195" s="37"/>
      <c r="H195" s="56"/>
      <c r="I195" s="56"/>
      <c r="J195" s="56"/>
      <c r="K195" s="56"/>
    </row>
    <row r="196" spans="1:11">
      <c r="A196" s="37"/>
      <c r="B196" s="37"/>
      <c r="C196" s="37"/>
      <c r="D196" s="37"/>
      <c r="E196" s="37"/>
      <c r="F196" s="37"/>
      <c r="G196" s="37"/>
      <c r="H196"/>
      <c r="I196"/>
      <c r="J196" s="56"/>
      <c r="K196" s="56"/>
    </row>
    <row r="197" spans="1:11">
      <c r="A197" s="13"/>
      <c r="B197" s="13"/>
      <c r="C197" s="10"/>
      <c r="D197" s="10"/>
      <c r="E197" s="10"/>
      <c r="F197" s="10"/>
      <c r="G197" s="10"/>
      <c r="I197" s="57"/>
      <c r="J197" s="57" t="s">
        <v>60</v>
      </c>
      <c r="K197" s="56"/>
    </row>
    <row r="198" spans="1:11">
      <c r="A198" s="12" t="s">
        <v>37</v>
      </c>
      <c r="B198" s="10"/>
      <c r="C198" s="10"/>
      <c r="D198" s="10"/>
      <c r="E198" s="10"/>
      <c r="F198" s="10"/>
      <c r="G198" s="10"/>
      <c r="I198" s="12"/>
      <c r="J198" s="12" t="s">
        <v>38</v>
      </c>
      <c r="K198" s="56"/>
    </row>
    <row r="199" spans="1:11">
      <c r="A199" s="10"/>
      <c r="B199" s="10"/>
      <c r="C199" s="10"/>
      <c r="D199" s="10"/>
      <c r="E199" s="10"/>
      <c r="F199" s="10"/>
      <c r="G199" s="10"/>
      <c r="I199" s="12"/>
      <c r="J199" s="12"/>
      <c r="K199" s="56"/>
    </row>
    <row r="200" spans="1:11">
      <c r="A200" s="10"/>
      <c r="B200" s="10"/>
      <c r="C200" s="10"/>
      <c r="D200" s="10"/>
      <c r="E200" s="10"/>
      <c r="F200" s="10"/>
      <c r="G200" s="10"/>
      <c r="I200" s="12"/>
      <c r="J200" s="12"/>
      <c r="K200" s="56"/>
    </row>
    <row r="201" spans="1:11">
      <c r="A201" s="10"/>
      <c r="B201" s="10"/>
      <c r="C201" s="10"/>
      <c r="D201" s="10"/>
      <c r="E201" s="10"/>
      <c r="F201" s="10"/>
      <c r="G201" s="10"/>
      <c r="I201" s="12"/>
      <c r="J201" s="12"/>
      <c r="K201" s="56"/>
    </row>
    <row r="202" spans="1:11">
      <c r="A202" s="10"/>
      <c r="B202" s="10"/>
      <c r="C202" s="10"/>
      <c r="D202" s="10"/>
      <c r="E202" s="10"/>
      <c r="F202" s="10"/>
      <c r="G202" s="10"/>
      <c r="I202" s="12"/>
      <c r="J202" s="12"/>
      <c r="K202" s="56"/>
    </row>
    <row r="203" spans="1:11">
      <c r="A203" s="69" t="s">
        <v>50</v>
      </c>
      <c r="B203" s="58"/>
      <c r="C203" s="59"/>
      <c r="D203" s="59"/>
      <c r="E203" s="59"/>
      <c r="F203" s="59"/>
      <c r="G203" s="10" t="s">
        <v>39</v>
      </c>
      <c r="I203" s="58"/>
      <c r="J203" s="58" t="s">
        <v>40</v>
      </c>
      <c r="K203" s="56"/>
    </row>
    <row r="208" spans="1:11" ht="15.75">
      <c r="C208" s="2"/>
      <c r="D208" s="2"/>
      <c r="E208" s="2"/>
      <c r="F208" s="2"/>
    </row>
    <row r="209" spans="1:11" ht="15.75">
      <c r="A209" s="3"/>
      <c r="B209" s="3"/>
      <c r="C209" s="2"/>
      <c r="D209" s="2"/>
      <c r="E209" s="2"/>
      <c r="F209" s="2"/>
      <c r="G209" s="3"/>
      <c r="H209" s="4"/>
      <c r="I209" s="4"/>
      <c r="J209" s="4"/>
      <c r="K209" s="5"/>
    </row>
    <row r="210" spans="1:11">
      <c r="H210" s="5"/>
      <c r="I210" s="5"/>
      <c r="J210" s="5"/>
      <c r="K210" s="5"/>
    </row>
    <row r="211" spans="1:11">
      <c r="H211" s="5"/>
      <c r="I211" s="5"/>
      <c r="J211" s="5"/>
      <c r="K211" s="5"/>
    </row>
    <row r="212" spans="1:11">
      <c r="A212" s="73" t="s">
        <v>0</v>
      </c>
      <c r="B212" s="73"/>
      <c r="C212" s="74"/>
      <c r="D212" s="74"/>
      <c r="E212" s="74"/>
      <c r="F212" s="74"/>
      <c r="G212" s="74"/>
      <c r="H212" s="74"/>
      <c r="I212" s="74"/>
      <c r="J212" s="74"/>
      <c r="K212" s="74"/>
    </row>
    <row r="213" spans="1:11">
      <c r="A213" s="74" t="s">
        <v>61</v>
      </c>
      <c r="B213" s="74"/>
      <c r="C213" s="74"/>
      <c r="D213" s="74"/>
      <c r="E213" s="74"/>
      <c r="F213" s="74"/>
      <c r="G213" s="74"/>
      <c r="H213" s="74"/>
      <c r="I213" s="74"/>
      <c r="J213" s="74"/>
      <c r="K213" s="74"/>
    </row>
    <row r="214" spans="1:11">
      <c r="A214" s="74" t="s">
        <v>1</v>
      </c>
      <c r="B214" s="74"/>
      <c r="C214" s="74"/>
      <c r="D214" s="74"/>
      <c r="E214" s="74"/>
      <c r="F214" s="74"/>
      <c r="G214" s="74"/>
      <c r="H214" s="74"/>
      <c r="I214" s="74"/>
      <c r="J214" s="74"/>
      <c r="K214" s="74"/>
    </row>
    <row r="215" spans="1:11">
      <c r="A215" s="74" t="s">
        <v>51</v>
      </c>
      <c r="B215" s="74"/>
      <c r="C215" s="74"/>
      <c r="D215" s="74"/>
      <c r="E215" s="74"/>
      <c r="F215" s="74"/>
      <c r="G215" s="74"/>
      <c r="H215" s="74"/>
      <c r="I215" s="74"/>
      <c r="J215" s="74"/>
      <c r="K215" s="74"/>
    </row>
    <row r="216" spans="1:11">
      <c r="A216" s="74" t="s">
        <v>2</v>
      </c>
      <c r="B216" s="74"/>
      <c r="C216" s="74"/>
      <c r="D216" s="74"/>
      <c r="E216" s="74"/>
      <c r="F216" s="74"/>
      <c r="G216" s="74"/>
      <c r="H216" s="74"/>
      <c r="I216" s="74"/>
      <c r="J216" s="74"/>
      <c r="K216" s="74"/>
    </row>
    <row r="217" spans="1:11">
      <c r="A217" s="6"/>
      <c r="B217" s="6"/>
      <c r="C217" s="7"/>
      <c r="D217" s="7"/>
      <c r="E217" s="7"/>
      <c r="F217" s="7"/>
      <c r="G217" s="8"/>
      <c r="H217" s="9"/>
      <c r="I217" s="9"/>
      <c r="J217" s="9"/>
      <c r="K217" s="9"/>
    </row>
    <row r="218" spans="1:11">
      <c r="A218" s="62" t="s">
        <v>3</v>
      </c>
      <c r="B218" s="10"/>
      <c r="C218" s="10"/>
      <c r="D218" s="63" t="s">
        <v>4</v>
      </c>
      <c r="E218" s="10" t="s">
        <v>5</v>
      </c>
      <c r="F218" s="11"/>
      <c r="G218" s="10"/>
      <c r="H218" s="12"/>
      <c r="I218" s="12"/>
      <c r="J218" s="12"/>
      <c r="K218" s="9"/>
    </row>
    <row r="219" spans="1:11">
      <c r="A219" s="62" t="s">
        <v>6</v>
      </c>
      <c r="B219" s="10"/>
      <c r="C219" s="10"/>
      <c r="D219" s="63" t="s">
        <v>4</v>
      </c>
      <c r="E219" s="10" t="s">
        <v>7</v>
      </c>
      <c r="F219" s="11"/>
      <c r="G219" s="10"/>
      <c r="H219" s="12"/>
      <c r="I219" s="12"/>
      <c r="J219" s="12"/>
      <c r="K219" s="9"/>
    </row>
    <row r="220" spans="1:11">
      <c r="A220" s="62" t="s">
        <v>8</v>
      </c>
      <c r="B220" s="10"/>
      <c r="C220" s="10"/>
      <c r="D220" s="63" t="s">
        <v>4</v>
      </c>
      <c r="E220" s="13">
        <v>2026</v>
      </c>
      <c r="F220" s="11"/>
      <c r="G220" s="13"/>
      <c r="H220" s="12"/>
      <c r="I220" s="12"/>
      <c r="J220" s="12"/>
      <c r="K220" s="9"/>
    </row>
    <row r="221" spans="1:11">
      <c r="A221" s="62" t="s">
        <v>9</v>
      </c>
      <c r="B221" s="10"/>
      <c r="C221" s="10"/>
      <c r="D221" s="63" t="s">
        <v>4</v>
      </c>
      <c r="E221" s="14">
        <f>J237</f>
        <v>8525000</v>
      </c>
      <c r="F221" s="11"/>
      <c r="G221" s="14"/>
      <c r="H221" s="12"/>
      <c r="I221" s="12"/>
      <c r="J221" s="12"/>
      <c r="K221" s="9"/>
    </row>
    <row r="222" spans="1:11" ht="15.75">
      <c r="A222" s="10"/>
      <c r="B222" s="10"/>
      <c r="C222" s="15" t="s">
        <v>10</v>
      </c>
      <c r="D222" s="63" t="s">
        <v>4</v>
      </c>
      <c r="E222" s="16" t="str">
        <f>PROPER(IF(E221=0,"nol",IF(E221&lt;0,"minus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221),"000000000000000"),1,3)=0,"",MID(TEXT(ABS(E221),"000000000000000"),1,1)&amp;" ratus "&amp;MID(TEXT(ABS(E221),"000000000000000"),2,1)&amp;" puluh "&amp;MID(TEXT(ABS(E221),"000000000000000"),3,1)&amp;" trilyun ")&amp;IF(--MID(TEXT(ABS(E221),"000000000000000"),4,3)=0,"",MID(TEXT(ABS(E221),"000000000000000"),4,1)&amp;" ratus "&amp;MID(TEXT(ABS(E221),"000000000000000"),5,1)&amp;" puluh "&amp;MID(TEXT(ABS(E221),"000000000000000"),6,1)&amp;" milyar ")&amp;IF(--MID(TEXT(ABS(E221),"000000000000000"),7,3)=0,"",MID(TEXT(ABS(E221),"000000000000000"),7,1)&amp;" ratus "&amp;MID(TEXT(ABS(E221),"000000000000000"),8,1)&amp;" puluh "&amp;MID(TEXT(ABS(E221),"000000000000000"),9,1)&amp;" juta ")&amp;IF(--MID(TEXT(ABS(E221),"000000000000000"),10,3)=0,"",IF(--MID(TEXT(ABS(E221),"000000000000000"),10,3)=1,"*",MID(TEXT(ABS(E221),"000000000000000"),10,1)&amp;" ratus "&amp;MID(TEXT(ABS(E221),"000000000000000"),11,1)&amp;" puluh ")&amp;MID(TEXT(ABS(E221),"000000000000000"),12,1)&amp;" ribu ")&amp;IF(--MID(TEXT(ABS(E221),"000000000000000"),13,3)=0,"",MID(TEXT(ABS(E221),"000000000000000"),13,1)&amp;" ratus "&amp;MID(TEXT(ABS(E221),"000000000000000"),14,1)&amp;" puluh "&amp;MID(TEXT(ABS(E221),"000000000000000"),15,1)),1,"satu"),2,"dua"),3,"tiga"),4,"empat"),5,"lima"),6,"enam"),7,"tujuh"),8,"delapan"),9,"sembilan"),"0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Lima Ratus Dua Puluh Lima Ribu Rupiah</v>
      </c>
      <c r="F222" s="11"/>
      <c r="G222" s="16"/>
      <c r="H222" s="12"/>
      <c r="I222" s="12"/>
      <c r="J222" s="12"/>
      <c r="K222" s="9"/>
    </row>
    <row r="223" spans="1:11" ht="15.75">
      <c r="A223" s="10"/>
      <c r="B223" s="10"/>
      <c r="C223" s="15"/>
      <c r="D223" s="15"/>
      <c r="E223" s="15"/>
      <c r="F223" s="11"/>
      <c r="G223" s="16"/>
      <c r="H223" s="12"/>
      <c r="I223" s="12"/>
      <c r="J223" s="12"/>
      <c r="K223" s="9"/>
    </row>
    <row r="224" spans="1:11">
      <c r="A224" s="10" t="s">
        <v>11</v>
      </c>
      <c r="B224" s="10"/>
      <c r="C224" s="10"/>
      <c r="D224" s="10"/>
      <c r="E224" s="10"/>
      <c r="F224" s="10"/>
      <c r="G224" s="10"/>
      <c r="H224" s="12"/>
      <c r="I224" s="12"/>
      <c r="J224" s="12"/>
      <c r="K224" s="9"/>
    </row>
    <row r="225" spans="1:11">
      <c r="A225" s="75" t="s">
        <v>12</v>
      </c>
      <c r="B225" s="75"/>
      <c r="C225" s="75"/>
      <c r="D225" s="75"/>
      <c r="E225" s="75"/>
      <c r="F225" s="75"/>
      <c r="G225" s="75"/>
      <c r="H225" s="75"/>
      <c r="I225" s="75"/>
      <c r="J225" s="75"/>
      <c r="K225" s="75"/>
    </row>
    <row r="226" spans="1:11" ht="60">
      <c r="A226" s="17" t="s">
        <v>13</v>
      </c>
      <c r="B226" s="18" t="s">
        <v>14</v>
      </c>
      <c r="C226" s="76" t="s">
        <v>15</v>
      </c>
      <c r="D226" s="77"/>
      <c r="E226" s="78"/>
      <c r="F226" s="19"/>
      <c r="G226" s="20" t="s">
        <v>16</v>
      </c>
      <c r="H226" s="21" t="s">
        <v>41</v>
      </c>
      <c r="I226" s="21"/>
      <c r="J226" s="39" t="s">
        <v>17</v>
      </c>
      <c r="K226" s="40" t="s">
        <v>18</v>
      </c>
    </row>
    <row r="227" spans="1:11">
      <c r="A227" s="22">
        <v>1</v>
      </c>
      <c r="B227" s="25"/>
      <c r="C227" s="29" t="s">
        <v>23</v>
      </c>
      <c r="D227" s="67"/>
      <c r="E227" s="26"/>
      <c r="F227" s="23"/>
      <c r="G227" s="64" t="s">
        <v>19</v>
      </c>
      <c r="H227" s="64" t="s">
        <v>19</v>
      </c>
      <c r="I227" s="64"/>
      <c r="J227" s="64" t="s">
        <v>19</v>
      </c>
      <c r="K227" s="64" t="s">
        <v>19</v>
      </c>
    </row>
    <row r="228" spans="1:11">
      <c r="A228" s="25"/>
      <c r="B228" s="65" t="s">
        <v>20</v>
      </c>
      <c r="C228" s="70" t="s">
        <v>24</v>
      </c>
      <c r="D228" s="71"/>
      <c r="E228" s="72"/>
      <c r="F228" s="23"/>
      <c r="G228" s="24">
        <v>300000000</v>
      </c>
      <c r="H228" s="27">
        <f>H177+J177</f>
        <v>0</v>
      </c>
      <c r="I228" s="27"/>
      <c r="J228" s="27">
        <v>0</v>
      </c>
      <c r="K228" s="41">
        <f t="shared" ref="K228:K236" si="7">G228-H228-J228</f>
        <v>300000000</v>
      </c>
    </row>
    <row r="229" spans="1:11">
      <c r="A229" s="25"/>
      <c r="B229" s="65" t="s">
        <v>21</v>
      </c>
      <c r="C229" s="70" t="s">
        <v>25</v>
      </c>
      <c r="D229" s="71"/>
      <c r="E229" s="72"/>
      <c r="F229" s="23"/>
      <c r="G229" s="28">
        <v>15000000</v>
      </c>
      <c r="H229" s="27">
        <f t="shared" ref="H229:H232" si="8">H178+J178</f>
        <v>0</v>
      </c>
      <c r="I229" s="27"/>
      <c r="J229" s="27">
        <v>0</v>
      </c>
      <c r="K229" s="41">
        <f t="shared" si="7"/>
        <v>15000000</v>
      </c>
    </row>
    <row r="230" spans="1:11">
      <c r="A230" s="25"/>
      <c r="B230" s="65" t="s">
        <v>22</v>
      </c>
      <c r="C230" s="79" t="s">
        <v>26</v>
      </c>
      <c r="D230" s="80"/>
      <c r="E230" s="81"/>
      <c r="F230" s="23"/>
      <c r="G230" s="24">
        <v>115048000</v>
      </c>
      <c r="H230" s="27">
        <f t="shared" si="8"/>
        <v>0</v>
      </c>
      <c r="I230" s="27"/>
      <c r="J230" s="27">
        <v>8525000</v>
      </c>
      <c r="K230" s="41">
        <f t="shared" si="7"/>
        <v>106523000</v>
      </c>
    </row>
    <row r="231" spans="1:11">
      <c r="A231" s="25"/>
      <c r="B231" s="65" t="s">
        <v>43</v>
      </c>
      <c r="C231" s="70" t="s">
        <v>27</v>
      </c>
      <c r="D231" s="71"/>
      <c r="E231" s="72"/>
      <c r="F231" s="23"/>
      <c r="G231" s="24">
        <v>171988668</v>
      </c>
      <c r="H231" s="27">
        <f>H180+J180</f>
        <v>13315000</v>
      </c>
      <c r="I231" s="27"/>
      <c r="J231" s="27">
        <v>0</v>
      </c>
      <c r="K231" s="41">
        <f t="shared" si="7"/>
        <v>158673668</v>
      </c>
    </row>
    <row r="232" spans="1:11">
      <c r="A232" s="25"/>
      <c r="B232" s="65" t="s">
        <v>44</v>
      </c>
      <c r="C232" s="70" t="s">
        <v>28</v>
      </c>
      <c r="D232" s="71"/>
      <c r="E232" s="72"/>
      <c r="F232" s="23"/>
      <c r="G232" s="24">
        <v>92440133</v>
      </c>
      <c r="H232" s="27">
        <f t="shared" si="8"/>
        <v>8982640</v>
      </c>
      <c r="I232" s="27"/>
      <c r="J232" s="27">
        <v>0</v>
      </c>
      <c r="K232" s="41">
        <f t="shared" si="7"/>
        <v>83457493</v>
      </c>
    </row>
    <row r="233" spans="1:11">
      <c r="A233" s="25"/>
      <c r="B233" s="65" t="s">
        <v>45</v>
      </c>
      <c r="C233" s="70" t="s">
        <v>42</v>
      </c>
      <c r="D233" s="71"/>
      <c r="E233" s="72"/>
      <c r="F233" s="23"/>
      <c r="G233" s="24">
        <v>64388964</v>
      </c>
      <c r="H233" s="27">
        <f>H182+J182</f>
        <v>4664634</v>
      </c>
      <c r="I233" s="27"/>
      <c r="J233" s="27">
        <v>0</v>
      </c>
      <c r="K233" s="41">
        <f t="shared" si="7"/>
        <v>59724330</v>
      </c>
    </row>
    <row r="234" spans="1:11">
      <c r="A234" s="30"/>
      <c r="B234" s="66" t="s">
        <v>46</v>
      </c>
      <c r="C234" s="82" t="s">
        <v>29</v>
      </c>
      <c r="D234" s="83"/>
      <c r="E234" s="84"/>
      <c r="F234" s="31"/>
      <c r="G234" s="24">
        <v>214466910</v>
      </c>
      <c r="H234" s="27">
        <f t="shared" ref="H234:H236" si="9">H183+J183</f>
        <v>0</v>
      </c>
      <c r="I234" s="27"/>
      <c r="J234" s="27">
        <v>0</v>
      </c>
      <c r="K234" s="41">
        <f t="shared" si="7"/>
        <v>214466910</v>
      </c>
    </row>
    <row r="235" spans="1:11">
      <c r="A235" s="30"/>
      <c r="B235" s="66" t="s">
        <v>47</v>
      </c>
      <c r="C235" s="32" t="s">
        <v>30</v>
      </c>
      <c r="D235" s="33"/>
      <c r="E235" s="34"/>
      <c r="F235" s="31"/>
      <c r="G235" s="24">
        <v>25000000</v>
      </c>
      <c r="H235" s="27">
        <f t="shared" si="9"/>
        <v>3850000</v>
      </c>
      <c r="I235" s="27"/>
      <c r="J235" s="27">
        <v>0</v>
      </c>
      <c r="K235" s="41">
        <f t="shared" si="7"/>
        <v>21150000</v>
      </c>
    </row>
    <row r="236" spans="1:11">
      <c r="A236" s="35"/>
      <c r="B236" s="66" t="s">
        <v>48</v>
      </c>
      <c r="C236" s="68" t="s">
        <v>49</v>
      </c>
      <c r="D236" s="10"/>
      <c r="E236" s="36"/>
      <c r="F236" s="31"/>
      <c r="G236" s="24">
        <v>178488817</v>
      </c>
      <c r="H236" s="27">
        <f t="shared" si="9"/>
        <v>0</v>
      </c>
      <c r="I236" s="27"/>
      <c r="J236" s="42">
        <v>0</v>
      </c>
      <c r="K236" s="43">
        <f t="shared" si="7"/>
        <v>178488817</v>
      </c>
    </row>
    <row r="237" spans="1:11">
      <c r="A237" s="44"/>
      <c r="B237" s="44"/>
      <c r="C237" s="44" t="s">
        <v>31</v>
      </c>
      <c r="D237" s="44"/>
      <c r="E237" s="44"/>
      <c r="F237" s="45"/>
      <c r="G237" s="46">
        <f>SUM(G227:G236)</f>
        <v>1176821492</v>
      </c>
      <c r="H237" s="47">
        <f>SUM(H227:H236)</f>
        <v>30812274</v>
      </c>
      <c r="I237" s="47"/>
      <c r="J237" s="47">
        <f>SUM(J227:J236)</f>
        <v>8525000</v>
      </c>
      <c r="K237" s="47">
        <f>SUM(K227:K236)</f>
        <v>1137484218</v>
      </c>
    </row>
    <row r="238" spans="1:11">
      <c r="A238" s="48"/>
      <c r="B238" s="8"/>
      <c r="C238" s="8"/>
      <c r="D238" s="8"/>
      <c r="E238" s="8"/>
      <c r="F238" s="8"/>
      <c r="G238" s="49"/>
      <c r="H238" s="49"/>
      <c r="I238" s="49"/>
      <c r="J238" s="49"/>
      <c r="K238" s="49"/>
    </row>
    <row r="239" spans="1:11">
      <c r="A239" s="85" t="s">
        <v>32</v>
      </c>
      <c r="B239" s="85"/>
      <c r="C239" s="85"/>
      <c r="D239" s="11" t="s">
        <v>4</v>
      </c>
      <c r="E239" s="14">
        <f>J237</f>
        <v>8525000</v>
      </c>
      <c r="F239" s="50"/>
      <c r="G239" s="51"/>
      <c r="H239" s="51"/>
      <c r="I239" s="51"/>
      <c r="J239" s="9"/>
      <c r="K239" s="9"/>
    </row>
    <row r="240" spans="1:11">
      <c r="A240" s="10" t="s">
        <v>33</v>
      </c>
      <c r="B240" s="10"/>
      <c r="C240" s="10"/>
      <c r="D240" s="11" t="s">
        <v>4</v>
      </c>
      <c r="E240" s="52"/>
      <c r="F240" s="52"/>
      <c r="G240" s="53"/>
      <c r="H240" s="12"/>
      <c r="I240" s="12"/>
      <c r="J240" s="9"/>
      <c r="K240" s="9"/>
    </row>
    <row r="241" spans="1:11">
      <c r="A241" s="10" t="s">
        <v>34</v>
      </c>
      <c r="B241" s="10"/>
      <c r="C241" s="10"/>
      <c r="D241" s="11" t="s">
        <v>4</v>
      </c>
      <c r="E241" s="54"/>
      <c r="F241" s="54"/>
      <c r="G241" s="53"/>
      <c r="H241" s="12"/>
      <c r="I241" s="12"/>
      <c r="J241" s="9"/>
      <c r="K241" s="9"/>
    </row>
    <row r="242" spans="1:11">
      <c r="A242" s="10" t="s">
        <v>35</v>
      </c>
      <c r="B242" s="10"/>
      <c r="C242" s="10"/>
      <c r="D242" s="11" t="s">
        <v>4</v>
      </c>
      <c r="E242" s="54">
        <f>E240+E241</f>
        <v>0</v>
      </c>
      <c r="F242" s="54"/>
      <c r="G242" s="10"/>
      <c r="H242" s="12"/>
      <c r="I242" s="12"/>
      <c r="J242" s="56"/>
      <c r="K242" s="56"/>
    </row>
    <row r="243" spans="1:11">
      <c r="A243" s="13"/>
      <c r="B243" s="13"/>
      <c r="C243" s="13"/>
      <c r="D243" s="11"/>
      <c r="E243" s="13"/>
      <c r="F243" s="13"/>
      <c r="G243" s="10"/>
      <c r="H243" s="12"/>
      <c r="I243" s="12"/>
      <c r="J243" s="56"/>
      <c r="K243" s="56"/>
    </row>
    <row r="244" spans="1:11">
      <c r="A244" s="85" t="s">
        <v>36</v>
      </c>
      <c r="B244" s="85"/>
      <c r="C244" s="85"/>
      <c r="D244" s="11" t="s">
        <v>4</v>
      </c>
      <c r="E244" s="50">
        <f>E239-E242</f>
        <v>8525000</v>
      </c>
      <c r="F244" s="50"/>
      <c r="G244" s="10"/>
      <c r="H244" s="12"/>
      <c r="I244" s="12"/>
      <c r="J244" s="56"/>
      <c r="K244" s="56"/>
    </row>
    <row r="245" spans="1:11" ht="15.75">
      <c r="A245" s="13"/>
      <c r="B245" s="13"/>
      <c r="C245" s="10"/>
      <c r="D245" s="10"/>
      <c r="E245" s="16" t="str">
        <f>PROPER(IF(E244=0,"nol",IF(E244&lt;0,"minus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244),"000000000000000"),1,3)=0,"",MID(TEXT(ABS(E244),"000000000000000"),1,1)&amp;" ratus "&amp;MID(TEXT(ABS(E244),"000000000000000"),2,1)&amp;" puluh "&amp;MID(TEXT(ABS(E244),"000000000000000"),3,1)&amp;" trilyun ")&amp;IF(--MID(TEXT(ABS(E244),"000000000000000"),4,3)=0,"",MID(TEXT(ABS(E244),"000000000000000"),4,1)&amp;" ratus "&amp;MID(TEXT(ABS(E244),"000000000000000"),5,1)&amp;" puluh "&amp;MID(TEXT(ABS(E244),"000000000000000"),6,1)&amp;" milyar ")&amp;IF(--MID(TEXT(ABS(E244),"000000000000000"),7,3)=0,"",MID(TEXT(ABS(E244),"000000000000000"),7,1)&amp;" ratus "&amp;MID(TEXT(ABS(E244),"000000000000000"),8,1)&amp;" puluh "&amp;MID(TEXT(ABS(E244),"000000000000000"),9,1)&amp;" juta ")&amp;IF(--MID(TEXT(ABS(E244),"000000000000000"),10,3)=0,"",IF(--MID(TEXT(ABS(E244),"000000000000000"),10,3)=1,"*",MID(TEXT(ABS(E244),"000000000000000"),10,1)&amp;" ratus "&amp;MID(TEXT(ABS(E244),"000000000000000"),11,1)&amp;" puluh ")&amp;MID(TEXT(ABS(E244),"000000000000000"),12,1)&amp;" ribu ")&amp;IF(--MID(TEXT(ABS(E244),"000000000000000"),13,3)=0,"",MID(TEXT(ABS(E244),"000000000000000"),13,1)&amp;" ratus "&amp;MID(TEXT(ABS(E244),"000000000000000"),14,1)&amp;" puluh "&amp;MID(TEXT(ABS(E244),"000000000000000"),15,1)),1,"satu"),2,"dua"),3,"tiga"),4,"empat"),5,"lima"),6,"enam"),7,"tujuh"),8,"delapan"),9,"sembilan"),"0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Lima Ratus Dua Puluh Lima Ribu Rupiah</v>
      </c>
      <c r="F245" s="10"/>
      <c r="G245" s="10"/>
      <c r="H245" s="10"/>
      <c r="I245" s="10"/>
      <c r="J245" s="56"/>
      <c r="K245" s="56"/>
    </row>
    <row r="246" spans="1:11">
      <c r="A246" s="55"/>
      <c r="B246" s="55"/>
      <c r="C246" s="55"/>
      <c r="D246" s="55"/>
      <c r="E246" s="55"/>
      <c r="F246" s="55"/>
      <c r="G246" s="37"/>
      <c r="H246" s="56"/>
      <c r="I246" s="56"/>
      <c r="J246" s="56"/>
      <c r="K246" s="56"/>
    </row>
    <row r="247" spans="1:11">
      <c r="A247" s="37"/>
      <c r="B247" s="37"/>
      <c r="C247" s="37"/>
      <c r="D247" s="37"/>
      <c r="E247" s="37"/>
      <c r="F247" s="37"/>
      <c r="G247" s="37"/>
      <c r="H247"/>
      <c r="I247"/>
      <c r="J247" s="56"/>
      <c r="K247" s="56"/>
    </row>
    <row r="248" spans="1:11">
      <c r="A248" s="13"/>
      <c r="B248" s="13"/>
      <c r="C248" s="10"/>
      <c r="D248" s="10"/>
      <c r="E248" s="10"/>
      <c r="F248" s="10"/>
      <c r="G248" s="10"/>
      <c r="I248" s="57"/>
      <c r="J248" s="57" t="s">
        <v>60</v>
      </c>
      <c r="K248" s="56"/>
    </row>
    <row r="249" spans="1:11">
      <c r="A249" s="12" t="s">
        <v>37</v>
      </c>
      <c r="B249" s="10"/>
      <c r="C249" s="10"/>
      <c r="D249" s="10"/>
      <c r="E249" s="10"/>
      <c r="F249" s="10"/>
      <c r="G249" s="10"/>
      <c r="I249" s="12"/>
      <c r="J249" s="12" t="s">
        <v>38</v>
      </c>
      <c r="K249" s="56"/>
    </row>
    <row r="250" spans="1:11">
      <c r="A250" s="10"/>
      <c r="B250" s="10"/>
      <c r="C250" s="10"/>
      <c r="D250" s="10"/>
      <c r="E250" s="10"/>
      <c r="F250" s="10"/>
      <c r="G250" s="10"/>
      <c r="I250" s="12"/>
      <c r="J250" s="12"/>
      <c r="K250" s="56"/>
    </row>
    <row r="251" spans="1:11">
      <c r="A251" s="10"/>
      <c r="B251" s="10"/>
      <c r="C251" s="10"/>
      <c r="D251" s="10"/>
      <c r="E251" s="10"/>
      <c r="F251" s="10"/>
      <c r="G251" s="10"/>
      <c r="I251" s="12"/>
      <c r="J251" s="12"/>
      <c r="K251" s="56"/>
    </row>
    <row r="252" spans="1:11">
      <c r="A252" s="10"/>
      <c r="B252" s="10"/>
      <c r="C252" s="10"/>
      <c r="D252" s="10"/>
      <c r="E252" s="10"/>
      <c r="F252" s="10"/>
      <c r="G252" s="10"/>
      <c r="I252" s="12"/>
      <c r="J252" s="12"/>
      <c r="K252" s="56"/>
    </row>
    <row r="253" spans="1:11">
      <c r="A253" s="10"/>
      <c r="B253" s="10"/>
      <c r="C253" s="10"/>
      <c r="D253" s="10"/>
      <c r="E253" s="10"/>
      <c r="F253" s="10"/>
      <c r="G253" s="10"/>
      <c r="I253" s="12"/>
      <c r="J253" s="12"/>
      <c r="K253" s="56"/>
    </row>
    <row r="254" spans="1:11">
      <c r="A254" s="69" t="s">
        <v>50</v>
      </c>
      <c r="B254" s="58"/>
      <c r="C254" s="59"/>
      <c r="D254" s="59"/>
      <c r="E254" s="59"/>
      <c r="F254" s="59"/>
      <c r="G254" s="10" t="s">
        <v>39</v>
      </c>
      <c r="I254" s="58"/>
      <c r="J254" s="58" t="s">
        <v>40</v>
      </c>
      <c r="K254" s="56"/>
    </row>
    <row r="259" spans="1:11" ht="15.75">
      <c r="C259" s="2"/>
      <c r="D259" s="2"/>
      <c r="E259" s="2"/>
      <c r="F259" s="2"/>
    </row>
    <row r="260" spans="1:11" ht="15.75">
      <c r="A260" s="3"/>
      <c r="B260" s="3"/>
      <c r="C260" s="2"/>
      <c r="D260" s="2"/>
      <c r="E260" s="2"/>
      <c r="F260" s="2"/>
      <c r="G260" s="3"/>
      <c r="H260" s="4"/>
      <c r="I260" s="4"/>
      <c r="J260" s="4"/>
      <c r="K260" s="5"/>
    </row>
    <row r="261" spans="1:11">
      <c r="H261" s="5"/>
      <c r="I261" s="5"/>
      <c r="J261" s="5"/>
      <c r="K261" s="5"/>
    </row>
    <row r="262" spans="1:11">
      <c r="H262" s="5"/>
      <c r="I262" s="5"/>
      <c r="J262" s="5"/>
      <c r="K262" s="5"/>
    </row>
    <row r="263" spans="1:11">
      <c r="A263" s="73" t="s">
        <v>0</v>
      </c>
      <c r="B263" s="73"/>
      <c r="C263" s="74"/>
      <c r="D263" s="74"/>
      <c r="E263" s="74"/>
      <c r="F263" s="74"/>
      <c r="G263" s="74"/>
      <c r="H263" s="74"/>
      <c r="I263" s="74"/>
      <c r="J263" s="74"/>
      <c r="K263" s="74"/>
    </row>
    <row r="264" spans="1:11">
      <c r="A264" s="74" t="s">
        <v>58</v>
      </c>
      <c r="B264" s="74"/>
      <c r="C264" s="74"/>
      <c r="D264" s="74"/>
      <c r="E264" s="74"/>
      <c r="F264" s="74"/>
      <c r="G264" s="74"/>
      <c r="H264" s="74"/>
      <c r="I264" s="74"/>
      <c r="J264" s="74"/>
      <c r="K264" s="74"/>
    </row>
    <row r="265" spans="1:11">
      <c r="A265" s="74" t="s">
        <v>1</v>
      </c>
      <c r="B265" s="74"/>
      <c r="C265" s="74"/>
      <c r="D265" s="74"/>
      <c r="E265" s="74"/>
      <c r="F265" s="74"/>
      <c r="G265" s="74"/>
      <c r="H265" s="74"/>
      <c r="I265" s="74"/>
      <c r="J265" s="74"/>
      <c r="K265" s="74"/>
    </row>
    <row r="266" spans="1:11">
      <c r="A266" s="74" t="s">
        <v>51</v>
      </c>
      <c r="B266" s="74"/>
      <c r="C266" s="74"/>
      <c r="D266" s="74"/>
      <c r="E266" s="74"/>
      <c r="F266" s="74"/>
      <c r="G266" s="74"/>
      <c r="H266" s="74"/>
      <c r="I266" s="74"/>
      <c r="J266" s="74"/>
      <c r="K266" s="74"/>
    </row>
    <row r="267" spans="1:11">
      <c r="A267" s="74" t="s">
        <v>2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</row>
    <row r="268" spans="1:11">
      <c r="A268" s="6"/>
      <c r="B268" s="6"/>
      <c r="C268" s="7"/>
      <c r="D268" s="7"/>
      <c r="E268" s="7"/>
      <c r="F268" s="7"/>
      <c r="G268" s="8"/>
      <c r="H268" s="9"/>
      <c r="I268" s="9"/>
      <c r="J268" s="9"/>
      <c r="K268" s="9"/>
    </row>
    <row r="269" spans="1:11">
      <c r="A269" s="62" t="s">
        <v>3</v>
      </c>
      <c r="B269" s="10"/>
      <c r="C269" s="10"/>
      <c r="D269" s="63" t="s">
        <v>4</v>
      </c>
      <c r="E269" s="10" t="s">
        <v>5</v>
      </c>
      <c r="F269" s="11"/>
      <c r="G269" s="10"/>
      <c r="H269" s="12"/>
      <c r="I269" s="12"/>
      <c r="J269" s="12"/>
      <c r="K269" s="9"/>
    </row>
    <row r="270" spans="1:11">
      <c r="A270" s="62" t="s">
        <v>6</v>
      </c>
      <c r="B270" s="10"/>
      <c r="C270" s="10"/>
      <c r="D270" s="63" t="s">
        <v>4</v>
      </c>
      <c r="E270" s="10" t="s">
        <v>7</v>
      </c>
      <c r="F270" s="11"/>
      <c r="G270" s="10"/>
      <c r="H270" s="12"/>
      <c r="I270" s="12"/>
      <c r="J270" s="12"/>
      <c r="K270" s="9"/>
    </row>
    <row r="271" spans="1:11">
      <c r="A271" s="62" t="s">
        <v>8</v>
      </c>
      <c r="B271" s="10"/>
      <c r="C271" s="10"/>
      <c r="D271" s="63" t="s">
        <v>4</v>
      </c>
      <c r="E271" s="13">
        <v>2026</v>
      </c>
      <c r="F271" s="11"/>
      <c r="G271" s="13"/>
      <c r="H271" s="12"/>
      <c r="I271" s="12"/>
      <c r="J271" s="12"/>
      <c r="K271" s="9"/>
    </row>
    <row r="272" spans="1:11">
      <c r="A272" s="62" t="s">
        <v>9</v>
      </c>
      <c r="B272" s="10"/>
      <c r="C272" s="10"/>
      <c r="D272" s="63" t="s">
        <v>4</v>
      </c>
      <c r="E272" s="14">
        <f>J288</f>
        <v>80000</v>
      </c>
      <c r="F272" s="11"/>
      <c r="G272" s="14"/>
      <c r="H272" s="12"/>
      <c r="I272" s="12"/>
      <c r="J272" s="12"/>
      <c r="K272" s="9"/>
    </row>
    <row r="273" spans="1:11" ht="15.75">
      <c r="A273" s="10"/>
      <c r="B273" s="10"/>
      <c r="C273" s="15" t="s">
        <v>10</v>
      </c>
      <c r="D273" s="63" t="s">
        <v>4</v>
      </c>
      <c r="E273" s="16" t="str">
        <f>PROPER(IF(E272=0,"nol",IF(E272&lt;0,"minus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272),"000000000000000"),1,3)=0,"",MID(TEXT(ABS(E272),"000000000000000"),1,1)&amp;" ratus "&amp;MID(TEXT(ABS(E272),"000000000000000"),2,1)&amp;" puluh "&amp;MID(TEXT(ABS(E272),"000000000000000"),3,1)&amp;" trilyun ")&amp;IF(--MID(TEXT(ABS(E272),"000000000000000"),4,3)=0,"",MID(TEXT(ABS(E272),"000000000000000"),4,1)&amp;" ratus "&amp;MID(TEXT(ABS(E272),"000000000000000"),5,1)&amp;" puluh "&amp;MID(TEXT(ABS(E272),"000000000000000"),6,1)&amp;" milyar ")&amp;IF(--MID(TEXT(ABS(E272),"000000000000000"),7,3)=0,"",MID(TEXT(ABS(E272),"000000000000000"),7,1)&amp;" ratus "&amp;MID(TEXT(ABS(E272),"000000000000000"),8,1)&amp;" puluh "&amp;MID(TEXT(ABS(E272),"000000000000000"),9,1)&amp;" juta ")&amp;IF(--MID(TEXT(ABS(E272),"000000000000000"),10,3)=0,"",IF(--MID(TEXT(ABS(E272),"000000000000000"),10,3)=1,"*",MID(TEXT(ABS(E272),"000000000000000"),10,1)&amp;" ratus "&amp;MID(TEXT(ABS(E272),"000000000000000"),11,1)&amp;" puluh ")&amp;MID(TEXT(ABS(E272),"000000000000000"),12,1)&amp;" ribu ")&amp;IF(--MID(TEXT(ABS(E272),"000000000000000"),13,3)=0,"",MID(TEXT(ABS(E272),"000000000000000"),13,1)&amp;" ratus "&amp;MID(TEXT(ABS(E272),"000000000000000"),14,1)&amp;" puluh "&amp;MID(TEXT(ABS(E272),"000000000000000"),15,1)),1,"satu"),2,"dua"),3,"tiga"),4,"empat"),5,"lima"),6,"enam"),7,"tujuh"),8,"delapan"),9,"sembilan"),"0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273" s="11"/>
      <c r="G273" s="16"/>
      <c r="H273" s="12"/>
      <c r="I273" s="12"/>
      <c r="J273" s="12"/>
      <c r="K273" s="9"/>
    </row>
    <row r="274" spans="1:11" ht="15.75">
      <c r="A274" s="10"/>
      <c r="B274" s="10"/>
      <c r="C274" s="15"/>
      <c r="D274" s="15"/>
      <c r="E274" s="15"/>
      <c r="F274" s="11"/>
      <c r="G274" s="16"/>
      <c r="H274" s="12"/>
      <c r="I274" s="12"/>
      <c r="J274" s="12"/>
      <c r="K274" s="9"/>
    </row>
    <row r="275" spans="1:11">
      <c r="A275" s="10" t="s">
        <v>11</v>
      </c>
      <c r="B275" s="10"/>
      <c r="C275" s="10"/>
      <c r="D275" s="10"/>
      <c r="E275" s="10"/>
      <c r="F275" s="10"/>
      <c r="G275" s="10"/>
      <c r="H275" s="12"/>
      <c r="I275" s="12"/>
      <c r="J275" s="12"/>
      <c r="K275" s="9"/>
    </row>
    <row r="276" spans="1:11">
      <c r="A276" s="75" t="s">
        <v>12</v>
      </c>
      <c r="B276" s="75"/>
      <c r="C276" s="75"/>
      <c r="D276" s="75"/>
      <c r="E276" s="75"/>
      <c r="F276" s="75"/>
      <c r="G276" s="75"/>
      <c r="H276" s="75"/>
      <c r="I276" s="75"/>
      <c r="J276" s="75"/>
      <c r="K276" s="75"/>
    </row>
    <row r="277" spans="1:11" ht="60">
      <c r="A277" s="17" t="s">
        <v>13</v>
      </c>
      <c r="B277" s="18" t="s">
        <v>14</v>
      </c>
      <c r="C277" s="76" t="s">
        <v>15</v>
      </c>
      <c r="D277" s="77"/>
      <c r="E277" s="78"/>
      <c r="F277" s="19"/>
      <c r="G277" s="20" t="s">
        <v>16</v>
      </c>
      <c r="H277" s="21" t="s">
        <v>41</v>
      </c>
      <c r="I277" s="21"/>
      <c r="J277" s="39" t="s">
        <v>17</v>
      </c>
      <c r="K277" s="40" t="s">
        <v>18</v>
      </c>
    </row>
    <row r="278" spans="1:11">
      <c r="A278" s="22">
        <v>1</v>
      </c>
      <c r="B278" s="25"/>
      <c r="C278" s="29" t="s">
        <v>23</v>
      </c>
      <c r="D278" s="67"/>
      <c r="E278" s="26"/>
      <c r="F278" s="23"/>
      <c r="G278" s="64" t="s">
        <v>19</v>
      </c>
      <c r="H278" s="64" t="s">
        <v>19</v>
      </c>
      <c r="I278" s="64"/>
      <c r="J278" s="64" t="s">
        <v>19</v>
      </c>
      <c r="K278" s="64" t="s">
        <v>19</v>
      </c>
    </row>
    <row r="279" spans="1:11">
      <c r="A279" s="25"/>
      <c r="B279" s="65" t="s">
        <v>20</v>
      </c>
      <c r="C279" s="70" t="s">
        <v>24</v>
      </c>
      <c r="D279" s="71"/>
      <c r="E279" s="72"/>
      <c r="F279" s="23"/>
      <c r="G279" s="24">
        <v>300000000</v>
      </c>
      <c r="H279" s="27">
        <f>H228+J228</f>
        <v>0</v>
      </c>
      <c r="I279" s="27"/>
      <c r="J279" s="27">
        <v>0</v>
      </c>
      <c r="K279" s="41">
        <f t="shared" ref="K279:K287" si="10">G279-H279-J279</f>
        <v>300000000</v>
      </c>
    </row>
    <row r="280" spans="1:11">
      <c r="A280" s="25"/>
      <c r="B280" s="65" t="s">
        <v>21</v>
      </c>
      <c r="C280" s="70" t="s">
        <v>25</v>
      </c>
      <c r="D280" s="71"/>
      <c r="E280" s="72"/>
      <c r="F280" s="23"/>
      <c r="G280" s="28">
        <v>15000000</v>
      </c>
      <c r="H280" s="27">
        <f t="shared" ref="H280:H281" si="11">H229+J229</f>
        <v>0</v>
      </c>
      <c r="I280" s="27"/>
      <c r="J280" s="27">
        <v>0</v>
      </c>
      <c r="K280" s="41">
        <f t="shared" si="10"/>
        <v>15000000</v>
      </c>
    </row>
    <row r="281" spans="1:11">
      <c r="A281" s="25"/>
      <c r="B281" s="65" t="s">
        <v>22</v>
      </c>
      <c r="C281" s="79" t="s">
        <v>26</v>
      </c>
      <c r="D281" s="80"/>
      <c r="E281" s="81"/>
      <c r="F281" s="23"/>
      <c r="G281" s="24">
        <v>115048000</v>
      </c>
      <c r="H281" s="27">
        <f t="shared" si="11"/>
        <v>8525000</v>
      </c>
      <c r="I281" s="27"/>
      <c r="J281" s="27">
        <v>0</v>
      </c>
      <c r="K281" s="41">
        <f t="shared" si="10"/>
        <v>106523000</v>
      </c>
    </row>
    <row r="282" spans="1:11">
      <c r="A282" s="25"/>
      <c r="B282" s="65" t="s">
        <v>43</v>
      </c>
      <c r="C282" s="70" t="s">
        <v>27</v>
      </c>
      <c r="D282" s="71"/>
      <c r="E282" s="72"/>
      <c r="F282" s="23"/>
      <c r="G282" s="24">
        <v>171988668</v>
      </c>
      <c r="H282" s="27">
        <f>H231+J231</f>
        <v>13315000</v>
      </c>
      <c r="I282" s="27"/>
      <c r="J282" s="27">
        <v>80000</v>
      </c>
      <c r="K282" s="41">
        <f t="shared" si="10"/>
        <v>158593668</v>
      </c>
    </row>
    <row r="283" spans="1:11">
      <c r="A283" s="25"/>
      <c r="B283" s="65" t="s">
        <v>44</v>
      </c>
      <c r="C283" s="70" t="s">
        <v>28</v>
      </c>
      <c r="D283" s="71"/>
      <c r="E283" s="72"/>
      <c r="F283" s="23"/>
      <c r="G283" s="24">
        <v>92440133</v>
      </c>
      <c r="H283" s="27">
        <f t="shared" ref="H283" si="12">H232+J232</f>
        <v>8982640</v>
      </c>
      <c r="I283" s="27"/>
      <c r="J283" s="27">
        <v>0</v>
      </c>
      <c r="K283" s="41">
        <f t="shared" si="10"/>
        <v>83457493</v>
      </c>
    </row>
    <row r="284" spans="1:11">
      <c r="A284" s="25"/>
      <c r="B284" s="65" t="s">
        <v>45</v>
      </c>
      <c r="C284" s="70" t="s">
        <v>42</v>
      </c>
      <c r="D284" s="71"/>
      <c r="E284" s="72"/>
      <c r="F284" s="23"/>
      <c r="G284" s="24">
        <v>64388964</v>
      </c>
      <c r="H284" s="27">
        <f>H233+J233</f>
        <v>4664634</v>
      </c>
      <c r="I284" s="27"/>
      <c r="J284" s="27">
        <v>0</v>
      </c>
      <c r="K284" s="41">
        <f t="shared" si="10"/>
        <v>59724330</v>
      </c>
    </row>
    <row r="285" spans="1:11">
      <c r="A285" s="30"/>
      <c r="B285" s="66" t="s">
        <v>46</v>
      </c>
      <c r="C285" s="82" t="s">
        <v>29</v>
      </c>
      <c r="D285" s="83"/>
      <c r="E285" s="84"/>
      <c r="F285" s="31"/>
      <c r="G285" s="24">
        <v>214466910</v>
      </c>
      <c r="H285" s="27">
        <f t="shared" ref="H285:H287" si="13">H234+J234</f>
        <v>0</v>
      </c>
      <c r="I285" s="27"/>
      <c r="J285" s="27">
        <v>0</v>
      </c>
      <c r="K285" s="41">
        <f t="shared" si="10"/>
        <v>214466910</v>
      </c>
    </row>
    <row r="286" spans="1:11">
      <c r="A286" s="30"/>
      <c r="B286" s="66" t="s">
        <v>47</v>
      </c>
      <c r="C286" s="32" t="s">
        <v>30</v>
      </c>
      <c r="D286" s="33"/>
      <c r="E286" s="34"/>
      <c r="F286" s="31"/>
      <c r="G286" s="24">
        <v>25000000</v>
      </c>
      <c r="H286" s="27">
        <f t="shared" si="13"/>
        <v>3850000</v>
      </c>
      <c r="I286" s="27"/>
      <c r="J286" s="27">
        <v>0</v>
      </c>
      <c r="K286" s="41">
        <f t="shared" si="10"/>
        <v>21150000</v>
      </c>
    </row>
    <row r="287" spans="1:11">
      <c r="A287" s="35"/>
      <c r="B287" s="66" t="s">
        <v>48</v>
      </c>
      <c r="C287" s="68" t="s">
        <v>49</v>
      </c>
      <c r="D287" s="10"/>
      <c r="E287" s="36"/>
      <c r="F287" s="31"/>
      <c r="G287" s="24">
        <v>178488817</v>
      </c>
      <c r="H287" s="27">
        <f t="shared" si="13"/>
        <v>0</v>
      </c>
      <c r="I287" s="27"/>
      <c r="J287" s="42">
        <v>0</v>
      </c>
      <c r="K287" s="43">
        <f t="shared" si="10"/>
        <v>178488817</v>
      </c>
    </row>
    <row r="288" spans="1:11">
      <c r="A288" s="44"/>
      <c r="B288" s="44"/>
      <c r="C288" s="44" t="s">
        <v>31</v>
      </c>
      <c r="D288" s="44"/>
      <c r="E288" s="44"/>
      <c r="F288" s="45"/>
      <c r="G288" s="46">
        <f>SUM(G278:G287)</f>
        <v>1176821492</v>
      </c>
      <c r="H288" s="47">
        <f>SUM(H278:H287)</f>
        <v>39337274</v>
      </c>
      <c r="I288" s="47"/>
      <c r="J288" s="47">
        <f>SUM(J278:J287)</f>
        <v>80000</v>
      </c>
      <c r="K288" s="47">
        <f>SUM(K278:K287)</f>
        <v>1137404218</v>
      </c>
    </row>
    <row r="289" spans="1:11">
      <c r="A289" s="48"/>
      <c r="B289" s="8"/>
      <c r="C289" s="8"/>
      <c r="D289" s="8"/>
      <c r="E289" s="8"/>
      <c r="F289" s="8"/>
      <c r="G289" s="49"/>
      <c r="H289" s="49"/>
      <c r="I289" s="49"/>
      <c r="J289" s="49"/>
      <c r="K289" s="49"/>
    </row>
    <row r="290" spans="1:11">
      <c r="A290" s="85" t="s">
        <v>32</v>
      </c>
      <c r="B290" s="85"/>
      <c r="C290" s="85"/>
      <c r="D290" s="11" t="s">
        <v>4</v>
      </c>
      <c r="E290" s="14">
        <f>J288</f>
        <v>80000</v>
      </c>
      <c r="F290" s="50"/>
      <c r="G290" s="51"/>
      <c r="H290" s="51"/>
      <c r="I290" s="51"/>
      <c r="J290" s="9"/>
      <c r="K290" s="9"/>
    </row>
    <row r="291" spans="1:11">
      <c r="A291" s="10" t="s">
        <v>33</v>
      </c>
      <c r="B291" s="10"/>
      <c r="C291" s="10"/>
      <c r="D291" s="11" t="s">
        <v>4</v>
      </c>
      <c r="E291" s="52"/>
      <c r="F291" s="52"/>
      <c r="G291" s="53"/>
      <c r="H291" s="12"/>
      <c r="I291" s="12"/>
      <c r="J291" s="9"/>
      <c r="K291" s="9"/>
    </row>
    <row r="292" spans="1:11">
      <c r="A292" s="10" t="s">
        <v>34</v>
      </c>
      <c r="B292" s="10"/>
      <c r="C292" s="10"/>
      <c r="D292" s="11" t="s">
        <v>4</v>
      </c>
      <c r="E292" s="54"/>
      <c r="F292" s="54"/>
      <c r="G292" s="53"/>
      <c r="H292" s="12"/>
      <c r="I292" s="12"/>
      <c r="J292" s="9"/>
      <c r="K292" s="9"/>
    </row>
    <row r="293" spans="1:11">
      <c r="A293" s="10" t="s">
        <v>35</v>
      </c>
      <c r="B293" s="10"/>
      <c r="C293" s="10"/>
      <c r="D293" s="11" t="s">
        <v>4</v>
      </c>
      <c r="E293" s="54">
        <f>E291+E292</f>
        <v>0</v>
      </c>
      <c r="F293" s="54"/>
      <c r="G293" s="10"/>
      <c r="H293" s="12"/>
      <c r="I293" s="12"/>
      <c r="J293" s="56"/>
      <c r="K293" s="56"/>
    </row>
    <row r="294" spans="1:11">
      <c r="A294" s="13"/>
      <c r="B294" s="13"/>
      <c r="C294" s="13"/>
      <c r="D294" s="11"/>
      <c r="E294" s="13"/>
      <c r="F294" s="13"/>
      <c r="G294" s="10"/>
      <c r="H294" s="12"/>
      <c r="I294" s="12"/>
      <c r="J294" s="56"/>
      <c r="K294" s="56"/>
    </row>
    <row r="295" spans="1:11">
      <c r="A295" s="85" t="s">
        <v>36</v>
      </c>
      <c r="B295" s="85"/>
      <c r="C295" s="85"/>
      <c r="D295" s="11" t="s">
        <v>4</v>
      </c>
      <c r="E295" s="50">
        <f>E290-E293</f>
        <v>80000</v>
      </c>
      <c r="F295" s="50"/>
      <c r="G295" s="10"/>
      <c r="H295" s="12"/>
      <c r="I295" s="12"/>
      <c r="J295" s="56"/>
      <c r="K295" s="56"/>
    </row>
    <row r="296" spans="1:11" ht="15.75">
      <c r="A296" s="13"/>
      <c r="B296" s="13"/>
      <c r="C296" s="10"/>
      <c r="D296" s="10"/>
      <c r="E296" s="16" t="str">
        <f>PROPER(IF(E295=0,"nol",IF(E295&lt;0,"minus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295),"000000000000000"),1,3)=0,"",MID(TEXT(ABS(E295),"000000000000000"),1,1)&amp;" ratus "&amp;MID(TEXT(ABS(E295),"000000000000000"),2,1)&amp;" puluh "&amp;MID(TEXT(ABS(E295),"000000000000000"),3,1)&amp;" trilyun ")&amp;IF(--MID(TEXT(ABS(E295),"000000000000000"),4,3)=0,"",MID(TEXT(ABS(E295),"000000000000000"),4,1)&amp;" ratus "&amp;MID(TEXT(ABS(E295),"000000000000000"),5,1)&amp;" puluh "&amp;MID(TEXT(ABS(E295),"000000000000000"),6,1)&amp;" milyar ")&amp;IF(--MID(TEXT(ABS(E295),"000000000000000"),7,3)=0,"",MID(TEXT(ABS(E295),"000000000000000"),7,1)&amp;" ratus "&amp;MID(TEXT(ABS(E295),"000000000000000"),8,1)&amp;" puluh "&amp;MID(TEXT(ABS(E295),"000000000000000"),9,1)&amp;" juta ")&amp;IF(--MID(TEXT(ABS(E295),"000000000000000"),10,3)=0,"",IF(--MID(TEXT(ABS(E295),"000000000000000"),10,3)=1,"*",MID(TEXT(ABS(E295),"000000000000000"),10,1)&amp;" ratus "&amp;MID(TEXT(ABS(E295),"000000000000000"),11,1)&amp;" puluh ")&amp;MID(TEXT(ABS(E295),"000000000000000"),12,1)&amp;" ribu ")&amp;IF(--MID(TEXT(ABS(E295),"000000000000000"),13,3)=0,"",MID(TEXT(ABS(E295),"000000000000000"),13,1)&amp;" ratus "&amp;MID(TEXT(ABS(E295),"000000000000000"),14,1)&amp;" puluh "&amp;MID(TEXT(ABS(E295),"000000000000000"),15,1)),1,"satu"),2,"dua"),3,"tiga"),4,"empat"),5,"lima"),6,"enam"),7,"tujuh"),8,"delapan"),9,"sembilan"),"0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296" s="10"/>
      <c r="G296" s="10"/>
      <c r="H296" s="10"/>
      <c r="I296" s="10"/>
      <c r="J296" s="56"/>
      <c r="K296" s="56"/>
    </row>
    <row r="297" spans="1:11">
      <c r="A297" s="55"/>
      <c r="B297" s="55"/>
      <c r="C297" s="55"/>
      <c r="D297" s="55"/>
      <c r="E297" s="55"/>
      <c r="F297" s="55"/>
      <c r="G297" s="37"/>
      <c r="H297" s="56"/>
      <c r="I297" s="56"/>
      <c r="J297" s="56"/>
      <c r="K297" s="56"/>
    </row>
    <row r="298" spans="1:11">
      <c r="A298" s="37"/>
      <c r="B298" s="37"/>
      <c r="C298" s="37"/>
      <c r="D298" s="37"/>
      <c r="E298" s="37"/>
      <c r="F298" s="37"/>
      <c r="G298" s="37"/>
      <c r="H298"/>
      <c r="I298"/>
      <c r="J298" s="56"/>
      <c r="K298" s="56"/>
    </row>
    <row r="299" spans="1:11">
      <c r="A299" s="13"/>
      <c r="B299" s="13"/>
      <c r="C299" s="10"/>
      <c r="D299" s="10"/>
      <c r="E299" s="10"/>
      <c r="F299" s="10"/>
      <c r="G299" s="10"/>
      <c r="I299" s="57"/>
      <c r="J299" s="57" t="s">
        <v>62</v>
      </c>
      <c r="K299" s="56"/>
    </row>
    <row r="300" spans="1:11">
      <c r="A300" s="12" t="s">
        <v>37</v>
      </c>
      <c r="B300" s="10"/>
      <c r="C300" s="10"/>
      <c r="D300" s="10"/>
      <c r="E300" s="10"/>
      <c r="F300" s="10"/>
      <c r="G300" s="10"/>
      <c r="I300" s="12"/>
      <c r="J300" s="12" t="s">
        <v>38</v>
      </c>
      <c r="K300" s="56"/>
    </row>
    <row r="301" spans="1:11">
      <c r="A301" s="10"/>
      <c r="B301" s="10"/>
      <c r="C301" s="10"/>
      <c r="D301" s="10"/>
      <c r="E301" s="10"/>
      <c r="F301" s="10"/>
      <c r="G301" s="10"/>
      <c r="I301" s="12"/>
      <c r="J301" s="12"/>
      <c r="K301" s="56"/>
    </row>
    <row r="302" spans="1:11">
      <c r="A302" s="10"/>
      <c r="B302" s="10"/>
      <c r="C302" s="10"/>
      <c r="D302" s="10"/>
      <c r="E302" s="10"/>
      <c r="F302" s="10"/>
      <c r="G302" s="10"/>
      <c r="I302" s="12"/>
      <c r="J302" s="12"/>
      <c r="K302" s="56"/>
    </row>
    <row r="303" spans="1:11">
      <c r="A303" s="10"/>
      <c r="B303" s="10"/>
      <c r="C303" s="10"/>
      <c r="D303" s="10"/>
      <c r="E303" s="10"/>
      <c r="F303" s="10"/>
      <c r="G303" s="10"/>
      <c r="I303" s="12"/>
      <c r="J303" s="12"/>
      <c r="K303" s="56"/>
    </row>
    <row r="304" spans="1:11">
      <c r="A304" s="10"/>
      <c r="B304" s="10"/>
      <c r="C304" s="10"/>
      <c r="D304" s="10"/>
      <c r="E304" s="10"/>
      <c r="F304" s="10"/>
      <c r="G304" s="10"/>
      <c r="I304" s="12"/>
      <c r="J304" s="12"/>
      <c r="K304" s="56"/>
    </row>
    <row r="305" spans="1:11">
      <c r="A305" s="69" t="s">
        <v>50</v>
      </c>
      <c r="B305" s="58"/>
      <c r="C305" s="59"/>
      <c r="D305" s="59"/>
      <c r="E305" s="59"/>
      <c r="F305" s="59"/>
      <c r="G305" s="10" t="s">
        <v>39</v>
      </c>
      <c r="I305" s="58"/>
      <c r="J305" s="58" t="s">
        <v>40</v>
      </c>
      <c r="K305" s="56"/>
    </row>
    <row r="310" spans="1:11" ht="15.75">
      <c r="C310" s="2"/>
      <c r="D310" s="2"/>
      <c r="E310" s="2"/>
      <c r="F310" s="2"/>
    </row>
    <row r="311" spans="1:11" ht="15.75">
      <c r="A311" s="3"/>
      <c r="B311" s="3"/>
      <c r="C311" s="2"/>
      <c r="D311" s="2"/>
      <c r="E311" s="2"/>
      <c r="F311" s="2"/>
      <c r="G311" s="3"/>
      <c r="H311" s="4"/>
      <c r="I311" s="4"/>
      <c r="J311" s="4"/>
      <c r="K311" s="5"/>
    </row>
    <row r="312" spans="1:11">
      <c r="H312" s="5"/>
      <c r="I312" s="5"/>
      <c r="J312" s="5"/>
      <c r="K312" s="5"/>
    </row>
    <row r="313" spans="1:11">
      <c r="H313" s="5"/>
      <c r="I313" s="5"/>
      <c r="J313" s="5"/>
      <c r="K313" s="5"/>
    </row>
    <row r="314" spans="1:11">
      <c r="A314" s="73" t="s">
        <v>0</v>
      </c>
      <c r="B314" s="73"/>
      <c r="C314" s="74"/>
      <c r="D314" s="74"/>
      <c r="E314" s="74"/>
      <c r="F314" s="74"/>
      <c r="G314" s="74"/>
      <c r="H314" s="74"/>
      <c r="I314" s="74"/>
      <c r="J314" s="74"/>
      <c r="K314" s="74"/>
    </row>
    <row r="315" spans="1:11">
      <c r="A315" s="74" t="s">
        <v>67</v>
      </c>
      <c r="B315" s="74"/>
      <c r="C315" s="74"/>
      <c r="D315" s="74"/>
      <c r="E315" s="74"/>
      <c r="F315" s="74"/>
      <c r="G315" s="74"/>
      <c r="H315" s="74"/>
      <c r="I315" s="74"/>
      <c r="J315" s="74"/>
      <c r="K315" s="74"/>
    </row>
    <row r="316" spans="1:11">
      <c r="A316" s="74" t="s">
        <v>1</v>
      </c>
      <c r="B316" s="74"/>
      <c r="C316" s="74"/>
      <c r="D316" s="74"/>
      <c r="E316" s="74"/>
      <c r="F316" s="74"/>
      <c r="G316" s="74"/>
      <c r="H316" s="74"/>
      <c r="I316" s="74"/>
      <c r="J316" s="74"/>
      <c r="K316" s="74"/>
    </row>
    <row r="317" spans="1:11">
      <c r="A317" s="74" t="s">
        <v>51</v>
      </c>
      <c r="B317" s="74"/>
      <c r="C317" s="74"/>
      <c r="D317" s="74"/>
      <c r="E317" s="74"/>
      <c r="F317" s="74"/>
      <c r="G317" s="74"/>
      <c r="H317" s="74"/>
      <c r="I317" s="74"/>
      <c r="J317" s="74"/>
      <c r="K317" s="74"/>
    </row>
    <row r="318" spans="1:11">
      <c r="A318" s="74" t="s">
        <v>2</v>
      </c>
      <c r="B318" s="74"/>
      <c r="C318" s="74"/>
      <c r="D318" s="74"/>
      <c r="E318" s="74"/>
      <c r="F318" s="74"/>
      <c r="G318" s="74"/>
      <c r="H318" s="74"/>
      <c r="I318" s="74"/>
      <c r="J318" s="74"/>
      <c r="K318" s="74"/>
    </row>
    <row r="319" spans="1:11">
      <c r="A319" s="6"/>
      <c r="B319" s="6"/>
      <c r="C319" s="7"/>
      <c r="D319" s="7"/>
      <c r="E319" s="7"/>
      <c r="F319" s="7"/>
      <c r="G319" s="8"/>
      <c r="H319" s="9"/>
      <c r="I319" s="9"/>
      <c r="J319" s="9"/>
      <c r="K319" s="9"/>
    </row>
    <row r="320" spans="1:11">
      <c r="A320" s="62" t="s">
        <v>3</v>
      </c>
      <c r="B320" s="10"/>
      <c r="C320" s="10"/>
      <c r="D320" s="63" t="s">
        <v>4</v>
      </c>
      <c r="E320" s="10" t="s">
        <v>5</v>
      </c>
      <c r="F320" s="11"/>
      <c r="G320" s="10"/>
      <c r="H320" s="12"/>
      <c r="I320" s="12"/>
      <c r="J320" s="12"/>
      <c r="K320" s="9"/>
    </row>
    <row r="321" spans="1:11">
      <c r="A321" s="62" t="s">
        <v>6</v>
      </c>
      <c r="B321" s="10"/>
      <c r="C321" s="10"/>
      <c r="D321" s="63" t="s">
        <v>4</v>
      </c>
      <c r="E321" s="10" t="s">
        <v>7</v>
      </c>
      <c r="F321" s="11"/>
      <c r="G321" s="10"/>
      <c r="H321" s="12"/>
      <c r="I321" s="12"/>
      <c r="J321" s="12"/>
      <c r="K321" s="9"/>
    </row>
    <row r="322" spans="1:11">
      <c r="A322" s="62" t="s">
        <v>8</v>
      </c>
      <c r="B322" s="10"/>
      <c r="C322" s="10"/>
      <c r="D322" s="63" t="s">
        <v>4</v>
      </c>
      <c r="E322" s="13">
        <v>2026</v>
      </c>
      <c r="F322" s="11"/>
      <c r="G322" s="13"/>
      <c r="H322" s="12"/>
      <c r="I322" s="12"/>
      <c r="J322" s="12"/>
      <c r="K322" s="9"/>
    </row>
    <row r="323" spans="1:11">
      <c r="A323" s="62" t="s">
        <v>9</v>
      </c>
      <c r="B323" s="10"/>
      <c r="C323" s="10"/>
      <c r="D323" s="63" t="s">
        <v>4</v>
      </c>
      <c r="E323" s="14">
        <f>J339</f>
        <v>20886364</v>
      </c>
      <c r="F323" s="11"/>
      <c r="G323" s="14"/>
      <c r="H323" s="12"/>
      <c r="I323" s="12"/>
      <c r="J323" s="12"/>
      <c r="K323" s="9"/>
    </row>
    <row r="324" spans="1:11" ht="15.75">
      <c r="A324" s="10"/>
      <c r="B324" s="10"/>
      <c r="C324" s="15" t="s">
        <v>10</v>
      </c>
      <c r="D324" s="63" t="s">
        <v>4</v>
      </c>
      <c r="E324" s="16" t="str">
        <f>PROPER(IF(E323=0,"nol",IF(E323&lt;0,"minus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323),"000000000000000"),1,3)=0,"",MID(TEXT(ABS(E323),"000000000000000"),1,1)&amp;" ratus "&amp;MID(TEXT(ABS(E323),"000000000000000"),2,1)&amp;" puluh "&amp;MID(TEXT(ABS(E323),"000000000000000"),3,1)&amp;" trilyun ")&amp;IF(--MID(TEXT(ABS(E323),"000000000000000"),4,3)=0,"",MID(TEXT(ABS(E323),"000000000000000"),4,1)&amp;" ratus "&amp;MID(TEXT(ABS(E323),"000000000000000"),5,1)&amp;" puluh "&amp;MID(TEXT(ABS(E323),"000000000000000"),6,1)&amp;" milyar ")&amp;IF(--MID(TEXT(ABS(E323),"000000000000000"),7,3)=0,"",MID(TEXT(ABS(E323),"000000000000000"),7,1)&amp;" ratus "&amp;MID(TEXT(ABS(E323),"000000000000000"),8,1)&amp;" puluh "&amp;MID(TEXT(ABS(E323),"000000000000000"),9,1)&amp;" juta ")&amp;IF(--MID(TEXT(ABS(E323),"000000000000000"),10,3)=0,"",IF(--MID(TEXT(ABS(E323),"000000000000000"),10,3)=1,"*",MID(TEXT(ABS(E323),"000000000000000"),10,1)&amp;" ratus "&amp;MID(TEXT(ABS(E323),"000000000000000"),11,1)&amp;" puluh ")&amp;MID(TEXT(ABS(E323),"000000000000000"),12,1)&amp;" ribu ")&amp;IF(--MID(TEXT(ABS(E323),"000000000000000"),13,3)=0,"",MID(TEXT(ABS(E323),"000000000000000"),13,1)&amp;" ratus "&amp;MID(TEXT(ABS(E323),"000000000000000"),14,1)&amp;" puluh "&amp;MID(TEXT(ABS(E323),"000000000000000"),15,1)),1,"satu"),2,"dua"),3,"tiga"),4,"empat"),5,"lima"),6,"enam"),7,"tujuh"),8,"delapan"),9,"sembilan"),"0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Delapan Ratus Delapan Puluh Enam Ribu Tiga Ratus Enam Puluh Empat Rupiah</v>
      </c>
      <c r="F324" s="11"/>
      <c r="G324" s="16"/>
      <c r="H324" s="12"/>
      <c r="I324" s="12"/>
      <c r="J324" s="12"/>
      <c r="K324" s="9"/>
    </row>
    <row r="325" spans="1:11" ht="15.75">
      <c r="A325" s="10"/>
      <c r="B325" s="10"/>
      <c r="C325" s="15"/>
      <c r="D325" s="15"/>
      <c r="E325" s="15"/>
      <c r="F325" s="11"/>
      <c r="G325" s="16"/>
      <c r="H325" s="12"/>
      <c r="I325" s="12"/>
      <c r="J325" s="12"/>
      <c r="K325" s="9"/>
    </row>
    <row r="326" spans="1:11">
      <c r="A326" s="10" t="s">
        <v>11</v>
      </c>
      <c r="B326" s="10"/>
      <c r="C326" s="10"/>
      <c r="D326" s="10"/>
      <c r="E326" s="10"/>
      <c r="F326" s="10"/>
      <c r="G326" s="10"/>
      <c r="H326" s="12"/>
      <c r="I326" s="12"/>
      <c r="J326" s="12"/>
      <c r="K326" s="9"/>
    </row>
    <row r="327" spans="1:11">
      <c r="A327" s="75" t="s">
        <v>12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</row>
    <row r="328" spans="1:11" ht="60">
      <c r="A328" s="17" t="s">
        <v>13</v>
      </c>
      <c r="B328" s="18" t="s">
        <v>14</v>
      </c>
      <c r="C328" s="76" t="s">
        <v>15</v>
      </c>
      <c r="D328" s="77"/>
      <c r="E328" s="78"/>
      <c r="F328" s="19"/>
      <c r="G328" s="20" t="s">
        <v>16</v>
      </c>
      <c r="H328" s="21" t="s">
        <v>41</v>
      </c>
      <c r="I328" s="21"/>
      <c r="J328" s="39" t="s">
        <v>17</v>
      </c>
      <c r="K328" s="40" t="s">
        <v>18</v>
      </c>
    </row>
    <row r="329" spans="1:11">
      <c r="A329" s="22">
        <v>1</v>
      </c>
      <c r="B329" s="25"/>
      <c r="C329" s="29" t="s">
        <v>23</v>
      </c>
      <c r="D329" s="67"/>
      <c r="E329" s="26"/>
      <c r="F329" s="23"/>
      <c r="G329" s="64" t="s">
        <v>19</v>
      </c>
      <c r="H329" s="64" t="s">
        <v>19</v>
      </c>
      <c r="I329" s="64"/>
      <c r="J329" s="64" t="s">
        <v>19</v>
      </c>
      <c r="K329" s="64" t="s">
        <v>19</v>
      </c>
    </row>
    <row r="330" spans="1:11">
      <c r="A330" s="25"/>
      <c r="B330" s="65" t="s">
        <v>20</v>
      </c>
      <c r="C330" s="70" t="s">
        <v>24</v>
      </c>
      <c r="D330" s="71"/>
      <c r="E330" s="72"/>
      <c r="F330" s="23"/>
      <c r="G330" s="24">
        <v>300000000</v>
      </c>
      <c r="H330" s="27">
        <f>H279+J279</f>
        <v>0</v>
      </c>
      <c r="I330" s="27"/>
      <c r="J330" s="27">
        <v>20886364</v>
      </c>
      <c r="K330" s="41">
        <f t="shared" ref="K330:K338" si="14">G330-H330-J330</f>
        <v>279113636</v>
      </c>
    </row>
    <row r="331" spans="1:11">
      <c r="A331" s="25"/>
      <c r="B331" s="65" t="s">
        <v>21</v>
      </c>
      <c r="C331" s="70" t="s">
        <v>25</v>
      </c>
      <c r="D331" s="71"/>
      <c r="E331" s="72"/>
      <c r="F331" s="23"/>
      <c r="G331" s="28">
        <v>15000000</v>
      </c>
      <c r="H331" s="27">
        <f t="shared" ref="H331:H332" si="15">H280+J280</f>
        <v>0</v>
      </c>
      <c r="I331" s="27"/>
      <c r="J331" s="27">
        <v>0</v>
      </c>
      <c r="K331" s="41">
        <f t="shared" si="14"/>
        <v>15000000</v>
      </c>
    </row>
    <row r="332" spans="1:11">
      <c r="A332" s="25"/>
      <c r="B332" s="65" t="s">
        <v>22</v>
      </c>
      <c r="C332" s="79" t="s">
        <v>26</v>
      </c>
      <c r="D332" s="80"/>
      <c r="E332" s="81"/>
      <c r="F332" s="23"/>
      <c r="G332" s="24">
        <v>115048000</v>
      </c>
      <c r="H332" s="27">
        <f t="shared" si="15"/>
        <v>8525000</v>
      </c>
      <c r="I332" s="27"/>
      <c r="J332" s="27">
        <v>0</v>
      </c>
      <c r="K332" s="41">
        <f t="shared" si="14"/>
        <v>106523000</v>
      </c>
    </row>
    <row r="333" spans="1:11">
      <c r="A333" s="25"/>
      <c r="B333" s="65" t="s">
        <v>43</v>
      </c>
      <c r="C333" s="70" t="s">
        <v>27</v>
      </c>
      <c r="D333" s="71"/>
      <c r="E333" s="72"/>
      <c r="F333" s="23"/>
      <c r="G333" s="24">
        <v>171988668</v>
      </c>
      <c r="H333" s="27">
        <f>H282+J282</f>
        <v>13395000</v>
      </c>
      <c r="I333" s="27"/>
      <c r="J333" s="27">
        <v>0</v>
      </c>
      <c r="K333" s="41">
        <f t="shared" si="14"/>
        <v>158593668</v>
      </c>
    </row>
    <row r="334" spans="1:11">
      <c r="A334" s="25"/>
      <c r="B334" s="65" t="s">
        <v>44</v>
      </c>
      <c r="C334" s="70" t="s">
        <v>28</v>
      </c>
      <c r="D334" s="71"/>
      <c r="E334" s="72"/>
      <c r="F334" s="23"/>
      <c r="G334" s="24">
        <v>92440133</v>
      </c>
      <c r="H334" s="27">
        <f t="shared" ref="H334" si="16">H283+J283</f>
        <v>8982640</v>
      </c>
      <c r="I334" s="27"/>
      <c r="J334" s="27">
        <v>0</v>
      </c>
      <c r="K334" s="41">
        <f t="shared" si="14"/>
        <v>83457493</v>
      </c>
    </row>
    <row r="335" spans="1:11">
      <c r="A335" s="25"/>
      <c r="B335" s="65" t="s">
        <v>45</v>
      </c>
      <c r="C335" s="70" t="s">
        <v>42</v>
      </c>
      <c r="D335" s="71"/>
      <c r="E335" s="72"/>
      <c r="F335" s="23"/>
      <c r="G335" s="24">
        <v>64388964</v>
      </c>
      <c r="H335" s="27">
        <f>H284+J284</f>
        <v>4664634</v>
      </c>
      <c r="I335" s="27"/>
      <c r="J335" s="27">
        <v>0</v>
      </c>
      <c r="K335" s="41">
        <f t="shared" si="14"/>
        <v>59724330</v>
      </c>
    </row>
    <row r="336" spans="1:11">
      <c r="A336" s="30"/>
      <c r="B336" s="66" t="s">
        <v>46</v>
      </c>
      <c r="C336" s="82" t="s">
        <v>29</v>
      </c>
      <c r="D336" s="83"/>
      <c r="E336" s="84"/>
      <c r="F336" s="31"/>
      <c r="G336" s="24">
        <v>214466910</v>
      </c>
      <c r="H336" s="27">
        <f t="shared" ref="H336:H338" si="17">H285+J285</f>
        <v>0</v>
      </c>
      <c r="I336" s="27"/>
      <c r="J336" s="27">
        <v>0</v>
      </c>
      <c r="K336" s="41">
        <f t="shared" si="14"/>
        <v>214466910</v>
      </c>
    </row>
    <row r="337" spans="1:11">
      <c r="A337" s="30"/>
      <c r="B337" s="66" t="s">
        <v>47</v>
      </c>
      <c r="C337" s="32" t="s">
        <v>30</v>
      </c>
      <c r="D337" s="33"/>
      <c r="E337" s="34"/>
      <c r="F337" s="31"/>
      <c r="G337" s="24">
        <v>25000000</v>
      </c>
      <c r="H337" s="27">
        <f t="shared" si="17"/>
        <v>3850000</v>
      </c>
      <c r="I337" s="27"/>
      <c r="J337" s="27">
        <v>0</v>
      </c>
      <c r="K337" s="41">
        <f t="shared" si="14"/>
        <v>21150000</v>
      </c>
    </row>
    <row r="338" spans="1:11">
      <c r="A338" s="35"/>
      <c r="B338" s="66" t="s">
        <v>48</v>
      </c>
      <c r="C338" s="68" t="s">
        <v>49</v>
      </c>
      <c r="D338" s="10"/>
      <c r="E338" s="36"/>
      <c r="F338" s="31"/>
      <c r="G338" s="24">
        <v>178488817</v>
      </c>
      <c r="H338" s="27">
        <f t="shared" si="17"/>
        <v>0</v>
      </c>
      <c r="I338" s="27"/>
      <c r="J338" s="42">
        <v>0</v>
      </c>
      <c r="K338" s="43">
        <f t="shared" si="14"/>
        <v>178488817</v>
      </c>
    </row>
    <row r="339" spans="1:11">
      <c r="A339" s="44"/>
      <c r="B339" s="44"/>
      <c r="C339" s="44" t="s">
        <v>31</v>
      </c>
      <c r="D339" s="44"/>
      <c r="E339" s="44"/>
      <c r="F339" s="45"/>
      <c r="G339" s="46">
        <f>SUM(G329:G338)</f>
        <v>1176821492</v>
      </c>
      <c r="H339" s="47">
        <f>SUM(H329:H338)</f>
        <v>39417274</v>
      </c>
      <c r="I339" s="47"/>
      <c r="J339" s="47">
        <f>SUM(J329:J338)</f>
        <v>20886364</v>
      </c>
      <c r="K339" s="47">
        <f>SUM(K329:K338)</f>
        <v>1116517854</v>
      </c>
    </row>
    <row r="340" spans="1:11">
      <c r="A340" s="48"/>
      <c r="B340" s="8"/>
      <c r="C340" s="8"/>
      <c r="D340" s="8"/>
      <c r="E340" s="8"/>
      <c r="F340" s="8"/>
      <c r="G340" s="49"/>
      <c r="H340" s="49"/>
      <c r="I340" s="49"/>
      <c r="J340" s="49"/>
      <c r="K340" s="49"/>
    </row>
    <row r="341" spans="1:11">
      <c r="A341" s="85" t="s">
        <v>32</v>
      </c>
      <c r="B341" s="85"/>
      <c r="C341" s="85"/>
      <c r="D341" s="11" t="s">
        <v>4</v>
      </c>
      <c r="E341" s="14">
        <f>J339</f>
        <v>20886364</v>
      </c>
      <c r="F341" s="50"/>
      <c r="G341" s="51"/>
      <c r="H341" s="51"/>
      <c r="I341" s="51"/>
      <c r="J341" s="9"/>
      <c r="K341" s="9"/>
    </row>
    <row r="342" spans="1:11">
      <c r="A342" s="10" t="s">
        <v>33</v>
      </c>
      <c r="B342" s="10"/>
      <c r="C342" s="10"/>
      <c r="D342" s="11" t="s">
        <v>4</v>
      </c>
      <c r="E342" s="52"/>
      <c r="F342" s="52"/>
      <c r="G342" s="53"/>
      <c r="H342" s="12"/>
      <c r="I342" s="12"/>
      <c r="J342" s="9"/>
      <c r="K342" s="9"/>
    </row>
    <row r="343" spans="1:11">
      <c r="A343" s="10" t="s">
        <v>34</v>
      </c>
      <c r="B343" s="10"/>
      <c r="C343" s="10"/>
      <c r="D343" s="11" t="s">
        <v>4</v>
      </c>
      <c r="E343" s="54"/>
      <c r="F343" s="54"/>
      <c r="G343" s="53"/>
      <c r="H343" s="12"/>
      <c r="I343" s="12"/>
      <c r="J343" s="9"/>
      <c r="K343" s="9"/>
    </row>
    <row r="344" spans="1:11">
      <c r="A344" s="10" t="s">
        <v>35</v>
      </c>
      <c r="B344" s="10"/>
      <c r="C344" s="10"/>
      <c r="D344" s="11" t="s">
        <v>4</v>
      </c>
      <c r="E344" s="54">
        <f>E342+E343</f>
        <v>0</v>
      </c>
      <c r="F344" s="54"/>
      <c r="G344" s="10"/>
      <c r="H344" s="12"/>
      <c r="I344" s="12"/>
      <c r="J344" s="56"/>
      <c r="K344" s="56"/>
    </row>
    <row r="345" spans="1:11">
      <c r="A345" s="13"/>
      <c r="B345" s="13"/>
      <c r="C345" s="13"/>
      <c r="D345" s="11"/>
      <c r="E345" s="13"/>
      <c r="F345" s="13"/>
      <c r="G345" s="10"/>
      <c r="H345" s="12"/>
      <c r="I345" s="12"/>
      <c r="J345" s="56"/>
      <c r="K345" s="56"/>
    </row>
    <row r="346" spans="1:11">
      <c r="A346" s="85" t="s">
        <v>36</v>
      </c>
      <c r="B346" s="85"/>
      <c r="C346" s="85"/>
      <c r="D346" s="11" t="s">
        <v>4</v>
      </c>
      <c r="E346" s="50">
        <f>E341-E344</f>
        <v>20886364</v>
      </c>
      <c r="F346" s="50"/>
      <c r="G346" s="10"/>
      <c r="H346" s="12"/>
      <c r="I346" s="12"/>
      <c r="J346" s="56"/>
      <c r="K346" s="56"/>
    </row>
    <row r="347" spans="1:11" ht="15.75">
      <c r="A347" s="13"/>
      <c r="B347" s="13"/>
      <c r="C347" s="10"/>
      <c r="D347" s="10"/>
      <c r="E347" s="16" t="str">
        <f>PROPER(IF(E346=0,"nol",IF(E346&lt;0,"minus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346),"000000000000000"),1,3)=0,"",MID(TEXT(ABS(E346),"000000000000000"),1,1)&amp;" ratus "&amp;MID(TEXT(ABS(E346),"000000000000000"),2,1)&amp;" puluh "&amp;MID(TEXT(ABS(E346),"000000000000000"),3,1)&amp;" trilyun ")&amp;IF(--MID(TEXT(ABS(E346),"000000000000000"),4,3)=0,"",MID(TEXT(ABS(E346),"000000000000000"),4,1)&amp;" ratus "&amp;MID(TEXT(ABS(E346),"000000000000000"),5,1)&amp;" puluh "&amp;MID(TEXT(ABS(E346),"000000000000000"),6,1)&amp;" milyar ")&amp;IF(--MID(TEXT(ABS(E346),"000000000000000"),7,3)=0,"",MID(TEXT(ABS(E346),"000000000000000"),7,1)&amp;" ratus "&amp;MID(TEXT(ABS(E346),"000000000000000"),8,1)&amp;" puluh "&amp;MID(TEXT(ABS(E346),"000000000000000"),9,1)&amp;" juta ")&amp;IF(--MID(TEXT(ABS(E346),"000000000000000"),10,3)=0,"",IF(--MID(TEXT(ABS(E346),"000000000000000"),10,3)=1,"*",MID(TEXT(ABS(E346),"000000000000000"),10,1)&amp;" ratus "&amp;MID(TEXT(ABS(E346),"000000000000000"),11,1)&amp;" puluh ")&amp;MID(TEXT(ABS(E346),"000000000000000"),12,1)&amp;" ribu ")&amp;IF(--MID(TEXT(ABS(E346),"000000000000000"),13,3)=0,"",MID(TEXT(ABS(E346),"000000000000000"),13,1)&amp;" ratus "&amp;MID(TEXT(ABS(E346),"000000000000000"),14,1)&amp;" puluh "&amp;MID(TEXT(ABS(E346),"000000000000000"),15,1)),1,"satu"),2,"dua"),3,"tiga"),4,"empat"),5,"lima"),6,"enam"),7,"tujuh"),8,"delapan"),9,"sembilan"),"0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Juta Delapan Ratus Delapan Puluh Enam Ribu Tiga Ratus Enam Puluh Empat Rupiah</v>
      </c>
      <c r="F347" s="10"/>
      <c r="G347" s="10"/>
      <c r="H347" s="10"/>
      <c r="I347" s="10"/>
      <c r="J347" s="56"/>
      <c r="K347" s="56"/>
    </row>
    <row r="348" spans="1:11">
      <c r="A348" s="55"/>
      <c r="B348" s="55"/>
      <c r="C348" s="55"/>
      <c r="D348" s="55"/>
      <c r="E348" s="55"/>
      <c r="F348" s="55"/>
      <c r="G348" s="37"/>
      <c r="H348" s="56"/>
      <c r="I348" s="56"/>
      <c r="J348" s="56"/>
      <c r="K348" s="56"/>
    </row>
    <row r="349" spans="1:11">
      <c r="A349" s="37"/>
      <c r="B349" s="37"/>
      <c r="C349" s="37"/>
      <c r="D349" s="37"/>
      <c r="E349" s="37"/>
      <c r="F349" s="37"/>
      <c r="G349" s="37"/>
      <c r="H349"/>
      <c r="I349"/>
      <c r="J349" s="56"/>
      <c r="K349" s="56"/>
    </row>
    <row r="350" spans="1:11">
      <c r="A350" s="13"/>
      <c r="B350" s="13"/>
      <c r="C350" s="10"/>
      <c r="D350" s="10"/>
      <c r="E350" s="10"/>
      <c r="F350" s="10"/>
      <c r="G350" s="10"/>
      <c r="I350" s="57"/>
      <c r="J350" s="57" t="s">
        <v>60</v>
      </c>
      <c r="K350" s="56"/>
    </row>
    <row r="351" spans="1:11">
      <c r="A351" s="12" t="s">
        <v>37</v>
      </c>
      <c r="B351" s="10"/>
      <c r="C351" s="10"/>
      <c r="D351" s="10"/>
      <c r="E351" s="10"/>
      <c r="F351" s="10"/>
      <c r="G351" s="10"/>
      <c r="I351" s="12"/>
      <c r="J351" s="12" t="s">
        <v>38</v>
      </c>
      <c r="K351" s="56"/>
    </row>
    <row r="352" spans="1:11">
      <c r="A352" s="10"/>
      <c r="B352" s="10"/>
      <c r="C352" s="10"/>
      <c r="D352" s="10"/>
      <c r="E352" s="10"/>
      <c r="F352" s="10"/>
      <c r="G352" s="10"/>
      <c r="I352" s="12"/>
      <c r="J352" s="12"/>
      <c r="K352" s="56"/>
    </row>
    <row r="353" spans="1:11">
      <c r="A353" s="10"/>
      <c r="B353" s="10"/>
      <c r="C353" s="10"/>
      <c r="D353" s="10"/>
      <c r="E353" s="10"/>
      <c r="F353" s="10"/>
      <c r="G353" s="10"/>
      <c r="I353" s="12"/>
      <c r="J353" s="12"/>
      <c r="K353" s="56"/>
    </row>
    <row r="354" spans="1:11">
      <c r="A354" s="10"/>
      <c r="B354" s="10"/>
      <c r="C354" s="10"/>
      <c r="D354" s="10"/>
      <c r="E354" s="10"/>
      <c r="F354" s="10"/>
      <c r="G354" s="10"/>
      <c r="I354" s="12"/>
      <c r="J354" s="12"/>
      <c r="K354" s="56"/>
    </row>
    <row r="355" spans="1:11">
      <c r="A355" s="10"/>
      <c r="B355" s="10"/>
      <c r="C355" s="10"/>
      <c r="D355" s="10"/>
      <c r="E355" s="10"/>
      <c r="F355" s="10"/>
      <c r="G355" s="10"/>
      <c r="I355" s="12"/>
      <c r="J355" s="12"/>
      <c r="K355" s="56"/>
    </row>
    <row r="356" spans="1:11">
      <c r="A356" s="69" t="s">
        <v>50</v>
      </c>
      <c r="B356" s="58"/>
      <c r="C356" s="59"/>
      <c r="D356" s="59"/>
      <c r="E356" s="59"/>
      <c r="F356" s="59"/>
      <c r="G356" s="10" t="s">
        <v>39</v>
      </c>
      <c r="I356" s="58"/>
      <c r="J356" s="58" t="s">
        <v>40</v>
      </c>
      <c r="K356" s="56"/>
    </row>
    <row r="361" spans="1:11" ht="15.75">
      <c r="C361" s="2"/>
      <c r="D361" s="2"/>
      <c r="E361" s="2"/>
      <c r="F361" s="2"/>
    </row>
    <row r="362" spans="1:11" ht="15.75">
      <c r="A362" s="3"/>
      <c r="B362" s="3"/>
      <c r="C362" s="2"/>
      <c r="D362" s="2"/>
      <c r="E362" s="2"/>
      <c r="F362" s="2"/>
      <c r="G362" s="3"/>
      <c r="H362" s="4"/>
      <c r="I362" s="4"/>
      <c r="J362" s="4"/>
      <c r="K362" s="5"/>
    </row>
    <row r="363" spans="1:11">
      <c r="H363" s="5"/>
      <c r="I363" s="5"/>
      <c r="J363" s="5"/>
      <c r="K363" s="5"/>
    </row>
    <row r="364" spans="1:11">
      <c r="H364" s="5"/>
      <c r="I364" s="5"/>
      <c r="J364" s="5"/>
      <c r="K364" s="5"/>
    </row>
    <row r="365" spans="1:11">
      <c r="A365" s="73" t="s">
        <v>0</v>
      </c>
      <c r="B365" s="73"/>
      <c r="C365" s="74"/>
      <c r="D365" s="74"/>
      <c r="E365" s="74"/>
      <c r="F365" s="74"/>
      <c r="G365" s="74"/>
      <c r="H365" s="74"/>
      <c r="I365" s="74"/>
      <c r="J365" s="74"/>
      <c r="K365" s="74"/>
    </row>
    <row r="366" spans="1:11">
      <c r="A366" s="74" t="s">
        <v>68</v>
      </c>
      <c r="B366" s="74"/>
      <c r="C366" s="74"/>
      <c r="D366" s="74"/>
      <c r="E366" s="74"/>
      <c r="F366" s="74"/>
      <c r="G366" s="74"/>
      <c r="H366" s="74"/>
      <c r="I366" s="74"/>
      <c r="J366" s="74"/>
      <c r="K366" s="74"/>
    </row>
    <row r="367" spans="1:11">
      <c r="A367" s="74" t="s">
        <v>1</v>
      </c>
      <c r="B367" s="74"/>
      <c r="C367" s="74"/>
      <c r="D367" s="74"/>
      <c r="E367" s="74"/>
      <c r="F367" s="74"/>
      <c r="G367" s="74"/>
      <c r="H367" s="74"/>
      <c r="I367" s="74"/>
      <c r="J367" s="74"/>
      <c r="K367" s="74"/>
    </row>
    <row r="368" spans="1:11">
      <c r="A368" s="74" t="s">
        <v>51</v>
      </c>
      <c r="B368" s="74"/>
      <c r="C368" s="74"/>
      <c r="D368" s="74"/>
      <c r="E368" s="74"/>
      <c r="F368" s="74"/>
      <c r="G368" s="74"/>
      <c r="H368" s="74"/>
      <c r="I368" s="74"/>
      <c r="J368" s="74"/>
      <c r="K368" s="74"/>
    </row>
    <row r="369" spans="1:11">
      <c r="A369" s="74" t="s">
        <v>2</v>
      </c>
      <c r="B369" s="74"/>
      <c r="C369" s="74"/>
      <c r="D369" s="74"/>
      <c r="E369" s="74"/>
      <c r="F369" s="74"/>
      <c r="G369" s="74"/>
      <c r="H369" s="74"/>
      <c r="I369" s="74"/>
      <c r="J369" s="74"/>
      <c r="K369" s="74"/>
    </row>
    <row r="370" spans="1:11">
      <c r="A370" s="6"/>
      <c r="B370" s="6"/>
      <c r="C370" s="7"/>
      <c r="D370" s="7"/>
      <c r="E370" s="7"/>
      <c r="F370" s="7"/>
      <c r="G370" s="8"/>
      <c r="H370" s="9"/>
      <c r="I370" s="9"/>
      <c r="J370" s="9"/>
      <c r="K370" s="9"/>
    </row>
    <row r="371" spans="1:11">
      <c r="A371" s="62" t="s">
        <v>3</v>
      </c>
      <c r="B371" s="10"/>
      <c r="C371" s="10"/>
      <c r="D371" s="63" t="s">
        <v>4</v>
      </c>
      <c r="E371" s="10" t="s">
        <v>5</v>
      </c>
      <c r="F371" s="11"/>
      <c r="G371" s="10"/>
      <c r="H371" s="12"/>
      <c r="I371" s="12"/>
      <c r="J371" s="12"/>
      <c r="K371" s="9"/>
    </row>
    <row r="372" spans="1:11">
      <c r="A372" s="62" t="s">
        <v>6</v>
      </c>
      <c r="B372" s="10"/>
      <c r="C372" s="10"/>
      <c r="D372" s="63" t="s">
        <v>4</v>
      </c>
      <c r="E372" s="10" t="s">
        <v>7</v>
      </c>
      <c r="F372" s="11"/>
      <c r="G372" s="10"/>
      <c r="H372" s="12"/>
      <c r="I372" s="12"/>
      <c r="J372" s="12"/>
      <c r="K372" s="9"/>
    </row>
    <row r="373" spans="1:11">
      <c r="A373" s="62" t="s">
        <v>8</v>
      </c>
      <c r="B373" s="10"/>
      <c r="C373" s="10"/>
      <c r="D373" s="63" t="s">
        <v>4</v>
      </c>
      <c r="E373" s="13">
        <v>2026</v>
      </c>
      <c r="F373" s="11"/>
      <c r="G373" s="13"/>
      <c r="H373" s="12"/>
      <c r="I373" s="12"/>
      <c r="J373" s="12"/>
      <c r="K373" s="9"/>
    </row>
    <row r="374" spans="1:11">
      <c r="A374" s="62" t="s">
        <v>9</v>
      </c>
      <c r="B374" s="10"/>
      <c r="C374" s="10"/>
      <c r="D374" s="63" t="s">
        <v>4</v>
      </c>
      <c r="E374" s="14">
        <f>J390</f>
        <v>1000000</v>
      </c>
      <c r="F374" s="11"/>
      <c r="G374" s="14"/>
      <c r="H374" s="12"/>
      <c r="I374" s="12"/>
      <c r="J374" s="12"/>
      <c r="K374" s="9"/>
    </row>
    <row r="375" spans="1:11" ht="15.75">
      <c r="A375" s="10"/>
      <c r="B375" s="10"/>
      <c r="C375" s="15" t="s">
        <v>10</v>
      </c>
      <c r="D375" s="63" t="s">
        <v>4</v>
      </c>
      <c r="E375" s="16" t="str">
        <f>PROPER(IF(E374=0,"nol",IF(E374&lt;0,"minus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374),"000000000000000"),1,3)=0,"",MID(TEXT(ABS(E374),"000000000000000"),1,1)&amp;" ratus "&amp;MID(TEXT(ABS(E374),"000000000000000"),2,1)&amp;" puluh "&amp;MID(TEXT(ABS(E374),"000000000000000"),3,1)&amp;" trilyun ")&amp;IF(--MID(TEXT(ABS(E374),"000000000000000"),4,3)=0,"",MID(TEXT(ABS(E374),"000000000000000"),4,1)&amp;" ratus "&amp;MID(TEXT(ABS(E374),"000000000000000"),5,1)&amp;" puluh "&amp;MID(TEXT(ABS(E374),"000000000000000"),6,1)&amp;" milyar ")&amp;IF(--MID(TEXT(ABS(E374),"000000000000000"),7,3)=0,"",MID(TEXT(ABS(E374),"000000000000000"),7,1)&amp;" ratus "&amp;MID(TEXT(ABS(E374),"000000000000000"),8,1)&amp;" puluh "&amp;MID(TEXT(ABS(E374),"000000000000000"),9,1)&amp;" juta ")&amp;IF(--MID(TEXT(ABS(E374),"000000000000000"),10,3)=0,"",IF(--MID(TEXT(ABS(E374),"000000000000000"),10,3)=1,"*",MID(TEXT(ABS(E374),"000000000000000"),10,1)&amp;" ratus "&amp;MID(TEXT(ABS(E374),"000000000000000"),11,1)&amp;" puluh ")&amp;MID(TEXT(ABS(E374),"000000000000000"),12,1)&amp;" ribu ")&amp;IF(--MID(TEXT(ABS(E374),"000000000000000"),13,3)=0,"",MID(TEXT(ABS(E374),"000000000000000"),13,1)&amp;" ratus "&amp;MID(TEXT(ABS(E374),"000000000000000"),14,1)&amp;" puluh "&amp;MID(TEXT(ABS(E374),"000000000000000"),15,1)),1,"satu"),2,"dua"),3,"tiga"),4,"empat"),5,"lima"),6,"enam"),7,"tujuh"),8,"delapan"),9,"sembilan"),"0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375" s="11"/>
      <c r="G375" s="16"/>
      <c r="H375" s="12"/>
      <c r="I375" s="12"/>
      <c r="J375" s="12"/>
      <c r="K375" s="9"/>
    </row>
    <row r="376" spans="1:11" ht="15.75">
      <c r="A376" s="10"/>
      <c r="B376" s="10"/>
      <c r="C376" s="15"/>
      <c r="D376" s="15"/>
      <c r="E376" s="15"/>
      <c r="F376" s="11"/>
      <c r="G376" s="16"/>
      <c r="H376" s="12"/>
      <c r="I376" s="12"/>
      <c r="J376" s="12"/>
      <c r="K376" s="9"/>
    </row>
    <row r="377" spans="1:11">
      <c r="A377" s="10" t="s">
        <v>11</v>
      </c>
      <c r="B377" s="10"/>
      <c r="C377" s="10"/>
      <c r="D377" s="10"/>
      <c r="E377" s="10"/>
      <c r="F377" s="10"/>
      <c r="G377" s="10"/>
      <c r="H377" s="12"/>
      <c r="I377" s="12"/>
      <c r="J377" s="12"/>
      <c r="K377" s="9"/>
    </row>
    <row r="378" spans="1:11">
      <c r="A378" s="75" t="s">
        <v>12</v>
      </c>
      <c r="B378" s="75"/>
      <c r="C378" s="75"/>
      <c r="D378" s="75"/>
      <c r="E378" s="75"/>
      <c r="F378" s="75"/>
      <c r="G378" s="75"/>
      <c r="H378" s="75"/>
      <c r="I378" s="75"/>
      <c r="J378" s="75"/>
      <c r="K378" s="75"/>
    </row>
    <row r="379" spans="1:11" ht="60">
      <c r="A379" s="17" t="s">
        <v>13</v>
      </c>
      <c r="B379" s="18" t="s">
        <v>14</v>
      </c>
      <c r="C379" s="76" t="s">
        <v>15</v>
      </c>
      <c r="D379" s="77"/>
      <c r="E379" s="78"/>
      <c r="F379" s="19"/>
      <c r="G379" s="20" t="s">
        <v>16</v>
      </c>
      <c r="H379" s="21" t="s">
        <v>41</v>
      </c>
      <c r="I379" s="21"/>
      <c r="J379" s="39" t="s">
        <v>17</v>
      </c>
      <c r="K379" s="40" t="s">
        <v>18</v>
      </c>
    </row>
    <row r="380" spans="1:11">
      <c r="A380" s="22">
        <v>1</v>
      </c>
      <c r="B380" s="25"/>
      <c r="C380" s="29" t="s">
        <v>23</v>
      </c>
      <c r="D380" s="67"/>
      <c r="E380" s="26"/>
      <c r="F380" s="23"/>
      <c r="G380" s="64" t="s">
        <v>19</v>
      </c>
      <c r="H380" s="64" t="s">
        <v>19</v>
      </c>
      <c r="I380" s="64"/>
      <c r="J380" s="64" t="s">
        <v>19</v>
      </c>
      <c r="K380" s="64" t="s">
        <v>19</v>
      </c>
    </row>
    <row r="381" spans="1:11">
      <c r="A381" s="25"/>
      <c r="B381" s="65" t="s">
        <v>20</v>
      </c>
      <c r="C381" s="70" t="s">
        <v>24</v>
      </c>
      <c r="D381" s="71"/>
      <c r="E381" s="72"/>
      <c r="F381" s="23"/>
      <c r="G381" s="24">
        <v>300000000</v>
      </c>
      <c r="H381" s="27">
        <f>H330+J330</f>
        <v>20886364</v>
      </c>
      <c r="I381" s="27"/>
      <c r="J381" s="27">
        <v>0</v>
      </c>
      <c r="K381" s="41">
        <f t="shared" ref="K381:K389" si="18">G381-H381-J381</f>
        <v>279113636</v>
      </c>
    </row>
    <row r="382" spans="1:11">
      <c r="A382" s="25"/>
      <c r="B382" s="65" t="s">
        <v>21</v>
      </c>
      <c r="C382" s="70" t="s">
        <v>25</v>
      </c>
      <c r="D382" s="71"/>
      <c r="E382" s="72"/>
      <c r="F382" s="23"/>
      <c r="G382" s="28">
        <v>15000000</v>
      </c>
      <c r="H382" s="27">
        <f t="shared" ref="H382:H383" si="19">H331+J331</f>
        <v>0</v>
      </c>
      <c r="I382" s="27"/>
      <c r="J382" s="27">
        <v>1000000</v>
      </c>
      <c r="K382" s="41">
        <f t="shared" si="18"/>
        <v>14000000</v>
      </c>
    </row>
    <row r="383" spans="1:11">
      <c r="A383" s="25"/>
      <c r="B383" s="65" t="s">
        <v>22</v>
      </c>
      <c r="C383" s="79" t="s">
        <v>26</v>
      </c>
      <c r="D383" s="80"/>
      <c r="E383" s="81"/>
      <c r="F383" s="23"/>
      <c r="G383" s="24">
        <v>115048000</v>
      </c>
      <c r="H383" s="27">
        <f t="shared" si="19"/>
        <v>8525000</v>
      </c>
      <c r="I383" s="27"/>
      <c r="J383" s="27">
        <v>0</v>
      </c>
      <c r="K383" s="41">
        <f t="shared" si="18"/>
        <v>106523000</v>
      </c>
    </row>
    <row r="384" spans="1:11">
      <c r="A384" s="25"/>
      <c r="B384" s="65" t="s">
        <v>43</v>
      </c>
      <c r="C384" s="70" t="s">
        <v>27</v>
      </c>
      <c r="D384" s="71"/>
      <c r="E384" s="72"/>
      <c r="F384" s="23"/>
      <c r="G384" s="24">
        <v>171988668</v>
      </c>
      <c r="H384" s="27">
        <f>H333+J333</f>
        <v>13395000</v>
      </c>
      <c r="I384" s="27"/>
      <c r="J384" s="27">
        <v>0</v>
      </c>
      <c r="K384" s="41">
        <f t="shared" si="18"/>
        <v>158593668</v>
      </c>
    </row>
    <row r="385" spans="1:11">
      <c r="A385" s="25"/>
      <c r="B385" s="65" t="s">
        <v>44</v>
      </c>
      <c r="C385" s="70" t="s">
        <v>28</v>
      </c>
      <c r="D385" s="71"/>
      <c r="E385" s="72"/>
      <c r="F385" s="23"/>
      <c r="G385" s="24">
        <v>92440133</v>
      </c>
      <c r="H385" s="27">
        <f t="shared" ref="H385" si="20">H334+J334</f>
        <v>8982640</v>
      </c>
      <c r="I385" s="27"/>
      <c r="J385" s="27">
        <v>0</v>
      </c>
      <c r="K385" s="41">
        <f t="shared" si="18"/>
        <v>83457493</v>
      </c>
    </row>
    <row r="386" spans="1:11">
      <c r="A386" s="25"/>
      <c r="B386" s="65" t="s">
        <v>45</v>
      </c>
      <c r="C386" s="70" t="s">
        <v>42</v>
      </c>
      <c r="D386" s="71"/>
      <c r="E386" s="72"/>
      <c r="F386" s="23"/>
      <c r="G386" s="24">
        <v>64388964</v>
      </c>
      <c r="H386" s="27">
        <f>H335+J335</f>
        <v>4664634</v>
      </c>
      <c r="I386" s="27"/>
      <c r="J386" s="27">
        <v>0</v>
      </c>
      <c r="K386" s="41">
        <f t="shared" si="18"/>
        <v>59724330</v>
      </c>
    </row>
    <row r="387" spans="1:11">
      <c r="A387" s="30"/>
      <c r="B387" s="66" t="s">
        <v>46</v>
      </c>
      <c r="C387" s="82" t="s">
        <v>29</v>
      </c>
      <c r="D387" s="83"/>
      <c r="E387" s="84"/>
      <c r="F387" s="31"/>
      <c r="G387" s="24">
        <v>214466910</v>
      </c>
      <c r="H387" s="27">
        <f t="shared" ref="H387:H389" si="21">H336+J336</f>
        <v>0</v>
      </c>
      <c r="I387" s="27"/>
      <c r="J387" s="27">
        <v>0</v>
      </c>
      <c r="K387" s="41">
        <f t="shared" si="18"/>
        <v>214466910</v>
      </c>
    </row>
    <row r="388" spans="1:11">
      <c r="A388" s="30"/>
      <c r="B388" s="66" t="s">
        <v>47</v>
      </c>
      <c r="C388" s="32" t="s">
        <v>30</v>
      </c>
      <c r="D388" s="33"/>
      <c r="E388" s="34"/>
      <c r="F388" s="31"/>
      <c r="G388" s="24">
        <v>25000000</v>
      </c>
      <c r="H388" s="27">
        <f t="shared" si="21"/>
        <v>3850000</v>
      </c>
      <c r="I388" s="27"/>
      <c r="J388" s="27">
        <v>0</v>
      </c>
      <c r="K388" s="41">
        <f t="shared" si="18"/>
        <v>21150000</v>
      </c>
    </row>
    <row r="389" spans="1:11">
      <c r="A389" s="35"/>
      <c r="B389" s="66" t="s">
        <v>48</v>
      </c>
      <c r="C389" s="68" t="s">
        <v>49</v>
      </c>
      <c r="D389" s="10"/>
      <c r="E389" s="36"/>
      <c r="F389" s="31"/>
      <c r="G389" s="24">
        <v>178488817</v>
      </c>
      <c r="H389" s="27">
        <f t="shared" si="21"/>
        <v>0</v>
      </c>
      <c r="I389" s="27"/>
      <c r="J389" s="42">
        <v>0</v>
      </c>
      <c r="K389" s="43">
        <f t="shared" si="18"/>
        <v>178488817</v>
      </c>
    </row>
    <row r="390" spans="1:11">
      <c r="A390" s="44"/>
      <c r="B390" s="44"/>
      <c r="C390" s="44" t="s">
        <v>31</v>
      </c>
      <c r="D390" s="44"/>
      <c r="E390" s="44"/>
      <c r="F390" s="45"/>
      <c r="G390" s="46">
        <f>SUM(G380:G389)</f>
        <v>1176821492</v>
      </c>
      <c r="H390" s="47">
        <f>SUM(H380:H389)</f>
        <v>60303638</v>
      </c>
      <c r="I390" s="47"/>
      <c r="J390" s="47">
        <f>SUM(J380:J389)</f>
        <v>1000000</v>
      </c>
      <c r="K390" s="47">
        <f>SUM(K380:K389)</f>
        <v>1115517854</v>
      </c>
    </row>
    <row r="391" spans="1:11">
      <c r="A391" s="48"/>
      <c r="B391" s="8"/>
      <c r="C391" s="8"/>
      <c r="D391" s="8"/>
      <c r="E391" s="8"/>
      <c r="F391" s="8"/>
      <c r="G391" s="49"/>
      <c r="H391" s="49"/>
      <c r="I391" s="49"/>
      <c r="J391" s="49"/>
      <c r="K391" s="49"/>
    </row>
    <row r="392" spans="1:11">
      <c r="A392" s="85" t="s">
        <v>32</v>
      </c>
      <c r="B392" s="85"/>
      <c r="C392" s="85"/>
      <c r="D392" s="11" t="s">
        <v>4</v>
      </c>
      <c r="E392" s="14">
        <f>J390</f>
        <v>1000000</v>
      </c>
      <c r="F392" s="50"/>
      <c r="G392" s="51"/>
      <c r="H392" s="51"/>
      <c r="I392" s="51"/>
      <c r="J392" s="9"/>
      <c r="K392" s="9"/>
    </row>
    <row r="393" spans="1:11">
      <c r="A393" s="10" t="s">
        <v>33</v>
      </c>
      <c r="B393" s="10"/>
      <c r="C393" s="10"/>
      <c r="D393" s="11" t="s">
        <v>4</v>
      </c>
      <c r="E393" s="52"/>
      <c r="F393" s="52"/>
      <c r="G393" s="53"/>
      <c r="H393" s="12"/>
      <c r="I393" s="12"/>
      <c r="J393" s="9"/>
      <c r="K393" s="9"/>
    </row>
    <row r="394" spans="1:11">
      <c r="A394" s="10" t="s">
        <v>34</v>
      </c>
      <c r="B394" s="10"/>
      <c r="C394" s="10"/>
      <c r="D394" s="11" t="s">
        <v>4</v>
      </c>
      <c r="E394" s="54"/>
      <c r="F394" s="54"/>
      <c r="G394" s="53"/>
      <c r="H394" s="12"/>
      <c r="I394" s="12"/>
      <c r="J394" s="9"/>
      <c r="K394" s="9"/>
    </row>
    <row r="395" spans="1:11">
      <c r="A395" s="10" t="s">
        <v>35</v>
      </c>
      <c r="B395" s="10"/>
      <c r="C395" s="10"/>
      <c r="D395" s="11" t="s">
        <v>4</v>
      </c>
      <c r="E395" s="54">
        <f>E393+E394</f>
        <v>0</v>
      </c>
      <c r="F395" s="54"/>
      <c r="G395" s="10"/>
      <c r="H395" s="12"/>
      <c r="I395" s="12"/>
      <c r="J395" s="56"/>
      <c r="K395" s="56"/>
    </row>
    <row r="396" spans="1:11">
      <c r="A396" s="13"/>
      <c r="B396" s="13"/>
      <c r="C396" s="13"/>
      <c r="D396" s="11"/>
      <c r="E396" s="13"/>
      <c r="F396" s="13"/>
      <c r="G396" s="10"/>
      <c r="H396" s="12"/>
      <c r="I396" s="12"/>
      <c r="J396" s="56"/>
      <c r="K396" s="56"/>
    </row>
    <row r="397" spans="1:11">
      <c r="A397" s="85" t="s">
        <v>36</v>
      </c>
      <c r="B397" s="85"/>
      <c r="C397" s="85"/>
      <c r="D397" s="11" t="s">
        <v>4</v>
      </c>
      <c r="E397" s="50">
        <f>E392-E395</f>
        <v>1000000</v>
      </c>
      <c r="F397" s="50"/>
      <c r="G397" s="10"/>
      <c r="H397" s="12"/>
      <c r="I397" s="12"/>
      <c r="J397" s="56"/>
      <c r="K397" s="56"/>
    </row>
    <row r="398" spans="1:11" ht="15.75">
      <c r="A398" s="13"/>
      <c r="B398" s="13"/>
      <c r="C398" s="10"/>
      <c r="D398" s="10"/>
      <c r="E398" s="16" t="str">
        <f>PROPER(IF(E397=0,"nol",IF(E397&lt;0,"minus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397),"000000000000000"),1,3)=0,"",MID(TEXT(ABS(E397),"000000000000000"),1,1)&amp;" ratus "&amp;MID(TEXT(ABS(E397),"000000000000000"),2,1)&amp;" puluh "&amp;MID(TEXT(ABS(E397),"000000000000000"),3,1)&amp;" trilyun ")&amp;IF(--MID(TEXT(ABS(E397),"000000000000000"),4,3)=0,"",MID(TEXT(ABS(E397),"000000000000000"),4,1)&amp;" ratus "&amp;MID(TEXT(ABS(E397),"000000000000000"),5,1)&amp;" puluh "&amp;MID(TEXT(ABS(E397),"000000000000000"),6,1)&amp;" milyar ")&amp;IF(--MID(TEXT(ABS(E397),"000000000000000"),7,3)=0,"",MID(TEXT(ABS(E397),"000000000000000"),7,1)&amp;" ratus "&amp;MID(TEXT(ABS(E397),"000000000000000"),8,1)&amp;" puluh "&amp;MID(TEXT(ABS(E397),"000000000000000"),9,1)&amp;" juta ")&amp;IF(--MID(TEXT(ABS(E397),"000000000000000"),10,3)=0,"",IF(--MID(TEXT(ABS(E397),"000000000000000"),10,3)=1,"*",MID(TEXT(ABS(E397),"000000000000000"),10,1)&amp;" ratus "&amp;MID(TEXT(ABS(E397),"000000000000000"),11,1)&amp;" puluh ")&amp;MID(TEXT(ABS(E397),"000000000000000"),12,1)&amp;" ribu ")&amp;IF(--MID(TEXT(ABS(E397),"000000000000000"),13,3)=0,"",MID(TEXT(ABS(E397),"000000000000000"),13,1)&amp;" ratus "&amp;MID(TEXT(ABS(E397),"000000000000000"),14,1)&amp;" puluh "&amp;MID(TEXT(ABS(E397),"000000000000000"),15,1)),1,"satu"),2,"dua"),3,"tiga"),4,"empat"),5,"lima"),6,"enam"),7,"tujuh"),8,"delapan"),9,"sembilan"),"0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398" s="10"/>
      <c r="G398" s="10"/>
      <c r="H398" s="10"/>
      <c r="I398" s="10"/>
      <c r="J398" s="56"/>
      <c r="K398" s="56"/>
    </row>
    <row r="399" spans="1:11">
      <c r="A399" s="55"/>
      <c r="B399" s="55"/>
      <c r="C399" s="55"/>
      <c r="D399" s="55"/>
      <c r="E399" s="55"/>
      <c r="F399" s="55"/>
      <c r="G399" s="37"/>
      <c r="H399" s="56"/>
      <c r="I399" s="56"/>
      <c r="J399" s="56"/>
      <c r="K399" s="56"/>
    </row>
    <row r="400" spans="1:11">
      <c r="A400" s="37"/>
      <c r="B400" s="37"/>
      <c r="C400" s="37"/>
      <c r="D400" s="37"/>
      <c r="E400" s="37"/>
      <c r="F400" s="37"/>
      <c r="G400" s="37"/>
      <c r="H400"/>
      <c r="I400"/>
      <c r="J400" s="56"/>
      <c r="K400" s="56"/>
    </row>
    <row r="401" spans="1:11">
      <c r="A401" s="13"/>
      <c r="B401" s="13"/>
      <c r="C401" s="10"/>
      <c r="D401" s="10"/>
      <c r="E401" s="10"/>
      <c r="F401" s="10"/>
      <c r="G401" s="10"/>
      <c r="I401" s="57"/>
      <c r="J401" s="57" t="s">
        <v>60</v>
      </c>
      <c r="K401" s="56"/>
    </row>
    <row r="402" spans="1:11">
      <c r="A402" s="12" t="s">
        <v>37</v>
      </c>
      <c r="B402" s="10"/>
      <c r="C402" s="10"/>
      <c r="D402" s="10"/>
      <c r="E402" s="10"/>
      <c r="F402" s="10"/>
      <c r="G402" s="10"/>
      <c r="I402" s="12"/>
      <c r="J402" s="12" t="s">
        <v>38</v>
      </c>
      <c r="K402" s="56"/>
    </row>
    <row r="403" spans="1:11">
      <c r="A403" s="10"/>
      <c r="B403" s="10"/>
      <c r="C403" s="10"/>
      <c r="D403" s="10"/>
      <c r="E403" s="10"/>
      <c r="F403" s="10"/>
      <c r="G403" s="10"/>
      <c r="I403" s="12"/>
      <c r="J403" s="12"/>
      <c r="K403" s="56"/>
    </row>
    <row r="404" spans="1:11">
      <c r="A404" s="10"/>
      <c r="B404" s="10"/>
      <c r="C404" s="10"/>
      <c r="D404" s="10"/>
      <c r="E404" s="10"/>
      <c r="F404" s="10"/>
      <c r="G404" s="10"/>
      <c r="I404" s="12"/>
      <c r="J404" s="12"/>
      <c r="K404" s="56"/>
    </row>
    <row r="405" spans="1:11">
      <c r="A405" s="10"/>
      <c r="B405" s="10"/>
      <c r="C405" s="10"/>
      <c r="D405" s="10"/>
      <c r="E405" s="10"/>
      <c r="F405" s="10"/>
      <c r="G405" s="10"/>
      <c r="I405" s="12"/>
      <c r="J405" s="12"/>
      <c r="K405" s="56"/>
    </row>
    <row r="406" spans="1:11">
      <c r="A406" s="10"/>
      <c r="B406" s="10"/>
      <c r="C406" s="10"/>
      <c r="D406" s="10"/>
      <c r="E406" s="10"/>
      <c r="F406" s="10"/>
      <c r="G406" s="10"/>
      <c r="I406" s="12"/>
      <c r="J406" s="12"/>
      <c r="K406" s="56"/>
    </row>
    <row r="407" spans="1:11">
      <c r="A407" s="69" t="s">
        <v>50</v>
      </c>
      <c r="B407" s="58"/>
      <c r="C407" s="59"/>
      <c r="D407" s="59"/>
      <c r="E407" s="59"/>
      <c r="F407" s="59"/>
      <c r="G407" s="10" t="s">
        <v>39</v>
      </c>
      <c r="I407" s="58"/>
      <c r="J407" s="58" t="s">
        <v>40</v>
      </c>
      <c r="K407" s="56"/>
    </row>
  </sheetData>
  <mergeCells count="128">
    <mergeCell ref="A392:C392"/>
    <mergeCell ref="A397:C397"/>
    <mergeCell ref="C383:E383"/>
    <mergeCell ref="C384:E384"/>
    <mergeCell ref="C385:E385"/>
    <mergeCell ref="C386:E386"/>
    <mergeCell ref="C387:E387"/>
    <mergeCell ref="A369:K369"/>
    <mergeCell ref="A378:K378"/>
    <mergeCell ref="C379:E379"/>
    <mergeCell ref="C381:E381"/>
    <mergeCell ref="C382:E382"/>
    <mergeCell ref="A346:C346"/>
    <mergeCell ref="A365:K365"/>
    <mergeCell ref="A366:K366"/>
    <mergeCell ref="A367:K367"/>
    <mergeCell ref="A368:K368"/>
    <mergeCell ref="C333:E333"/>
    <mergeCell ref="C334:E334"/>
    <mergeCell ref="C335:E335"/>
    <mergeCell ref="C336:E336"/>
    <mergeCell ref="A341:C341"/>
    <mergeCell ref="A327:K327"/>
    <mergeCell ref="C328:E328"/>
    <mergeCell ref="C330:E330"/>
    <mergeCell ref="C331:E331"/>
    <mergeCell ref="C332:E332"/>
    <mergeCell ref="A314:K314"/>
    <mergeCell ref="A315:K315"/>
    <mergeCell ref="A316:K316"/>
    <mergeCell ref="A317:K317"/>
    <mergeCell ref="A318:K318"/>
    <mergeCell ref="A142:C142"/>
    <mergeCell ref="C129:E129"/>
    <mergeCell ref="C130:E130"/>
    <mergeCell ref="C131:E131"/>
    <mergeCell ref="C132:E132"/>
    <mergeCell ref="A137:C137"/>
    <mergeCell ref="A123:K123"/>
    <mergeCell ref="C124:E124"/>
    <mergeCell ref="C126:E126"/>
    <mergeCell ref="C127:E127"/>
    <mergeCell ref="C128:E128"/>
    <mergeCell ref="A110:K110"/>
    <mergeCell ref="A111:K111"/>
    <mergeCell ref="A112:K112"/>
    <mergeCell ref="A113:K113"/>
    <mergeCell ref="A114:K114"/>
    <mergeCell ref="A8:K8"/>
    <mergeCell ref="A9:K9"/>
    <mergeCell ref="A10:K10"/>
    <mergeCell ref="A11:K11"/>
    <mergeCell ref="A12:K12"/>
    <mergeCell ref="A21:K21"/>
    <mergeCell ref="C22:E22"/>
    <mergeCell ref="C24:E24"/>
    <mergeCell ref="C25:E25"/>
    <mergeCell ref="C26:E26"/>
    <mergeCell ref="C27:E27"/>
    <mergeCell ref="A59:K59"/>
    <mergeCell ref="A60:K60"/>
    <mergeCell ref="A61:K61"/>
    <mergeCell ref="A62:K62"/>
    <mergeCell ref="C29:E29"/>
    <mergeCell ref="C30:E30"/>
    <mergeCell ref="A35:C35"/>
    <mergeCell ref="A40:C40"/>
    <mergeCell ref="C28:E28"/>
    <mergeCell ref="A63:K63"/>
    <mergeCell ref="A72:K72"/>
    <mergeCell ref="C73:E73"/>
    <mergeCell ref="C75:E75"/>
    <mergeCell ref="C76:E76"/>
    <mergeCell ref="A86:C86"/>
    <mergeCell ref="A91:C91"/>
    <mergeCell ref="C77:E77"/>
    <mergeCell ref="C78:E78"/>
    <mergeCell ref="C79:E79"/>
    <mergeCell ref="C80:E80"/>
    <mergeCell ref="C81:E81"/>
    <mergeCell ref="A161:K161"/>
    <mergeCell ref="A162:K162"/>
    <mergeCell ref="A163:K163"/>
    <mergeCell ref="A164:K164"/>
    <mergeCell ref="A165:K165"/>
    <mergeCell ref="A174:K174"/>
    <mergeCell ref="C175:E175"/>
    <mergeCell ref="C177:E177"/>
    <mergeCell ref="C178:E178"/>
    <mergeCell ref="C179:E179"/>
    <mergeCell ref="C180:E180"/>
    <mergeCell ref="C181:E181"/>
    <mergeCell ref="C182:E182"/>
    <mergeCell ref="C183:E183"/>
    <mergeCell ref="A188:C188"/>
    <mergeCell ref="A193:C193"/>
    <mergeCell ref="A212:K212"/>
    <mergeCell ref="A213:K213"/>
    <mergeCell ref="A214:K214"/>
    <mergeCell ref="A215:K215"/>
    <mergeCell ref="A216:K216"/>
    <mergeCell ref="A225:K225"/>
    <mergeCell ref="C226:E226"/>
    <mergeCell ref="C228:E228"/>
    <mergeCell ref="C229:E229"/>
    <mergeCell ref="C230:E230"/>
    <mergeCell ref="C231:E231"/>
    <mergeCell ref="C232:E232"/>
    <mergeCell ref="C233:E233"/>
    <mergeCell ref="C234:E234"/>
    <mergeCell ref="A239:C239"/>
    <mergeCell ref="A244:C244"/>
    <mergeCell ref="A263:K263"/>
    <mergeCell ref="A264:K264"/>
    <mergeCell ref="A265:K265"/>
    <mergeCell ref="A266:K266"/>
    <mergeCell ref="A267:K267"/>
    <mergeCell ref="A276:K276"/>
    <mergeCell ref="C277:E277"/>
    <mergeCell ref="C279:E279"/>
    <mergeCell ref="C285:E285"/>
    <mergeCell ref="A290:C290"/>
    <mergeCell ref="A295:C295"/>
    <mergeCell ref="C280:E280"/>
    <mergeCell ref="C281:E281"/>
    <mergeCell ref="C282:E282"/>
    <mergeCell ref="C283:E283"/>
    <mergeCell ref="C284:E284"/>
  </mergeCells>
  <phoneticPr fontId="18" type="noConversion"/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8" manualBreakCount="8">
    <brk id="51" max="10" man="1"/>
    <brk id="102" max="10" man="1"/>
    <brk id="153" max="10" man="1"/>
    <brk id="204" max="10" man="1"/>
    <brk id="255" max="10" man="1"/>
    <brk id="306" max="10" man="1"/>
    <brk id="357" max="10" man="1"/>
    <brk id="40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C5C9-DE2F-4CCD-BDC4-A667A29BF11A}">
  <dimension ref="A1:W203"/>
  <sheetViews>
    <sheetView view="pageBreakPreview" topLeftCell="A67" zoomScaleNormal="100" workbookViewId="0">
      <selection activeCell="H198" sqref="H198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7"/>
    </row>
    <row r="2" spans="1:23"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7"/>
    </row>
    <row r="3" spans="1:23">
      <c r="L3" s="37"/>
      <c r="M3" s="38"/>
      <c r="N3" s="38"/>
      <c r="O3" s="38"/>
      <c r="P3" s="38"/>
      <c r="Q3" s="38"/>
      <c r="R3" s="38"/>
      <c r="S3" s="38"/>
      <c r="T3" s="38"/>
      <c r="U3" s="38"/>
      <c r="V3" s="38"/>
      <c r="W3" s="37"/>
    </row>
    <row r="4" spans="1:23" ht="15.75">
      <c r="C4" s="2"/>
      <c r="D4" s="2"/>
      <c r="E4" s="2"/>
      <c r="F4" s="2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7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7"/>
    </row>
    <row r="6" spans="1:23">
      <c r="H6" s="5"/>
      <c r="I6" s="5"/>
      <c r="J6" s="5"/>
      <c r="K6" s="5"/>
      <c r="L6" s="37"/>
      <c r="M6" s="38"/>
      <c r="N6" s="38"/>
      <c r="O6" s="38"/>
      <c r="P6" s="38"/>
      <c r="Q6" s="38"/>
      <c r="R6" s="38"/>
      <c r="S6" s="38"/>
      <c r="T6" s="38"/>
      <c r="U6" s="38"/>
      <c r="V6" s="38"/>
      <c r="W6" s="37"/>
    </row>
    <row r="7" spans="1:23">
      <c r="H7" s="5"/>
      <c r="I7" s="5"/>
      <c r="J7" s="5"/>
      <c r="K7" s="5"/>
      <c r="L7" s="37"/>
      <c r="M7" s="38"/>
      <c r="N7" s="38"/>
      <c r="O7" s="38"/>
      <c r="P7" s="38"/>
      <c r="Q7" s="38"/>
      <c r="R7" s="38"/>
      <c r="S7" s="38"/>
      <c r="T7" s="38"/>
      <c r="U7" s="38"/>
      <c r="V7" s="38"/>
      <c r="W7" s="37"/>
    </row>
    <row r="8" spans="1:23" ht="15" customHeight="1">
      <c r="A8" s="73" t="s">
        <v>0</v>
      </c>
      <c r="B8" s="73"/>
      <c r="C8" s="74"/>
      <c r="D8" s="74"/>
      <c r="E8" s="74"/>
      <c r="F8" s="74"/>
      <c r="G8" s="74"/>
      <c r="H8" s="74"/>
      <c r="I8" s="74"/>
      <c r="J8" s="74"/>
      <c r="K8" s="74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7"/>
    </row>
    <row r="9" spans="1:23" ht="15" customHeight="1">
      <c r="A9" s="74" t="s">
        <v>63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7"/>
    </row>
    <row r="10" spans="1:23" ht="15" customHeight="1">
      <c r="A10" s="74" t="s">
        <v>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7"/>
    </row>
    <row r="11" spans="1:23" ht="15" customHeight="1">
      <c r="A11" s="74" t="s">
        <v>51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7"/>
    </row>
    <row r="12" spans="1:23" ht="15" customHeight="1">
      <c r="A12" s="74" t="s">
        <v>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7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7"/>
    </row>
    <row r="14" spans="1:23">
      <c r="A14" s="62" t="s">
        <v>3</v>
      </c>
      <c r="B14" s="10"/>
      <c r="C14" s="10"/>
      <c r="D14" s="63" t="s">
        <v>4</v>
      </c>
      <c r="E14" s="10" t="s">
        <v>5</v>
      </c>
      <c r="F14" s="11"/>
      <c r="G14" s="10"/>
      <c r="H14" s="12"/>
      <c r="I14" s="12"/>
      <c r="J14" s="12"/>
      <c r="K14" s="9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7"/>
    </row>
    <row r="15" spans="1:23">
      <c r="A15" s="62" t="s">
        <v>6</v>
      </c>
      <c r="B15" s="10"/>
      <c r="C15" s="10"/>
      <c r="D15" s="63" t="s">
        <v>4</v>
      </c>
      <c r="E15" s="10" t="s">
        <v>7</v>
      </c>
      <c r="F15" s="11"/>
      <c r="G15" s="10"/>
      <c r="H15" s="12"/>
      <c r="I15" s="12"/>
      <c r="J15" s="12"/>
      <c r="K15" s="9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7"/>
    </row>
    <row r="16" spans="1:23">
      <c r="A16" s="62" t="s">
        <v>8</v>
      </c>
      <c r="B16" s="10"/>
      <c r="C16" s="10"/>
      <c r="D16" s="63" t="s">
        <v>4</v>
      </c>
      <c r="E16" s="13">
        <v>2026</v>
      </c>
      <c r="F16" s="11"/>
      <c r="G16" s="13"/>
      <c r="H16" s="12"/>
      <c r="I16" s="12"/>
      <c r="J16" s="12"/>
      <c r="K16" s="9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</row>
    <row r="17" spans="1:23">
      <c r="A17" s="62" t="s">
        <v>9</v>
      </c>
      <c r="B17" s="10"/>
      <c r="C17" s="10"/>
      <c r="D17" s="63" t="s">
        <v>4</v>
      </c>
      <c r="E17" s="14">
        <f>J33</f>
        <v>8982640</v>
      </c>
      <c r="F17" s="11"/>
      <c r="G17" s="14"/>
      <c r="H17" s="12"/>
      <c r="I17" s="12"/>
      <c r="J17" s="12"/>
      <c r="K17" s="9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7"/>
    </row>
    <row r="18" spans="1:23" ht="15.75">
      <c r="A18" s="10"/>
      <c r="B18" s="10"/>
      <c r="C18" s="15" t="s">
        <v>10</v>
      </c>
      <c r="D18" s="6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Sembilan Ratus Delapan Puluh Dua Ribu Enam Ratus Empat Puluh Rupiah</v>
      </c>
      <c r="F18" s="11"/>
      <c r="G18" s="16"/>
      <c r="H18" s="12"/>
      <c r="I18" s="12"/>
      <c r="J18" s="12"/>
      <c r="K18" s="9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7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7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7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7"/>
    </row>
    <row r="21" spans="1:23">
      <c r="A21" s="75" t="s">
        <v>12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37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7"/>
    </row>
    <row r="22" spans="1:23" ht="61.5" customHeight="1">
      <c r="A22" s="17" t="s">
        <v>13</v>
      </c>
      <c r="B22" s="18" t="s">
        <v>14</v>
      </c>
      <c r="C22" s="76" t="s">
        <v>15</v>
      </c>
      <c r="D22" s="77"/>
      <c r="E22" s="78"/>
      <c r="F22" s="19"/>
      <c r="G22" s="20" t="s">
        <v>16</v>
      </c>
      <c r="H22" s="21" t="s">
        <v>41</v>
      </c>
      <c r="I22" s="21"/>
      <c r="J22" s="39" t="s">
        <v>17</v>
      </c>
      <c r="K22" s="40" t="s">
        <v>18</v>
      </c>
      <c r="L22" s="37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7"/>
    </row>
    <row r="23" spans="1:23" ht="15.75" customHeight="1">
      <c r="A23" s="22">
        <v>1</v>
      </c>
      <c r="B23" s="25"/>
      <c r="C23" s="29" t="s">
        <v>23</v>
      </c>
      <c r="D23" s="67"/>
      <c r="E23" s="26"/>
      <c r="F23" s="23"/>
      <c r="G23" s="64" t="s">
        <v>19</v>
      </c>
      <c r="H23" s="64" t="s">
        <v>19</v>
      </c>
      <c r="I23" s="64"/>
      <c r="J23" s="64" t="s">
        <v>19</v>
      </c>
      <c r="K23" s="64" t="s">
        <v>19</v>
      </c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7"/>
    </row>
    <row r="24" spans="1:23" ht="15.75" customHeight="1">
      <c r="A24" s="25"/>
      <c r="B24" s="65" t="s">
        <v>20</v>
      </c>
      <c r="C24" s="70" t="s">
        <v>24</v>
      </c>
      <c r="D24" s="71"/>
      <c r="E24" s="72"/>
      <c r="F24" s="23"/>
      <c r="G24" s="24">
        <v>300000000</v>
      </c>
      <c r="H24" s="27">
        <f>JANUARI!H381+JANUARI!J381</f>
        <v>20886364</v>
      </c>
      <c r="I24" s="27"/>
      <c r="J24" s="27">
        <v>0</v>
      </c>
      <c r="K24" s="41">
        <f t="shared" ref="K24:K32" si="0">G24-H24-J24</f>
        <v>279113636</v>
      </c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7"/>
    </row>
    <row r="25" spans="1:23">
      <c r="A25" s="25"/>
      <c r="B25" s="65" t="s">
        <v>21</v>
      </c>
      <c r="C25" s="70" t="s">
        <v>25</v>
      </c>
      <c r="D25" s="71"/>
      <c r="E25" s="72"/>
      <c r="F25" s="23"/>
      <c r="G25" s="28">
        <v>15000000</v>
      </c>
      <c r="H25" s="27">
        <f>JANUARI!H382+JANUARI!J382</f>
        <v>1000000</v>
      </c>
      <c r="I25" s="27"/>
      <c r="J25" s="27">
        <v>0</v>
      </c>
      <c r="K25" s="41">
        <f t="shared" si="0"/>
        <v>14000000</v>
      </c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7"/>
    </row>
    <row r="26" spans="1:23">
      <c r="A26" s="25"/>
      <c r="B26" s="65" t="s">
        <v>22</v>
      </c>
      <c r="C26" s="79" t="s">
        <v>26</v>
      </c>
      <c r="D26" s="80"/>
      <c r="E26" s="81"/>
      <c r="F26" s="23"/>
      <c r="G26" s="24">
        <v>115048000</v>
      </c>
      <c r="H26" s="27">
        <f>JANUARI!H383+JANUARI!J383</f>
        <v>8525000</v>
      </c>
      <c r="I26" s="27"/>
      <c r="J26" s="27">
        <v>0</v>
      </c>
      <c r="K26" s="41">
        <f t="shared" si="0"/>
        <v>106523000</v>
      </c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7"/>
    </row>
    <row r="27" spans="1:23" ht="15" customHeight="1">
      <c r="A27" s="25"/>
      <c r="B27" s="65" t="s">
        <v>43</v>
      </c>
      <c r="C27" s="70" t="s">
        <v>27</v>
      </c>
      <c r="D27" s="71"/>
      <c r="E27" s="72"/>
      <c r="F27" s="23"/>
      <c r="G27" s="24">
        <v>171988668</v>
      </c>
      <c r="H27" s="27">
        <f>JANUARI!H384+JANUARI!J384</f>
        <v>13395000</v>
      </c>
      <c r="I27" s="27"/>
      <c r="J27" s="27">
        <v>0</v>
      </c>
      <c r="K27" s="41">
        <f t="shared" si="0"/>
        <v>158593668</v>
      </c>
      <c r="L27" s="37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7"/>
    </row>
    <row r="28" spans="1:23" ht="15" customHeight="1">
      <c r="A28" s="25"/>
      <c r="B28" s="65" t="s">
        <v>44</v>
      </c>
      <c r="C28" s="70" t="s">
        <v>28</v>
      </c>
      <c r="D28" s="71"/>
      <c r="E28" s="72"/>
      <c r="F28" s="23"/>
      <c r="G28" s="24">
        <v>92440133</v>
      </c>
      <c r="H28" s="27">
        <f>JANUARI!H385+JANUARI!J385</f>
        <v>8982640</v>
      </c>
      <c r="I28" s="27"/>
      <c r="J28" s="27">
        <v>8982640</v>
      </c>
      <c r="K28" s="41">
        <f t="shared" si="0"/>
        <v>74474853</v>
      </c>
      <c r="L28" s="37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7"/>
    </row>
    <row r="29" spans="1:23" ht="15" customHeight="1">
      <c r="A29" s="25"/>
      <c r="B29" s="65" t="s">
        <v>45</v>
      </c>
      <c r="C29" s="70" t="s">
        <v>42</v>
      </c>
      <c r="D29" s="71"/>
      <c r="E29" s="72"/>
      <c r="F29" s="23"/>
      <c r="G29" s="24">
        <v>64388964</v>
      </c>
      <c r="H29" s="27">
        <f>JANUARI!H386+JANUARI!J386</f>
        <v>4664634</v>
      </c>
      <c r="I29" s="27"/>
      <c r="J29" s="27">
        <v>0</v>
      </c>
      <c r="K29" s="41">
        <f t="shared" si="0"/>
        <v>59724330</v>
      </c>
      <c r="L29" s="37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7"/>
    </row>
    <row r="30" spans="1:23">
      <c r="A30" s="30"/>
      <c r="B30" s="66" t="s">
        <v>46</v>
      </c>
      <c r="C30" s="82" t="s">
        <v>29</v>
      </c>
      <c r="D30" s="83"/>
      <c r="E30" s="84"/>
      <c r="F30" s="31"/>
      <c r="G30" s="24">
        <v>214466910</v>
      </c>
      <c r="H30" s="27">
        <f>JANUARI!H387+JANUARI!J387</f>
        <v>0</v>
      </c>
      <c r="I30" s="27"/>
      <c r="J30" s="27">
        <v>0</v>
      </c>
      <c r="K30" s="41">
        <f t="shared" si="0"/>
        <v>214466910</v>
      </c>
      <c r="L30" s="37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7"/>
    </row>
    <row r="31" spans="1:23">
      <c r="A31" s="30"/>
      <c r="B31" s="66" t="s">
        <v>47</v>
      </c>
      <c r="C31" s="32" t="s">
        <v>30</v>
      </c>
      <c r="D31" s="33"/>
      <c r="E31" s="34"/>
      <c r="F31" s="31"/>
      <c r="G31" s="24">
        <v>25000000</v>
      </c>
      <c r="H31" s="27">
        <f>JANUARI!H388+JANUARI!J388</f>
        <v>3850000</v>
      </c>
      <c r="I31" s="27"/>
      <c r="J31" s="27">
        <v>0</v>
      </c>
      <c r="K31" s="41">
        <f t="shared" si="0"/>
        <v>21150000</v>
      </c>
      <c r="L31" s="37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7"/>
    </row>
    <row r="32" spans="1:23">
      <c r="A32" s="35"/>
      <c r="B32" s="66" t="s">
        <v>48</v>
      </c>
      <c r="C32" s="68" t="s">
        <v>49</v>
      </c>
      <c r="D32" s="10"/>
      <c r="E32" s="36"/>
      <c r="F32" s="31"/>
      <c r="G32" s="24">
        <v>178488817</v>
      </c>
      <c r="H32" s="27">
        <f>JANUARI!H389+JANUARI!J389</f>
        <v>0</v>
      </c>
      <c r="I32" s="27"/>
      <c r="J32" s="42">
        <v>0</v>
      </c>
      <c r="K32" s="43">
        <f t="shared" si="0"/>
        <v>178488817</v>
      </c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7"/>
    </row>
    <row r="33" spans="1:23">
      <c r="A33" s="44"/>
      <c r="B33" s="44"/>
      <c r="C33" s="44" t="s">
        <v>31</v>
      </c>
      <c r="D33" s="44"/>
      <c r="E33" s="44"/>
      <c r="F33" s="45"/>
      <c r="G33" s="46">
        <f>SUM(G23:G32)</f>
        <v>1176821492</v>
      </c>
      <c r="H33" s="47">
        <f>SUM(H23:H32)</f>
        <v>61303638</v>
      </c>
      <c r="I33" s="47"/>
      <c r="J33" s="47">
        <f>SUM(J23:J32)</f>
        <v>8982640</v>
      </c>
      <c r="K33" s="47">
        <f>SUM(K23:K32)</f>
        <v>1106535214</v>
      </c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7"/>
    </row>
    <row r="34" spans="1:23">
      <c r="A34" s="48"/>
      <c r="B34" s="8"/>
      <c r="C34" s="8"/>
      <c r="D34" s="8"/>
      <c r="E34" s="8"/>
      <c r="F34" s="8"/>
      <c r="G34" s="49"/>
      <c r="H34" s="49"/>
      <c r="I34" s="49"/>
      <c r="J34" s="49"/>
      <c r="K34" s="49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7"/>
    </row>
    <row r="35" spans="1:23">
      <c r="A35" s="85" t="s">
        <v>32</v>
      </c>
      <c r="B35" s="85"/>
      <c r="C35" s="85"/>
      <c r="D35" s="11" t="s">
        <v>4</v>
      </c>
      <c r="E35" s="14">
        <f>J33</f>
        <v>8982640</v>
      </c>
      <c r="F35" s="50"/>
      <c r="G35" s="51"/>
      <c r="H35" s="51"/>
      <c r="I35" s="51"/>
      <c r="J35" s="9"/>
      <c r="K35" s="9"/>
      <c r="L35" s="37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7"/>
    </row>
    <row r="36" spans="1:23">
      <c r="A36" s="10" t="s">
        <v>33</v>
      </c>
      <c r="B36" s="10"/>
      <c r="C36" s="10"/>
      <c r="D36" s="11" t="s">
        <v>4</v>
      </c>
      <c r="E36" s="52"/>
      <c r="F36" s="52"/>
      <c r="G36" s="53"/>
      <c r="H36" s="12"/>
      <c r="I36" s="12"/>
      <c r="J36" s="9"/>
      <c r="K36" s="9"/>
      <c r="L36" s="37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7"/>
    </row>
    <row r="37" spans="1:23">
      <c r="A37" s="10" t="s">
        <v>34</v>
      </c>
      <c r="B37" s="10"/>
      <c r="C37" s="10"/>
      <c r="D37" s="11" t="s">
        <v>4</v>
      </c>
      <c r="E37" s="54"/>
      <c r="F37" s="54"/>
      <c r="G37" s="53"/>
      <c r="H37" s="12"/>
      <c r="I37" s="12"/>
      <c r="J37" s="9"/>
      <c r="K37" s="9"/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7"/>
    </row>
    <row r="38" spans="1:23">
      <c r="A38" s="10" t="s">
        <v>35</v>
      </c>
      <c r="B38" s="10"/>
      <c r="C38" s="10"/>
      <c r="D38" s="11" t="s">
        <v>4</v>
      </c>
      <c r="E38" s="54">
        <f>E36+E37</f>
        <v>0</v>
      </c>
      <c r="F38" s="54"/>
      <c r="G38" s="10"/>
      <c r="H38" s="12"/>
      <c r="I38" s="12"/>
      <c r="J38" s="56"/>
      <c r="K38" s="56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7"/>
    </row>
    <row r="39" spans="1:23">
      <c r="A39" s="13"/>
      <c r="B39" s="13"/>
      <c r="C39" s="13"/>
      <c r="D39" s="11"/>
      <c r="E39" s="13"/>
      <c r="F39" s="13"/>
      <c r="G39" s="10"/>
      <c r="H39" s="12"/>
      <c r="I39" s="12"/>
      <c r="J39" s="56"/>
      <c r="K39" s="56"/>
      <c r="L39" s="37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7"/>
    </row>
    <row r="40" spans="1:23">
      <c r="A40" s="85" t="s">
        <v>36</v>
      </c>
      <c r="B40" s="85"/>
      <c r="C40" s="85"/>
      <c r="D40" s="11" t="s">
        <v>4</v>
      </c>
      <c r="E40" s="50">
        <f>E35-E38</f>
        <v>8982640</v>
      </c>
      <c r="F40" s="50"/>
      <c r="G40" s="10"/>
      <c r="H40" s="12"/>
      <c r="I40" s="12"/>
      <c r="J40" s="56"/>
      <c r="K40" s="56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7"/>
    </row>
    <row r="41" spans="1:23" ht="15.75">
      <c r="A41" s="13"/>
      <c r="B41" s="13"/>
      <c r="C41" s="10"/>
      <c r="D41" s="10"/>
      <c r="E41" s="16" t="str">
        <f>PROPER(IF(E40=0,"nol",IF(E40&lt;0,"minus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40),"000000000000000"),1,3)=0,"",MID(TEXT(ABS(E40),"000000000000000"),1,1)&amp;" ratus "&amp;MID(TEXT(ABS(E40),"000000000000000"),2,1)&amp;" puluh "&amp;MID(TEXT(ABS(E40),"000000000000000"),3,1)&amp;" trilyun ")&amp;IF(--MID(TEXT(ABS(E40),"000000000000000"),4,3)=0,"",MID(TEXT(ABS(E40),"000000000000000"),4,1)&amp;" ratus "&amp;MID(TEXT(ABS(E40),"000000000000000"),5,1)&amp;" puluh "&amp;MID(TEXT(ABS(E40),"000000000000000"),6,1)&amp;" milyar ")&amp;IF(--MID(TEXT(ABS(E40),"000000000000000"),7,3)=0,"",MID(TEXT(ABS(E40),"000000000000000"),7,1)&amp;" ratus "&amp;MID(TEXT(ABS(E40),"000000000000000"),8,1)&amp;" puluh "&amp;MID(TEXT(ABS(E40),"000000000000000"),9,1)&amp;" juta ")&amp;IF(--MID(TEXT(ABS(E40),"000000000000000"),10,3)=0,"",IF(--MID(TEXT(ABS(E40),"000000000000000"),10,3)=1,"*",MID(TEXT(ABS(E40),"000000000000000"),10,1)&amp;" ratus "&amp;MID(TEXT(ABS(E40),"000000000000000"),11,1)&amp;" puluh ")&amp;MID(TEXT(ABS(E40),"000000000000000"),12,1)&amp;" ribu ")&amp;IF(--MID(TEXT(ABS(E40),"000000000000000"),13,3)=0,"",MID(TEXT(ABS(E40),"000000000000000"),13,1)&amp;" ratus "&amp;MID(TEXT(ABS(E40),"000000000000000"),14,1)&amp;" puluh "&amp;MID(TEXT(ABS(E40),"000000000000000"),15,1)),1,"satu"),2,"dua"),3,"tiga"),4,"empat"),5,"lima"),6,"enam"),7,"tujuh"),8,"delapan"),9,"sembilan"),"0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Juta Sembilan Ratus Delapan Puluh Dua Ribu Enam Ratus Empat Puluh Rupiah</v>
      </c>
      <c r="F41" s="10"/>
      <c r="G41" s="10"/>
      <c r="H41" s="10"/>
      <c r="I41" s="10"/>
      <c r="J41" s="56"/>
      <c r="K41" s="56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7"/>
    </row>
    <row r="42" spans="1:23">
      <c r="A42" s="55"/>
      <c r="B42" s="55"/>
      <c r="C42" s="55"/>
      <c r="D42" s="55"/>
      <c r="E42" s="55"/>
      <c r="F42" s="55"/>
      <c r="G42" s="37"/>
      <c r="H42" s="56"/>
      <c r="I42" s="56"/>
      <c r="J42" s="56"/>
      <c r="K42" s="56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7"/>
    </row>
    <row r="43" spans="1:23">
      <c r="A43" s="37"/>
      <c r="B43" s="37"/>
      <c r="C43" s="37"/>
      <c r="D43" s="37"/>
      <c r="E43" s="37"/>
      <c r="F43" s="37"/>
      <c r="G43" s="37"/>
      <c r="H43"/>
      <c r="I43"/>
      <c r="J43" s="56"/>
      <c r="K43" s="56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7"/>
    </row>
    <row r="44" spans="1:23">
      <c r="A44" s="13"/>
      <c r="B44" s="13"/>
      <c r="C44" s="10"/>
      <c r="D44" s="10"/>
      <c r="E44" s="10"/>
      <c r="F44" s="10"/>
      <c r="G44" s="10"/>
      <c r="I44" s="57"/>
      <c r="J44" s="57" t="s">
        <v>64</v>
      </c>
      <c r="K44" s="56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7"/>
    </row>
    <row r="45" spans="1:23">
      <c r="A45" s="12" t="s">
        <v>37</v>
      </c>
      <c r="B45" s="10"/>
      <c r="C45" s="10"/>
      <c r="D45" s="10"/>
      <c r="E45" s="10"/>
      <c r="F45" s="10"/>
      <c r="G45" s="10"/>
      <c r="I45" s="12"/>
      <c r="J45" s="12" t="s">
        <v>38</v>
      </c>
      <c r="K45" s="56"/>
      <c r="L45" s="37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7"/>
    </row>
    <row r="46" spans="1:23">
      <c r="A46" s="10"/>
      <c r="B46" s="10"/>
      <c r="C46" s="10"/>
      <c r="D46" s="10"/>
      <c r="E46" s="10"/>
      <c r="F46" s="10"/>
      <c r="G46" s="10"/>
      <c r="I46" s="12"/>
      <c r="J46" s="12"/>
      <c r="K46" s="56"/>
      <c r="L46" s="37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7"/>
    </row>
    <row r="47" spans="1:23">
      <c r="A47" s="10"/>
      <c r="B47" s="10"/>
      <c r="C47" s="10"/>
      <c r="D47" s="10"/>
      <c r="E47" s="10"/>
      <c r="F47" s="10"/>
      <c r="G47" s="10"/>
      <c r="I47" s="12"/>
      <c r="J47" s="12"/>
      <c r="K47" s="56"/>
      <c r="L47" s="37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7"/>
    </row>
    <row r="48" spans="1:23">
      <c r="A48" s="10"/>
      <c r="B48" s="10"/>
      <c r="C48" s="10"/>
      <c r="D48" s="10"/>
      <c r="E48" s="10"/>
      <c r="F48" s="10"/>
      <c r="G48" s="10"/>
      <c r="I48" s="12"/>
      <c r="J48" s="12"/>
      <c r="K48" s="56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7"/>
    </row>
    <row r="49" spans="1:23">
      <c r="A49" s="10"/>
      <c r="B49" s="10"/>
      <c r="C49" s="10"/>
      <c r="D49" s="10"/>
      <c r="E49" s="10"/>
      <c r="F49" s="10"/>
      <c r="G49" s="10"/>
      <c r="I49" s="12"/>
      <c r="J49" s="12"/>
      <c r="K49" s="56"/>
      <c r="L49" s="3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7"/>
    </row>
    <row r="50" spans="1:23">
      <c r="A50" s="69" t="s">
        <v>50</v>
      </c>
      <c r="B50" s="58"/>
      <c r="C50" s="59"/>
      <c r="D50" s="59"/>
      <c r="E50" s="59"/>
      <c r="F50" s="59"/>
      <c r="G50" s="10" t="s">
        <v>39</v>
      </c>
      <c r="I50" s="58"/>
      <c r="J50" s="58" t="s">
        <v>40</v>
      </c>
      <c r="K50" s="56"/>
      <c r="L50" s="3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7"/>
    </row>
    <row r="51" spans="1:23">
      <c r="A51" s="60"/>
      <c r="B51" s="60"/>
      <c r="C51" s="61"/>
      <c r="D51" s="61"/>
      <c r="E51" s="61"/>
      <c r="F51" s="61"/>
      <c r="G51" s="61"/>
      <c r="H51" s="60"/>
      <c r="I51" s="60"/>
      <c r="J51" s="60"/>
      <c r="K51" s="56"/>
      <c r="L51" s="37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7"/>
    </row>
    <row r="55" spans="1:23" ht="15.75">
      <c r="C55" s="2"/>
      <c r="D55" s="2"/>
      <c r="E55" s="2"/>
      <c r="F55" s="2"/>
    </row>
    <row r="56" spans="1:23" ht="15.75">
      <c r="A56" s="3"/>
      <c r="B56" s="3"/>
      <c r="C56" s="2"/>
      <c r="D56" s="2"/>
      <c r="E56" s="2"/>
      <c r="F56" s="2"/>
      <c r="G56" s="3"/>
      <c r="H56" s="4"/>
      <c r="I56" s="4"/>
      <c r="J56" s="4"/>
      <c r="K56" s="5"/>
    </row>
    <row r="57" spans="1:23">
      <c r="H57" s="5"/>
      <c r="I57" s="5"/>
      <c r="J57" s="5"/>
      <c r="K57" s="5"/>
    </row>
    <row r="58" spans="1:23">
      <c r="H58" s="5"/>
      <c r="I58" s="5"/>
      <c r="J58" s="5"/>
      <c r="K58" s="5"/>
    </row>
    <row r="59" spans="1:23">
      <c r="A59" s="73" t="s">
        <v>0</v>
      </c>
      <c r="B59" s="73"/>
      <c r="C59" s="74"/>
      <c r="D59" s="74"/>
      <c r="E59" s="74"/>
      <c r="F59" s="74"/>
      <c r="G59" s="74"/>
      <c r="H59" s="74"/>
      <c r="I59" s="74"/>
      <c r="J59" s="74"/>
      <c r="K59" s="74"/>
    </row>
    <row r="60" spans="1:23">
      <c r="A60" s="74" t="s">
        <v>65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</row>
    <row r="61" spans="1:23">
      <c r="A61" s="74" t="s">
        <v>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spans="1:23">
      <c r="A62" s="74" t="s">
        <v>51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</row>
    <row r="63" spans="1:23">
      <c r="A63" s="74" t="s">
        <v>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</row>
    <row r="64" spans="1:23">
      <c r="A64" s="6"/>
      <c r="B64" s="6"/>
      <c r="C64" s="7"/>
      <c r="D64" s="7"/>
      <c r="E64" s="7"/>
      <c r="F64" s="7"/>
      <c r="G64" s="8"/>
      <c r="H64" s="9"/>
      <c r="I64" s="9"/>
      <c r="J64" s="9"/>
      <c r="K64" s="9"/>
    </row>
    <row r="65" spans="1:11">
      <c r="A65" s="62" t="s">
        <v>3</v>
      </c>
      <c r="B65" s="10"/>
      <c r="C65" s="10"/>
      <c r="D65" s="63" t="s">
        <v>4</v>
      </c>
      <c r="E65" s="10" t="s">
        <v>5</v>
      </c>
      <c r="F65" s="11"/>
      <c r="G65" s="10"/>
      <c r="H65" s="12"/>
      <c r="I65" s="12"/>
      <c r="J65" s="12"/>
      <c r="K65" s="9"/>
    </row>
    <row r="66" spans="1:11">
      <c r="A66" s="62" t="s">
        <v>6</v>
      </c>
      <c r="B66" s="10"/>
      <c r="C66" s="10"/>
      <c r="D66" s="63" t="s">
        <v>4</v>
      </c>
      <c r="E66" s="10" t="s">
        <v>7</v>
      </c>
      <c r="F66" s="11"/>
      <c r="G66" s="10"/>
      <c r="H66" s="12"/>
      <c r="I66" s="12"/>
      <c r="J66" s="12"/>
      <c r="K66" s="9"/>
    </row>
    <row r="67" spans="1:11">
      <c r="A67" s="62" t="s">
        <v>8</v>
      </c>
      <c r="B67" s="10"/>
      <c r="C67" s="10"/>
      <c r="D67" s="63" t="s">
        <v>4</v>
      </c>
      <c r="E67" s="13">
        <v>2026</v>
      </c>
      <c r="F67" s="11"/>
      <c r="G67" s="13"/>
      <c r="H67" s="12"/>
      <c r="I67" s="12"/>
      <c r="J67" s="12"/>
      <c r="K67" s="9"/>
    </row>
    <row r="68" spans="1:11">
      <c r="A68" s="62" t="s">
        <v>9</v>
      </c>
      <c r="B68" s="10"/>
      <c r="C68" s="10"/>
      <c r="D68" s="63" t="s">
        <v>4</v>
      </c>
      <c r="E68" s="14">
        <f>J84</f>
        <v>4729434</v>
      </c>
      <c r="F68" s="11"/>
      <c r="G68" s="14"/>
      <c r="H68" s="12"/>
      <c r="I68" s="12"/>
      <c r="J68" s="12"/>
      <c r="K68" s="9"/>
    </row>
    <row r="69" spans="1:11" ht="15.75">
      <c r="A69" s="10"/>
      <c r="B69" s="10"/>
      <c r="C69" s="15" t="s">
        <v>10</v>
      </c>
      <c r="D69" s="63" t="s">
        <v>4</v>
      </c>
      <c r="E69" s="16" t="str">
        <f>PROPER(IF(E68=0,"nol",IF(E68&lt;0,"minus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68),"000000000000000"),1,3)=0,"",MID(TEXT(ABS(E68),"000000000000000"),1,1)&amp;" ratus "&amp;MID(TEXT(ABS(E68),"000000000000000"),2,1)&amp;" puluh "&amp;MID(TEXT(ABS(E68),"000000000000000"),3,1)&amp;" trilyun ")&amp;IF(--MID(TEXT(ABS(E68),"000000000000000"),4,3)=0,"",MID(TEXT(ABS(E68),"000000000000000"),4,1)&amp;" ratus "&amp;MID(TEXT(ABS(E68),"000000000000000"),5,1)&amp;" puluh "&amp;MID(TEXT(ABS(E68),"000000000000000"),6,1)&amp;" milyar ")&amp;IF(--MID(TEXT(ABS(E68),"000000000000000"),7,3)=0,"",MID(TEXT(ABS(E68),"000000000000000"),7,1)&amp;" ratus "&amp;MID(TEXT(ABS(E68),"000000000000000"),8,1)&amp;" puluh "&amp;MID(TEXT(ABS(E68),"000000000000000"),9,1)&amp;" juta ")&amp;IF(--MID(TEXT(ABS(E68),"000000000000000"),10,3)=0,"",IF(--MID(TEXT(ABS(E68),"000000000000000"),10,3)=1,"*",MID(TEXT(ABS(E68),"000000000000000"),10,1)&amp;" ratus "&amp;MID(TEXT(ABS(E68),"000000000000000"),11,1)&amp;" puluh ")&amp;MID(TEXT(ABS(E68),"000000000000000"),12,1)&amp;" ribu ")&amp;IF(--MID(TEXT(ABS(E68),"000000000000000"),13,3)=0,"",MID(TEXT(ABS(E68),"000000000000000"),13,1)&amp;" ratus "&amp;MID(TEXT(ABS(E68),"000000000000000"),14,1)&amp;" puluh "&amp;MID(TEXT(ABS(E68),"000000000000000"),15,1)),1,"satu"),2,"dua"),3,"tiga"),4,"empat"),5,"lima"),6,"enam"),7,"tujuh"),8,"delapan"),9,"sembilan"),"0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Tujuh Ratus Dua Puluh Sembilan Ribu Empat Ratus Tiga Puluh Empat Rupiah</v>
      </c>
      <c r="F69" s="11"/>
      <c r="G69" s="16"/>
      <c r="H69" s="12"/>
      <c r="I69" s="12"/>
      <c r="J69" s="12"/>
      <c r="K69" s="9"/>
    </row>
    <row r="70" spans="1:11" ht="15.75">
      <c r="A70" s="10"/>
      <c r="B70" s="10"/>
      <c r="C70" s="15"/>
      <c r="D70" s="15"/>
      <c r="E70" s="15"/>
      <c r="F70" s="11"/>
      <c r="G70" s="16"/>
      <c r="H70" s="12"/>
      <c r="I70" s="12"/>
      <c r="J70" s="12"/>
      <c r="K70" s="9"/>
    </row>
    <row r="71" spans="1:11">
      <c r="A71" s="10" t="s">
        <v>11</v>
      </c>
      <c r="B71" s="10"/>
      <c r="C71" s="10"/>
      <c r="D71" s="10"/>
      <c r="E71" s="10"/>
      <c r="F71" s="10"/>
      <c r="G71" s="10"/>
      <c r="H71" s="12"/>
      <c r="I71" s="12"/>
      <c r="J71" s="12"/>
      <c r="K71" s="9"/>
    </row>
    <row r="72" spans="1:11">
      <c r="A72" s="75" t="s">
        <v>12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spans="1:11" ht="60">
      <c r="A73" s="17" t="s">
        <v>13</v>
      </c>
      <c r="B73" s="18" t="s">
        <v>14</v>
      </c>
      <c r="C73" s="76" t="s">
        <v>15</v>
      </c>
      <c r="D73" s="77"/>
      <c r="E73" s="78"/>
      <c r="F73" s="19"/>
      <c r="G73" s="20" t="s">
        <v>16</v>
      </c>
      <c r="H73" s="21" t="s">
        <v>41</v>
      </c>
      <c r="I73" s="21"/>
      <c r="J73" s="39" t="s">
        <v>17</v>
      </c>
      <c r="K73" s="40" t="s">
        <v>18</v>
      </c>
    </row>
    <row r="74" spans="1:11">
      <c r="A74" s="22">
        <v>1</v>
      </c>
      <c r="B74" s="25"/>
      <c r="C74" s="29" t="s">
        <v>23</v>
      </c>
      <c r="D74" s="67"/>
      <c r="E74" s="26"/>
      <c r="F74" s="23"/>
      <c r="G74" s="64" t="s">
        <v>19</v>
      </c>
      <c r="H74" s="64" t="s">
        <v>19</v>
      </c>
      <c r="I74" s="64"/>
      <c r="J74" s="64" t="s">
        <v>19</v>
      </c>
      <c r="K74" s="64" t="s">
        <v>19</v>
      </c>
    </row>
    <row r="75" spans="1:11">
      <c r="A75" s="25"/>
      <c r="B75" s="65" t="s">
        <v>20</v>
      </c>
      <c r="C75" s="70" t="s">
        <v>24</v>
      </c>
      <c r="D75" s="71"/>
      <c r="E75" s="72"/>
      <c r="F75" s="23"/>
      <c r="G75" s="24">
        <v>300000000</v>
      </c>
      <c r="H75" s="27">
        <f>H24+J24</f>
        <v>20886364</v>
      </c>
      <c r="I75" s="27"/>
      <c r="J75" s="27">
        <v>0</v>
      </c>
      <c r="K75" s="41">
        <f t="shared" ref="K75:K83" si="1">G75-H75-J75</f>
        <v>279113636</v>
      </c>
    </row>
    <row r="76" spans="1:11">
      <c r="A76" s="25"/>
      <c r="B76" s="65" t="s">
        <v>21</v>
      </c>
      <c r="C76" s="70" t="s">
        <v>25</v>
      </c>
      <c r="D76" s="71"/>
      <c r="E76" s="72"/>
      <c r="F76" s="23"/>
      <c r="G76" s="28">
        <v>15000000</v>
      </c>
      <c r="H76" s="27">
        <f t="shared" ref="H76:H83" si="2">H25+J25</f>
        <v>1000000</v>
      </c>
      <c r="I76" s="27"/>
      <c r="J76" s="27">
        <v>0</v>
      </c>
      <c r="K76" s="41">
        <f t="shared" si="1"/>
        <v>14000000</v>
      </c>
    </row>
    <row r="77" spans="1:11">
      <c r="A77" s="25"/>
      <c r="B77" s="65" t="s">
        <v>22</v>
      </c>
      <c r="C77" s="79" t="s">
        <v>26</v>
      </c>
      <c r="D77" s="80"/>
      <c r="E77" s="81"/>
      <c r="F77" s="23"/>
      <c r="G77" s="24">
        <v>115048000</v>
      </c>
      <c r="H77" s="27">
        <f t="shared" si="2"/>
        <v>8525000</v>
      </c>
      <c r="I77" s="27"/>
      <c r="J77" s="27">
        <v>0</v>
      </c>
      <c r="K77" s="41">
        <f t="shared" si="1"/>
        <v>106523000</v>
      </c>
    </row>
    <row r="78" spans="1:11">
      <c r="A78" s="25"/>
      <c r="B78" s="65" t="s">
        <v>43</v>
      </c>
      <c r="C78" s="70" t="s">
        <v>27</v>
      </c>
      <c r="D78" s="71"/>
      <c r="E78" s="72"/>
      <c r="F78" s="23"/>
      <c r="G78" s="24">
        <v>171988668</v>
      </c>
      <c r="H78" s="27">
        <f t="shared" si="2"/>
        <v>13395000</v>
      </c>
      <c r="I78" s="27"/>
      <c r="J78" s="27">
        <v>0</v>
      </c>
      <c r="K78" s="41">
        <f t="shared" si="1"/>
        <v>158593668</v>
      </c>
    </row>
    <row r="79" spans="1:11">
      <c r="A79" s="25"/>
      <c r="B79" s="65" t="s">
        <v>44</v>
      </c>
      <c r="C79" s="70" t="s">
        <v>28</v>
      </c>
      <c r="D79" s="71"/>
      <c r="E79" s="72"/>
      <c r="F79" s="23"/>
      <c r="G79" s="24">
        <v>92440133</v>
      </c>
      <c r="H79" s="27">
        <f t="shared" si="2"/>
        <v>17965280</v>
      </c>
      <c r="I79" s="27"/>
      <c r="J79" s="27">
        <v>0</v>
      </c>
      <c r="K79" s="41">
        <f t="shared" si="1"/>
        <v>74474853</v>
      </c>
    </row>
    <row r="80" spans="1:11">
      <c r="A80" s="25"/>
      <c r="B80" s="65" t="s">
        <v>45</v>
      </c>
      <c r="C80" s="70" t="s">
        <v>42</v>
      </c>
      <c r="D80" s="71"/>
      <c r="E80" s="72"/>
      <c r="F80" s="23"/>
      <c r="G80" s="24">
        <v>64388964</v>
      </c>
      <c r="H80" s="27">
        <f t="shared" si="2"/>
        <v>4664634</v>
      </c>
      <c r="I80" s="27"/>
      <c r="J80" s="27">
        <v>4729434</v>
      </c>
      <c r="K80" s="41">
        <f t="shared" si="1"/>
        <v>54994896</v>
      </c>
    </row>
    <row r="81" spans="1:11">
      <c r="A81" s="30"/>
      <c r="B81" s="66" t="s">
        <v>46</v>
      </c>
      <c r="C81" s="82" t="s">
        <v>29</v>
      </c>
      <c r="D81" s="83"/>
      <c r="E81" s="84"/>
      <c r="F81" s="31"/>
      <c r="G81" s="24">
        <v>214466910</v>
      </c>
      <c r="H81" s="27">
        <f t="shared" si="2"/>
        <v>0</v>
      </c>
      <c r="I81" s="27"/>
      <c r="J81" s="27">
        <v>0</v>
      </c>
      <c r="K81" s="41">
        <f t="shared" si="1"/>
        <v>214466910</v>
      </c>
    </row>
    <row r="82" spans="1:11">
      <c r="A82" s="30"/>
      <c r="B82" s="66" t="s">
        <v>47</v>
      </c>
      <c r="C82" s="32" t="s">
        <v>30</v>
      </c>
      <c r="D82" s="33"/>
      <c r="E82" s="34"/>
      <c r="F82" s="31"/>
      <c r="G82" s="24">
        <v>25000000</v>
      </c>
      <c r="H82" s="27">
        <f t="shared" si="2"/>
        <v>3850000</v>
      </c>
      <c r="I82" s="27"/>
      <c r="J82" s="27">
        <v>0</v>
      </c>
      <c r="K82" s="41">
        <f t="shared" si="1"/>
        <v>21150000</v>
      </c>
    </row>
    <row r="83" spans="1:11">
      <c r="A83" s="35"/>
      <c r="B83" s="66" t="s">
        <v>48</v>
      </c>
      <c r="C83" s="68" t="s">
        <v>49</v>
      </c>
      <c r="D83" s="10"/>
      <c r="E83" s="36"/>
      <c r="F83" s="31"/>
      <c r="G83" s="24">
        <v>178488817</v>
      </c>
      <c r="H83" s="27">
        <f t="shared" si="2"/>
        <v>0</v>
      </c>
      <c r="I83" s="27"/>
      <c r="J83" s="42">
        <v>0</v>
      </c>
      <c r="K83" s="43">
        <f t="shared" si="1"/>
        <v>178488817</v>
      </c>
    </row>
    <row r="84" spans="1:11">
      <c r="A84" s="44"/>
      <c r="B84" s="44"/>
      <c r="C84" s="44" t="s">
        <v>31</v>
      </c>
      <c r="D84" s="44"/>
      <c r="E84" s="44"/>
      <c r="F84" s="45"/>
      <c r="G84" s="46">
        <f>SUM(G74:G83)</f>
        <v>1176821492</v>
      </c>
      <c r="H84" s="47">
        <f>SUM(H74:H83)</f>
        <v>70286278</v>
      </c>
      <c r="I84" s="47"/>
      <c r="J84" s="47">
        <f>SUM(J74:J83)</f>
        <v>4729434</v>
      </c>
      <c r="K84" s="47">
        <f>SUM(K74:K83)</f>
        <v>1101805780</v>
      </c>
    </row>
    <row r="85" spans="1:11">
      <c r="A85" s="48"/>
      <c r="B85" s="8"/>
      <c r="C85" s="8"/>
      <c r="D85" s="8"/>
      <c r="E85" s="8"/>
      <c r="F85" s="8"/>
      <c r="G85" s="49"/>
      <c r="H85" s="49"/>
      <c r="I85" s="49"/>
      <c r="J85" s="49"/>
      <c r="K85" s="49"/>
    </row>
    <row r="86" spans="1:11">
      <c r="A86" s="85" t="s">
        <v>32</v>
      </c>
      <c r="B86" s="85"/>
      <c r="C86" s="85"/>
      <c r="D86" s="11" t="s">
        <v>4</v>
      </c>
      <c r="E86" s="14">
        <f>J84</f>
        <v>4729434</v>
      </c>
      <c r="F86" s="50"/>
      <c r="G86" s="51"/>
      <c r="H86" s="51"/>
      <c r="I86" s="51"/>
      <c r="J86" s="9"/>
      <c r="K86" s="9"/>
    </row>
    <row r="87" spans="1:11">
      <c r="A87" s="10" t="s">
        <v>33</v>
      </c>
      <c r="B87" s="10"/>
      <c r="C87" s="10"/>
      <c r="D87" s="11" t="s">
        <v>4</v>
      </c>
      <c r="E87" s="52"/>
      <c r="F87" s="52"/>
      <c r="G87" s="53"/>
      <c r="H87" s="12"/>
      <c r="I87" s="12"/>
      <c r="J87" s="9"/>
      <c r="K87" s="9"/>
    </row>
    <row r="88" spans="1:11">
      <c r="A88" s="10" t="s">
        <v>34</v>
      </c>
      <c r="B88" s="10"/>
      <c r="C88" s="10"/>
      <c r="D88" s="11" t="s">
        <v>4</v>
      </c>
      <c r="E88" s="54"/>
      <c r="F88" s="54"/>
      <c r="G88" s="53"/>
      <c r="H88" s="12"/>
      <c r="I88" s="12"/>
      <c r="J88" s="9"/>
      <c r="K88" s="9"/>
    </row>
    <row r="89" spans="1:11">
      <c r="A89" s="10" t="s">
        <v>35</v>
      </c>
      <c r="B89" s="10"/>
      <c r="C89" s="10"/>
      <c r="D89" s="11" t="s">
        <v>4</v>
      </c>
      <c r="E89" s="54">
        <f>E87+E88</f>
        <v>0</v>
      </c>
      <c r="F89" s="54"/>
      <c r="G89" s="10"/>
      <c r="H89" s="12"/>
      <c r="I89" s="12"/>
      <c r="J89" s="56"/>
      <c r="K89" s="56"/>
    </row>
    <row r="90" spans="1:11">
      <c r="A90" s="13"/>
      <c r="B90" s="13"/>
      <c r="C90" s="13"/>
      <c r="D90" s="11"/>
      <c r="E90" s="13"/>
      <c r="F90" s="13"/>
      <c r="G90" s="10"/>
      <c r="H90" s="12"/>
      <c r="I90" s="12"/>
      <c r="J90" s="56"/>
      <c r="K90" s="56"/>
    </row>
    <row r="91" spans="1:11">
      <c r="A91" s="85" t="s">
        <v>36</v>
      </c>
      <c r="B91" s="85"/>
      <c r="C91" s="85"/>
      <c r="D91" s="11" t="s">
        <v>4</v>
      </c>
      <c r="E91" s="50">
        <f>E86-E89</f>
        <v>4729434</v>
      </c>
      <c r="F91" s="50"/>
      <c r="G91" s="10"/>
      <c r="H91" s="12"/>
      <c r="I91" s="12"/>
      <c r="J91" s="56"/>
      <c r="K91" s="56"/>
    </row>
    <row r="92" spans="1:11" ht="15.75">
      <c r="A92" s="13"/>
      <c r="B92" s="13"/>
      <c r="C92" s="10"/>
      <c r="D92" s="10"/>
      <c r="E92" s="16" t="str">
        <f>PROPER(IF(E91=0,"nol",IF(E91&lt;0,"minus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91),"000000000000000"),1,3)=0,"",MID(TEXT(ABS(E91),"000000000000000"),1,1)&amp;" ratus "&amp;MID(TEXT(ABS(E91),"000000000000000"),2,1)&amp;" puluh "&amp;MID(TEXT(ABS(E91),"000000000000000"),3,1)&amp;" trilyun ")&amp;IF(--MID(TEXT(ABS(E91),"000000000000000"),4,3)=0,"",MID(TEXT(ABS(E91),"000000000000000"),4,1)&amp;" ratus "&amp;MID(TEXT(ABS(E91),"000000000000000"),5,1)&amp;" puluh "&amp;MID(TEXT(ABS(E91),"000000000000000"),6,1)&amp;" milyar ")&amp;IF(--MID(TEXT(ABS(E91),"000000000000000"),7,3)=0,"",MID(TEXT(ABS(E91),"000000000000000"),7,1)&amp;" ratus "&amp;MID(TEXT(ABS(E91),"000000000000000"),8,1)&amp;" puluh "&amp;MID(TEXT(ABS(E91),"000000000000000"),9,1)&amp;" juta ")&amp;IF(--MID(TEXT(ABS(E91),"000000000000000"),10,3)=0,"",IF(--MID(TEXT(ABS(E91),"000000000000000"),10,3)=1,"*",MID(TEXT(ABS(E91),"000000000000000"),10,1)&amp;" ratus "&amp;MID(TEXT(ABS(E91),"000000000000000"),11,1)&amp;" puluh ")&amp;MID(TEXT(ABS(E91),"000000000000000"),12,1)&amp;" ribu ")&amp;IF(--MID(TEXT(ABS(E91),"000000000000000"),13,3)=0,"",MID(TEXT(ABS(E91),"000000000000000"),13,1)&amp;" ratus "&amp;MID(TEXT(ABS(E91),"000000000000000"),14,1)&amp;" puluh "&amp;MID(TEXT(ABS(E91),"000000000000000"),15,1)),1,"satu"),2,"dua"),3,"tiga"),4,"empat"),5,"lima"),6,"enam"),7,"tujuh"),8,"delapan"),9,"sembilan"),"0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Tujuh Ratus Dua Puluh Sembilan Ribu Empat Ratus Tiga Puluh Empat Rupiah</v>
      </c>
      <c r="F92" s="10"/>
      <c r="G92" s="10"/>
      <c r="H92" s="10"/>
      <c r="I92" s="10"/>
      <c r="J92" s="56"/>
      <c r="K92" s="56"/>
    </row>
    <row r="93" spans="1:11">
      <c r="A93" s="55"/>
      <c r="B93" s="55"/>
      <c r="C93" s="55"/>
      <c r="D93" s="55"/>
      <c r="E93" s="55"/>
      <c r="F93" s="55"/>
      <c r="G93" s="37"/>
      <c r="H93" s="56"/>
      <c r="I93" s="56"/>
      <c r="J93" s="56"/>
      <c r="K93" s="56"/>
    </row>
    <row r="94" spans="1:11">
      <c r="A94" s="37"/>
      <c r="B94" s="37"/>
      <c r="C94" s="37"/>
      <c r="D94" s="37"/>
      <c r="E94" s="37"/>
      <c r="F94" s="37"/>
      <c r="G94" s="37"/>
      <c r="H94"/>
      <c r="I94"/>
      <c r="J94" s="56"/>
      <c r="K94" s="56"/>
    </row>
    <row r="95" spans="1:11">
      <c r="A95" s="13"/>
      <c r="B95" s="13"/>
      <c r="C95" s="10"/>
      <c r="D95" s="10"/>
      <c r="E95" s="10"/>
      <c r="F95" s="10"/>
      <c r="G95" s="10"/>
      <c r="I95" s="57"/>
      <c r="J95" s="57" t="s">
        <v>66</v>
      </c>
      <c r="K95" s="56"/>
    </row>
    <row r="96" spans="1:11">
      <c r="A96" s="12" t="s">
        <v>37</v>
      </c>
      <c r="B96" s="10"/>
      <c r="C96" s="10"/>
      <c r="D96" s="10"/>
      <c r="E96" s="10"/>
      <c r="F96" s="10"/>
      <c r="G96" s="10"/>
      <c r="I96" s="12"/>
      <c r="J96" s="12" t="s">
        <v>38</v>
      </c>
      <c r="K96" s="56"/>
    </row>
    <row r="97" spans="1:11">
      <c r="A97" s="10"/>
      <c r="B97" s="10"/>
      <c r="C97" s="10"/>
      <c r="D97" s="10"/>
      <c r="E97" s="10"/>
      <c r="F97" s="10"/>
      <c r="G97" s="10"/>
      <c r="I97" s="12"/>
      <c r="J97" s="12"/>
      <c r="K97" s="56"/>
    </row>
    <row r="98" spans="1:11">
      <c r="A98" s="10"/>
      <c r="B98" s="10"/>
      <c r="C98" s="10"/>
      <c r="D98" s="10"/>
      <c r="E98" s="10"/>
      <c r="F98" s="10"/>
      <c r="G98" s="10"/>
      <c r="I98" s="12"/>
      <c r="J98" s="12"/>
      <c r="K98" s="56"/>
    </row>
    <row r="99" spans="1:11">
      <c r="A99" s="10"/>
      <c r="B99" s="10"/>
      <c r="C99" s="10"/>
      <c r="D99" s="10"/>
      <c r="E99" s="10"/>
      <c r="F99" s="10"/>
      <c r="G99" s="10"/>
      <c r="I99" s="12"/>
      <c r="J99" s="12"/>
      <c r="K99" s="56"/>
    </row>
    <row r="100" spans="1:11">
      <c r="A100" s="10"/>
      <c r="B100" s="10"/>
      <c r="C100" s="10"/>
      <c r="D100" s="10"/>
      <c r="E100" s="10"/>
      <c r="F100" s="10"/>
      <c r="G100" s="10"/>
      <c r="I100" s="12"/>
      <c r="J100" s="12"/>
      <c r="K100" s="56"/>
    </row>
    <row r="101" spans="1:11">
      <c r="A101" s="69" t="s">
        <v>50</v>
      </c>
      <c r="B101" s="58"/>
      <c r="C101" s="59"/>
      <c r="D101" s="59"/>
      <c r="E101" s="59"/>
      <c r="F101" s="59"/>
      <c r="G101" s="10" t="s">
        <v>39</v>
      </c>
      <c r="I101" s="58"/>
      <c r="J101" s="58" t="s">
        <v>40</v>
      </c>
      <c r="K101" s="56"/>
    </row>
    <row r="106" spans="1:11" ht="15.75">
      <c r="C106" s="2"/>
      <c r="D106" s="2"/>
      <c r="E106" s="2"/>
      <c r="F106" s="2"/>
    </row>
    <row r="107" spans="1:11" ht="15.75">
      <c r="A107" s="3"/>
      <c r="B107" s="3"/>
      <c r="C107" s="2"/>
      <c r="D107" s="2"/>
      <c r="E107" s="2"/>
      <c r="F107" s="2"/>
      <c r="G107" s="3"/>
      <c r="H107" s="4"/>
      <c r="I107" s="4"/>
      <c r="J107" s="4"/>
      <c r="K107" s="5"/>
    </row>
    <row r="108" spans="1:11">
      <c r="H108" s="5"/>
      <c r="I108" s="5"/>
      <c r="J108" s="5"/>
      <c r="K108" s="5"/>
    </row>
    <row r="109" spans="1:11">
      <c r="H109" s="5"/>
      <c r="I109" s="5"/>
      <c r="J109" s="5"/>
      <c r="K109" s="5"/>
    </row>
    <row r="110" spans="1:11">
      <c r="A110" s="73" t="s">
        <v>0</v>
      </c>
      <c r="B110" s="73"/>
      <c r="C110" s="74"/>
      <c r="D110" s="74"/>
      <c r="E110" s="74"/>
      <c r="F110" s="74"/>
      <c r="G110" s="74"/>
      <c r="H110" s="74"/>
      <c r="I110" s="74"/>
      <c r="J110" s="74"/>
      <c r="K110" s="74"/>
    </row>
    <row r="111" spans="1:11">
      <c r="A111" s="74" t="s">
        <v>69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</row>
    <row r="112" spans="1:11">
      <c r="A112" s="74" t="s">
        <v>1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</row>
    <row r="113" spans="1:11">
      <c r="A113" s="74" t="s">
        <v>51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>
      <c r="A114" s="74" t="s">
        <v>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</row>
    <row r="115" spans="1:11">
      <c r="A115" s="6"/>
      <c r="B115" s="6"/>
      <c r="C115" s="7"/>
      <c r="D115" s="7"/>
      <c r="E115" s="7"/>
      <c r="F115" s="7"/>
      <c r="G115" s="8"/>
      <c r="H115" s="9"/>
      <c r="I115" s="9"/>
      <c r="J115" s="9"/>
      <c r="K115" s="9"/>
    </row>
    <row r="116" spans="1:11">
      <c r="A116" s="62" t="s">
        <v>3</v>
      </c>
      <c r="B116" s="10"/>
      <c r="C116" s="10"/>
      <c r="D116" s="63" t="s">
        <v>4</v>
      </c>
      <c r="E116" s="10" t="s">
        <v>5</v>
      </c>
      <c r="F116" s="11"/>
      <c r="G116" s="10"/>
      <c r="H116" s="12"/>
      <c r="I116" s="12"/>
      <c r="J116" s="12"/>
      <c r="K116" s="9"/>
    </row>
    <row r="117" spans="1:11">
      <c r="A117" s="62" t="s">
        <v>6</v>
      </c>
      <c r="B117" s="10"/>
      <c r="C117" s="10"/>
      <c r="D117" s="63" t="s">
        <v>4</v>
      </c>
      <c r="E117" s="10" t="s">
        <v>7</v>
      </c>
      <c r="F117" s="11"/>
      <c r="G117" s="10"/>
      <c r="H117" s="12"/>
      <c r="I117" s="12"/>
      <c r="J117" s="12"/>
      <c r="K117" s="9"/>
    </row>
    <row r="118" spans="1:11">
      <c r="A118" s="62" t="s">
        <v>8</v>
      </c>
      <c r="B118" s="10"/>
      <c r="C118" s="10"/>
      <c r="D118" s="63" t="s">
        <v>4</v>
      </c>
      <c r="E118" s="13">
        <v>2026</v>
      </c>
      <c r="F118" s="11"/>
      <c r="G118" s="13"/>
      <c r="H118" s="12"/>
      <c r="I118" s="12"/>
      <c r="J118" s="12"/>
      <c r="K118" s="9"/>
    </row>
    <row r="119" spans="1:11">
      <c r="A119" s="62" t="s">
        <v>9</v>
      </c>
      <c r="B119" s="10"/>
      <c r="C119" s="10"/>
      <c r="D119" s="63" t="s">
        <v>4</v>
      </c>
      <c r="E119" s="14">
        <f>J135</f>
        <v>45290000</v>
      </c>
      <c r="F119" s="11"/>
      <c r="G119" s="14"/>
      <c r="H119" s="12"/>
      <c r="I119" s="12"/>
      <c r="J119" s="12"/>
      <c r="K119" s="9"/>
    </row>
    <row r="120" spans="1:11" ht="15.75">
      <c r="A120" s="10"/>
      <c r="B120" s="10"/>
      <c r="C120" s="15" t="s">
        <v>10</v>
      </c>
      <c r="D120" s="63" t="s">
        <v>4</v>
      </c>
      <c r="E120" s="16" t="str">
        <f>PROPER(IF(E119=0,"nol",IF(E119&lt;0,"minus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119),"000000000000000"),1,3)=0,"",MID(TEXT(ABS(E119),"000000000000000"),1,1)&amp;" ratus "&amp;MID(TEXT(ABS(E119),"000000000000000"),2,1)&amp;" puluh "&amp;MID(TEXT(ABS(E119),"000000000000000"),3,1)&amp;" trilyun ")&amp;IF(--MID(TEXT(ABS(E119),"000000000000000"),4,3)=0,"",MID(TEXT(ABS(E119),"000000000000000"),4,1)&amp;" ratus "&amp;MID(TEXT(ABS(E119),"000000000000000"),5,1)&amp;" puluh "&amp;MID(TEXT(ABS(E119),"000000000000000"),6,1)&amp;" milyar ")&amp;IF(--MID(TEXT(ABS(E119),"000000000000000"),7,3)=0,"",MID(TEXT(ABS(E119),"000000000000000"),7,1)&amp;" ratus "&amp;MID(TEXT(ABS(E119),"000000000000000"),8,1)&amp;" puluh "&amp;MID(TEXT(ABS(E119),"000000000000000"),9,1)&amp;" juta ")&amp;IF(--MID(TEXT(ABS(E119),"000000000000000"),10,3)=0,"",IF(--MID(TEXT(ABS(E119),"000000000000000"),10,3)=1,"*",MID(TEXT(ABS(E119),"000000000000000"),10,1)&amp;" ratus "&amp;MID(TEXT(ABS(E119),"000000000000000"),11,1)&amp;" puluh ")&amp;MID(TEXT(ABS(E119),"000000000000000"),12,1)&amp;" ribu ")&amp;IF(--MID(TEXT(ABS(E119),"000000000000000"),13,3)=0,"",MID(TEXT(ABS(E119),"000000000000000"),13,1)&amp;" ratus "&amp;MID(TEXT(ABS(E119),"000000000000000"),14,1)&amp;" puluh "&amp;MID(TEXT(ABS(E119),"000000000000000"),15,1)),1,"satu"),2,"dua"),3,"tiga"),4,"empat"),5,"lima"),6,"enam"),7,"tujuh"),8,"delapan"),9,"sembilan"),"0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Lima Juta Dua Ratus Sembilan Puluh Ribu Rupiah</v>
      </c>
      <c r="F120" s="11"/>
      <c r="G120" s="16"/>
      <c r="H120" s="12"/>
      <c r="I120" s="12"/>
      <c r="J120" s="12"/>
      <c r="K120" s="9"/>
    </row>
    <row r="121" spans="1:11" ht="15.75">
      <c r="A121" s="10"/>
      <c r="B121" s="10"/>
      <c r="C121" s="15"/>
      <c r="D121" s="15"/>
      <c r="E121" s="15"/>
      <c r="F121" s="11"/>
      <c r="G121" s="16"/>
      <c r="H121" s="12"/>
      <c r="I121" s="12"/>
      <c r="J121" s="12"/>
      <c r="K121" s="9"/>
    </row>
    <row r="122" spans="1:11">
      <c r="A122" s="10" t="s">
        <v>11</v>
      </c>
      <c r="B122" s="10"/>
      <c r="C122" s="10"/>
      <c r="D122" s="10"/>
      <c r="E122" s="10"/>
      <c r="F122" s="10"/>
      <c r="G122" s="10"/>
      <c r="H122" s="12"/>
      <c r="I122" s="12"/>
      <c r="J122" s="12"/>
      <c r="K122" s="9"/>
    </row>
    <row r="123" spans="1:11">
      <c r="A123" s="75" t="s">
        <v>12</v>
      </c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spans="1:11" ht="60">
      <c r="A124" s="17" t="s">
        <v>13</v>
      </c>
      <c r="B124" s="18" t="s">
        <v>14</v>
      </c>
      <c r="C124" s="76" t="s">
        <v>15</v>
      </c>
      <c r="D124" s="77"/>
      <c r="E124" s="78"/>
      <c r="F124" s="19"/>
      <c r="G124" s="20" t="s">
        <v>16</v>
      </c>
      <c r="H124" s="21" t="s">
        <v>41</v>
      </c>
      <c r="I124" s="21"/>
      <c r="J124" s="39" t="s">
        <v>17</v>
      </c>
      <c r="K124" s="40" t="s">
        <v>18</v>
      </c>
    </row>
    <row r="125" spans="1:11">
      <c r="A125" s="22">
        <v>1</v>
      </c>
      <c r="B125" s="25"/>
      <c r="C125" s="29" t="s">
        <v>23</v>
      </c>
      <c r="D125" s="67"/>
      <c r="E125" s="26"/>
      <c r="F125" s="23"/>
      <c r="G125" s="64" t="s">
        <v>19</v>
      </c>
      <c r="H125" s="64" t="s">
        <v>19</v>
      </c>
      <c r="I125" s="64"/>
      <c r="J125" s="64" t="s">
        <v>19</v>
      </c>
      <c r="K125" s="64" t="s">
        <v>19</v>
      </c>
    </row>
    <row r="126" spans="1:11">
      <c r="A126" s="25"/>
      <c r="B126" s="65" t="s">
        <v>20</v>
      </c>
      <c r="C126" s="70" t="s">
        <v>24</v>
      </c>
      <c r="D126" s="71"/>
      <c r="E126" s="72"/>
      <c r="F126" s="23"/>
      <c r="G126" s="24">
        <v>300000000</v>
      </c>
      <c r="H126" s="27">
        <f>H75+J75</f>
        <v>20886364</v>
      </c>
      <c r="I126" s="27"/>
      <c r="J126" s="27">
        <v>22500000</v>
      </c>
      <c r="K126" s="41">
        <f t="shared" ref="K126:K134" si="3">G126-H126-J126</f>
        <v>256613636</v>
      </c>
    </row>
    <row r="127" spans="1:11">
      <c r="A127" s="25"/>
      <c r="B127" s="65" t="s">
        <v>21</v>
      </c>
      <c r="C127" s="70" t="s">
        <v>25</v>
      </c>
      <c r="D127" s="71"/>
      <c r="E127" s="72"/>
      <c r="F127" s="23"/>
      <c r="G127" s="28">
        <v>15000000</v>
      </c>
      <c r="H127" s="27">
        <f t="shared" ref="H127:H134" si="4">H76+J76</f>
        <v>1000000</v>
      </c>
      <c r="I127" s="27"/>
      <c r="J127" s="27">
        <v>1000000</v>
      </c>
      <c r="K127" s="41">
        <f t="shared" si="3"/>
        <v>13000000</v>
      </c>
    </row>
    <row r="128" spans="1:11">
      <c r="A128" s="25"/>
      <c r="B128" s="65" t="s">
        <v>22</v>
      </c>
      <c r="C128" s="79" t="s">
        <v>26</v>
      </c>
      <c r="D128" s="80"/>
      <c r="E128" s="81"/>
      <c r="F128" s="23"/>
      <c r="G128" s="24">
        <v>115048000</v>
      </c>
      <c r="H128" s="27">
        <f t="shared" si="4"/>
        <v>8525000</v>
      </c>
      <c r="I128" s="27"/>
      <c r="J128" s="27">
        <v>8255000</v>
      </c>
      <c r="K128" s="41">
        <f t="shared" si="3"/>
        <v>98268000</v>
      </c>
    </row>
    <row r="129" spans="1:11">
      <c r="A129" s="25"/>
      <c r="B129" s="65" t="s">
        <v>43</v>
      </c>
      <c r="C129" s="70" t="s">
        <v>27</v>
      </c>
      <c r="D129" s="71"/>
      <c r="E129" s="72"/>
      <c r="F129" s="23"/>
      <c r="G129" s="24">
        <v>171988668</v>
      </c>
      <c r="H129" s="27">
        <f t="shared" si="4"/>
        <v>13395000</v>
      </c>
      <c r="I129" s="27"/>
      <c r="J129" s="27">
        <v>13535000</v>
      </c>
      <c r="K129" s="41">
        <f t="shared" si="3"/>
        <v>145058668</v>
      </c>
    </row>
    <row r="130" spans="1:11">
      <c r="A130" s="25"/>
      <c r="B130" s="65" t="s">
        <v>44</v>
      </c>
      <c r="C130" s="70" t="s">
        <v>28</v>
      </c>
      <c r="D130" s="71"/>
      <c r="E130" s="72"/>
      <c r="F130" s="23"/>
      <c r="G130" s="24">
        <v>92440133</v>
      </c>
      <c r="H130" s="27">
        <f t="shared" si="4"/>
        <v>17965280</v>
      </c>
      <c r="I130" s="27"/>
      <c r="J130" s="27">
        <v>0</v>
      </c>
      <c r="K130" s="41">
        <f t="shared" si="3"/>
        <v>74474853</v>
      </c>
    </row>
    <row r="131" spans="1:11">
      <c r="A131" s="25"/>
      <c r="B131" s="65" t="s">
        <v>45</v>
      </c>
      <c r="C131" s="70" t="s">
        <v>42</v>
      </c>
      <c r="D131" s="71"/>
      <c r="E131" s="72"/>
      <c r="F131" s="23"/>
      <c r="G131" s="24">
        <v>64388964</v>
      </c>
      <c r="H131" s="27">
        <f t="shared" si="4"/>
        <v>9394068</v>
      </c>
      <c r="I131" s="27"/>
      <c r="J131" s="27">
        <v>0</v>
      </c>
      <c r="K131" s="41">
        <f t="shared" si="3"/>
        <v>54994896</v>
      </c>
    </row>
    <row r="132" spans="1:11">
      <c r="A132" s="30"/>
      <c r="B132" s="66" t="s">
        <v>46</v>
      </c>
      <c r="C132" s="82" t="s">
        <v>29</v>
      </c>
      <c r="D132" s="83"/>
      <c r="E132" s="84"/>
      <c r="F132" s="31"/>
      <c r="G132" s="24">
        <v>214466910</v>
      </c>
      <c r="H132" s="27">
        <f t="shared" si="4"/>
        <v>0</v>
      </c>
      <c r="I132" s="27"/>
      <c r="J132" s="27">
        <v>0</v>
      </c>
      <c r="K132" s="41">
        <f t="shared" si="3"/>
        <v>214466910</v>
      </c>
    </row>
    <row r="133" spans="1:11">
      <c r="A133" s="30"/>
      <c r="B133" s="66" t="s">
        <v>47</v>
      </c>
      <c r="C133" s="32" t="s">
        <v>30</v>
      </c>
      <c r="D133" s="33"/>
      <c r="E133" s="34"/>
      <c r="F133" s="31"/>
      <c r="G133" s="24">
        <v>25000000</v>
      </c>
      <c r="H133" s="27">
        <f t="shared" si="4"/>
        <v>3850000</v>
      </c>
      <c r="I133" s="27"/>
      <c r="J133" s="27">
        <v>0</v>
      </c>
      <c r="K133" s="41">
        <f t="shared" si="3"/>
        <v>21150000</v>
      </c>
    </row>
    <row r="134" spans="1:11">
      <c r="A134" s="35"/>
      <c r="B134" s="66" t="s">
        <v>48</v>
      </c>
      <c r="C134" s="68" t="s">
        <v>49</v>
      </c>
      <c r="D134" s="10"/>
      <c r="E134" s="36"/>
      <c r="F134" s="31"/>
      <c r="G134" s="24">
        <v>178488817</v>
      </c>
      <c r="H134" s="27">
        <f t="shared" si="4"/>
        <v>0</v>
      </c>
      <c r="I134" s="27"/>
      <c r="J134" s="42">
        <v>0</v>
      </c>
      <c r="K134" s="43">
        <f t="shared" si="3"/>
        <v>178488817</v>
      </c>
    </row>
    <row r="135" spans="1:11">
      <c r="A135" s="44"/>
      <c r="B135" s="44"/>
      <c r="C135" s="44" t="s">
        <v>31</v>
      </c>
      <c r="D135" s="44"/>
      <c r="E135" s="44"/>
      <c r="F135" s="45"/>
      <c r="G135" s="46">
        <f>SUM(G125:G134)</f>
        <v>1176821492</v>
      </c>
      <c r="H135" s="47">
        <f>SUM(H125:H134)</f>
        <v>75015712</v>
      </c>
      <c r="I135" s="47"/>
      <c r="J135" s="47">
        <f>SUM(J125:J134)</f>
        <v>45290000</v>
      </c>
      <c r="K135" s="47">
        <f>SUM(K125:K134)</f>
        <v>1056515780</v>
      </c>
    </row>
    <row r="136" spans="1:11">
      <c r="A136" s="48"/>
      <c r="B136" s="8"/>
      <c r="C136" s="8"/>
      <c r="D136" s="8"/>
      <c r="E136" s="8"/>
      <c r="F136" s="8"/>
      <c r="G136" s="49"/>
      <c r="H136" s="49"/>
      <c r="I136" s="49"/>
      <c r="J136" s="49"/>
      <c r="K136" s="49"/>
    </row>
    <row r="137" spans="1:11">
      <c r="A137" s="85" t="s">
        <v>32</v>
      </c>
      <c r="B137" s="85"/>
      <c r="C137" s="85"/>
      <c r="D137" s="11" t="s">
        <v>4</v>
      </c>
      <c r="E137" s="14">
        <f>J135</f>
        <v>45290000</v>
      </c>
      <c r="F137" s="50"/>
      <c r="G137" s="51"/>
      <c r="H137" s="51"/>
      <c r="I137" s="51"/>
      <c r="J137" s="9"/>
      <c r="K137" s="9"/>
    </row>
    <row r="138" spans="1:11">
      <c r="A138" s="10" t="s">
        <v>33</v>
      </c>
      <c r="B138" s="10"/>
      <c r="C138" s="10"/>
      <c r="D138" s="11" t="s">
        <v>4</v>
      </c>
      <c r="E138" s="52"/>
      <c r="F138" s="52"/>
      <c r="G138" s="53"/>
      <c r="H138" s="12"/>
      <c r="I138" s="12"/>
      <c r="J138" s="9"/>
      <c r="K138" s="9"/>
    </row>
    <row r="139" spans="1:11">
      <c r="A139" s="10" t="s">
        <v>34</v>
      </c>
      <c r="B139" s="10"/>
      <c r="C139" s="10"/>
      <c r="D139" s="11" t="s">
        <v>4</v>
      </c>
      <c r="E139" s="54"/>
      <c r="F139" s="54"/>
      <c r="G139" s="53"/>
      <c r="H139" s="12"/>
      <c r="I139" s="12"/>
      <c r="J139" s="9"/>
      <c r="K139" s="9"/>
    </row>
    <row r="140" spans="1:11">
      <c r="A140" s="10" t="s">
        <v>35</v>
      </c>
      <c r="B140" s="10"/>
      <c r="C140" s="10"/>
      <c r="D140" s="11" t="s">
        <v>4</v>
      </c>
      <c r="E140" s="54">
        <f>E138+E139</f>
        <v>0</v>
      </c>
      <c r="F140" s="54"/>
      <c r="G140" s="10"/>
      <c r="H140" s="12"/>
      <c r="I140" s="12"/>
      <c r="J140" s="56"/>
      <c r="K140" s="56"/>
    </row>
    <row r="141" spans="1:11">
      <c r="A141" s="13"/>
      <c r="B141" s="13"/>
      <c r="C141" s="13"/>
      <c r="D141" s="11"/>
      <c r="E141" s="13"/>
      <c r="F141" s="13"/>
      <c r="G141" s="10"/>
      <c r="H141" s="12"/>
      <c r="I141" s="12"/>
      <c r="J141" s="56"/>
      <c r="K141" s="56"/>
    </row>
    <row r="142" spans="1:11">
      <c r="A142" s="85" t="s">
        <v>36</v>
      </c>
      <c r="B142" s="85"/>
      <c r="C142" s="85"/>
      <c r="D142" s="11" t="s">
        <v>4</v>
      </c>
      <c r="E142" s="50">
        <f>E137-E140</f>
        <v>45290000</v>
      </c>
      <c r="F142" s="50"/>
      <c r="G142" s="10"/>
      <c r="H142" s="12"/>
      <c r="I142" s="12"/>
      <c r="J142" s="56"/>
      <c r="K142" s="56"/>
    </row>
    <row r="143" spans="1:11" ht="15.75">
      <c r="A143" s="13"/>
      <c r="B143" s="13"/>
      <c r="C143" s="10"/>
      <c r="D143" s="10"/>
      <c r="E143" s="16" t="str">
        <f>PROPER(IF(E142=0,"nol",IF(E142&lt;0,"minus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142),"000000000000000"),1,3)=0,"",MID(TEXT(ABS(E142),"000000000000000"),1,1)&amp;" ratus "&amp;MID(TEXT(ABS(E142),"000000000000000"),2,1)&amp;" puluh "&amp;MID(TEXT(ABS(E142),"000000000000000"),3,1)&amp;" trilyun ")&amp;IF(--MID(TEXT(ABS(E142),"000000000000000"),4,3)=0,"",MID(TEXT(ABS(E142),"000000000000000"),4,1)&amp;" ratus "&amp;MID(TEXT(ABS(E142),"000000000000000"),5,1)&amp;" puluh "&amp;MID(TEXT(ABS(E142),"000000000000000"),6,1)&amp;" milyar ")&amp;IF(--MID(TEXT(ABS(E142),"000000000000000"),7,3)=0,"",MID(TEXT(ABS(E142),"000000000000000"),7,1)&amp;" ratus "&amp;MID(TEXT(ABS(E142),"000000000000000"),8,1)&amp;" puluh "&amp;MID(TEXT(ABS(E142),"000000000000000"),9,1)&amp;" juta ")&amp;IF(--MID(TEXT(ABS(E142),"000000000000000"),10,3)=0,"",IF(--MID(TEXT(ABS(E142),"000000000000000"),10,3)=1,"*",MID(TEXT(ABS(E142),"000000000000000"),10,1)&amp;" ratus "&amp;MID(TEXT(ABS(E142),"000000000000000"),11,1)&amp;" puluh ")&amp;MID(TEXT(ABS(E142),"000000000000000"),12,1)&amp;" ribu ")&amp;IF(--MID(TEXT(ABS(E142),"000000000000000"),13,3)=0,"",MID(TEXT(ABS(E142),"000000000000000"),13,1)&amp;" ratus "&amp;MID(TEXT(ABS(E142),"000000000000000"),14,1)&amp;" puluh "&amp;MID(TEXT(ABS(E142),"000000000000000"),15,1)),1,"satu"),2,"dua"),3,"tiga"),4,"empat"),5,"lima"),6,"enam"),7,"tujuh"),8,"delapan"),9,"sembilan"),"0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Lima Juta Dua Ratus Sembilan Puluh Ribu Rupiah</v>
      </c>
      <c r="F143" s="10"/>
      <c r="G143" s="10"/>
      <c r="H143" s="10"/>
      <c r="I143" s="10"/>
      <c r="J143" s="56"/>
      <c r="K143" s="56"/>
    </row>
    <row r="144" spans="1:11">
      <c r="A144" s="55"/>
      <c r="B144" s="55"/>
      <c r="C144" s="55"/>
      <c r="D144" s="55"/>
      <c r="E144" s="55"/>
      <c r="F144" s="55"/>
      <c r="G144" s="37"/>
      <c r="H144" s="56"/>
      <c r="I144" s="56"/>
      <c r="J144" s="56"/>
      <c r="K144" s="56"/>
    </row>
    <row r="145" spans="1:11">
      <c r="A145" s="37"/>
      <c r="B145" s="37"/>
      <c r="C145" s="37"/>
      <c r="D145" s="37"/>
      <c r="E145" s="37"/>
      <c r="F145" s="37"/>
      <c r="G145" s="37"/>
      <c r="H145"/>
      <c r="I145"/>
      <c r="J145" s="56"/>
      <c r="K145" s="56"/>
    </row>
    <row r="146" spans="1:11">
      <c r="A146" s="13"/>
      <c r="B146" s="13"/>
      <c r="C146" s="10"/>
      <c r="D146" s="10"/>
      <c r="E146" s="10"/>
      <c r="F146" s="10"/>
      <c r="G146" s="10"/>
      <c r="I146" s="57"/>
      <c r="J146" s="57" t="s">
        <v>70</v>
      </c>
      <c r="K146" s="56"/>
    </row>
    <row r="147" spans="1:11">
      <c r="A147" s="12" t="s">
        <v>37</v>
      </c>
      <c r="B147" s="10"/>
      <c r="C147" s="10"/>
      <c r="D147" s="10"/>
      <c r="E147" s="10"/>
      <c r="F147" s="10"/>
      <c r="G147" s="10"/>
      <c r="I147" s="12"/>
      <c r="J147" s="12" t="s">
        <v>38</v>
      </c>
      <c r="K147" s="56"/>
    </row>
    <row r="148" spans="1:11">
      <c r="A148" s="10"/>
      <c r="B148" s="10"/>
      <c r="C148" s="10"/>
      <c r="D148" s="10"/>
      <c r="E148" s="10"/>
      <c r="F148" s="10"/>
      <c r="G148" s="10"/>
      <c r="I148" s="12"/>
      <c r="J148" s="12"/>
      <c r="K148" s="56"/>
    </row>
    <row r="149" spans="1:11">
      <c r="A149" s="10"/>
      <c r="B149" s="10"/>
      <c r="C149" s="10"/>
      <c r="D149" s="10"/>
      <c r="E149" s="10"/>
      <c r="F149" s="10"/>
      <c r="G149" s="10"/>
      <c r="I149" s="12"/>
      <c r="J149" s="12"/>
      <c r="K149" s="56"/>
    </row>
    <row r="150" spans="1:11">
      <c r="A150" s="10"/>
      <c r="B150" s="10"/>
      <c r="C150" s="10"/>
      <c r="D150" s="10"/>
      <c r="E150" s="10"/>
      <c r="F150" s="10"/>
      <c r="G150" s="10"/>
      <c r="I150" s="12"/>
      <c r="J150" s="12"/>
      <c r="K150" s="56"/>
    </row>
    <row r="151" spans="1:11">
      <c r="A151" s="10"/>
      <c r="B151" s="10"/>
      <c r="C151" s="10"/>
      <c r="D151" s="10"/>
      <c r="E151" s="10"/>
      <c r="F151" s="10"/>
      <c r="G151" s="10"/>
      <c r="I151" s="12"/>
      <c r="J151" s="12"/>
      <c r="K151" s="56"/>
    </row>
    <row r="152" spans="1:11">
      <c r="A152" s="69" t="s">
        <v>50</v>
      </c>
      <c r="B152" s="58"/>
      <c r="C152" s="59"/>
      <c r="D152" s="59"/>
      <c r="E152" s="59"/>
      <c r="F152" s="59"/>
      <c r="G152" s="10" t="s">
        <v>39</v>
      </c>
      <c r="I152" s="58"/>
      <c r="J152" s="58" t="s">
        <v>40</v>
      </c>
      <c r="K152" s="56"/>
    </row>
    <row r="157" spans="1:11" ht="15.75">
      <c r="C157" s="2"/>
      <c r="D157" s="2"/>
      <c r="E157" s="2"/>
      <c r="F157" s="2"/>
    </row>
    <row r="158" spans="1:11" ht="15.75">
      <c r="A158" s="3"/>
      <c r="B158" s="3"/>
      <c r="C158" s="2"/>
      <c r="D158" s="2"/>
      <c r="E158" s="2"/>
      <c r="F158" s="2"/>
      <c r="G158" s="3"/>
      <c r="H158" s="4"/>
      <c r="I158" s="4"/>
      <c r="J158" s="4"/>
      <c r="K158" s="5"/>
    </row>
    <row r="159" spans="1:11">
      <c r="H159" s="5"/>
      <c r="I159" s="5"/>
      <c r="J159" s="5"/>
      <c r="K159" s="5"/>
    </row>
    <row r="160" spans="1:11">
      <c r="H160" s="5"/>
      <c r="I160" s="5"/>
      <c r="J160" s="5"/>
      <c r="K160" s="5"/>
    </row>
    <row r="161" spans="1:11">
      <c r="A161" s="73" t="s">
        <v>0</v>
      </c>
      <c r="B161" s="73"/>
      <c r="C161" s="74"/>
      <c r="D161" s="74"/>
      <c r="E161" s="74"/>
      <c r="F161" s="74"/>
      <c r="G161" s="74"/>
      <c r="H161" s="74"/>
      <c r="I161" s="74"/>
      <c r="J161" s="74"/>
      <c r="K161" s="74"/>
    </row>
    <row r="162" spans="1:11">
      <c r="A162" s="74" t="s">
        <v>71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</row>
    <row r="163" spans="1:11">
      <c r="A163" s="74" t="s">
        <v>1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</row>
    <row r="164" spans="1:11">
      <c r="A164" s="74" t="s">
        <v>51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</row>
    <row r="165" spans="1:11">
      <c r="A165" s="74" t="s">
        <v>2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</row>
    <row r="166" spans="1:11">
      <c r="A166" s="6"/>
      <c r="B166" s="6"/>
      <c r="C166" s="7"/>
      <c r="D166" s="7"/>
      <c r="E166" s="7"/>
      <c r="F166" s="7"/>
      <c r="G166" s="8"/>
      <c r="H166" s="9"/>
      <c r="I166" s="9"/>
      <c r="J166" s="9"/>
      <c r="K166" s="9"/>
    </row>
    <row r="167" spans="1:11">
      <c r="A167" s="62" t="s">
        <v>3</v>
      </c>
      <c r="B167" s="10"/>
      <c r="C167" s="10"/>
      <c r="D167" s="63" t="s">
        <v>4</v>
      </c>
      <c r="E167" s="10" t="s">
        <v>5</v>
      </c>
      <c r="F167" s="11"/>
      <c r="G167" s="10"/>
      <c r="H167" s="12"/>
      <c r="I167" s="12"/>
      <c r="J167" s="12"/>
      <c r="K167" s="9"/>
    </row>
    <row r="168" spans="1:11">
      <c r="A168" s="62" t="s">
        <v>6</v>
      </c>
      <c r="B168" s="10"/>
      <c r="C168" s="10"/>
      <c r="D168" s="63" t="s">
        <v>4</v>
      </c>
      <c r="E168" s="10" t="s">
        <v>7</v>
      </c>
      <c r="F168" s="11"/>
      <c r="G168" s="10"/>
      <c r="H168" s="12"/>
      <c r="I168" s="12"/>
      <c r="J168" s="12"/>
      <c r="K168" s="9"/>
    </row>
    <row r="169" spans="1:11">
      <c r="A169" s="62" t="s">
        <v>8</v>
      </c>
      <c r="B169" s="10"/>
      <c r="C169" s="10"/>
      <c r="D169" s="63" t="s">
        <v>4</v>
      </c>
      <c r="E169" s="13">
        <v>2026</v>
      </c>
      <c r="F169" s="11"/>
      <c r="G169" s="13"/>
      <c r="H169" s="12"/>
      <c r="I169" s="12"/>
      <c r="J169" s="12"/>
      <c r="K169" s="9"/>
    </row>
    <row r="170" spans="1:11">
      <c r="A170" s="62" t="s">
        <v>9</v>
      </c>
      <c r="B170" s="10"/>
      <c r="C170" s="10"/>
      <c r="D170" s="63" t="s">
        <v>4</v>
      </c>
      <c r="E170" s="14">
        <f>J186</f>
        <v>80000</v>
      </c>
      <c r="F170" s="11"/>
      <c r="G170" s="14"/>
      <c r="H170" s="12"/>
      <c r="I170" s="12"/>
      <c r="J170" s="12"/>
      <c r="K170" s="9"/>
    </row>
    <row r="171" spans="1:11" ht="15.75">
      <c r="A171" s="10"/>
      <c r="B171" s="10"/>
      <c r="C171" s="15" t="s">
        <v>10</v>
      </c>
      <c r="D171" s="63" t="s">
        <v>4</v>
      </c>
      <c r="E171" s="16" t="str">
        <f>PROPER(IF(E170=0,"nol",IF(E170&lt;0,"minus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170),"000000000000000"),1,3)=0,"",MID(TEXT(ABS(E170),"000000000000000"),1,1)&amp;" ratus "&amp;MID(TEXT(ABS(E170),"000000000000000"),2,1)&amp;" puluh "&amp;MID(TEXT(ABS(E170),"000000000000000"),3,1)&amp;" trilyun ")&amp;IF(--MID(TEXT(ABS(E170),"000000000000000"),4,3)=0,"",MID(TEXT(ABS(E170),"000000000000000"),4,1)&amp;" ratus "&amp;MID(TEXT(ABS(E170),"000000000000000"),5,1)&amp;" puluh "&amp;MID(TEXT(ABS(E170),"000000000000000"),6,1)&amp;" milyar ")&amp;IF(--MID(TEXT(ABS(E170),"000000000000000"),7,3)=0,"",MID(TEXT(ABS(E170),"000000000000000"),7,1)&amp;" ratus "&amp;MID(TEXT(ABS(E170),"000000000000000"),8,1)&amp;" puluh "&amp;MID(TEXT(ABS(E170),"000000000000000"),9,1)&amp;" juta ")&amp;IF(--MID(TEXT(ABS(E170),"000000000000000"),10,3)=0,"",IF(--MID(TEXT(ABS(E170),"000000000000000"),10,3)=1,"*",MID(TEXT(ABS(E170),"000000000000000"),10,1)&amp;" ratus "&amp;MID(TEXT(ABS(E170),"000000000000000"),11,1)&amp;" puluh ")&amp;MID(TEXT(ABS(E170),"000000000000000"),12,1)&amp;" ribu ")&amp;IF(--MID(TEXT(ABS(E170),"000000000000000"),13,3)=0,"",MID(TEXT(ABS(E170),"000000000000000"),13,1)&amp;" ratus "&amp;MID(TEXT(ABS(E170),"000000000000000"),14,1)&amp;" puluh "&amp;MID(TEXT(ABS(E170),"000000000000000"),15,1)),1,"satu"),2,"dua"),3,"tiga"),4,"empat"),5,"lima"),6,"enam"),7,"tujuh"),8,"delapan"),9,"sembilan"),"0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171" s="11"/>
      <c r="G171" s="16"/>
      <c r="H171" s="12"/>
      <c r="I171" s="12"/>
      <c r="J171" s="12"/>
      <c r="K171" s="9"/>
    </row>
    <row r="172" spans="1:11" ht="15.75">
      <c r="A172" s="10"/>
      <c r="B172" s="10"/>
      <c r="C172" s="15"/>
      <c r="D172" s="15"/>
      <c r="E172" s="15"/>
      <c r="F172" s="11"/>
      <c r="G172" s="16"/>
      <c r="H172" s="12"/>
      <c r="I172" s="12"/>
      <c r="J172" s="12"/>
      <c r="K172" s="9"/>
    </row>
    <row r="173" spans="1:11">
      <c r="A173" s="10" t="s">
        <v>11</v>
      </c>
      <c r="B173" s="10"/>
      <c r="C173" s="10"/>
      <c r="D173" s="10"/>
      <c r="E173" s="10"/>
      <c r="F173" s="10"/>
      <c r="G173" s="10"/>
      <c r="H173" s="12"/>
      <c r="I173" s="12"/>
      <c r="J173" s="12"/>
      <c r="K173" s="9"/>
    </row>
    <row r="174" spans="1:11">
      <c r="A174" s="75" t="s">
        <v>12</v>
      </c>
      <c r="B174" s="75"/>
      <c r="C174" s="75"/>
      <c r="D174" s="75"/>
      <c r="E174" s="75"/>
      <c r="F174" s="75"/>
      <c r="G174" s="75"/>
      <c r="H174" s="75"/>
      <c r="I174" s="75"/>
      <c r="J174" s="75"/>
      <c r="K174" s="75"/>
    </row>
    <row r="175" spans="1:11" ht="60">
      <c r="A175" s="17" t="s">
        <v>13</v>
      </c>
      <c r="B175" s="18" t="s">
        <v>14</v>
      </c>
      <c r="C175" s="76" t="s">
        <v>15</v>
      </c>
      <c r="D175" s="77"/>
      <c r="E175" s="78"/>
      <c r="F175" s="19"/>
      <c r="G175" s="20" t="s">
        <v>16</v>
      </c>
      <c r="H175" s="21" t="s">
        <v>41</v>
      </c>
      <c r="I175" s="21"/>
      <c r="J175" s="39" t="s">
        <v>17</v>
      </c>
      <c r="K175" s="40" t="s">
        <v>18</v>
      </c>
    </row>
    <row r="176" spans="1:11">
      <c r="A176" s="22">
        <v>1</v>
      </c>
      <c r="B176" s="25"/>
      <c r="C176" s="29" t="s">
        <v>23</v>
      </c>
      <c r="D176" s="67"/>
      <c r="E176" s="26"/>
      <c r="F176" s="23"/>
      <c r="G176" s="64" t="s">
        <v>19</v>
      </c>
      <c r="H176" s="64" t="s">
        <v>19</v>
      </c>
      <c r="I176" s="64"/>
      <c r="J176" s="64" t="s">
        <v>19</v>
      </c>
      <c r="K176" s="64" t="s">
        <v>19</v>
      </c>
    </row>
    <row r="177" spans="1:11">
      <c r="A177" s="25"/>
      <c r="B177" s="65" t="s">
        <v>20</v>
      </c>
      <c r="C177" s="70" t="s">
        <v>24</v>
      </c>
      <c r="D177" s="71"/>
      <c r="E177" s="72"/>
      <c r="F177" s="23"/>
      <c r="G177" s="24">
        <v>300000000</v>
      </c>
      <c r="H177" s="27">
        <f>H126+J126</f>
        <v>43386364</v>
      </c>
      <c r="I177" s="27"/>
      <c r="J177" s="27">
        <v>0</v>
      </c>
      <c r="K177" s="41">
        <f t="shared" ref="K177:K185" si="5">G177-H177-J177</f>
        <v>256613636</v>
      </c>
    </row>
    <row r="178" spans="1:11">
      <c r="A178" s="25"/>
      <c r="B178" s="65" t="s">
        <v>21</v>
      </c>
      <c r="C178" s="70" t="s">
        <v>25</v>
      </c>
      <c r="D178" s="71"/>
      <c r="E178" s="72"/>
      <c r="F178" s="23"/>
      <c r="G178" s="28">
        <v>15000000</v>
      </c>
      <c r="H178" s="27">
        <f t="shared" ref="H178:H185" si="6">H127+J127</f>
        <v>2000000</v>
      </c>
      <c r="I178" s="27"/>
      <c r="J178" s="27">
        <v>0</v>
      </c>
      <c r="K178" s="41">
        <f t="shared" si="5"/>
        <v>13000000</v>
      </c>
    </row>
    <row r="179" spans="1:11">
      <c r="A179" s="25"/>
      <c r="B179" s="65" t="s">
        <v>22</v>
      </c>
      <c r="C179" s="79" t="s">
        <v>26</v>
      </c>
      <c r="D179" s="80"/>
      <c r="E179" s="81"/>
      <c r="F179" s="23"/>
      <c r="G179" s="24">
        <v>115048000</v>
      </c>
      <c r="H179" s="27">
        <f t="shared" si="6"/>
        <v>16780000</v>
      </c>
      <c r="I179" s="27"/>
      <c r="J179" s="27">
        <v>0</v>
      </c>
      <c r="K179" s="41">
        <f t="shared" si="5"/>
        <v>98268000</v>
      </c>
    </row>
    <row r="180" spans="1:11">
      <c r="A180" s="25"/>
      <c r="B180" s="65" t="s">
        <v>43</v>
      </c>
      <c r="C180" s="70" t="s">
        <v>27</v>
      </c>
      <c r="D180" s="71"/>
      <c r="E180" s="72"/>
      <c r="F180" s="23"/>
      <c r="G180" s="24">
        <v>171988668</v>
      </c>
      <c r="H180" s="27">
        <f t="shared" si="6"/>
        <v>26930000</v>
      </c>
      <c r="I180" s="27"/>
      <c r="J180" s="27">
        <v>80000</v>
      </c>
      <c r="K180" s="41">
        <f t="shared" si="5"/>
        <v>144978668</v>
      </c>
    </row>
    <row r="181" spans="1:11">
      <c r="A181" s="25"/>
      <c r="B181" s="65" t="s">
        <v>44</v>
      </c>
      <c r="C181" s="70" t="s">
        <v>28</v>
      </c>
      <c r="D181" s="71"/>
      <c r="E181" s="72"/>
      <c r="F181" s="23"/>
      <c r="G181" s="24">
        <v>92440133</v>
      </c>
      <c r="H181" s="27">
        <f t="shared" si="6"/>
        <v>17965280</v>
      </c>
      <c r="I181" s="27"/>
      <c r="J181" s="27">
        <v>0</v>
      </c>
      <c r="K181" s="41">
        <f t="shared" si="5"/>
        <v>74474853</v>
      </c>
    </row>
    <row r="182" spans="1:11">
      <c r="A182" s="25"/>
      <c r="B182" s="65" t="s">
        <v>45</v>
      </c>
      <c r="C182" s="70" t="s">
        <v>42</v>
      </c>
      <c r="D182" s="71"/>
      <c r="E182" s="72"/>
      <c r="F182" s="23"/>
      <c r="G182" s="24">
        <v>64388964</v>
      </c>
      <c r="H182" s="27">
        <f>H131+J131</f>
        <v>9394068</v>
      </c>
      <c r="I182" s="27"/>
      <c r="J182" s="27">
        <v>0</v>
      </c>
      <c r="K182" s="41">
        <f t="shared" si="5"/>
        <v>54994896</v>
      </c>
    </row>
    <row r="183" spans="1:11">
      <c r="A183" s="30"/>
      <c r="B183" s="66" t="s">
        <v>46</v>
      </c>
      <c r="C183" s="82" t="s">
        <v>29</v>
      </c>
      <c r="D183" s="83"/>
      <c r="E183" s="84"/>
      <c r="F183" s="31"/>
      <c r="G183" s="24">
        <v>214466910</v>
      </c>
      <c r="H183" s="27">
        <f t="shared" si="6"/>
        <v>0</v>
      </c>
      <c r="I183" s="27"/>
      <c r="J183" s="27">
        <v>0</v>
      </c>
      <c r="K183" s="41">
        <f t="shared" si="5"/>
        <v>214466910</v>
      </c>
    </row>
    <row r="184" spans="1:11">
      <c r="A184" s="30"/>
      <c r="B184" s="66" t="s">
        <v>47</v>
      </c>
      <c r="C184" s="32" t="s">
        <v>30</v>
      </c>
      <c r="D184" s="33"/>
      <c r="E184" s="34"/>
      <c r="F184" s="31"/>
      <c r="G184" s="24">
        <v>25000000</v>
      </c>
      <c r="H184" s="27">
        <f t="shared" si="6"/>
        <v>3850000</v>
      </c>
      <c r="I184" s="27"/>
      <c r="J184" s="27">
        <v>0</v>
      </c>
      <c r="K184" s="41">
        <f t="shared" si="5"/>
        <v>21150000</v>
      </c>
    </row>
    <row r="185" spans="1:11">
      <c r="A185" s="35"/>
      <c r="B185" s="66" t="s">
        <v>48</v>
      </c>
      <c r="C185" s="68" t="s">
        <v>49</v>
      </c>
      <c r="D185" s="10"/>
      <c r="E185" s="36"/>
      <c r="F185" s="31"/>
      <c r="G185" s="24">
        <v>178488817</v>
      </c>
      <c r="H185" s="27">
        <f t="shared" si="6"/>
        <v>0</v>
      </c>
      <c r="I185" s="27"/>
      <c r="J185" s="42">
        <v>0</v>
      </c>
      <c r="K185" s="43">
        <f t="shared" si="5"/>
        <v>178488817</v>
      </c>
    </row>
    <row r="186" spans="1:11">
      <c r="A186" s="44"/>
      <c r="B186" s="44"/>
      <c r="C186" s="44" t="s">
        <v>31</v>
      </c>
      <c r="D186" s="44"/>
      <c r="E186" s="44"/>
      <c r="F186" s="45"/>
      <c r="G186" s="46">
        <f>SUM(G176:G185)</f>
        <v>1176821492</v>
      </c>
      <c r="H186" s="47">
        <f>SUM(H176:H185)</f>
        <v>120305712</v>
      </c>
      <c r="I186" s="47"/>
      <c r="J186" s="47">
        <f>SUM(J176:J185)</f>
        <v>80000</v>
      </c>
      <c r="K186" s="47">
        <f>SUM(K176:K185)</f>
        <v>1056435780</v>
      </c>
    </row>
    <row r="187" spans="1:11">
      <c r="A187" s="48"/>
      <c r="B187" s="8"/>
      <c r="C187" s="8"/>
      <c r="D187" s="8"/>
      <c r="E187" s="8"/>
      <c r="F187" s="8"/>
      <c r="G187" s="49"/>
      <c r="H187" s="49"/>
      <c r="I187" s="49"/>
      <c r="J187" s="49"/>
      <c r="K187" s="49"/>
    </row>
    <row r="188" spans="1:11">
      <c r="A188" s="85" t="s">
        <v>32</v>
      </c>
      <c r="B188" s="85"/>
      <c r="C188" s="85"/>
      <c r="D188" s="11" t="s">
        <v>4</v>
      </c>
      <c r="E188" s="14">
        <f>J186</f>
        <v>80000</v>
      </c>
      <c r="F188" s="50"/>
      <c r="G188" s="51"/>
      <c r="H188" s="51"/>
      <c r="I188" s="51"/>
      <c r="J188" s="9"/>
      <c r="K188" s="9"/>
    </row>
    <row r="189" spans="1:11">
      <c r="A189" s="10" t="s">
        <v>33</v>
      </c>
      <c r="B189" s="10"/>
      <c r="C189" s="10"/>
      <c r="D189" s="11" t="s">
        <v>4</v>
      </c>
      <c r="E189" s="52"/>
      <c r="F189" s="52"/>
      <c r="G189" s="53"/>
      <c r="H189" s="12"/>
      <c r="I189" s="12"/>
      <c r="J189" s="9"/>
      <c r="K189" s="9"/>
    </row>
    <row r="190" spans="1:11">
      <c r="A190" s="10" t="s">
        <v>34</v>
      </c>
      <c r="B190" s="10"/>
      <c r="C190" s="10"/>
      <c r="D190" s="11" t="s">
        <v>4</v>
      </c>
      <c r="E190" s="54"/>
      <c r="F190" s="54"/>
      <c r="G190" s="53"/>
      <c r="H190" s="12"/>
      <c r="I190" s="12"/>
      <c r="J190" s="9"/>
      <c r="K190" s="9"/>
    </row>
    <row r="191" spans="1:11">
      <c r="A191" s="10" t="s">
        <v>35</v>
      </c>
      <c r="B191" s="10"/>
      <c r="C191" s="10"/>
      <c r="D191" s="11" t="s">
        <v>4</v>
      </c>
      <c r="E191" s="54">
        <f>E189+E190</f>
        <v>0</v>
      </c>
      <c r="F191" s="54"/>
      <c r="G191" s="10"/>
      <c r="H191" s="12"/>
      <c r="I191" s="12"/>
      <c r="J191" s="56"/>
      <c r="K191" s="56"/>
    </row>
    <row r="192" spans="1:11">
      <c r="A192" s="13"/>
      <c r="B192" s="13"/>
      <c r="C192" s="13"/>
      <c r="D192" s="11"/>
      <c r="E192" s="13"/>
      <c r="F192" s="13"/>
      <c r="G192" s="10"/>
      <c r="H192" s="12"/>
      <c r="I192" s="12"/>
      <c r="J192" s="56"/>
      <c r="K192" s="56"/>
    </row>
    <row r="193" spans="1:11">
      <c r="A193" s="85" t="s">
        <v>36</v>
      </c>
      <c r="B193" s="85"/>
      <c r="C193" s="85"/>
      <c r="D193" s="11" t="s">
        <v>4</v>
      </c>
      <c r="E193" s="50">
        <f>E188-E191</f>
        <v>80000</v>
      </c>
      <c r="F193" s="50"/>
      <c r="G193" s="10"/>
      <c r="H193" s="12"/>
      <c r="I193" s="12"/>
      <c r="J193" s="56"/>
      <c r="K193" s="56"/>
    </row>
    <row r="194" spans="1:11" ht="15.75">
      <c r="A194" s="13"/>
      <c r="B194" s="13"/>
      <c r="C194" s="10"/>
      <c r="D194" s="10"/>
      <c r="E194" s="16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194" s="10"/>
      <c r="G194" s="10"/>
      <c r="H194" s="10"/>
      <c r="I194" s="10"/>
      <c r="J194" s="56"/>
      <c r="K194" s="56"/>
    </row>
    <row r="195" spans="1:11">
      <c r="A195" s="55"/>
      <c r="B195" s="55"/>
      <c r="C195" s="55"/>
      <c r="D195" s="55"/>
      <c r="E195" s="55"/>
      <c r="F195" s="55"/>
      <c r="G195" s="37"/>
      <c r="H195" s="56"/>
      <c r="I195" s="56"/>
      <c r="J195" s="56"/>
      <c r="K195" s="56"/>
    </row>
    <row r="196" spans="1:11">
      <c r="A196" s="37"/>
      <c r="B196" s="37"/>
      <c r="C196" s="37"/>
      <c r="D196" s="37"/>
      <c r="E196" s="37"/>
      <c r="F196" s="37"/>
      <c r="G196" s="37"/>
      <c r="H196"/>
      <c r="I196"/>
      <c r="J196" s="56"/>
      <c r="K196" s="56"/>
    </row>
    <row r="197" spans="1:11">
      <c r="A197" s="13"/>
      <c r="B197" s="13"/>
      <c r="C197" s="10"/>
      <c r="D197" s="10"/>
      <c r="E197" s="10"/>
      <c r="F197" s="10"/>
      <c r="G197" s="10"/>
      <c r="I197" s="57"/>
      <c r="J197" s="57" t="s">
        <v>70</v>
      </c>
      <c r="K197" s="56"/>
    </row>
    <row r="198" spans="1:11">
      <c r="A198" s="12" t="s">
        <v>37</v>
      </c>
      <c r="B198" s="10"/>
      <c r="C198" s="10"/>
      <c r="D198" s="10"/>
      <c r="E198" s="10"/>
      <c r="F198" s="10"/>
      <c r="G198" s="10"/>
      <c r="I198" s="12"/>
      <c r="J198" s="12" t="s">
        <v>38</v>
      </c>
      <c r="K198" s="56"/>
    </row>
    <row r="199" spans="1:11">
      <c r="A199" s="10"/>
      <c r="B199" s="10"/>
      <c r="C199" s="10"/>
      <c r="D199" s="10"/>
      <c r="E199" s="10"/>
      <c r="F199" s="10"/>
      <c r="G199" s="10"/>
      <c r="I199" s="12"/>
      <c r="J199" s="12"/>
      <c r="K199" s="56"/>
    </row>
    <row r="200" spans="1:11">
      <c r="A200" s="10"/>
      <c r="B200" s="10"/>
      <c r="C200" s="10"/>
      <c r="D200" s="10"/>
      <c r="E200" s="10"/>
      <c r="F200" s="10"/>
      <c r="G200" s="10"/>
      <c r="I200" s="12"/>
      <c r="J200" s="12"/>
      <c r="K200" s="56"/>
    </row>
    <row r="201" spans="1:11">
      <c r="A201" s="10"/>
      <c r="B201" s="10"/>
      <c r="C201" s="10"/>
      <c r="D201" s="10"/>
      <c r="E201" s="10"/>
      <c r="F201" s="10"/>
      <c r="G201" s="10"/>
      <c r="I201" s="12"/>
      <c r="J201" s="12"/>
      <c r="K201" s="56"/>
    </row>
    <row r="202" spans="1:11">
      <c r="A202" s="10"/>
      <c r="B202" s="10"/>
      <c r="C202" s="10"/>
      <c r="D202" s="10"/>
      <c r="E202" s="10"/>
      <c r="F202" s="10"/>
      <c r="G202" s="10"/>
      <c r="I202" s="12"/>
      <c r="J202" s="12"/>
      <c r="K202" s="56"/>
    </row>
    <row r="203" spans="1:11">
      <c r="A203" s="69" t="s">
        <v>50</v>
      </c>
      <c r="B203" s="58"/>
      <c r="C203" s="59"/>
      <c r="D203" s="59"/>
      <c r="E203" s="59"/>
      <c r="F203" s="59"/>
      <c r="G203" s="10" t="s">
        <v>39</v>
      </c>
      <c r="I203" s="58"/>
      <c r="J203" s="58" t="s">
        <v>40</v>
      </c>
      <c r="K203" s="56"/>
    </row>
  </sheetData>
  <mergeCells count="64">
    <mergeCell ref="C182:E182"/>
    <mergeCell ref="C183:E183"/>
    <mergeCell ref="A188:C188"/>
    <mergeCell ref="A193:C193"/>
    <mergeCell ref="C181:E181"/>
    <mergeCell ref="C178:E178"/>
    <mergeCell ref="C179:E179"/>
    <mergeCell ref="A161:K161"/>
    <mergeCell ref="A162:K162"/>
    <mergeCell ref="A163:K163"/>
    <mergeCell ref="A164:K164"/>
    <mergeCell ref="A165:K165"/>
    <mergeCell ref="C180:E180"/>
    <mergeCell ref="A142:C142"/>
    <mergeCell ref="A114:K114"/>
    <mergeCell ref="A123:K123"/>
    <mergeCell ref="C124:E124"/>
    <mergeCell ref="C126:E126"/>
    <mergeCell ref="C127:E127"/>
    <mergeCell ref="C128:E128"/>
    <mergeCell ref="C129:E129"/>
    <mergeCell ref="C130:E130"/>
    <mergeCell ref="C131:E131"/>
    <mergeCell ref="C132:E132"/>
    <mergeCell ref="A137:C137"/>
    <mergeCell ref="A174:K174"/>
    <mergeCell ref="C175:E175"/>
    <mergeCell ref="C177:E177"/>
    <mergeCell ref="A113:K113"/>
    <mergeCell ref="C76:E76"/>
    <mergeCell ref="C77:E77"/>
    <mergeCell ref="C78:E78"/>
    <mergeCell ref="C79:E79"/>
    <mergeCell ref="C80:E80"/>
    <mergeCell ref="C81:E81"/>
    <mergeCell ref="A86:C86"/>
    <mergeCell ref="A91:C91"/>
    <mergeCell ref="A110:K110"/>
    <mergeCell ref="A111:K111"/>
    <mergeCell ref="A112:K112"/>
    <mergeCell ref="C75:E75"/>
    <mergeCell ref="C29:E29"/>
    <mergeCell ref="C30:E30"/>
    <mergeCell ref="A35:C35"/>
    <mergeCell ref="A40:C40"/>
    <mergeCell ref="A59:K59"/>
    <mergeCell ref="A60:K60"/>
    <mergeCell ref="A61:K61"/>
    <mergeCell ref="A62:K62"/>
    <mergeCell ref="A63:K63"/>
    <mergeCell ref="A72:K72"/>
    <mergeCell ref="C73:E73"/>
    <mergeCell ref="C28:E28"/>
    <mergeCell ref="A8:K8"/>
    <mergeCell ref="A9:K9"/>
    <mergeCell ref="A10:K10"/>
    <mergeCell ref="A11:K11"/>
    <mergeCell ref="A12:K12"/>
    <mergeCell ref="A21:K21"/>
    <mergeCell ref="C22:E22"/>
    <mergeCell ref="C24:E24"/>
    <mergeCell ref="C25:E25"/>
    <mergeCell ref="C26:E26"/>
    <mergeCell ref="C27:E27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4" manualBreakCount="4">
    <brk id="51" max="10" man="1"/>
    <brk id="102" max="10" man="1"/>
    <brk id="153" max="10" man="1"/>
    <brk id="204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5751-AF25-4981-8DF6-E36DA5368676}">
  <dimension ref="A1:W356"/>
  <sheetViews>
    <sheetView tabSelected="1" view="pageBreakPreview" topLeftCell="A302" zoomScaleNormal="100" workbookViewId="0">
      <selection activeCell="K356" sqref="A307:K356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7"/>
    </row>
    <row r="2" spans="1:23"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7"/>
    </row>
    <row r="3" spans="1:23">
      <c r="L3" s="37"/>
      <c r="M3" s="38"/>
      <c r="N3" s="38"/>
      <c r="O3" s="38"/>
      <c r="P3" s="38"/>
      <c r="Q3" s="38"/>
      <c r="R3" s="38"/>
      <c r="S3" s="38"/>
      <c r="T3" s="38"/>
      <c r="U3" s="38"/>
      <c r="V3" s="38"/>
      <c r="W3" s="37"/>
    </row>
    <row r="4" spans="1:23" ht="15.75">
      <c r="C4" s="2"/>
      <c r="D4" s="2"/>
      <c r="E4" s="2"/>
      <c r="F4" s="2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7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7"/>
    </row>
    <row r="6" spans="1:23">
      <c r="H6" s="5"/>
      <c r="I6" s="5"/>
      <c r="J6" s="5"/>
      <c r="K6" s="5"/>
      <c r="L6" s="37"/>
      <c r="M6" s="38"/>
      <c r="N6" s="38"/>
      <c r="O6" s="38"/>
      <c r="P6" s="38"/>
      <c r="Q6" s="38"/>
      <c r="R6" s="38"/>
      <c r="S6" s="38"/>
      <c r="T6" s="38"/>
      <c r="U6" s="38"/>
      <c r="V6" s="38"/>
      <c r="W6" s="37"/>
    </row>
    <row r="7" spans="1:23">
      <c r="H7" s="5"/>
      <c r="I7" s="5"/>
      <c r="J7" s="5"/>
      <c r="K7" s="5"/>
      <c r="L7" s="37"/>
      <c r="M7" s="38"/>
      <c r="N7" s="38"/>
      <c r="O7" s="38"/>
      <c r="P7" s="38"/>
      <c r="Q7" s="38"/>
      <c r="R7" s="38"/>
      <c r="S7" s="38"/>
      <c r="T7" s="38"/>
      <c r="U7" s="38"/>
      <c r="V7" s="38"/>
      <c r="W7" s="37"/>
    </row>
    <row r="8" spans="1:23" ht="15" customHeight="1">
      <c r="A8" s="73" t="s">
        <v>0</v>
      </c>
      <c r="B8" s="73"/>
      <c r="C8" s="74"/>
      <c r="D8" s="74"/>
      <c r="E8" s="74"/>
      <c r="F8" s="74"/>
      <c r="G8" s="74"/>
      <c r="H8" s="74"/>
      <c r="I8" s="74"/>
      <c r="J8" s="74"/>
      <c r="K8" s="74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7"/>
    </row>
    <row r="9" spans="1:23" ht="15" customHeight="1">
      <c r="A9" s="74" t="s">
        <v>72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7"/>
    </row>
    <row r="10" spans="1:23" ht="15" customHeight="1">
      <c r="A10" s="74" t="s">
        <v>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7"/>
    </row>
    <row r="11" spans="1:23" ht="15" customHeight="1">
      <c r="A11" s="74" t="s">
        <v>51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7"/>
    </row>
    <row r="12" spans="1:23" ht="15" customHeight="1">
      <c r="A12" s="74" t="s">
        <v>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7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7"/>
    </row>
    <row r="14" spans="1:23">
      <c r="A14" s="62" t="s">
        <v>3</v>
      </c>
      <c r="B14" s="10"/>
      <c r="C14" s="10"/>
      <c r="D14" s="63" t="s">
        <v>4</v>
      </c>
      <c r="E14" s="10" t="s">
        <v>5</v>
      </c>
      <c r="F14" s="11"/>
      <c r="G14" s="10"/>
      <c r="H14" s="12"/>
      <c r="I14" s="12"/>
      <c r="J14" s="12"/>
      <c r="K14" s="9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7"/>
    </row>
    <row r="15" spans="1:23">
      <c r="A15" s="62" t="s">
        <v>6</v>
      </c>
      <c r="B15" s="10"/>
      <c r="C15" s="10"/>
      <c r="D15" s="63" t="s">
        <v>4</v>
      </c>
      <c r="E15" s="10" t="s">
        <v>7</v>
      </c>
      <c r="F15" s="11"/>
      <c r="G15" s="10"/>
      <c r="H15" s="12"/>
      <c r="I15" s="12"/>
      <c r="J15" s="12"/>
      <c r="K15" s="9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7"/>
    </row>
    <row r="16" spans="1:23">
      <c r="A16" s="62" t="s">
        <v>8</v>
      </c>
      <c r="B16" s="10"/>
      <c r="C16" s="10"/>
      <c r="D16" s="63" t="s">
        <v>4</v>
      </c>
      <c r="E16" s="13">
        <v>2026</v>
      </c>
      <c r="F16" s="11"/>
      <c r="G16" s="13"/>
      <c r="H16" s="12"/>
      <c r="I16" s="12"/>
      <c r="J16" s="12"/>
      <c r="K16" s="9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</row>
    <row r="17" spans="1:23">
      <c r="A17" s="62" t="s">
        <v>9</v>
      </c>
      <c r="B17" s="10"/>
      <c r="C17" s="10"/>
      <c r="D17" s="63" t="s">
        <v>4</v>
      </c>
      <c r="E17" s="14">
        <f>J33</f>
        <v>9482640</v>
      </c>
      <c r="F17" s="11"/>
      <c r="G17" s="14"/>
      <c r="H17" s="12"/>
      <c r="I17" s="12"/>
      <c r="J17" s="12"/>
      <c r="K17" s="9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7"/>
    </row>
    <row r="18" spans="1:23" ht="15.75">
      <c r="A18" s="10"/>
      <c r="B18" s="10"/>
      <c r="C18" s="15" t="s">
        <v>10</v>
      </c>
      <c r="D18" s="63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Empat Ratus Delapan Puluh Dua Ribu Enam Ratus Empat Puluh Rupiah</v>
      </c>
      <c r="F18" s="11"/>
      <c r="G18" s="16"/>
      <c r="H18" s="12"/>
      <c r="I18" s="12"/>
      <c r="J18" s="12"/>
      <c r="K18" s="9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7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7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7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7"/>
    </row>
    <row r="21" spans="1:23">
      <c r="A21" s="75" t="s">
        <v>12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37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7"/>
    </row>
    <row r="22" spans="1:23" ht="61.5" customHeight="1">
      <c r="A22" s="17" t="s">
        <v>13</v>
      </c>
      <c r="B22" s="18" t="s">
        <v>14</v>
      </c>
      <c r="C22" s="76" t="s">
        <v>15</v>
      </c>
      <c r="D22" s="77"/>
      <c r="E22" s="78"/>
      <c r="F22" s="19"/>
      <c r="G22" s="20" t="s">
        <v>16</v>
      </c>
      <c r="H22" s="21" t="s">
        <v>41</v>
      </c>
      <c r="I22" s="21"/>
      <c r="J22" s="39" t="s">
        <v>17</v>
      </c>
      <c r="K22" s="40" t="s">
        <v>18</v>
      </c>
      <c r="L22" s="37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7"/>
    </row>
    <row r="23" spans="1:23" ht="15.75" customHeight="1">
      <c r="A23" s="22">
        <v>1</v>
      </c>
      <c r="B23" s="25"/>
      <c r="C23" s="29" t="s">
        <v>23</v>
      </c>
      <c r="D23" s="67"/>
      <c r="E23" s="26"/>
      <c r="F23" s="23"/>
      <c r="G23" s="64" t="s">
        <v>19</v>
      </c>
      <c r="H23" s="64" t="s">
        <v>19</v>
      </c>
      <c r="I23" s="64"/>
      <c r="J23" s="64" t="s">
        <v>19</v>
      </c>
      <c r="K23" s="64" t="s">
        <v>19</v>
      </c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7"/>
    </row>
    <row r="24" spans="1:23" ht="15.75" customHeight="1">
      <c r="A24" s="25"/>
      <c r="B24" s="65" t="s">
        <v>20</v>
      </c>
      <c r="C24" s="70" t="s">
        <v>24</v>
      </c>
      <c r="D24" s="71"/>
      <c r="E24" s="72"/>
      <c r="F24" s="23"/>
      <c r="G24" s="24">
        <v>300000000</v>
      </c>
      <c r="H24" s="27">
        <f>FEBRUARI!H177+FEBRUARI!J177</f>
        <v>43386364</v>
      </c>
      <c r="I24" s="27"/>
      <c r="J24" s="27">
        <v>0</v>
      </c>
      <c r="K24" s="41">
        <f t="shared" ref="K24:K32" si="0">G24-H24-J24</f>
        <v>256613636</v>
      </c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7"/>
    </row>
    <row r="25" spans="1:23">
      <c r="A25" s="25"/>
      <c r="B25" s="65" t="s">
        <v>21</v>
      </c>
      <c r="C25" s="70" t="s">
        <v>25</v>
      </c>
      <c r="D25" s="71"/>
      <c r="E25" s="72"/>
      <c r="F25" s="23"/>
      <c r="G25" s="28">
        <v>15000000</v>
      </c>
      <c r="H25" s="27">
        <f>FEBRUARI!H178+FEBRUARI!J178</f>
        <v>2000000</v>
      </c>
      <c r="I25" s="27"/>
      <c r="J25" s="27">
        <v>0</v>
      </c>
      <c r="K25" s="41">
        <f t="shared" si="0"/>
        <v>13000000</v>
      </c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7"/>
    </row>
    <row r="26" spans="1:23">
      <c r="A26" s="25"/>
      <c r="B26" s="65" t="s">
        <v>22</v>
      </c>
      <c r="C26" s="79" t="s">
        <v>26</v>
      </c>
      <c r="D26" s="80"/>
      <c r="E26" s="81"/>
      <c r="F26" s="23"/>
      <c r="G26" s="24">
        <v>115048000</v>
      </c>
      <c r="H26" s="27">
        <f>FEBRUARI!H179+FEBRUARI!J179</f>
        <v>16780000</v>
      </c>
      <c r="I26" s="27"/>
      <c r="J26" s="27">
        <v>0</v>
      </c>
      <c r="K26" s="41">
        <f t="shared" si="0"/>
        <v>98268000</v>
      </c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7"/>
    </row>
    <row r="27" spans="1:23" ht="15" customHeight="1">
      <c r="A27" s="25"/>
      <c r="B27" s="65" t="s">
        <v>43</v>
      </c>
      <c r="C27" s="70" t="s">
        <v>27</v>
      </c>
      <c r="D27" s="71"/>
      <c r="E27" s="72"/>
      <c r="F27" s="23"/>
      <c r="G27" s="24">
        <v>171988668</v>
      </c>
      <c r="H27" s="27">
        <f>FEBRUARI!H180+FEBRUARI!J180</f>
        <v>27010000</v>
      </c>
      <c r="I27" s="27"/>
      <c r="J27" s="27">
        <v>0</v>
      </c>
      <c r="K27" s="41">
        <f t="shared" si="0"/>
        <v>144978668</v>
      </c>
      <c r="L27" s="37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7"/>
    </row>
    <row r="28" spans="1:23" ht="15" customHeight="1">
      <c r="A28" s="25"/>
      <c r="B28" s="65" t="s">
        <v>44</v>
      </c>
      <c r="C28" s="70" t="s">
        <v>28</v>
      </c>
      <c r="D28" s="71"/>
      <c r="E28" s="72"/>
      <c r="F28" s="23"/>
      <c r="G28" s="24">
        <v>92440133</v>
      </c>
      <c r="H28" s="27">
        <f>FEBRUARI!H181+FEBRUARI!J181</f>
        <v>17965280</v>
      </c>
      <c r="I28" s="27"/>
      <c r="J28" s="27">
        <v>9482640</v>
      </c>
      <c r="K28" s="41">
        <f t="shared" si="0"/>
        <v>64992213</v>
      </c>
      <c r="L28" s="37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7"/>
    </row>
    <row r="29" spans="1:23" ht="15" customHeight="1">
      <c r="A29" s="25"/>
      <c r="B29" s="65" t="s">
        <v>45</v>
      </c>
      <c r="C29" s="70" t="s">
        <v>42</v>
      </c>
      <c r="D29" s="71"/>
      <c r="E29" s="72"/>
      <c r="F29" s="23"/>
      <c r="G29" s="24">
        <v>64388964</v>
      </c>
      <c r="H29" s="27">
        <f>FEBRUARI!H182+FEBRUARI!J182</f>
        <v>9394068</v>
      </c>
      <c r="I29" s="27"/>
      <c r="J29" s="27">
        <v>0</v>
      </c>
      <c r="K29" s="41">
        <f t="shared" si="0"/>
        <v>54994896</v>
      </c>
      <c r="L29" s="37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7"/>
    </row>
    <row r="30" spans="1:23">
      <c r="A30" s="30"/>
      <c r="B30" s="66" t="s">
        <v>46</v>
      </c>
      <c r="C30" s="82" t="s">
        <v>29</v>
      </c>
      <c r="D30" s="83"/>
      <c r="E30" s="84"/>
      <c r="F30" s="31"/>
      <c r="G30" s="24">
        <v>214466910</v>
      </c>
      <c r="H30" s="27">
        <f>FEBRUARI!H183+FEBRUARI!J183</f>
        <v>0</v>
      </c>
      <c r="I30" s="27"/>
      <c r="J30" s="27">
        <v>0</v>
      </c>
      <c r="K30" s="41">
        <f t="shared" si="0"/>
        <v>214466910</v>
      </c>
      <c r="L30" s="37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7"/>
    </row>
    <row r="31" spans="1:23">
      <c r="A31" s="30"/>
      <c r="B31" s="66" t="s">
        <v>47</v>
      </c>
      <c r="C31" s="32" t="s">
        <v>30</v>
      </c>
      <c r="D31" s="33"/>
      <c r="E31" s="34"/>
      <c r="F31" s="31"/>
      <c r="G31" s="24">
        <v>25000000</v>
      </c>
      <c r="H31" s="27">
        <f>FEBRUARI!H184+FEBRUARI!J184</f>
        <v>3850000</v>
      </c>
      <c r="I31" s="27"/>
      <c r="J31" s="27">
        <v>0</v>
      </c>
      <c r="K31" s="41">
        <f t="shared" si="0"/>
        <v>21150000</v>
      </c>
      <c r="L31" s="37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7"/>
    </row>
    <row r="32" spans="1:23">
      <c r="A32" s="35"/>
      <c r="B32" s="66" t="s">
        <v>48</v>
      </c>
      <c r="C32" s="68" t="s">
        <v>49</v>
      </c>
      <c r="D32" s="10"/>
      <c r="E32" s="36"/>
      <c r="F32" s="31"/>
      <c r="G32" s="24">
        <v>178488817</v>
      </c>
      <c r="H32" s="27">
        <f>FEBRUARI!H185+FEBRUARI!J185</f>
        <v>0</v>
      </c>
      <c r="I32" s="27"/>
      <c r="J32" s="42">
        <v>0</v>
      </c>
      <c r="K32" s="43">
        <f t="shared" si="0"/>
        <v>178488817</v>
      </c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7"/>
    </row>
    <row r="33" spans="1:23">
      <c r="A33" s="44"/>
      <c r="B33" s="44"/>
      <c r="C33" s="44" t="s">
        <v>31</v>
      </c>
      <c r="D33" s="44"/>
      <c r="E33" s="44"/>
      <c r="F33" s="45"/>
      <c r="G33" s="46">
        <f>SUM(G23:G32)</f>
        <v>1176821492</v>
      </c>
      <c r="H33" s="47">
        <f>SUM(H23:H32)</f>
        <v>120385712</v>
      </c>
      <c r="I33" s="47"/>
      <c r="J33" s="47">
        <f>SUM(J23:J32)</f>
        <v>9482640</v>
      </c>
      <c r="K33" s="47">
        <f>SUM(K23:K32)</f>
        <v>1046953140</v>
      </c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7"/>
    </row>
    <row r="34" spans="1:23">
      <c r="A34" s="48"/>
      <c r="B34" s="8"/>
      <c r="C34" s="8"/>
      <c r="D34" s="8"/>
      <c r="E34" s="8"/>
      <c r="F34" s="8"/>
      <c r="G34" s="49"/>
      <c r="H34" s="49"/>
      <c r="I34" s="49"/>
      <c r="J34" s="49"/>
      <c r="K34" s="49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7"/>
    </row>
    <row r="35" spans="1:23">
      <c r="A35" s="85" t="s">
        <v>32</v>
      </c>
      <c r="B35" s="85"/>
      <c r="C35" s="85"/>
      <c r="D35" s="11" t="s">
        <v>4</v>
      </c>
      <c r="E35" s="14">
        <f>J33</f>
        <v>9482640</v>
      </c>
      <c r="F35" s="50"/>
      <c r="G35" s="51"/>
      <c r="H35" s="51"/>
      <c r="I35" s="51"/>
      <c r="J35" s="9"/>
      <c r="K35" s="9"/>
      <c r="L35" s="37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7"/>
    </row>
    <row r="36" spans="1:23">
      <c r="A36" s="10" t="s">
        <v>33</v>
      </c>
      <c r="B36" s="10"/>
      <c r="C36" s="10"/>
      <c r="D36" s="11" t="s">
        <v>4</v>
      </c>
      <c r="E36" s="52"/>
      <c r="F36" s="52"/>
      <c r="G36" s="53"/>
      <c r="H36" s="12"/>
      <c r="I36" s="12"/>
      <c r="J36" s="9"/>
      <c r="K36" s="9"/>
      <c r="L36" s="37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7"/>
    </row>
    <row r="37" spans="1:23">
      <c r="A37" s="10" t="s">
        <v>34</v>
      </c>
      <c r="B37" s="10"/>
      <c r="C37" s="10"/>
      <c r="D37" s="11" t="s">
        <v>4</v>
      </c>
      <c r="E37" s="54"/>
      <c r="F37" s="54"/>
      <c r="G37" s="53"/>
      <c r="H37" s="12"/>
      <c r="I37" s="12"/>
      <c r="J37" s="9"/>
      <c r="K37" s="9"/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7"/>
    </row>
    <row r="38" spans="1:23">
      <c r="A38" s="10" t="s">
        <v>35</v>
      </c>
      <c r="B38" s="10"/>
      <c r="C38" s="10"/>
      <c r="D38" s="11" t="s">
        <v>4</v>
      </c>
      <c r="E38" s="54">
        <f>E36+E37</f>
        <v>0</v>
      </c>
      <c r="F38" s="54"/>
      <c r="G38" s="10"/>
      <c r="H38" s="12"/>
      <c r="I38" s="12"/>
      <c r="J38" s="56"/>
      <c r="K38" s="56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7"/>
    </row>
    <row r="39" spans="1:23">
      <c r="A39" s="13"/>
      <c r="B39" s="13"/>
      <c r="C39" s="13"/>
      <c r="D39" s="11"/>
      <c r="E39" s="13"/>
      <c r="F39" s="13"/>
      <c r="G39" s="10"/>
      <c r="H39" s="12"/>
      <c r="I39" s="12"/>
      <c r="J39" s="56"/>
      <c r="K39" s="56"/>
      <c r="L39" s="37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7"/>
    </row>
    <row r="40" spans="1:23">
      <c r="A40" s="85" t="s">
        <v>36</v>
      </c>
      <c r="B40" s="85"/>
      <c r="C40" s="85"/>
      <c r="D40" s="11" t="s">
        <v>4</v>
      </c>
      <c r="E40" s="50">
        <f>E35-E38</f>
        <v>9482640</v>
      </c>
      <c r="F40" s="50"/>
      <c r="G40" s="10"/>
      <c r="H40" s="12"/>
      <c r="I40" s="12"/>
      <c r="J40" s="56"/>
      <c r="K40" s="56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7"/>
    </row>
    <row r="41" spans="1:23" ht="15.75">
      <c r="A41" s="13"/>
      <c r="B41" s="13"/>
      <c r="C41" s="10"/>
      <c r="D41" s="10"/>
      <c r="E41" s="16" t="str">
        <f>PROPER(IF(E40=0,"nol",IF(E40&lt;0,"minus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40),"000000000000000"),1,3)=0,"",MID(TEXT(ABS(E40),"000000000000000"),1,1)&amp;" ratus "&amp;MID(TEXT(ABS(E40),"000000000000000"),2,1)&amp;" puluh "&amp;MID(TEXT(ABS(E40),"000000000000000"),3,1)&amp;" trilyun ")&amp;IF(--MID(TEXT(ABS(E40),"000000000000000"),4,3)=0,"",MID(TEXT(ABS(E40),"000000000000000"),4,1)&amp;" ratus "&amp;MID(TEXT(ABS(E40),"000000000000000"),5,1)&amp;" puluh "&amp;MID(TEXT(ABS(E40),"000000000000000"),6,1)&amp;" milyar ")&amp;IF(--MID(TEXT(ABS(E40),"000000000000000"),7,3)=0,"",MID(TEXT(ABS(E40),"000000000000000"),7,1)&amp;" ratus "&amp;MID(TEXT(ABS(E40),"000000000000000"),8,1)&amp;" puluh "&amp;MID(TEXT(ABS(E40),"000000000000000"),9,1)&amp;" juta ")&amp;IF(--MID(TEXT(ABS(E40),"000000000000000"),10,3)=0,"",IF(--MID(TEXT(ABS(E40),"000000000000000"),10,3)=1,"*",MID(TEXT(ABS(E40),"000000000000000"),10,1)&amp;" ratus "&amp;MID(TEXT(ABS(E40),"000000000000000"),11,1)&amp;" puluh ")&amp;MID(TEXT(ABS(E40),"000000000000000"),12,1)&amp;" ribu ")&amp;IF(--MID(TEXT(ABS(E40),"000000000000000"),13,3)=0,"",MID(TEXT(ABS(E40),"000000000000000"),13,1)&amp;" ratus "&amp;MID(TEXT(ABS(E40),"000000000000000"),14,1)&amp;" puluh "&amp;MID(TEXT(ABS(E40),"000000000000000"),15,1)),1,"satu"),2,"dua"),3,"tiga"),4,"empat"),5,"lima"),6,"enam"),7,"tujuh"),8,"delapan"),9,"sembilan"),"0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Empat Ratus Delapan Puluh Dua Ribu Enam Ratus Empat Puluh Rupiah</v>
      </c>
      <c r="F41" s="10"/>
      <c r="G41" s="10"/>
      <c r="H41" s="10"/>
      <c r="I41" s="10"/>
      <c r="J41" s="56"/>
      <c r="K41" s="56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7"/>
    </row>
    <row r="42" spans="1:23">
      <c r="A42" s="55"/>
      <c r="B42" s="55"/>
      <c r="C42" s="55"/>
      <c r="D42" s="55"/>
      <c r="E42" s="55"/>
      <c r="F42" s="55"/>
      <c r="G42" s="37"/>
      <c r="H42" s="56"/>
      <c r="I42" s="56"/>
      <c r="J42" s="56"/>
      <c r="K42" s="56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7"/>
    </row>
    <row r="43" spans="1:23">
      <c r="A43" s="37"/>
      <c r="B43" s="37"/>
      <c r="C43" s="37"/>
      <c r="D43" s="37"/>
      <c r="E43" s="37"/>
      <c r="F43" s="37"/>
      <c r="G43" s="37"/>
      <c r="H43"/>
      <c r="I43"/>
      <c r="J43" s="56"/>
      <c r="K43" s="56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7"/>
    </row>
    <row r="44" spans="1:23">
      <c r="A44" s="13"/>
      <c r="B44" s="13"/>
      <c r="C44" s="10"/>
      <c r="D44" s="10"/>
      <c r="E44" s="10"/>
      <c r="F44" s="10"/>
      <c r="G44" s="10"/>
      <c r="I44" s="57"/>
      <c r="J44" s="57" t="s">
        <v>73</v>
      </c>
      <c r="K44" s="56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7"/>
    </row>
    <row r="45" spans="1:23">
      <c r="A45" s="12" t="s">
        <v>37</v>
      </c>
      <c r="B45" s="10"/>
      <c r="C45" s="10"/>
      <c r="D45" s="10"/>
      <c r="E45" s="10"/>
      <c r="F45" s="10"/>
      <c r="G45" s="10"/>
      <c r="I45" s="12"/>
      <c r="J45" s="12" t="s">
        <v>38</v>
      </c>
      <c r="K45" s="56"/>
      <c r="L45" s="37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7"/>
    </row>
    <row r="46" spans="1:23">
      <c r="A46" s="10"/>
      <c r="B46" s="10"/>
      <c r="C46" s="10"/>
      <c r="D46" s="10"/>
      <c r="E46" s="10"/>
      <c r="F46" s="10"/>
      <c r="G46" s="10"/>
      <c r="I46" s="12"/>
      <c r="J46" s="12"/>
      <c r="K46" s="56"/>
      <c r="L46" s="37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7"/>
    </row>
    <row r="47" spans="1:23">
      <c r="A47" s="10"/>
      <c r="B47" s="10"/>
      <c r="C47" s="10"/>
      <c r="D47" s="10"/>
      <c r="E47" s="10"/>
      <c r="F47" s="10"/>
      <c r="G47" s="10"/>
      <c r="I47" s="12"/>
      <c r="J47" s="12"/>
      <c r="K47" s="56"/>
      <c r="L47" s="37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7"/>
    </row>
    <row r="48" spans="1:23">
      <c r="A48" s="10"/>
      <c r="B48" s="10"/>
      <c r="C48" s="10"/>
      <c r="D48" s="10"/>
      <c r="E48" s="10"/>
      <c r="F48" s="10"/>
      <c r="G48" s="10"/>
      <c r="I48" s="12"/>
      <c r="J48" s="12"/>
      <c r="K48" s="56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7"/>
    </row>
    <row r="49" spans="1:23">
      <c r="A49" s="10"/>
      <c r="B49" s="10"/>
      <c r="C49" s="10"/>
      <c r="D49" s="10"/>
      <c r="E49" s="10"/>
      <c r="F49" s="10"/>
      <c r="G49" s="10"/>
      <c r="I49" s="12"/>
      <c r="J49" s="12"/>
      <c r="K49" s="56"/>
      <c r="L49" s="3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7"/>
    </row>
    <row r="50" spans="1:23">
      <c r="A50" s="69" t="s">
        <v>50</v>
      </c>
      <c r="B50" s="58"/>
      <c r="C50" s="59"/>
      <c r="D50" s="59"/>
      <c r="E50" s="59"/>
      <c r="F50" s="59"/>
      <c r="G50" s="10" t="s">
        <v>39</v>
      </c>
      <c r="I50" s="58"/>
      <c r="J50" s="58" t="s">
        <v>40</v>
      </c>
      <c r="K50" s="56"/>
      <c r="L50" s="3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7"/>
    </row>
    <row r="51" spans="1:23">
      <c r="A51" s="60"/>
      <c r="B51" s="60"/>
      <c r="C51" s="61"/>
      <c r="D51" s="61"/>
      <c r="E51" s="61"/>
      <c r="F51" s="61"/>
      <c r="G51" s="61"/>
      <c r="H51" s="60"/>
      <c r="I51" s="60"/>
      <c r="J51" s="60"/>
      <c r="K51" s="56"/>
      <c r="L51" s="37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7"/>
    </row>
    <row r="55" spans="1:23" ht="15.75">
      <c r="C55" s="2"/>
      <c r="D55" s="2"/>
      <c r="E55" s="2"/>
      <c r="F55" s="2"/>
    </row>
    <row r="56" spans="1:23" ht="15.75">
      <c r="A56" s="3"/>
      <c r="B56" s="3"/>
      <c r="C56" s="2"/>
      <c r="D56" s="2"/>
      <c r="E56" s="2"/>
      <c r="F56" s="2"/>
      <c r="G56" s="3"/>
      <c r="H56" s="4"/>
      <c r="I56" s="4"/>
      <c r="J56" s="4"/>
      <c r="K56" s="5"/>
    </row>
    <row r="57" spans="1:23">
      <c r="H57" s="5"/>
      <c r="I57" s="5"/>
      <c r="J57" s="5"/>
      <c r="K57" s="5"/>
    </row>
    <row r="58" spans="1:23">
      <c r="H58" s="5"/>
      <c r="I58" s="5"/>
      <c r="J58" s="5"/>
      <c r="K58" s="5"/>
    </row>
    <row r="59" spans="1:23">
      <c r="A59" s="73" t="s">
        <v>0</v>
      </c>
      <c r="B59" s="73"/>
      <c r="C59" s="74"/>
      <c r="D59" s="74"/>
      <c r="E59" s="74"/>
      <c r="F59" s="74"/>
      <c r="G59" s="74"/>
      <c r="H59" s="74"/>
      <c r="I59" s="74"/>
      <c r="J59" s="74"/>
      <c r="K59" s="74"/>
    </row>
    <row r="60" spans="1:23">
      <c r="A60" s="74" t="s">
        <v>74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</row>
    <row r="61" spans="1:23">
      <c r="A61" s="74" t="s">
        <v>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spans="1:23">
      <c r="A62" s="74" t="s">
        <v>51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</row>
    <row r="63" spans="1:23">
      <c r="A63" s="74" t="s">
        <v>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</row>
    <row r="64" spans="1:23">
      <c r="A64" s="6"/>
      <c r="B64" s="6"/>
      <c r="C64" s="7"/>
      <c r="D64" s="7"/>
      <c r="E64" s="7"/>
      <c r="F64" s="7"/>
      <c r="G64" s="8"/>
      <c r="H64" s="9"/>
      <c r="I64" s="9"/>
      <c r="J64" s="9"/>
      <c r="K64" s="9"/>
    </row>
    <row r="65" spans="1:11">
      <c r="A65" s="62" t="s">
        <v>3</v>
      </c>
      <c r="B65" s="10"/>
      <c r="C65" s="10"/>
      <c r="D65" s="63" t="s">
        <v>4</v>
      </c>
      <c r="E65" s="10" t="s">
        <v>5</v>
      </c>
      <c r="F65" s="11"/>
      <c r="G65" s="10"/>
      <c r="H65" s="12"/>
      <c r="I65" s="12"/>
      <c r="J65" s="12"/>
      <c r="K65" s="9"/>
    </row>
    <row r="66" spans="1:11">
      <c r="A66" s="62" t="s">
        <v>6</v>
      </c>
      <c r="B66" s="10"/>
      <c r="C66" s="10"/>
      <c r="D66" s="63" t="s">
        <v>4</v>
      </c>
      <c r="E66" s="10" t="s">
        <v>7</v>
      </c>
      <c r="F66" s="11"/>
      <c r="G66" s="10"/>
      <c r="H66" s="12"/>
      <c r="I66" s="12"/>
      <c r="J66" s="12"/>
      <c r="K66" s="9"/>
    </row>
    <row r="67" spans="1:11">
      <c r="A67" s="62" t="s">
        <v>8</v>
      </c>
      <c r="B67" s="10"/>
      <c r="C67" s="10"/>
      <c r="D67" s="63" t="s">
        <v>4</v>
      </c>
      <c r="E67" s="13">
        <v>2026</v>
      </c>
      <c r="F67" s="11"/>
      <c r="G67" s="13"/>
      <c r="H67" s="12"/>
      <c r="I67" s="12"/>
      <c r="J67" s="12"/>
      <c r="K67" s="9"/>
    </row>
    <row r="68" spans="1:11">
      <c r="A68" s="62" t="s">
        <v>9</v>
      </c>
      <c r="B68" s="10"/>
      <c r="C68" s="10"/>
      <c r="D68" s="63" t="s">
        <v>4</v>
      </c>
      <c r="E68" s="14">
        <f>J84</f>
        <v>970455</v>
      </c>
      <c r="F68" s="11"/>
      <c r="G68" s="14"/>
      <c r="H68" s="12"/>
      <c r="I68" s="12"/>
      <c r="J68" s="12"/>
      <c r="K68" s="9"/>
    </row>
    <row r="69" spans="1:11" ht="15.75">
      <c r="A69" s="10"/>
      <c r="B69" s="10"/>
      <c r="C69" s="15" t="s">
        <v>10</v>
      </c>
      <c r="D69" s="63" t="s">
        <v>4</v>
      </c>
      <c r="E69" s="16" t="str">
        <f>PROPER(IF(E68=0,"nol",IF(E68&lt;0,"minus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68),"000000000000000"),1,3)=0,"",MID(TEXT(ABS(E68),"000000000000000"),1,1)&amp;" ratus "&amp;MID(TEXT(ABS(E68),"000000000000000"),2,1)&amp;" puluh "&amp;MID(TEXT(ABS(E68),"000000000000000"),3,1)&amp;" trilyun ")&amp;IF(--MID(TEXT(ABS(E68),"000000000000000"),4,3)=0,"",MID(TEXT(ABS(E68),"000000000000000"),4,1)&amp;" ratus "&amp;MID(TEXT(ABS(E68),"000000000000000"),5,1)&amp;" puluh "&amp;MID(TEXT(ABS(E68),"000000000000000"),6,1)&amp;" milyar ")&amp;IF(--MID(TEXT(ABS(E68),"000000000000000"),7,3)=0,"",MID(TEXT(ABS(E68),"000000000000000"),7,1)&amp;" ratus "&amp;MID(TEXT(ABS(E68),"000000000000000"),8,1)&amp;" puluh "&amp;MID(TEXT(ABS(E68),"000000000000000"),9,1)&amp;" juta ")&amp;IF(--MID(TEXT(ABS(E68),"000000000000000"),10,3)=0,"",IF(--MID(TEXT(ABS(E68),"000000000000000"),10,3)=1,"*",MID(TEXT(ABS(E68),"000000000000000"),10,1)&amp;" ratus "&amp;MID(TEXT(ABS(E68),"000000000000000"),11,1)&amp;" puluh ")&amp;MID(TEXT(ABS(E68),"000000000000000"),12,1)&amp;" ribu ")&amp;IF(--MID(TEXT(ABS(E68),"000000000000000"),13,3)=0,"",MID(TEXT(ABS(E68),"000000000000000"),13,1)&amp;" ratus "&amp;MID(TEXT(ABS(E68),"000000000000000"),14,1)&amp;" puluh "&amp;MID(TEXT(ABS(E68),"000000000000000"),15,1)),1,"satu"),2,"dua"),3,"tiga"),4,"empat"),5,"lima"),6,"enam"),7,"tujuh"),8,"delapan"),9,"sembilan"),"0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Tujuh Puluh Ribu Empat Ratus Lima Puluh Lima Rupiah</v>
      </c>
      <c r="F69" s="11"/>
      <c r="G69" s="16"/>
      <c r="H69" s="12"/>
      <c r="I69" s="12"/>
      <c r="J69" s="12"/>
      <c r="K69" s="9"/>
    </row>
    <row r="70" spans="1:11" ht="15.75">
      <c r="A70" s="10"/>
      <c r="B70" s="10"/>
      <c r="C70" s="15"/>
      <c r="D70" s="15"/>
      <c r="E70" s="15"/>
      <c r="F70" s="11"/>
      <c r="G70" s="16"/>
      <c r="H70" s="12"/>
      <c r="I70" s="12"/>
      <c r="J70" s="12"/>
      <c r="K70" s="9"/>
    </row>
    <row r="71" spans="1:11">
      <c r="A71" s="10" t="s">
        <v>11</v>
      </c>
      <c r="B71" s="10"/>
      <c r="C71" s="10"/>
      <c r="D71" s="10"/>
      <c r="E71" s="10"/>
      <c r="F71" s="10"/>
      <c r="G71" s="10"/>
      <c r="H71" s="12"/>
      <c r="I71" s="12"/>
      <c r="J71" s="12"/>
      <c r="K71" s="9"/>
    </row>
    <row r="72" spans="1:11">
      <c r="A72" s="75" t="s">
        <v>12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spans="1:11" ht="60">
      <c r="A73" s="17" t="s">
        <v>13</v>
      </c>
      <c r="B73" s="18" t="s">
        <v>14</v>
      </c>
      <c r="C73" s="76" t="s">
        <v>15</v>
      </c>
      <c r="D73" s="77"/>
      <c r="E73" s="78"/>
      <c r="F73" s="19"/>
      <c r="G73" s="20" t="s">
        <v>16</v>
      </c>
      <c r="H73" s="21" t="s">
        <v>41</v>
      </c>
      <c r="I73" s="21"/>
      <c r="J73" s="39" t="s">
        <v>17</v>
      </c>
      <c r="K73" s="40" t="s">
        <v>18</v>
      </c>
    </row>
    <row r="74" spans="1:11">
      <c r="A74" s="22">
        <v>1</v>
      </c>
      <c r="B74" s="25"/>
      <c r="C74" s="29" t="s">
        <v>23</v>
      </c>
      <c r="D74" s="67"/>
      <c r="E74" s="26"/>
      <c r="F74" s="23"/>
      <c r="G74" s="64" t="s">
        <v>19</v>
      </c>
      <c r="H74" s="64" t="s">
        <v>19</v>
      </c>
      <c r="I74" s="64"/>
      <c r="J74" s="64" t="s">
        <v>19</v>
      </c>
      <c r="K74" s="64" t="s">
        <v>19</v>
      </c>
    </row>
    <row r="75" spans="1:11">
      <c r="A75" s="25"/>
      <c r="B75" s="65" t="s">
        <v>20</v>
      </c>
      <c r="C75" s="70" t="s">
        <v>24</v>
      </c>
      <c r="D75" s="71"/>
      <c r="E75" s="72"/>
      <c r="F75" s="23"/>
      <c r="G75" s="24">
        <v>300000000</v>
      </c>
      <c r="H75" s="27">
        <f>H24+J24</f>
        <v>43386364</v>
      </c>
      <c r="I75" s="27"/>
      <c r="J75" s="27">
        <v>795455</v>
      </c>
      <c r="K75" s="41">
        <f t="shared" ref="K75:K83" si="1">G75-H75-J75</f>
        <v>255818181</v>
      </c>
    </row>
    <row r="76" spans="1:11">
      <c r="A76" s="25"/>
      <c r="B76" s="65" t="s">
        <v>21</v>
      </c>
      <c r="C76" s="70" t="s">
        <v>25</v>
      </c>
      <c r="D76" s="71"/>
      <c r="E76" s="72"/>
      <c r="F76" s="23"/>
      <c r="G76" s="28">
        <v>15000000</v>
      </c>
      <c r="H76" s="27">
        <f t="shared" ref="H76:H83" si="2">H25+J25</f>
        <v>2000000</v>
      </c>
      <c r="I76" s="27"/>
      <c r="J76" s="27">
        <v>0</v>
      </c>
      <c r="K76" s="41">
        <f t="shared" si="1"/>
        <v>13000000</v>
      </c>
    </row>
    <row r="77" spans="1:11">
      <c r="A77" s="25"/>
      <c r="B77" s="65" t="s">
        <v>22</v>
      </c>
      <c r="C77" s="79" t="s">
        <v>26</v>
      </c>
      <c r="D77" s="80"/>
      <c r="E77" s="81"/>
      <c r="F77" s="23"/>
      <c r="G77" s="24">
        <v>115048000</v>
      </c>
      <c r="H77" s="27">
        <f t="shared" si="2"/>
        <v>16780000</v>
      </c>
      <c r="I77" s="27"/>
      <c r="J77" s="27">
        <v>70000</v>
      </c>
      <c r="K77" s="41">
        <f t="shared" si="1"/>
        <v>98198000</v>
      </c>
    </row>
    <row r="78" spans="1:11">
      <c r="A78" s="25"/>
      <c r="B78" s="65" t="s">
        <v>43</v>
      </c>
      <c r="C78" s="70" t="s">
        <v>27</v>
      </c>
      <c r="D78" s="71"/>
      <c r="E78" s="72"/>
      <c r="F78" s="23"/>
      <c r="G78" s="24">
        <v>171988668</v>
      </c>
      <c r="H78" s="27">
        <f t="shared" si="2"/>
        <v>27010000</v>
      </c>
      <c r="I78" s="27"/>
      <c r="J78" s="27">
        <v>105000</v>
      </c>
      <c r="K78" s="41">
        <f t="shared" si="1"/>
        <v>144873668</v>
      </c>
    </row>
    <row r="79" spans="1:11">
      <c r="A79" s="25"/>
      <c r="B79" s="65" t="s">
        <v>44</v>
      </c>
      <c r="C79" s="70" t="s">
        <v>28</v>
      </c>
      <c r="D79" s="71"/>
      <c r="E79" s="72"/>
      <c r="F79" s="23"/>
      <c r="G79" s="24">
        <v>92440133</v>
      </c>
      <c r="H79" s="27">
        <f>H28+J28</f>
        <v>27447920</v>
      </c>
      <c r="I79" s="27"/>
      <c r="J79" s="27">
        <v>0</v>
      </c>
      <c r="K79" s="41">
        <f t="shared" si="1"/>
        <v>64992213</v>
      </c>
    </row>
    <row r="80" spans="1:11">
      <c r="A80" s="25"/>
      <c r="B80" s="65" t="s">
        <v>45</v>
      </c>
      <c r="C80" s="70" t="s">
        <v>42</v>
      </c>
      <c r="D80" s="71"/>
      <c r="E80" s="72"/>
      <c r="F80" s="23"/>
      <c r="G80" s="24">
        <v>64388964</v>
      </c>
      <c r="H80" s="27">
        <f t="shared" si="2"/>
        <v>9394068</v>
      </c>
      <c r="I80" s="27"/>
      <c r="J80" s="27">
        <v>0</v>
      </c>
      <c r="K80" s="41">
        <f t="shared" si="1"/>
        <v>54994896</v>
      </c>
    </row>
    <row r="81" spans="1:11">
      <c r="A81" s="30"/>
      <c r="B81" s="66" t="s">
        <v>46</v>
      </c>
      <c r="C81" s="82" t="s">
        <v>29</v>
      </c>
      <c r="D81" s="83"/>
      <c r="E81" s="84"/>
      <c r="F81" s="31"/>
      <c r="G81" s="24">
        <v>214466910</v>
      </c>
      <c r="H81" s="27">
        <f t="shared" si="2"/>
        <v>0</v>
      </c>
      <c r="I81" s="27"/>
      <c r="J81" s="27">
        <v>0</v>
      </c>
      <c r="K81" s="41">
        <f t="shared" si="1"/>
        <v>214466910</v>
      </c>
    </row>
    <row r="82" spans="1:11">
      <c r="A82" s="30"/>
      <c r="B82" s="66" t="s">
        <v>47</v>
      </c>
      <c r="C82" s="32" t="s">
        <v>30</v>
      </c>
      <c r="D82" s="33"/>
      <c r="E82" s="34"/>
      <c r="F82" s="31"/>
      <c r="G82" s="24">
        <v>25000000</v>
      </c>
      <c r="H82" s="27">
        <f t="shared" si="2"/>
        <v>3850000</v>
      </c>
      <c r="I82" s="27"/>
      <c r="J82" s="27">
        <v>0</v>
      </c>
      <c r="K82" s="41">
        <f t="shared" si="1"/>
        <v>21150000</v>
      </c>
    </row>
    <row r="83" spans="1:11">
      <c r="A83" s="35"/>
      <c r="B83" s="66" t="s">
        <v>48</v>
      </c>
      <c r="C83" s="68" t="s">
        <v>49</v>
      </c>
      <c r="D83" s="10"/>
      <c r="E83" s="36"/>
      <c r="F83" s="31"/>
      <c r="G83" s="24">
        <v>178488817</v>
      </c>
      <c r="H83" s="27">
        <f t="shared" si="2"/>
        <v>0</v>
      </c>
      <c r="I83" s="27"/>
      <c r="J83" s="42">
        <v>0</v>
      </c>
      <c r="K83" s="43">
        <f t="shared" si="1"/>
        <v>178488817</v>
      </c>
    </row>
    <row r="84" spans="1:11">
      <c r="A84" s="44"/>
      <c r="B84" s="44"/>
      <c r="C84" s="44" t="s">
        <v>31</v>
      </c>
      <c r="D84" s="44"/>
      <c r="E84" s="44"/>
      <c r="F84" s="45"/>
      <c r="G84" s="46">
        <f>SUM(G74:G83)</f>
        <v>1176821492</v>
      </c>
      <c r="H84" s="47">
        <f>SUM(H74:H83)</f>
        <v>129868352</v>
      </c>
      <c r="I84" s="47"/>
      <c r="J84" s="47">
        <f>SUM(J74:J83)</f>
        <v>970455</v>
      </c>
      <c r="K84" s="47">
        <f>SUM(K74:K83)</f>
        <v>1045982685</v>
      </c>
    </row>
    <row r="85" spans="1:11">
      <c r="A85" s="48"/>
      <c r="B85" s="8"/>
      <c r="C85" s="8"/>
      <c r="D85" s="8"/>
      <c r="E85" s="8"/>
      <c r="F85" s="8"/>
      <c r="G85" s="49"/>
      <c r="H85" s="49"/>
      <c r="I85" s="49"/>
      <c r="J85" s="49"/>
      <c r="K85" s="49"/>
    </row>
    <row r="86" spans="1:11">
      <c r="A86" s="85" t="s">
        <v>32</v>
      </c>
      <c r="B86" s="85"/>
      <c r="C86" s="85"/>
      <c r="D86" s="11" t="s">
        <v>4</v>
      </c>
      <c r="E86" s="14">
        <f>J84</f>
        <v>970455</v>
      </c>
      <c r="F86" s="50"/>
      <c r="G86" s="51"/>
      <c r="H86" s="51"/>
      <c r="I86" s="51"/>
      <c r="J86" s="9"/>
      <c r="K86" s="9"/>
    </row>
    <row r="87" spans="1:11">
      <c r="A87" s="10" t="s">
        <v>33</v>
      </c>
      <c r="B87" s="10"/>
      <c r="C87" s="10"/>
      <c r="D87" s="11" t="s">
        <v>4</v>
      </c>
      <c r="E87" s="52"/>
      <c r="F87" s="52"/>
      <c r="G87" s="53"/>
      <c r="H87" s="12"/>
      <c r="I87" s="12"/>
      <c r="J87" s="9"/>
      <c r="K87" s="9"/>
    </row>
    <row r="88" spans="1:11">
      <c r="A88" s="10" t="s">
        <v>34</v>
      </c>
      <c r="B88" s="10"/>
      <c r="C88" s="10"/>
      <c r="D88" s="11" t="s">
        <v>4</v>
      </c>
      <c r="E88" s="54"/>
      <c r="F88" s="54"/>
      <c r="G88" s="53"/>
      <c r="H88" s="12"/>
      <c r="I88" s="12"/>
      <c r="J88" s="9"/>
      <c r="K88" s="9"/>
    </row>
    <row r="89" spans="1:11">
      <c r="A89" s="10" t="s">
        <v>35</v>
      </c>
      <c r="B89" s="10"/>
      <c r="C89" s="10"/>
      <c r="D89" s="11" t="s">
        <v>4</v>
      </c>
      <c r="E89" s="54">
        <f>E87+E88</f>
        <v>0</v>
      </c>
      <c r="F89" s="54"/>
      <c r="G89" s="10"/>
      <c r="H89" s="12"/>
      <c r="I89" s="12"/>
      <c r="J89" s="56"/>
      <c r="K89" s="56"/>
    </row>
    <row r="90" spans="1:11">
      <c r="A90" s="13"/>
      <c r="B90" s="13"/>
      <c r="C90" s="13"/>
      <c r="D90" s="11"/>
      <c r="E90" s="13"/>
      <c r="F90" s="13"/>
      <c r="G90" s="10"/>
      <c r="H90" s="12"/>
      <c r="I90" s="12"/>
      <c r="J90" s="56"/>
      <c r="K90" s="56"/>
    </row>
    <row r="91" spans="1:11">
      <c r="A91" s="85" t="s">
        <v>36</v>
      </c>
      <c r="B91" s="85"/>
      <c r="C91" s="85"/>
      <c r="D91" s="11" t="s">
        <v>4</v>
      </c>
      <c r="E91" s="50">
        <f>E86-E89</f>
        <v>970455</v>
      </c>
      <c r="F91" s="50"/>
      <c r="G91" s="10"/>
      <c r="H91" s="12"/>
      <c r="I91" s="12"/>
      <c r="J91" s="56"/>
      <c r="K91" s="56"/>
    </row>
    <row r="92" spans="1:11" ht="15.75">
      <c r="A92" s="13"/>
      <c r="B92" s="13"/>
      <c r="C92" s="10"/>
      <c r="D92" s="10"/>
      <c r="E92" s="16" t="str">
        <f>PROPER(IF(E91=0,"nol",IF(E91&lt;0,"minus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91),"000000000000000"),1,3)=0,"",MID(TEXT(ABS(E91),"000000000000000"),1,1)&amp;" ratus "&amp;MID(TEXT(ABS(E91),"000000000000000"),2,1)&amp;" puluh "&amp;MID(TEXT(ABS(E91),"000000000000000"),3,1)&amp;" trilyun ")&amp;IF(--MID(TEXT(ABS(E91),"000000000000000"),4,3)=0,"",MID(TEXT(ABS(E91),"000000000000000"),4,1)&amp;" ratus "&amp;MID(TEXT(ABS(E91),"000000000000000"),5,1)&amp;" puluh "&amp;MID(TEXT(ABS(E91),"000000000000000"),6,1)&amp;" milyar ")&amp;IF(--MID(TEXT(ABS(E91),"000000000000000"),7,3)=0,"",MID(TEXT(ABS(E91),"000000000000000"),7,1)&amp;" ratus "&amp;MID(TEXT(ABS(E91),"000000000000000"),8,1)&amp;" puluh "&amp;MID(TEXT(ABS(E91),"000000000000000"),9,1)&amp;" juta ")&amp;IF(--MID(TEXT(ABS(E91),"000000000000000"),10,3)=0,"",IF(--MID(TEXT(ABS(E91),"000000000000000"),10,3)=1,"*",MID(TEXT(ABS(E91),"000000000000000"),10,1)&amp;" ratus "&amp;MID(TEXT(ABS(E91),"000000000000000"),11,1)&amp;" puluh ")&amp;MID(TEXT(ABS(E91),"000000000000000"),12,1)&amp;" ribu ")&amp;IF(--MID(TEXT(ABS(E91),"000000000000000"),13,3)=0,"",MID(TEXT(ABS(E91),"000000000000000"),13,1)&amp;" ratus "&amp;MID(TEXT(ABS(E91),"000000000000000"),14,1)&amp;" puluh "&amp;MID(TEXT(ABS(E91),"000000000000000"),15,1)),1,"satu"),2,"dua"),3,"tiga"),4,"empat"),5,"lima"),6,"enam"),7,"tujuh"),8,"delapan"),9,"sembilan"),"0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Tujuh Puluh Ribu Empat Ratus Lima Puluh Lima Rupiah</v>
      </c>
      <c r="F92" s="10"/>
      <c r="G92" s="10"/>
      <c r="H92" s="10"/>
      <c r="I92" s="10"/>
      <c r="J92" s="56"/>
      <c r="K92" s="56"/>
    </row>
    <row r="93" spans="1:11">
      <c r="A93" s="55"/>
      <c r="B93" s="55"/>
      <c r="C93" s="55"/>
      <c r="D93" s="55"/>
      <c r="E93" s="55"/>
      <c r="F93" s="55"/>
      <c r="G93" s="37"/>
      <c r="H93" s="56"/>
      <c r="I93" s="56"/>
      <c r="J93" s="56"/>
      <c r="K93" s="56"/>
    </row>
    <row r="94" spans="1:11">
      <c r="A94" s="37"/>
      <c r="B94" s="37"/>
      <c r="C94" s="37"/>
      <c r="D94" s="37"/>
      <c r="E94" s="37"/>
      <c r="F94" s="37"/>
      <c r="G94" s="37"/>
      <c r="H94"/>
      <c r="I94"/>
      <c r="J94" s="56"/>
      <c r="K94" s="56"/>
    </row>
    <row r="95" spans="1:11">
      <c r="A95" s="13"/>
      <c r="B95" s="13"/>
      <c r="C95" s="10"/>
      <c r="D95" s="10"/>
      <c r="E95" s="10"/>
      <c r="F95" s="10"/>
      <c r="G95" s="10"/>
      <c r="I95" s="57"/>
      <c r="J95" s="57" t="s">
        <v>75</v>
      </c>
      <c r="K95" s="56"/>
    </row>
    <row r="96" spans="1:11">
      <c r="A96" s="12" t="s">
        <v>37</v>
      </c>
      <c r="B96" s="10"/>
      <c r="C96" s="10"/>
      <c r="D96" s="10"/>
      <c r="E96" s="10"/>
      <c r="F96" s="10"/>
      <c r="G96" s="10"/>
      <c r="I96" s="12"/>
      <c r="J96" s="12" t="s">
        <v>38</v>
      </c>
      <c r="K96" s="56"/>
    </row>
    <row r="97" spans="1:11">
      <c r="A97" s="10"/>
      <c r="B97" s="10"/>
      <c r="C97" s="10"/>
      <c r="D97" s="10"/>
      <c r="E97" s="10"/>
      <c r="F97" s="10"/>
      <c r="G97" s="10"/>
      <c r="I97" s="12"/>
      <c r="J97" s="12"/>
      <c r="K97" s="56"/>
    </row>
    <row r="98" spans="1:11">
      <c r="A98" s="10"/>
      <c r="B98" s="10"/>
      <c r="C98" s="10"/>
      <c r="D98" s="10"/>
      <c r="E98" s="10"/>
      <c r="F98" s="10"/>
      <c r="G98" s="10"/>
      <c r="I98" s="12"/>
      <c r="J98" s="12"/>
      <c r="K98" s="56"/>
    </row>
    <row r="99" spans="1:11">
      <c r="A99" s="10"/>
      <c r="B99" s="10"/>
      <c r="C99" s="10"/>
      <c r="D99" s="10"/>
      <c r="E99" s="10"/>
      <c r="F99" s="10"/>
      <c r="G99" s="10"/>
      <c r="I99" s="12"/>
      <c r="J99" s="12"/>
      <c r="K99" s="56"/>
    </row>
    <row r="100" spans="1:11">
      <c r="A100" s="10"/>
      <c r="B100" s="10"/>
      <c r="C100" s="10"/>
      <c r="D100" s="10"/>
      <c r="E100" s="10"/>
      <c r="F100" s="10"/>
      <c r="G100" s="10"/>
      <c r="I100" s="12"/>
      <c r="J100" s="12"/>
      <c r="K100" s="56"/>
    </row>
    <row r="101" spans="1:11">
      <c r="A101" s="69" t="s">
        <v>50</v>
      </c>
      <c r="B101" s="58"/>
      <c r="C101" s="59"/>
      <c r="D101" s="59"/>
      <c r="E101" s="59"/>
      <c r="F101" s="59"/>
      <c r="G101" s="10" t="s">
        <v>39</v>
      </c>
      <c r="I101" s="58"/>
      <c r="J101" s="58" t="s">
        <v>40</v>
      </c>
      <c r="K101" s="56"/>
    </row>
    <row r="106" spans="1:11" ht="15.75">
      <c r="C106" s="2"/>
      <c r="D106" s="2"/>
      <c r="E106" s="2"/>
      <c r="F106" s="2"/>
    </row>
    <row r="107" spans="1:11" ht="15.75">
      <c r="A107" s="3"/>
      <c r="B107" s="3"/>
      <c r="C107" s="2"/>
      <c r="D107" s="2"/>
      <c r="E107" s="2"/>
      <c r="F107" s="2"/>
      <c r="G107" s="3"/>
      <c r="H107" s="4"/>
      <c r="I107" s="4"/>
      <c r="J107" s="4"/>
      <c r="K107" s="5"/>
    </row>
    <row r="108" spans="1:11">
      <c r="H108" s="5"/>
      <c r="I108" s="5"/>
      <c r="J108" s="5"/>
      <c r="K108" s="5"/>
    </row>
    <row r="109" spans="1:11">
      <c r="H109" s="5"/>
      <c r="I109" s="5"/>
      <c r="J109" s="5"/>
      <c r="K109" s="5"/>
    </row>
    <row r="110" spans="1:11">
      <c r="A110" s="73" t="s">
        <v>0</v>
      </c>
      <c r="B110" s="73"/>
      <c r="C110" s="74"/>
      <c r="D110" s="74"/>
      <c r="E110" s="74"/>
      <c r="F110" s="74"/>
      <c r="G110" s="74"/>
      <c r="H110" s="74"/>
      <c r="I110" s="74"/>
      <c r="J110" s="74"/>
      <c r="K110" s="74"/>
    </row>
    <row r="111" spans="1:11">
      <c r="A111" s="74" t="s">
        <v>76</v>
      </c>
      <c r="B111" s="74"/>
      <c r="C111" s="74"/>
      <c r="D111" s="74"/>
      <c r="E111" s="74"/>
      <c r="F111" s="74"/>
      <c r="G111" s="74"/>
      <c r="H111" s="74"/>
      <c r="I111" s="74"/>
      <c r="J111" s="74"/>
      <c r="K111" s="74"/>
    </row>
    <row r="112" spans="1:11">
      <c r="A112" s="74" t="s">
        <v>1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</row>
    <row r="113" spans="1:11">
      <c r="A113" s="74" t="s">
        <v>51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</row>
    <row r="114" spans="1:11">
      <c r="A114" s="74" t="s">
        <v>2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4"/>
    </row>
    <row r="115" spans="1:11">
      <c r="A115" s="6"/>
      <c r="B115" s="6"/>
      <c r="C115" s="7"/>
      <c r="D115" s="7"/>
      <c r="E115" s="7"/>
      <c r="F115" s="7"/>
      <c r="G115" s="8"/>
      <c r="H115" s="9"/>
      <c r="I115" s="9"/>
      <c r="J115" s="9"/>
      <c r="K115" s="9"/>
    </row>
    <row r="116" spans="1:11">
      <c r="A116" s="62" t="s">
        <v>3</v>
      </c>
      <c r="B116" s="10"/>
      <c r="C116" s="10"/>
      <c r="D116" s="63" t="s">
        <v>4</v>
      </c>
      <c r="E116" s="10" t="s">
        <v>5</v>
      </c>
      <c r="F116" s="11"/>
      <c r="G116" s="10"/>
      <c r="H116" s="12"/>
      <c r="I116" s="12"/>
      <c r="J116" s="12"/>
      <c r="K116" s="9"/>
    </row>
    <row r="117" spans="1:11">
      <c r="A117" s="62" t="s">
        <v>6</v>
      </c>
      <c r="B117" s="10"/>
      <c r="C117" s="10"/>
      <c r="D117" s="63" t="s">
        <v>4</v>
      </c>
      <c r="E117" s="10" t="s">
        <v>7</v>
      </c>
      <c r="F117" s="11"/>
      <c r="G117" s="10"/>
      <c r="H117" s="12"/>
      <c r="I117" s="12"/>
      <c r="J117" s="12"/>
      <c r="K117" s="9"/>
    </row>
    <row r="118" spans="1:11">
      <c r="A118" s="62" t="s">
        <v>8</v>
      </c>
      <c r="B118" s="10"/>
      <c r="C118" s="10"/>
      <c r="D118" s="63" t="s">
        <v>4</v>
      </c>
      <c r="E118" s="13">
        <v>2026</v>
      </c>
      <c r="F118" s="11"/>
      <c r="G118" s="13"/>
      <c r="H118" s="12"/>
      <c r="I118" s="12"/>
      <c r="J118" s="12"/>
      <c r="K118" s="9"/>
    </row>
    <row r="119" spans="1:11">
      <c r="A119" s="62" t="s">
        <v>9</v>
      </c>
      <c r="B119" s="10"/>
      <c r="C119" s="10"/>
      <c r="D119" s="63" t="s">
        <v>4</v>
      </c>
      <c r="E119" s="14">
        <f>J135</f>
        <v>4740234</v>
      </c>
      <c r="F119" s="11"/>
      <c r="G119" s="14"/>
      <c r="H119" s="12"/>
      <c r="I119" s="12"/>
      <c r="J119" s="12"/>
      <c r="K119" s="9"/>
    </row>
    <row r="120" spans="1:11" ht="15.75">
      <c r="A120" s="10"/>
      <c r="B120" s="10"/>
      <c r="C120" s="15" t="s">
        <v>10</v>
      </c>
      <c r="D120" s="63" t="s">
        <v>4</v>
      </c>
      <c r="E120" s="16" t="str">
        <f>PROPER(IF(E119=0,"nol",IF(E119&lt;0,"minus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119),"000000000000000"),1,3)=0,"",MID(TEXT(ABS(E119),"000000000000000"),1,1)&amp;" ratus "&amp;MID(TEXT(ABS(E119),"000000000000000"),2,1)&amp;" puluh "&amp;MID(TEXT(ABS(E119),"000000000000000"),3,1)&amp;" trilyun ")&amp;IF(--MID(TEXT(ABS(E119),"000000000000000"),4,3)=0,"",MID(TEXT(ABS(E119),"000000000000000"),4,1)&amp;" ratus "&amp;MID(TEXT(ABS(E119),"000000000000000"),5,1)&amp;" puluh "&amp;MID(TEXT(ABS(E119),"000000000000000"),6,1)&amp;" milyar ")&amp;IF(--MID(TEXT(ABS(E119),"000000000000000"),7,3)=0,"",MID(TEXT(ABS(E119),"000000000000000"),7,1)&amp;" ratus "&amp;MID(TEXT(ABS(E119),"000000000000000"),8,1)&amp;" puluh "&amp;MID(TEXT(ABS(E119),"000000000000000"),9,1)&amp;" juta ")&amp;IF(--MID(TEXT(ABS(E119),"000000000000000"),10,3)=0,"",IF(--MID(TEXT(ABS(E119),"000000000000000"),10,3)=1,"*",MID(TEXT(ABS(E119),"000000000000000"),10,1)&amp;" ratus "&amp;MID(TEXT(ABS(E119),"000000000000000"),11,1)&amp;" puluh ")&amp;MID(TEXT(ABS(E119),"000000000000000"),12,1)&amp;" ribu ")&amp;IF(--MID(TEXT(ABS(E119),"000000000000000"),13,3)=0,"",MID(TEXT(ABS(E119),"000000000000000"),13,1)&amp;" ratus "&amp;MID(TEXT(ABS(E119),"000000000000000"),14,1)&amp;" puluh "&amp;MID(TEXT(ABS(E119),"000000000000000"),15,1)),1,"satu"),2,"dua"),3,"tiga"),4,"empat"),5,"lima"),6,"enam"),7,"tujuh"),8,"delapan"),9,"sembilan"),"0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Tujuh Ratus Empat Puluh Ribu Dua Ratus Tiga Puluh Empat Rupiah</v>
      </c>
      <c r="F120" s="11"/>
      <c r="G120" s="16"/>
      <c r="H120" s="12"/>
      <c r="I120" s="12"/>
      <c r="J120" s="12"/>
      <c r="K120" s="9"/>
    </row>
    <row r="121" spans="1:11" ht="15.75">
      <c r="A121" s="10"/>
      <c r="B121" s="10"/>
      <c r="C121" s="15"/>
      <c r="D121" s="15"/>
      <c r="E121" s="15"/>
      <c r="F121" s="11"/>
      <c r="G121" s="16"/>
      <c r="H121" s="12"/>
      <c r="I121" s="12"/>
      <c r="J121" s="12"/>
      <c r="K121" s="9"/>
    </row>
    <row r="122" spans="1:11">
      <c r="A122" s="10" t="s">
        <v>11</v>
      </c>
      <c r="B122" s="10"/>
      <c r="C122" s="10"/>
      <c r="D122" s="10"/>
      <c r="E122" s="10"/>
      <c r="F122" s="10"/>
      <c r="G122" s="10"/>
      <c r="H122" s="12"/>
      <c r="I122" s="12"/>
      <c r="J122" s="12"/>
      <c r="K122" s="9"/>
    </row>
    <row r="123" spans="1:11">
      <c r="A123" s="75" t="s">
        <v>12</v>
      </c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spans="1:11" ht="60">
      <c r="A124" s="17" t="s">
        <v>13</v>
      </c>
      <c r="B124" s="18" t="s">
        <v>14</v>
      </c>
      <c r="C124" s="76" t="s">
        <v>15</v>
      </c>
      <c r="D124" s="77"/>
      <c r="E124" s="78"/>
      <c r="F124" s="19"/>
      <c r="G124" s="20" t="s">
        <v>16</v>
      </c>
      <c r="H124" s="21" t="s">
        <v>41</v>
      </c>
      <c r="I124" s="21"/>
      <c r="J124" s="39" t="s">
        <v>17</v>
      </c>
      <c r="K124" s="40" t="s">
        <v>18</v>
      </c>
    </row>
    <row r="125" spans="1:11">
      <c r="A125" s="22">
        <v>1</v>
      </c>
      <c r="B125" s="25"/>
      <c r="C125" s="29" t="s">
        <v>23</v>
      </c>
      <c r="D125" s="67"/>
      <c r="E125" s="26"/>
      <c r="F125" s="23"/>
      <c r="G125" s="64" t="s">
        <v>19</v>
      </c>
      <c r="H125" s="64" t="s">
        <v>19</v>
      </c>
      <c r="I125" s="64"/>
      <c r="J125" s="64" t="s">
        <v>19</v>
      </c>
      <c r="K125" s="64" t="s">
        <v>19</v>
      </c>
    </row>
    <row r="126" spans="1:11">
      <c r="A126" s="25"/>
      <c r="B126" s="65" t="s">
        <v>20</v>
      </c>
      <c r="C126" s="70" t="s">
        <v>24</v>
      </c>
      <c r="D126" s="71"/>
      <c r="E126" s="72"/>
      <c r="F126" s="23"/>
      <c r="G126" s="24">
        <v>300000000</v>
      </c>
      <c r="H126" s="27">
        <f>H75+J75</f>
        <v>44181819</v>
      </c>
      <c r="I126" s="27"/>
      <c r="J126" s="27">
        <v>0</v>
      </c>
      <c r="K126" s="41">
        <f t="shared" ref="K126:K134" si="3">G126-H126-J126</f>
        <v>255818181</v>
      </c>
    </row>
    <row r="127" spans="1:11">
      <c r="A127" s="25"/>
      <c r="B127" s="65" t="s">
        <v>21</v>
      </c>
      <c r="C127" s="70" t="s">
        <v>25</v>
      </c>
      <c r="D127" s="71"/>
      <c r="E127" s="72"/>
      <c r="F127" s="23"/>
      <c r="G127" s="28">
        <v>15000000</v>
      </c>
      <c r="H127" s="27">
        <f t="shared" ref="H127:H134" si="4">H76+J76</f>
        <v>2000000</v>
      </c>
      <c r="I127" s="27"/>
      <c r="J127" s="27">
        <v>0</v>
      </c>
      <c r="K127" s="41">
        <f t="shared" si="3"/>
        <v>13000000</v>
      </c>
    </row>
    <row r="128" spans="1:11">
      <c r="A128" s="25"/>
      <c r="B128" s="65" t="s">
        <v>22</v>
      </c>
      <c r="C128" s="79" t="s">
        <v>26</v>
      </c>
      <c r="D128" s="80"/>
      <c r="E128" s="81"/>
      <c r="F128" s="23"/>
      <c r="G128" s="24">
        <v>115048000</v>
      </c>
      <c r="H128" s="27">
        <f t="shared" si="4"/>
        <v>16850000</v>
      </c>
      <c r="I128" s="27"/>
      <c r="J128" s="27">
        <v>0</v>
      </c>
      <c r="K128" s="41">
        <f t="shared" si="3"/>
        <v>98198000</v>
      </c>
    </row>
    <row r="129" spans="1:11">
      <c r="A129" s="25"/>
      <c r="B129" s="65" t="s">
        <v>43</v>
      </c>
      <c r="C129" s="70" t="s">
        <v>27</v>
      </c>
      <c r="D129" s="71"/>
      <c r="E129" s="72"/>
      <c r="F129" s="23"/>
      <c r="G129" s="24">
        <v>171988668</v>
      </c>
      <c r="H129" s="27">
        <f t="shared" si="4"/>
        <v>27115000</v>
      </c>
      <c r="I129" s="27"/>
      <c r="J129" s="27">
        <v>0</v>
      </c>
      <c r="K129" s="41">
        <f t="shared" si="3"/>
        <v>144873668</v>
      </c>
    </row>
    <row r="130" spans="1:11">
      <c r="A130" s="25"/>
      <c r="B130" s="65" t="s">
        <v>44</v>
      </c>
      <c r="C130" s="70" t="s">
        <v>28</v>
      </c>
      <c r="D130" s="71"/>
      <c r="E130" s="72"/>
      <c r="F130" s="23"/>
      <c r="G130" s="24">
        <v>92440133</v>
      </c>
      <c r="H130" s="27">
        <f t="shared" si="4"/>
        <v>27447920</v>
      </c>
      <c r="I130" s="27"/>
      <c r="J130" s="27">
        <v>0</v>
      </c>
      <c r="K130" s="41">
        <f t="shared" si="3"/>
        <v>64992213</v>
      </c>
    </row>
    <row r="131" spans="1:11">
      <c r="A131" s="25"/>
      <c r="B131" s="65" t="s">
        <v>45</v>
      </c>
      <c r="C131" s="70" t="s">
        <v>42</v>
      </c>
      <c r="D131" s="71"/>
      <c r="E131" s="72"/>
      <c r="F131" s="23"/>
      <c r="G131" s="24">
        <v>64388964</v>
      </c>
      <c r="H131" s="27">
        <f t="shared" si="4"/>
        <v>9394068</v>
      </c>
      <c r="I131" s="27"/>
      <c r="J131" s="27">
        <v>4740234</v>
      </c>
      <c r="K131" s="41">
        <f t="shared" si="3"/>
        <v>50254662</v>
      </c>
    </row>
    <row r="132" spans="1:11">
      <c r="A132" s="30"/>
      <c r="B132" s="66" t="s">
        <v>46</v>
      </c>
      <c r="C132" s="82" t="s">
        <v>29</v>
      </c>
      <c r="D132" s="83"/>
      <c r="E132" s="84"/>
      <c r="F132" s="31"/>
      <c r="G132" s="24">
        <v>214466910</v>
      </c>
      <c r="H132" s="27">
        <f t="shared" si="4"/>
        <v>0</v>
      </c>
      <c r="I132" s="27"/>
      <c r="J132" s="27">
        <v>0</v>
      </c>
      <c r="K132" s="41">
        <f t="shared" si="3"/>
        <v>214466910</v>
      </c>
    </row>
    <row r="133" spans="1:11">
      <c r="A133" s="30"/>
      <c r="B133" s="66" t="s">
        <v>47</v>
      </c>
      <c r="C133" s="32" t="s">
        <v>30</v>
      </c>
      <c r="D133" s="33"/>
      <c r="E133" s="34"/>
      <c r="F133" s="31"/>
      <c r="G133" s="24">
        <v>25000000</v>
      </c>
      <c r="H133" s="27">
        <f t="shared" si="4"/>
        <v>3850000</v>
      </c>
      <c r="I133" s="27"/>
      <c r="J133" s="27">
        <v>0</v>
      </c>
      <c r="K133" s="41">
        <f t="shared" si="3"/>
        <v>21150000</v>
      </c>
    </row>
    <row r="134" spans="1:11">
      <c r="A134" s="35"/>
      <c r="B134" s="66" t="s">
        <v>48</v>
      </c>
      <c r="C134" s="68" t="s">
        <v>49</v>
      </c>
      <c r="D134" s="10"/>
      <c r="E134" s="36"/>
      <c r="F134" s="31"/>
      <c r="G134" s="24">
        <v>178488817</v>
      </c>
      <c r="H134" s="27">
        <f t="shared" si="4"/>
        <v>0</v>
      </c>
      <c r="I134" s="27"/>
      <c r="J134" s="42">
        <v>0</v>
      </c>
      <c r="K134" s="43">
        <f t="shared" si="3"/>
        <v>178488817</v>
      </c>
    </row>
    <row r="135" spans="1:11">
      <c r="A135" s="44"/>
      <c r="B135" s="44"/>
      <c r="C135" s="44" t="s">
        <v>31</v>
      </c>
      <c r="D135" s="44"/>
      <c r="E135" s="44"/>
      <c r="F135" s="45"/>
      <c r="G135" s="46">
        <f>SUM(G125:G134)</f>
        <v>1176821492</v>
      </c>
      <c r="H135" s="47">
        <f>SUM(H125:H134)</f>
        <v>130838807</v>
      </c>
      <c r="I135" s="47"/>
      <c r="J135" s="47">
        <f>SUM(J125:J134)</f>
        <v>4740234</v>
      </c>
      <c r="K135" s="47">
        <f>SUM(K125:K134)</f>
        <v>1041242451</v>
      </c>
    </row>
    <row r="136" spans="1:11">
      <c r="A136" s="48"/>
      <c r="B136" s="8"/>
      <c r="C136" s="8"/>
      <c r="D136" s="8"/>
      <c r="E136" s="8"/>
      <c r="F136" s="8"/>
      <c r="G136" s="49"/>
      <c r="H136" s="49"/>
      <c r="I136" s="49"/>
      <c r="J136" s="49"/>
      <c r="K136" s="49"/>
    </row>
    <row r="137" spans="1:11">
      <c r="A137" s="85" t="s">
        <v>32</v>
      </c>
      <c r="B137" s="85"/>
      <c r="C137" s="85"/>
      <c r="D137" s="11" t="s">
        <v>4</v>
      </c>
      <c r="E137" s="14">
        <f>J135</f>
        <v>4740234</v>
      </c>
      <c r="F137" s="50"/>
      <c r="G137" s="51"/>
      <c r="H137" s="51"/>
      <c r="I137" s="51"/>
      <c r="J137" s="9"/>
      <c r="K137" s="9"/>
    </row>
    <row r="138" spans="1:11">
      <c r="A138" s="10" t="s">
        <v>33</v>
      </c>
      <c r="B138" s="10"/>
      <c r="C138" s="10"/>
      <c r="D138" s="11" t="s">
        <v>4</v>
      </c>
      <c r="E138" s="52"/>
      <c r="F138" s="52"/>
      <c r="G138" s="53"/>
      <c r="H138" s="12"/>
      <c r="I138" s="12"/>
      <c r="J138" s="9"/>
      <c r="K138" s="9"/>
    </row>
    <row r="139" spans="1:11">
      <c r="A139" s="10" t="s">
        <v>34</v>
      </c>
      <c r="B139" s="10"/>
      <c r="C139" s="10"/>
      <c r="D139" s="11" t="s">
        <v>4</v>
      </c>
      <c r="E139" s="54"/>
      <c r="F139" s="54"/>
      <c r="G139" s="53"/>
      <c r="H139" s="12"/>
      <c r="I139" s="12"/>
      <c r="J139" s="9"/>
      <c r="K139" s="9"/>
    </row>
    <row r="140" spans="1:11">
      <c r="A140" s="10" t="s">
        <v>35</v>
      </c>
      <c r="B140" s="10"/>
      <c r="C140" s="10"/>
      <c r="D140" s="11" t="s">
        <v>4</v>
      </c>
      <c r="E140" s="54">
        <f>E138+E139</f>
        <v>0</v>
      </c>
      <c r="F140" s="54"/>
      <c r="G140" s="10"/>
      <c r="H140" s="12"/>
      <c r="I140" s="12"/>
      <c r="J140" s="56"/>
      <c r="K140" s="56"/>
    </row>
    <row r="141" spans="1:11">
      <c r="A141" s="13"/>
      <c r="B141" s="13"/>
      <c r="C141" s="13"/>
      <c r="D141" s="11"/>
      <c r="E141" s="13"/>
      <c r="F141" s="13"/>
      <c r="G141" s="10"/>
      <c r="H141" s="12"/>
      <c r="I141" s="12"/>
      <c r="J141" s="56"/>
      <c r="K141" s="56"/>
    </row>
    <row r="142" spans="1:11">
      <c r="A142" s="85" t="s">
        <v>36</v>
      </c>
      <c r="B142" s="85"/>
      <c r="C142" s="85"/>
      <c r="D142" s="11" t="s">
        <v>4</v>
      </c>
      <c r="E142" s="50">
        <f>E137-E140</f>
        <v>4740234</v>
      </c>
      <c r="F142" s="50"/>
      <c r="G142" s="10"/>
      <c r="H142" s="12"/>
      <c r="I142" s="12"/>
      <c r="J142" s="56"/>
      <c r="K142" s="56"/>
    </row>
    <row r="143" spans="1:11" ht="15.75">
      <c r="A143" s="13"/>
      <c r="B143" s="13"/>
      <c r="C143" s="10"/>
      <c r="D143" s="10"/>
      <c r="E143" s="16" t="str">
        <f>PROPER(IF(E142=0,"nol",IF(E142&lt;0,"minus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142),"000000000000000"),1,3)=0,"",MID(TEXT(ABS(E142),"000000000000000"),1,1)&amp;" ratus "&amp;MID(TEXT(ABS(E142),"000000000000000"),2,1)&amp;" puluh "&amp;MID(TEXT(ABS(E142),"000000000000000"),3,1)&amp;" trilyun ")&amp;IF(--MID(TEXT(ABS(E142),"000000000000000"),4,3)=0,"",MID(TEXT(ABS(E142),"000000000000000"),4,1)&amp;" ratus "&amp;MID(TEXT(ABS(E142),"000000000000000"),5,1)&amp;" puluh "&amp;MID(TEXT(ABS(E142),"000000000000000"),6,1)&amp;" milyar ")&amp;IF(--MID(TEXT(ABS(E142),"000000000000000"),7,3)=0,"",MID(TEXT(ABS(E142),"000000000000000"),7,1)&amp;" ratus "&amp;MID(TEXT(ABS(E142),"000000000000000"),8,1)&amp;" puluh "&amp;MID(TEXT(ABS(E142),"000000000000000"),9,1)&amp;" juta ")&amp;IF(--MID(TEXT(ABS(E142),"000000000000000"),10,3)=0,"",IF(--MID(TEXT(ABS(E142),"000000000000000"),10,3)=1,"*",MID(TEXT(ABS(E142),"000000000000000"),10,1)&amp;" ratus "&amp;MID(TEXT(ABS(E142),"000000000000000"),11,1)&amp;" puluh ")&amp;MID(TEXT(ABS(E142),"000000000000000"),12,1)&amp;" ribu ")&amp;IF(--MID(TEXT(ABS(E142),"000000000000000"),13,3)=0,"",MID(TEXT(ABS(E142),"000000000000000"),13,1)&amp;" ratus "&amp;MID(TEXT(ABS(E142),"000000000000000"),14,1)&amp;" puluh "&amp;MID(TEXT(ABS(E142),"000000000000000"),15,1)),1,"satu"),2,"dua"),3,"tiga"),4,"empat"),5,"lima"),6,"enam"),7,"tujuh"),8,"delapan"),9,"sembilan"),"0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Tujuh Ratus Empat Puluh Ribu Dua Ratus Tiga Puluh Empat Rupiah</v>
      </c>
      <c r="F143" s="10"/>
      <c r="G143" s="10"/>
      <c r="H143" s="10"/>
      <c r="I143" s="10"/>
      <c r="J143" s="56"/>
      <c r="K143" s="56"/>
    </row>
    <row r="144" spans="1:11">
      <c r="A144" s="55"/>
      <c r="B144" s="55"/>
      <c r="C144" s="55"/>
      <c r="D144" s="55"/>
      <c r="E144" s="55"/>
      <c r="F144" s="55"/>
      <c r="G144" s="37"/>
      <c r="H144" s="56"/>
      <c r="I144" s="56"/>
      <c r="J144" s="56"/>
      <c r="K144" s="56"/>
    </row>
    <row r="145" spans="1:11">
      <c r="A145" s="37"/>
      <c r="B145" s="37"/>
      <c r="C145" s="37"/>
      <c r="D145" s="37"/>
      <c r="E145" s="37"/>
      <c r="F145" s="37"/>
      <c r="G145" s="37"/>
      <c r="H145"/>
      <c r="I145"/>
      <c r="J145" s="56"/>
      <c r="K145" s="56"/>
    </row>
    <row r="146" spans="1:11">
      <c r="A146" s="13"/>
      <c r="B146" s="13"/>
      <c r="C146" s="10"/>
      <c r="D146" s="10"/>
      <c r="E146" s="10"/>
      <c r="F146" s="10"/>
      <c r="G146" s="10"/>
      <c r="I146" s="57"/>
      <c r="J146" s="57" t="s">
        <v>73</v>
      </c>
      <c r="K146" s="56"/>
    </row>
    <row r="147" spans="1:11">
      <c r="A147" s="12" t="s">
        <v>37</v>
      </c>
      <c r="B147" s="10"/>
      <c r="C147" s="10"/>
      <c r="D147" s="10"/>
      <c r="E147" s="10"/>
      <c r="F147" s="10"/>
      <c r="G147" s="10"/>
      <c r="I147" s="12"/>
      <c r="J147" s="12" t="s">
        <v>38</v>
      </c>
      <c r="K147" s="56"/>
    </row>
    <row r="148" spans="1:11">
      <c r="A148" s="10"/>
      <c r="B148" s="10"/>
      <c r="C148" s="10"/>
      <c r="D148" s="10"/>
      <c r="E148" s="10"/>
      <c r="F148" s="10"/>
      <c r="G148" s="10"/>
      <c r="I148" s="12"/>
      <c r="J148" s="12"/>
      <c r="K148" s="56"/>
    </row>
    <row r="149" spans="1:11">
      <c r="A149" s="10"/>
      <c r="B149" s="10"/>
      <c r="C149" s="10"/>
      <c r="D149" s="10"/>
      <c r="E149" s="10"/>
      <c r="F149" s="10"/>
      <c r="G149" s="10"/>
      <c r="I149" s="12"/>
      <c r="J149" s="12"/>
      <c r="K149" s="56"/>
    </row>
    <row r="150" spans="1:11">
      <c r="A150" s="10"/>
      <c r="B150" s="10"/>
      <c r="C150" s="10"/>
      <c r="D150" s="10"/>
      <c r="E150" s="10"/>
      <c r="F150" s="10"/>
      <c r="G150" s="10"/>
      <c r="I150" s="12"/>
      <c r="J150" s="12"/>
      <c r="K150" s="56"/>
    </row>
    <row r="151" spans="1:11">
      <c r="A151" s="10"/>
      <c r="B151" s="10"/>
      <c r="C151" s="10"/>
      <c r="D151" s="10"/>
      <c r="E151" s="10"/>
      <c r="F151" s="10"/>
      <c r="G151" s="10"/>
      <c r="I151" s="12"/>
      <c r="J151" s="12"/>
      <c r="K151" s="56"/>
    </row>
    <row r="152" spans="1:11">
      <c r="A152" s="69" t="s">
        <v>50</v>
      </c>
      <c r="B152" s="58"/>
      <c r="C152" s="59"/>
      <c r="D152" s="59"/>
      <c r="E152" s="59"/>
      <c r="F152" s="59"/>
      <c r="G152" s="10" t="s">
        <v>39</v>
      </c>
      <c r="I152" s="58"/>
      <c r="J152" s="58" t="s">
        <v>40</v>
      </c>
      <c r="K152" s="56"/>
    </row>
    <row r="157" spans="1:11" ht="15.75">
      <c r="C157" s="2"/>
      <c r="D157" s="2"/>
      <c r="E157" s="2"/>
      <c r="F157" s="2"/>
    </row>
    <row r="158" spans="1:11" ht="15.75">
      <c r="A158" s="3"/>
      <c r="B158" s="3"/>
      <c r="C158" s="2"/>
      <c r="D158" s="2"/>
      <c r="E158" s="2"/>
      <c r="F158" s="2"/>
      <c r="G158" s="3"/>
      <c r="H158" s="4"/>
      <c r="I158" s="4"/>
      <c r="J158" s="4"/>
      <c r="K158" s="5"/>
    </row>
    <row r="159" spans="1:11">
      <c r="H159" s="5"/>
      <c r="I159" s="5"/>
      <c r="J159" s="5"/>
      <c r="K159" s="5"/>
    </row>
    <row r="160" spans="1:11">
      <c r="H160" s="5"/>
      <c r="I160" s="5"/>
      <c r="J160" s="5"/>
      <c r="K160" s="5"/>
    </row>
    <row r="161" spans="1:11">
      <c r="A161" s="73" t="s">
        <v>0</v>
      </c>
      <c r="B161" s="73"/>
      <c r="C161" s="74"/>
      <c r="D161" s="74"/>
      <c r="E161" s="74"/>
      <c r="F161" s="74"/>
      <c r="G161" s="74"/>
      <c r="H161" s="74"/>
      <c r="I161" s="74"/>
      <c r="J161" s="74"/>
      <c r="K161" s="74"/>
    </row>
    <row r="162" spans="1:11">
      <c r="A162" s="74" t="s">
        <v>77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</row>
    <row r="163" spans="1:11">
      <c r="A163" s="74" t="s">
        <v>1</v>
      </c>
      <c r="B163" s="74"/>
      <c r="C163" s="74"/>
      <c r="D163" s="74"/>
      <c r="E163" s="74"/>
      <c r="F163" s="74"/>
      <c r="G163" s="74"/>
      <c r="H163" s="74"/>
      <c r="I163" s="74"/>
      <c r="J163" s="74"/>
      <c r="K163" s="74"/>
    </row>
    <row r="164" spans="1:11">
      <c r="A164" s="74" t="s">
        <v>51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</row>
    <row r="165" spans="1:11">
      <c r="A165" s="74" t="s">
        <v>2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</row>
    <row r="166" spans="1:11">
      <c r="A166" s="6"/>
      <c r="B166" s="6"/>
      <c r="C166" s="7"/>
      <c r="D166" s="7"/>
      <c r="E166" s="7"/>
      <c r="F166" s="7"/>
      <c r="G166" s="8"/>
      <c r="H166" s="9"/>
      <c r="I166" s="9"/>
      <c r="J166" s="9"/>
      <c r="K166" s="9"/>
    </row>
    <row r="167" spans="1:11">
      <c r="A167" s="62" t="s">
        <v>3</v>
      </c>
      <c r="B167" s="10"/>
      <c r="C167" s="10"/>
      <c r="D167" s="63" t="s">
        <v>4</v>
      </c>
      <c r="E167" s="10" t="s">
        <v>5</v>
      </c>
      <c r="F167" s="11"/>
      <c r="G167" s="10"/>
      <c r="H167" s="12"/>
      <c r="I167" s="12"/>
      <c r="J167" s="12"/>
      <c r="K167" s="9"/>
    </row>
    <row r="168" spans="1:11">
      <c r="A168" s="62" t="s">
        <v>6</v>
      </c>
      <c r="B168" s="10"/>
      <c r="C168" s="10"/>
      <c r="D168" s="63" t="s">
        <v>4</v>
      </c>
      <c r="E168" s="10" t="s">
        <v>7</v>
      </c>
      <c r="F168" s="11"/>
      <c r="G168" s="10"/>
      <c r="H168" s="12"/>
      <c r="I168" s="12"/>
      <c r="J168" s="12"/>
      <c r="K168" s="9"/>
    </row>
    <row r="169" spans="1:11">
      <c r="A169" s="62" t="s">
        <v>8</v>
      </c>
      <c r="B169" s="10"/>
      <c r="C169" s="10"/>
      <c r="D169" s="63" t="s">
        <v>4</v>
      </c>
      <c r="E169" s="13">
        <v>2026</v>
      </c>
      <c r="F169" s="11"/>
      <c r="G169" s="13"/>
      <c r="H169" s="12"/>
      <c r="I169" s="12"/>
      <c r="J169" s="12"/>
      <c r="K169" s="9"/>
    </row>
    <row r="170" spans="1:11">
      <c r="A170" s="62" t="s">
        <v>9</v>
      </c>
      <c r="B170" s="10"/>
      <c r="C170" s="10"/>
      <c r="D170" s="63" t="s">
        <v>4</v>
      </c>
      <c r="E170" s="14">
        <f>J186</f>
        <v>2500000</v>
      </c>
      <c r="F170" s="11"/>
      <c r="G170" s="14"/>
      <c r="H170" s="12"/>
      <c r="I170" s="12"/>
      <c r="J170" s="12"/>
      <c r="K170" s="9"/>
    </row>
    <row r="171" spans="1:11" ht="15.75">
      <c r="A171" s="10"/>
      <c r="B171" s="10"/>
      <c r="C171" s="15" t="s">
        <v>10</v>
      </c>
      <c r="D171" s="63" t="s">
        <v>4</v>
      </c>
      <c r="E171" s="16" t="str">
        <f>PROPER(IF(E170=0,"nol",IF(E170&lt;0,"minus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170),"000000000000000"),1,3)=0,"",MID(TEXT(ABS(E170),"000000000000000"),1,1)&amp;" ratus "&amp;MID(TEXT(ABS(E170),"000000000000000"),2,1)&amp;" puluh "&amp;MID(TEXT(ABS(E170),"000000000000000"),3,1)&amp;" trilyun ")&amp;IF(--MID(TEXT(ABS(E170),"000000000000000"),4,3)=0,"",MID(TEXT(ABS(E170),"000000000000000"),4,1)&amp;" ratus "&amp;MID(TEXT(ABS(E170),"000000000000000"),5,1)&amp;" puluh "&amp;MID(TEXT(ABS(E170),"000000000000000"),6,1)&amp;" milyar ")&amp;IF(--MID(TEXT(ABS(E170),"000000000000000"),7,3)=0,"",MID(TEXT(ABS(E170),"000000000000000"),7,1)&amp;" ratus "&amp;MID(TEXT(ABS(E170),"000000000000000"),8,1)&amp;" puluh "&amp;MID(TEXT(ABS(E170),"000000000000000"),9,1)&amp;" juta ")&amp;IF(--MID(TEXT(ABS(E170),"000000000000000"),10,3)=0,"",IF(--MID(TEXT(ABS(E170),"000000000000000"),10,3)=1,"*",MID(TEXT(ABS(E170),"000000000000000"),10,1)&amp;" ratus "&amp;MID(TEXT(ABS(E170),"000000000000000"),11,1)&amp;" puluh ")&amp;MID(TEXT(ABS(E170),"000000000000000"),12,1)&amp;" ribu ")&amp;IF(--MID(TEXT(ABS(E170),"000000000000000"),13,3)=0,"",MID(TEXT(ABS(E170),"000000000000000"),13,1)&amp;" ratus "&amp;MID(TEXT(ABS(E170),"000000000000000"),14,1)&amp;" puluh "&amp;MID(TEXT(ABS(E170),"000000000000000"),15,1)),1,"satu"),2,"dua"),3,"tiga"),4,"empat"),5,"lima"),6,"enam"),7,"tujuh"),8,"delapan"),9,"sembilan"),"0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Ribu Rupiah</v>
      </c>
      <c r="F171" s="11"/>
      <c r="G171" s="16"/>
      <c r="H171" s="12"/>
      <c r="I171" s="12"/>
      <c r="J171" s="12"/>
      <c r="K171" s="9"/>
    </row>
    <row r="172" spans="1:11" ht="15.75">
      <c r="A172" s="10"/>
      <c r="B172" s="10"/>
      <c r="C172" s="15"/>
      <c r="D172" s="15"/>
      <c r="E172" s="15"/>
      <c r="F172" s="11"/>
      <c r="G172" s="16"/>
      <c r="H172" s="12"/>
      <c r="I172" s="12"/>
      <c r="J172" s="12"/>
      <c r="K172" s="9"/>
    </row>
    <row r="173" spans="1:11">
      <c r="A173" s="10" t="s">
        <v>11</v>
      </c>
      <c r="B173" s="10"/>
      <c r="C173" s="10"/>
      <c r="D173" s="10"/>
      <c r="E173" s="10"/>
      <c r="F173" s="10"/>
      <c r="G173" s="10"/>
      <c r="H173" s="12"/>
      <c r="I173" s="12"/>
      <c r="J173" s="12"/>
      <c r="K173" s="9"/>
    </row>
    <row r="174" spans="1:11">
      <c r="A174" s="75" t="s">
        <v>12</v>
      </c>
      <c r="B174" s="75"/>
      <c r="C174" s="75"/>
      <c r="D174" s="75"/>
      <c r="E174" s="75"/>
      <c r="F174" s="75"/>
      <c r="G174" s="75"/>
      <c r="H174" s="75"/>
      <c r="I174" s="75"/>
      <c r="J174" s="75"/>
      <c r="K174" s="75"/>
    </row>
    <row r="175" spans="1:11" ht="60">
      <c r="A175" s="17" t="s">
        <v>13</v>
      </c>
      <c r="B175" s="18" t="s">
        <v>14</v>
      </c>
      <c r="C175" s="76" t="s">
        <v>15</v>
      </c>
      <c r="D175" s="77"/>
      <c r="E175" s="78"/>
      <c r="F175" s="19"/>
      <c r="G175" s="20" t="s">
        <v>16</v>
      </c>
      <c r="H175" s="21" t="s">
        <v>41</v>
      </c>
      <c r="I175" s="21"/>
      <c r="J175" s="39" t="s">
        <v>17</v>
      </c>
      <c r="K175" s="40" t="s">
        <v>18</v>
      </c>
    </row>
    <row r="176" spans="1:11">
      <c r="A176" s="22">
        <v>1</v>
      </c>
      <c r="B176" s="25"/>
      <c r="C176" s="29" t="s">
        <v>23</v>
      </c>
      <c r="D176" s="67"/>
      <c r="E176" s="26"/>
      <c r="F176" s="23"/>
      <c r="G176" s="64" t="s">
        <v>19</v>
      </c>
      <c r="H176" s="64" t="s">
        <v>19</v>
      </c>
      <c r="I176" s="64"/>
      <c r="J176" s="64" t="s">
        <v>19</v>
      </c>
      <c r="K176" s="64" t="s">
        <v>19</v>
      </c>
    </row>
    <row r="177" spans="1:11">
      <c r="A177" s="25"/>
      <c r="B177" s="65" t="s">
        <v>20</v>
      </c>
      <c r="C177" s="70" t="s">
        <v>24</v>
      </c>
      <c r="D177" s="71"/>
      <c r="E177" s="72"/>
      <c r="F177" s="23"/>
      <c r="G177" s="24">
        <v>300000000</v>
      </c>
      <c r="H177" s="27">
        <f>H126+J126</f>
        <v>44181819</v>
      </c>
      <c r="I177" s="27"/>
      <c r="J177" s="27">
        <v>2500000</v>
      </c>
      <c r="K177" s="41">
        <f t="shared" ref="K177:K185" si="5">G177-H177-J177</f>
        <v>253318181</v>
      </c>
    </row>
    <row r="178" spans="1:11">
      <c r="A178" s="25"/>
      <c r="B178" s="65" t="s">
        <v>21</v>
      </c>
      <c r="C178" s="70" t="s">
        <v>25</v>
      </c>
      <c r="D178" s="71"/>
      <c r="E178" s="72"/>
      <c r="F178" s="23"/>
      <c r="G178" s="28">
        <v>15000000</v>
      </c>
      <c r="H178" s="27">
        <f t="shared" ref="H178:H185" si="6">H127+J127</f>
        <v>2000000</v>
      </c>
      <c r="I178" s="27"/>
      <c r="J178" s="27">
        <v>0</v>
      </c>
      <c r="K178" s="41">
        <f t="shared" si="5"/>
        <v>13000000</v>
      </c>
    </row>
    <row r="179" spans="1:11">
      <c r="A179" s="25"/>
      <c r="B179" s="65" t="s">
        <v>22</v>
      </c>
      <c r="C179" s="79" t="s">
        <v>26</v>
      </c>
      <c r="D179" s="80"/>
      <c r="E179" s="81"/>
      <c r="F179" s="23"/>
      <c r="G179" s="24">
        <v>115048000</v>
      </c>
      <c r="H179" s="27">
        <f t="shared" si="6"/>
        <v>16850000</v>
      </c>
      <c r="I179" s="27"/>
      <c r="J179" s="27">
        <v>0</v>
      </c>
      <c r="K179" s="41">
        <f t="shared" si="5"/>
        <v>98198000</v>
      </c>
    </row>
    <row r="180" spans="1:11">
      <c r="A180" s="25"/>
      <c r="B180" s="65" t="s">
        <v>43</v>
      </c>
      <c r="C180" s="70" t="s">
        <v>27</v>
      </c>
      <c r="D180" s="71"/>
      <c r="E180" s="72"/>
      <c r="F180" s="23"/>
      <c r="G180" s="24">
        <v>171988668</v>
      </c>
      <c r="H180" s="27">
        <f t="shared" si="6"/>
        <v>27115000</v>
      </c>
      <c r="I180" s="27"/>
      <c r="J180" s="27">
        <v>0</v>
      </c>
      <c r="K180" s="41">
        <f t="shared" si="5"/>
        <v>144873668</v>
      </c>
    </row>
    <row r="181" spans="1:11">
      <c r="A181" s="25"/>
      <c r="B181" s="65" t="s">
        <v>44</v>
      </c>
      <c r="C181" s="70" t="s">
        <v>28</v>
      </c>
      <c r="D181" s="71"/>
      <c r="E181" s="72"/>
      <c r="F181" s="23"/>
      <c r="G181" s="24">
        <v>92440133</v>
      </c>
      <c r="H181" s="27">
        <f t="shared" si="6"/>
        <v>27447920</v>
      </c>
      <c r="I181" s="27"/>
      <c r="J181" s="27">
        <v>0</v>
      </c>
      <c r="K181" s="41">
        <f t="shared" si="5"/>
        <v>64992213</v>
      </c>
    </row>
    <row r="182" spans="1:11">
      <c r="A182" s="25"/>
      <c r="B182" s="65" t="s">
        <v>45</v>
      </c>
      <c r="C182" s="70" t="s">
        <v>42</v>
      </c>
      <c r="D182" s="71"/>
      <c r="E182" s="72"/>
      <c r="F182" s="23"/>
      <c r="G182" s="24">
        <v>64388964</v>
      </c>
      <c r="H182" s="27">
        <f>H131+J131</f>
        <v>14134302</v>
      </c>
      <c r="I182" s="27"/>
      <c r="J182" s="27">
        <v>0</v>
      </c>
      <c r="K182" s="41">
        <f t="shared" si="5"/>
        <v>50254662</v>
      </c>
    </row>
    <row r="183" spans="1:11">
      <c r="A183" s="30"/>
      <c r="B183" s="66" t="s">
        <v>46</v>
      </c>
      <c r="C183" s="82" t="s">
        <v>29</v>
      </c>
      <c r="D183" s="83"/>
      <c r="E183" s="84"/>
      <c r="F183" s="31"/>
      <c r="G183" s="24">
        <v>214466910</v>
      </c>
      <c r="H183" s="27">
        <f t="shared" si="6"/>
        <v>0</v>
      </c>
      <c r="I183" s="27"/>
      <c r="J183" s="27">
        <v>0</v>
      </c>
      <c r="K183" s="41">
        <f t="shared" si="5"/>
        <v>214466910</v>
      </c>
    </row>
    <row r="184" spans="1:11">
      <c r="A184" s="30"/>
      <c r="B184" s="66" t="s">
        <v>47</v>
      </c>
      <c r="C184" s="32" t="s">
        <v>30</v>
      </c>
      <c r="D184" s="33"/>
      <c r="E184" s="34"/>
      <c r="F184" s="31"/>
      <c r="G184" s="24">
        <v>25000000</v>
      </c>
      <c r="H184" s="27">
        <f t="shared" si="6"/>
        <v>3850000</v>
      </c>
      <c r="I184" s="27"/>
      <c r="J184" s="27">
        <v>0</v>
      </c>
      <c r="K184" s="41">
        <f t="shared" si="5"/>
        <v>21150000</v>
      </c>
    </row>
    <row r="185" spans="1:11">
      <c r="A185" s="35"/>
      <c r="B185" s="66" t="s">
        <v>48</v>
      </c>
      <c r="C185" s="68" t="s">
        <v>49</v>
      </c>
      <c r="D185" s="10"/>
      <c r="E185" s="36"/>
      <c r="F185" s="31"/>
      <c r="G185" s="24">
        <v>178488817</v>
      </c>
      <c r="H185" s="27">
        <f t="shared" si="6"/>
        <v>0</v>
      </c>
      <c r="I185" s="27"/>
      <c r="J185" s="42">
        <v>0</v>
      </c>
      <c r="K185" s="43">
        <f t="shared" si="5"/>
        <v>178488817</v>
      </c>
    </row>
    <row r="186" spans="1:11">
      <c r="A186" s="44"/>
      <c r="B186" s="44"/>
      <c r="C186" s="44" t="s">
        <v>31</v>
      </c>
      <c r="D186" s="44"/>
      <c r="E186" s="44"/>
      <c r="F186" s="45"/>
      <c r="G186" s="46">
        <f>SUM(G176:G185)</f>
        <v>1176821492</v>
      </c>
      <c r="H186" s="47">
        <f>SUM(H176:H185)</f>
        <v>135579041</v>
      </c>
      <c r="I186" s="47"/>
      <c r="J186" s="47">
        <f>SUM(J176:J185)</f>
        <v>2500000</v>
      </c>
      <c r="K186" s="47">
        <f>SUM(K176:K185)</f>
        <v>1038742451</v>
      </c>
    </row>
    <row r="187" spans="1:11">
      <c r="A187" s="48"/>
      <c r="B187" s="8"/>
      <c r="C187" s="8"/>
      <c r="D187" s="8"/>
      <c r="E187" s="8"/>
      <c r="F187" s="8"/>
      <c r="G187" s="49"/>
      <c r="H187" s="49"/>
      <c r="I187" s="49"/>
      <c r="J187" s="49"/>
      <c r="K187" s="49"/>
    </row>
    <row r="188" spans="1:11">
      <c r="A188" s="85" t="s">
        <v>32</v>
      </c>
      <c r="B188" s="85"/>
      <c r="C188" s="85"/>
      <c r="D188" s="11" t="s">
        <v>4</v>
      </c>
      <c r="E188" s="14">
        <f>J186</f>
        <v>2500000</v>
      </c>
      <c r="F188" s="50"/>
      <c r="G188" s="51"/>
      <c r="H188" s="51"/>
      <c r="I188" s="51"/>
      <c r="J188" s="9"/>
      <c r="K188" s="9"/>
    </row>
    <row r="189" spans="1:11">
      <c r="A189" s="10" t="s">
        <v>33</v>
      </c>
      <c r="B189" s="10"/>
      <c r="C189" s="10"/>
      <c r="D189" s="11" t="s">
        <v>4</v>
      </c>
      <c r="E189" s="52"/>
      <c r="F189" s="52"/>
      <c r="G189" s="53"/>
      <c r="H189" s="12"/>
      <c r="I189" s="12"/>
      <c r="J189" s="9"/>
      <c r="K189" s="9"/>
    </row>
    <row r="190" spans="1:11">
      <c r="A190" s="10" t="s">
        <v>34</v>
      </c>
      <c r="B190" s="10"/>
      <c r="C190" s="10"/>
      <c r="D190" s="11" t="s">
        <v>4</v>
      </c>
      <c r="E190" s="54"/>
      <c r="F190" s="54"/>
      <c r="G190" s="53"/>
      <c r="H190" s="12"/>
      <c r="I190" s="12"/>
      <c r="J190" s="9"/>
      <c r="K190" s="9"/>
    </row>
    <row r="191" spans="1:11">
      <c r="A191" s="10" t="s">
        <v>35</v>
      </c>
      <c r="B191" s="10"/>
      <c r="C191" s="10"/>
      <c r="D191" s="11" t="s">
        <v>4</v>
      </c>
      <c r="E191" s="54">
        <f>E189+E190</f>
        <v>0</v>
      </c>
      <c r="F191" s="54"/>
      <c r="G191" s="10"/>
      <c r="H191" s="12"/>
      <c r="I191" s="12"/>
      <c r="J191" s="56"/>
      <c r="K191" s="56"/>
    </row>
    <row r="192" spans="1:11">
      <c r="A192" s="13"/>
      <c r="B192" s="13"/>
      <c r="C192" s="13"/>
      <c r="D192" s="11"/>
      <c r="E192" s="13"/>
      <c r="F192" s="13"/>
      <c r="G192" s="10"/>
      <c r="H192" s="12"/>
      <c r="I192" s="12"/>
      <c r="J192" s="56"/>
      <c r="K192" s="56"/>
    </row>
    <row r="193" spans="1:11">
      <c r="A193" s="85" t="s">
        <v>36</v>
      </c>
      <c r="B193" s="85"/>
      <c r="C193" s="85"/>
      <c r="D193" s="11" t="s">
        <v>4</v>
      </c>
      <c r="E193" s="50">
        <f>E188-E191</f>
        <v>2500000</v>
      </c>
      <c r="F193" s="50"/>
      <c r="G193" s="10"/>
      <c r="H193" s="12"/>
      <c r="I193" s="12"/>
      <c r="J193" s="56"/>
      <c r="K193" s="56"/>
    </row>
    <row r="194" spans="1:11" ht="15.75">
      <c r="A194" s="13"/>
      <c r="B194" s="13"/>
      <c r="C194" s="10"/>
      <c r="D194" s="10"/>
      <c r="E194" s="16" t="str">
        <f>PROPER(IF(E193=0,"nol",IF(E193&lt;0,"minus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193),"000000000000000"),1,3)=0,"",MID(TEXT(ABS(E193),"000000000000000"),1,1)&amp;" ratus "&amp;MID(TEXT(ABS(E193),"000000000000000"),2,1)&amp;" puluh "&amp;MID(TEXT(ABS(E193),"000000000000000"),3,1)&amp;" trilyun ")&amp;IF(--MID(TEXT(ABS(E193),"000000000000000"),4,3)=0,"",MID(TEXT(ABS(E193),"000000000000000"),4,1)&amp;" ratus "&amp;MID(TEXT(ABS(E193),"000000000000000"),5,1)&amp;" puluh "&amp;MID(TEXT(ABS(E193),"000000000000000"),6,1)&amp;" milyar ")&amp;IF(--MID(TEXT(ABS(E193),"000000000000000"),7,3)=0,"",MID(TEXT(ABS(E193),"000000000000000"),7,1)&amp;" ratus "&amp;MID(TEXT(ABS(E193),"000000000000000"),8,1)&amp;" puluh "&amp;MID(TEXT(ABS(E193),"000000000000000"),9,1)&amp;" juta ")&amp;IF(--MID(TEXT(ABS(E193),"000000000000000"),10,3)=0,"",IF(--MID(TEXT(ABS(E193),"000000000000000"),10,3)=1,"*",MID(TEXT(ABS(E193),"000000000000000"),10,1)&amp;" ratus "&amp;MID(TEXT(ABS(E193),"000000000000000"),11,1)&amp;" puluh ")&amp;MID(TEXT(ABS(E193),"000000000000000"),12,1)&amp;" ribu ")&amp;IF(--MID(TEXT(ABS(E193),"000000000000000"),13,3)=0,"",MID(TEXT(ABS(E193),"000000000000000"),13,1)&amp;" ratus "&amp;MID(TEXT(ABS(E193),"000000000000000"),14,1)&amp;" puluh "&amp;MID(TEXT(ABS(E193),"000000000000000"),15,1)),1,"satu"),2,"dua"),3,"tiga"),4,"empat"),5,"lima"),6,"enam"),7,"tujuh"),8,"delapan"),9,"sembilan"),"0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Lima Ratus Ribu Rupiah</v>
      </c>
      <c r="F194" s="10"/>
      <c r="G194" s="10"/>
      <c r="H194" s="10"/>
      <c r="I194" s="10"/>
      <c r="J194" s="56"/>
      <c r="K194" s="56"/>
    </row>
    <row r="195" spans="1:11">
      <c r="A195" s="55"/>
      <c r="B195" s="55"/>
      <c r="C195" s="55"/>
      <c r="D195" s="55"/>
      <c r="E195" s="55"/>
      <c r="F195" s="55"/>
      <c r="G195" s="37"/>
      <c r="H195" s="56"/>
      <c r="I195" s="56"/>
      <c r="J195" s="56"/>
      <c r="K195" s="56"/>
    </row>
    <row r="196" spans="1:11">
      <c r="A196" s="37"/>
      <c r="B196" s="37"/>
      <c r="C196" s="37"/>
      <c r="D196" s="37"/>
      <c r="E196" s="37"/>
      <c r="F196" s="37"/>
      <c r="G196" s="37"/>
      <c r="H196"/>
      <c r="I196"/>
      <c r="J196" s="56"/>
      <c r="K196" s="56"/>
    </row>
    <row r="197" spans="1:11">
      <c r="A197" s="13"/>
      <c r="B197" s="13"/>
      <c r="C197" s="10"/>
      <c r="D197" s="10"/>
      <c r="E197" s="10"/>
      <c r="F197" s="10"/>
      <c r="G197" s="10"/>
      <c r="I197" s="57"/>
      <c r="J197" s="57" t="s">
        <v>75</v>
      </c>
      <c r="K197" s="56"/>
    </row>
    <row r="198" spans="1:11">
      <c r="A198" s="12" t="s">
        <v>37</v>
      </c>
      <c r="B198" s="10"/>
      <c r="C198" s="10"/>
      <c r="D198" s="10"/>
      <c r="E198" s="10"/>
      <c r="F198" s="10"/>
      <c r="G198" s="10"/>
      <c r="I198" s="12"/>
      <c r="J198" s="12" t="s">
        <v>38</v>
      </c>
      <c r="K198" s="56"/>
    </row>
    <row r="199" spans="1:11">
      <c r="A199" s="10"/>
      <c r="B199" s="10"/>
      <c r="C199" s="10"/>
      <c r="D199" s="10"/>
      <c r="E199" s="10"/>
      <c r="F199" s="10"/>
      <c r="G199" s="10"/>
      <c r="I199" s="12"/>
      <c r="J199" s="12"/>
      <c r="K199" s="56"/>
    </row>
    <row r="200" spans="1:11">
      <c r="A200" s="10"/>
      <c r="B200" s="10"/>
      <c r="C200" s="10"/>
      <c r="D200" s="10"/>
      <c r="E200" s="10"/>
      <c r="F200" s="10"/>
      <c r="G200" s="10"/>
      <c r="I200" s="12"/>
      <c r="J200" s="12"/>
      <c r="K200" s="56"/>
    </row>
    <row r="201" spans="1:11">
      <c r="A201" s="10"/>
      <c r="B201" s="10"/>
      <c r="C201" s="10"/>
      <c r="D201" s="10"/>
      <c r="E201" s="10"/>
      <c r="F201" s="10"/>
      <c r="G201" s="10"/>
      <c r="I201" s="12"/>
      <c r="J201" s="12"/>
      <c r="K201" s="56"/>
    </row>
    <row r="202" spans="1:11">
      <c r="A202" s="10"/>
      <c r="B202" s="10"/>
      <c r="C202" s="10"/>
      <c r="D202" s="10"/>
      <c r="E202" s="10"/>
      <c r="F202" s="10"/>
      <c r="G202" s="10"/>
      <c r="I202" s="12"/>
      <c r="J202" s="12"/>
      <c r="K202" s="56"/>
    </row>
    <row r="203" spans="1:11">
      <c r="A203" s="69" t="s">
        <v>50</v>
      </c>
      <c r="B203" s="58"/>
      <c r="C203" s="59"/>
      <c r="D203" s="59"/>
      <c r="E203" s="59"/>
      <c r="F203" s="59"/>
      <c r="G203" s="10" t="s">
        <v>39</v>
      </c>
      <c r="I203" s="58"/>
      <c r="J203" s="58" t="s">
        <v>40</v>
      </c>
      <c r="K203" s="56"/>
    </row>
    <row r="208" spans="1:11" ht="15.75">
      <c r="C208" s="2"/>
      <c r="D208" s="2"/>
      <c r="E208" s="2"/>
      <c r="F208" s="2"/>
    </row>
    <row r="209" spans="1:11" ht="15.75">
      <c r="A209" s="3"/>
      <c r="B209" s="3"/>
      <c r="C209" s="2"/>
      <c r="D209" s="2"/>
      <c r="E209" s="2"/>
      <c r="F209" s="2"/>
      <c r="G209" s="3"/>
      <c r="H209" s="4"/>
      <c r="I209" s="4"/>
      <c r="J209" s="4"/>
      <c r="K209" s="5"/>
    </row>
    <row r="210" spans="1:11">
      <c r="H210" s="5"/>
      <c r="I210" s="5"/>
      <c r="J210" s="5"/>
      <c r="K210" s="5"/>
    </row>
    <row r="211" spans="1:11">
      <c r="H211" s="5"/>
      <c r="I211" s="5"/>
      <c r="J211" s="5"/>
      <c r="K211" s="5"/>
    </row>
    <row r="212" spans="1:11">
      <c r="A212" s="73" t="s">
        <v>0</v>
      </c>
      <c r="B212" s="73"/>
      <c r="C212" s="74"/>
      <c r="D212" s="74"/>
      <c r="E212" s="74"/>
      <c r="F212" s="74"/>
      <c r="G212" s="74"/>
      <c r="H212" s="74"/>
      <c r="I212" s="74"/>
      <c r="J212" s="74"/>
      <c r="K212" s="74"/>
    </row>
    <row r="213" spans="1:11">
      <c r="A213" s="74" t="s">
        <v>78</v>
      </c>
      <c r="B213" s="74"/>
      <c r="C213" s="74"/>
      <c r="D213" s="74"/>
      <c r="E213" s="74"/>
      <c r="F213" s="74"/>
      <c r="G213" s="74"/>
      <c r="H213" s="74"/>
      <c r="I213" s="74"/>
      <c r="J213" s="74"/>
      <c r="K213" s="74"/>
    </row>
    <row r="214" spans="1:11">
      <c r="A214" s="74" t="s">
        <v>1</v>
      </c>
      <c r="B214" s="74"/>
      <c r="C214" s="74"/>
      <c r="D214" s="74"/>
      <c r="E214" s="74"/>
      <c r="F214" s="74"/>
      <c r="G214" s="74"/>
      <c r="H214" s="74"/>
      <c r="I214" s="74"/>
      <c r="J214" s="74"/>
      <c r="K214" s="74"/>
    </row>
    <row r="215" spans="1:11">
      <c r="A215" s="74" t="s">
        <v>51</v>
      </c>
      <c r="B215" s="74"/>
      <c r="C215" s="74"/>
      <c r="D215" s="74"/>
      <c r="E215" s="74"/>
      <c r="F215" s="74"/>
      <c r="G215" s="74"/>
      <c r="H215" s="74"/>
      <c r="I215" s="74"/>
      <c r="J215" s="74"/>
      <c r="K215" s="74"/>
    </row>
    <row r="216" spans="1:11">
      <c r="A216" s="74" t="s">
        <v>2</v>
      </c>
      <c r="B216" s="74"/>
      <c r="C216" s="74"/>
      <c r="D216" s="74"/>
      <c r="E216" s="74"/>
      <c r="F216" s="74"/>
      <c r="G216" s="74"/>
      <c r="H216" s="74"/>
      <c r="I216" s="74"/>
      <c r="J216" s="74"/>
      <c r="K216" s="74"/>
    </row>
    <row r="217" spans="1:11">
      <c r="A217" s="6"/>
      <c r="B217" s="6"/>
      <c r="C217" s="7"/>
      <c r="D217" s="7"/>
      <c r="E217" s="7"/>
      <c r="F217" s="7"/>
      <c r="G217" s="8"/>
      <c r="H217" s="9"/>
      <c r="I217" s="9"/>
      <c r="J217" s="9"/>
      <c r="K217" s="9"/>
    </row>
    <row r="218" spans="1:11">
      <c r="A218" s="62" t="s">
        <v>3</v>
      </c>
      <c r="B218" s="10"/>
      <c r="C218" s="10"/>
      <c r="D218" s="63" t="s">
        <v>4</v>
      </c>
      <c r="E218" s="10" t="s">
        <v>5</v>
      </c>
      <c r="F218" s="11"/>
      <c r="G218" s="10"/>
      <c r="H218" s="12"/>
      <c r="I218" s="12"/>
      <c r="J218" s="12"/>
      <c r="K218" s="9"/>
    </row>
    <row r="219" spans="1:11">
      <c r="A219" s="62" t="s">
        <v>6</v>
      </c>
      <c r="B219" s="10"/>
      <c r="C219" s="10"/>
      <c r="D219" s="63" t="s">
        <v>4</v>
      </c>
      <c r="E219" s="10" t="s">
        <v>7</v>
      </c>
      <c r="F219" s="11"/>
      <c r="G219" s="10"/>
      <c r="H219" s="12"/>
      <c r="I219" s="12"/>
      <c r="J219" s="12"/>
      <c r="K219" s="9"/>
    </row>
    <row r="220" spans="1:11">
      <c r="A220" s="62" t="s">
        <v>8</v>
      </c>
      <c r="B220" s="10"/>
      <c r="C220" s="10"/>
      <c r="D220" s="63" t="s">
        <v>4</v>
      </c>
      <c r="E220" s="13">
        <v>2026</v>
      </c>
      <c r="F220" s="11"/>
      <c r="G220" s="13"/>
      <c r="H220" s="12"/>
      <c r="I220" s="12"/>
      <c r="J220" s="12"/>
      <c r="K220" s="9"/>
    </row>
    <row r="221" spans="1:11">
      <c r="A221" s="62" t="s">
        <v>9</v>
      </c>
      <c r="B221" s="10"/>
      <c r="C221" s="10"/>
      <c r="D221" s="63" t="s">
        <v>4</v>
      </c>
      <c r="E221" s="14">
        <f>J237</f>
        <v>167204129</v>
      </c>
      <c r="F221" s="11"/>
      <c r="G221" s="14"/>
      <c r="H221" s="12"/>
      <c r="I221" s="12"/>
      <c r="J221" s="12"/>
      <c r="K221" s="9"/>
    </row>
    <row r="222" spans="1:11" ht="15.75">
      <c r="A222" s="10"/>
      <c r="B222" s="10"/>
      <c r="C222" s="15" t="s">
        <v>10</v>
      </c>
      <c r="D222" s="63" t="s">
        <v>4</v>
      </c>
      <c r="E222" s="16" t="str">
        <f>PROPER(IF(E221=0,"nol",IF(E221&lt;0,"minus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221),"000000000000000"),1,3)=0,"",MID(TEXT(ABS(E221),"000000000000000"),1,1)&amp;" ratus "&amp;MID(TEXT(ABS(E221),"000000000000000"),2,1)&amp;" puluh "&amp;MID(TEXT(ABS(E221),"000000000000000"),3,1)&amp;" trilyun ")&amp;IF(--MID(TEXT(ABS(E221),"000000000000000"),4,3)=0,"",MID(TEXT(ABS(E221),"000000000000000"),4,1)&amp;" ratus "&amp;MID(TEXT(ABS(E221),"000000000000000"),5,1)&amp;" puluh "&amp;MID(TEXT(ABS(E221),"000000000000000"),6,1)&amp;" milyar ")&amp;IF(--MID(TEXT(ABS(E221),"000000000000000"),7,3)=0,"",MID(TEXT(ABS(E221),"000000000000000"),7,1)&amp;" ratus "&amp;MID(TEXT(ABS(E221),"000000000000000"),8,1)&amp;" puluh "&amp;MID(TEXT(ABS(E221),"000000000000000"),9,1)&amp;" juta ")&amp;IF(--MID(TEXT(ABS(E221),"000000000000000"),10,3)=0,"",IF(--MID(TEXT(ABS(E221),"000000000000000"),10,3)=1,"*",MID(TEXT(ABS(E221),"000000000000000"),10,1)&amp;" ratus "&amp;MID(TEXT(ABS(E221),"000000000000000"),11,1)&amp;" puluh ")&amp;MID(TEXT(ABS(E221),"000000000000000"),12,1)&amp;" ribu ")&amp;IF(--MID(TEXT(ABS(E221),"000000000000000"),13,3)=0,"",MID(TEXT(ABS(E221),"000000000000000"),13,1)&amp;" ratus "&amp;MID(TEXT(ABS(E221),"000000000000000"),14,1)&amp;" puluh "&amp;MID(TEXT(ABS(E221),"000000000000000"),15,1)),1,"satu"),2,"dua"),3,"tiga"),4,"empat"),5,"lima"),6,"enam"),7,"tujuh"),8,"delapan"),9,"sembilan"),"0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Tujuh Juta Dua Ratus Empat Ribu Seratus Dua Puluh Sembilan Rupiah</v>
      </c>
      <c r="F222" s="11"/>
      <c r="G222" s="16"/>
      <c r="H222" s="12"/>
      <c r="I222" s="12"/>
      <c r="J222" s="12"/>
      <c r="K222" s="9"/>
    </row>
    <row r="223" spans="1:11" ht="15.75">
      <c r="A223" s="10"/>
      <c r="B223" s="10"/>
      <c r="C223" s="15"/>
      <c r="D223" s="15"/>
      <c r="E223" s="15"/>
      <c r="F223" s="11"/>
      <c r="G223" s="16"/>
      <c r="H223" s="12"/>
      <c r="I223" s="12"/>
      <c r="J223" s="12"/>
      <c r="K223" s="9"/>
    </row>
    <row r="224" spans="1:11">
      <c r="A224" s="10" t="s">
        <v>11</v>
      </c>
      <c r="B224" s="10"/>
      <c r="C224" s="10"/>
      <c r="D224" s="10"/>
      <c r="E224" s="10"/>
      <c r="F224" s="10"/>
      <c r="G224" s="10"/>
      <c r="H224" s="12"/>
      <c r="I224" s="12"/>
      <c r="J224" s="12"/>
      <c r="K224" s="9"/>
    </row>
    <row r="225" spans="1:11">
      <c r="A225" s="75" t="s">
        <v>12</v>
      </c>
      <c r="B225" s="75"/>
      <c r="C225" s="75"/>
      <c r="D225" s="75"/>
      <c r="E225" s="75"/>
      <c r="F225" s="75"/>
      <c r="G225" s="75"/>
      <c r="H225" s="75"/>
      <c r="I225" s="75"/>
      <c r="J225" s="75"/>
      <c r="K225" s="75"/>
    </row>
    <row r="226" spans="1:11" ht="60">
      <c r="A226" s="17" t="s">
        <v>13</v>
      </c>
      <c r="B226" s="18" t="s">
        <v>14</v>
      </c>
      <c r="C226" s="76" t="s">
        <v>15</v>
      </c>
      <c r="D226" s="77"/>
      <c r="E226" s="78"/>
      <c r="F226" s="19"/>
      <c r="G226" s="20" t="s">
        <v>16</v>
      </c>
      <c r="H226" s="21" t="s">
        <v>41</v>
      </c>
      <c r="I226" s="21"/>
      <c r="J226" s="39" t="s">
        <v>17</v>
      </c>
      <c r="K226" s="40" t="s">
        <v>18</v>
      </c>
    </row>
    <row r="227" spans="1:11">
      <c r="A227" s="22">
        <v>1</v>
      </c>
      <c r="B227" s="25"/>
      <c r="C227" s="29" t="s">
        <v>23</v>
      </c>
      <c r="D227" s="67"/>
      <c r="E227" s="26"/>
      <c r="F227" s="23"/>
      <c r="G227" s="64" t="s">
        <v>19</v>
      </c>
      <c r="H227" s="64" t="s">
        <v>19</v>
      </c>
      <c r="I227" s="64"/>
      <c r="J227" s="64" t="s">
        <v>19</v>
      </c>
      <c r="K227" s="64" t="s">
        <v>19</v>
      </c>
    </row>
    <row r="228" spans="1:11">
      <c r="A228" s="25"/>
      <c r="B228" s="65" t="s">
        <v>20</v>
      </c>
      <c r="C228" s="70" t="s">
        <v>24</v>
      </c>
      <c r="D228" s="71"/>
      <c r="E228" s="72"/>
      <c r="F228" s="23"/>
      <c r="G228" s="24">
        <v>300000000</v>
      </c>
      <c r="H228" s="27">
        <f>H177+J177</f>
        <v>46681819</v>
      </c>
      <c r="I228" s="27"/>
      <c r="J228" s="27">
        <v>0</v>
      </c>
      <c r="K228" s="41">
        <f t="shared" ref="K228:K236" si="7">G228-H228-J228</f>
        <v>253318181</v>
      </c>
    </row>
    <row r="229" spans="1:11">
      <c r="A229" s="25"/>
      <c r="B229" s="65" t="s">
        <v>21</v>
      </c>
      <c r="C229" s="70" t="s">
        <v>25</v>
      </c>
      <c r="D229" s="71"/>
      <c r="E229" s="72"/>
      <c r="F229" s="23"/>
      <c r="G229" s="28">
        <v>15000000</v>
      </c>
      <c r="H229" s="27">
        <f t="shared" ref="H229:H232" si="8">H178+J178</f>
        <v>2000000</v>
      </c>
      <c r="I229" s="27"/>
      <c r="J229" s="27">
        <v>0</v>
      </c>
      <c r="K229" s="41">
        <f t="shared" si="7"/>
        <v>13000000</v>
      </c>
    </row>
    <row r="230" spans="1:11">
      <c r="A230" s="25"/>
      <c r="B230" s="65" t="s">
        <v>22</v>
      </c>
      <c r="C230" s="79" t="s">
        <v>26</v>
      </c>
      <c r="D230" s="80"/>
      <c r="E230" s="81"/>
      <c r="F230" s="23"/>
      <c r="G230" s="24">
        <v>115048000</v>
      </c>
      <c r="H230" s="27">
        <f t="shared" si="8"/>
        <v>16850000</v>
      </c>
      <c r="I230" s="27"/>
      <c r="J230" s="27">
        <v>0</v>
      </c>
      <c r="K230" s="41">
        <f t="shared" si="7"/>
        <v>98198000</v>
      </c>
    </row>
    <row r="231" spans="1:11">
      <c r="A231" s="25"/>
      <c r="B231" s="65" t="s">
        <v>43</v>
      </c>
      <c r="C231" s="70" t="s">
        <v>27</v>
      </c>
      <c r="D231" s="71"/>
      <c r="E231" s="72"/>
      <c r="F231" s="23"/>
      <c r="G231" s="24">
        <v>171988668</v>
      </c>
      <c r="H231" s="27">
        <f>H180+J180</f>
        <v>27115000</v>
      </c>
      <c r="I231" s="27"/>
      <c r="J231" s="27">
        <v>0</v>
      </c>
      <c r="K231" s="41">
        <f t="shared" si="7"/>
        <v>144873668</v>
      </c>
    </row>
    <row r="232" spans="1:11">
      <c r="A232" s="25"/>
      <c r="B232" s="65" t="s">
        <v>44</v>
      </c>
      <c r="C232" s="70" t="s">
        <v>28</v>
      </c>
      <c r="D232" s="71"/>
      <c r="E232" s="72"/>
      <c r="F232" s="23"/>
      <c r="G232" s="24">
        <v>92440133</v>
      </c>
      <c r="H232" s="27">
        <f t="shared" si="8"/>
        <v>27447920</v>
      </c>
      <c r="I232" s="27"/>
      <c r="J232" s="27">
        <v>0</v>
      </c>
      <c r="K232" s="41">
        <f t="shared" si="7"/>
        <v>64992213</v>
      </c>
    </row>
    <row r="233" spans="1:11">
      <c r="A233" s="25"/>
      <c r="B233" s="65" t="s">
        <v>45</v>
      </c>
      <c r="C233" s="70" t="s">
        <v>42</v>
      </c>
      <c r="D233" s="71"/>
      <c r="E233" s="72"/>
      <c r="F233" s="23"/>
      <c r="G233" s="24">
        <v>64388964</v>
      </c>
      <c r="H233" s="27">
        <f>H182+J182</f>
        <v>14134302</v>
      </c>
      <c r="I233" s="27"/>
      <c r="J233" s="27">
        <v>0</v>
      </c>
      <c r="K233" s="41">
        <f t="shared" si="7"/>
        <v>50254662</v>
      </c>
    </row>
    <row r="234" spans="1:11">
      <c r="A234" s="30"/>
      <c r="B234" s="66" t="s">
        <v>46</v>
      </c>
      <c r="C234" s="82" t="s">
        <v>29</v>
      </c>
      <c r="D234" s="83"/>
      <c r="E234" s="84"/>
      <c r="F234" s="31"/>
      <c r="G234" s="24">
        <v>214466910</v>
      </c>
      <c r="H234" s="27">
        <f t="shared" ref="H234:H236" si="9">H183+J183</f>
        <v>0</v>
      </c>
      <c r="I234" s="27"/>
      <c r="J234" s="27">
        <v>167204129</v>
      </c>
      <c r="K234" s="41">
        <f t="shared" si="7"/>
        <v>47262781</v>
      </c>
    </row>
    <row r="235" spans="1:11">
      <c r="A235" s="30"/>
      <c r="B235" s="66" t="s">
        <v>47</v>
      </c>
      <c r="C235" s="32" t="s">
        <v>30</v>
      </c>
      <c r="D235" s="33"/>
      <c r="E235" s="34"/>
      <c r="F235" s="31"/>
      <c r="G235" s="24">
        <v>25000000</v>
      </c>
      <c r="H235" s="27">
        <f t="shared" si="9"/>
        <v>3850000</v>
      </c>
      <c r="I235" s="27"/>
      <c r="J235" s="27">
        <v>0</v>
      </c>
      <c r="K235" s="41">
        <f t="shared" si="7"/>
        <v>21150000</v>
      </c>
    </row>
    <row r="236" spans="1:11">
      <c r="A236" s="35"/>
      <c r="B236" s="66" t="s">
        <v>48</v>
      </c>
      <c r="C236" s="68" t="s">
        <v>49</v>
      </c>
      <c r="D236" s="10"/>
      <c r="E236" s="36"/>
      <c r="F236" s="31"/>
      <c r="G236" s="24">
        <v>178488817</v>
      </c>
      <c r="H236" s="27">
        <f t="shared" si="9"/>
        <v>0</v>
      </c>
      <c r="I236" s="27"/>
      <c r="J236" s="42">
        <v>0</v>
      </c>
      <c r="K236" s="43">
        <f t="shared" si="7"/>
        <v>178488817</v>
      </c>
    </row>
    <row r="237" spans="1:11">
      <c r="A237" s="44"/>
      <c r="B237" s="44"/>
      <c r="C237" s="44" t="s">
        <v>31</v>
      </c>
      <c r="D237" s="44"/>
      <c r="E237" s="44"/>
      <c r="F237" s="45"/>
      <c r="G237" s="46">
        <f>SUM(G227:G236)</f>
        <v>1176821492</v>
      </c>
      <c r="H237" s="47">
        <f>SUM(H227:H236)</f>
        <v>138079041</v>
      </c>
      <c r="I237" s="47"/>
      <c r="J237" s="47">
        <f>SUM(J227:J236)</f>
        <v>167204129</v>
      </c>
      <c r="K237" s="47">
        <f>SUM(K227:K236)</f>
        <v>871538322</v>
      </c>
    </row>
    <row r="238" spans="1:11">
      <c r="A238" s="48"/>
      <c r="B238" s="8"/>
      <c r="C238" s="8"/>
      <c r="D238" s="8"/>
      <c r="E238" s="8"/>
      <c r="F238" s="8"/>
      <c r="G238" s="49"/>
      <c r="H238" s="49"/>
      <c r="I238" s="49"/>
      <c r="J238" s="49"/>
      <c r="K238" s="49"/>
    </row>
    <row r="239" spans="1:11">
      <c r="A239" s="85" t="s">
        <v>32</v>
      </c>
      <c r="B239" s="85"/>
      <c r="C239" s="85"/>
      <c r="D239" s="11" t="s">
        <v>4</v>
      </c>
      <c r="E239" s="14">
        <f>J237</f>
        <v>167204129</v>
      </c>
      <c r="F239" s="50"/>
      <c r="G239" s="51"/>
      <c r="H239" s="51"/>
      <c r="I239" s="51"/>
      <c r="J239" s="9"/>
      <c r="K239" s="9"/>
    </row>
    <row r="240" spans="1:11">
      <c r="A240" s="10" t="s">
        <v>33</v>
      </c>
      <c r="B240" s="10"/>
      <c r="C240" s="10"/>
      <c r="D240" s="11" t="s">
        <v>4</v>
      </c>
      <c r="E240" s="52"/>
      <c r="F240" s="52"/>
      <c r="G240" s="53"/>
      <c r="H240" s="12"/>
      <c r="I240" s="12"/>
      <c r="J240" s="9"/>
      <c r="K240" s="9"/>
    </row>
    <row r="241" spans="1:11">
      <c r="A241" s="10" t="s">
        <v>34</v>
      </c>
      <c r="B241" s="10"/>
      <c r="C241" s="10"/>
      <c r="D241" s="11" t="s">
        <v>4</v>
      </c>
      <c r="E241" s="54"/>
      <c r="F241" s="54"/>
      <c r="G241" s="53"/>
      <c r="H241" s="12"/>
      <c r="I241" s="12"/>
      <c r="J241" s="9"/>
      <c r="K241" s="9"/>
    </row>
    <row r="242" spans="1:11">
      <c r="A242" s="10" t="s">
        <v>35</v>
      </c>
      <c r="B242" s="10"/>
      <c r="C242" s="10"/>
      <c r="D242" s="11" t="s">
        <v>4</v>
      </c>
      <c r="E242" s="54">
        <f>E240+E241</f>
        <v>0</v>
      </c>
      <c r="F242" s="54"/>
      <c r="G242" s="10"/>
      <c r="H242" s="12"/>
      <c r="I242" s="12"/>
      <c r="J242" s="56"/>
      <c r="K242" s="56"/>
    </row>
    <row r="243" spans="1:11">
      <c r="A243" s="13"/>
      <c r="B243" s="13"/>
      <c r="C243" s="13"/>
      <c r="D243" s="11"/>
      <c r="E243" s="13"/>
      <c r="F243" s="13"/>
      <c r="G243" s="10"/>
      <c r="H243" s="12"/>
      <c r="I243" s="12"/>
      <c r="J243" s="56"/>
      <c r="K243" s="56"/>
    </row>
    <row r="244" spans="1:11">
      <c r="A244" s="85" t="s">
        <v>36</v>
      </c>
      <c r="B244" s="85"/>
      <c r="C244" s="85"/>
      <c r="D244" s="11" t="s">
        <v>4</v>
      </c>
      <c r="E244" s="50">
        <f>E239-E242</f>
        <v>167204129</v>
      </c>
      <c r="F244" s="50"/>
      <c r="G244" s="10"/>
      <c r="H244" s="12"/>
      <c r="I244" s="12"/>
      <c r="J244" s="56"/>
      <c r="K244" s="56"/>
    </row>
    <row r="245" spans="1:11" ht="15.75">
      <c r="A245" s="13"/>
      <c r="B245" s="13"/>
      <c r="C245" s="10"/>
      <c r="D245" s="10"/>
      <c r="E245" s="16" t="str">
        <f>PROPER(IF(E244=0,"nol",IF(E244&lt;0,"minus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244),"000000000000000"),1,3)=0,"",MID(TEXT(ABS(E244),"000000000000000"),1,1)&amp;" ratus "&amp;MID(TEXT(ABS(E244),"000000000000000"),2,1)&amp;" puluh "&amp;MID(TEXT(ABS(E244),"000000000000000"),3,1)&amp;" trilyun ")&amp;IF(--MID(TEXT(ABS(E244),"000000000000000"),4,3)=0,"",MID(TEXT(ABS(E244),"000000000000000"),4,1)&amp;" ratus "&amp;MID(TEXT(ABS(E244),"000000000000000"),5,1)&amp;" puluh "&amp;MID(TEXT(ABS(E244),"000000000000000"),6,1)&amp;" milyar ")&amp;IF(--MID(TEXT(ABS(E244),"000000000000000"),7,3)=0,"",MID(TEXT(ABS(E244),"000000000000000"),7,1)&amp;" ratus "&amp;MID(TEXT(ABS(E244),"000000000000000"),8,1)&amp;" puluh "&amp;MID(TEXT(ABS(E244),"000000000000000"),9,1)&amp;" juta ")&amp;IF(--MID(TEXT(ABS(E244),"000000000000000"),10,3)=0,"",IF(--MID(TEXT(ABS(E244),"000000000000000"),10,3)=1,"*",MID(TEXT(ABS(E244),"000000000000000"),10,1)&amp;" ratus "&amp;MID(TEXT(ABS(E244),"000000000000000"),11,1)&amp;" puluh ")&amp;MID(TEXT(ABS(E244),"000000000000000"),12,1)&amp;" ribu ")&amp;IF(--MID(TEXT(ABS(E244),"000000000000000"),13,3)=0,"",MID(TEXT(ABS(E244),"000000000000000"),13,1)&amp;" ratus "&amp;MID(TEXT(ABS(E244),"000000000000000"),14,1)&amp;" puluh "&amp;MID(TEXT(ABS(E244),"000000000000000"),15,1)),1,"satu"),2,"dua"),3,"tiga"),4,"empat"),5,"lima"),6,"enam"),7,"tujuh"),8,"delapan"),9,"sembilan"),"0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Tujuh Juta Dua Ratus Empat Ribu Seratus Dua Puluh Sembilan Rupiah</v>
      </c>
      <c r="F245" s="10"/>
      <c r="G245" s="10"/>
      <c r="H245" s="10"/>
      <c r="I245" s="10"/>
      <c r="J245" s="56"/>
      <c r="K245" s="56"/>
    </row>
    <row r="246" spans="1:11">
      <c r="A246" s="55"/>
      <c r="B246" s="55"/>
      <c r="C246" s="55"/>
      <c r="D246" s="55"/>
      <c r="E246" s="55"/>
      <c r="F246" s="55"/>
      <c r="G246" s="37"/>
      <c r="H246" s="56"/>
      <c r="I246" s="56"/>
      <c r="J246" s="56"/>
      <c r="K246" s="56"/>
    </row>
    <row r="247" spans="1:11">
      <c r="A247" s="37"/>
      <c r="B247" s="37"/>
      <c r="C247" s="37"/>
      <c r="D247" s="37"/>
      <c r="E247" s="37"/>
      <c r="F247" s="37"/>
      <c r="G247" s="37"/>
      <c r="H247"/>
      <c r="I247"/>
      <c r="J247" s="56"/>
      <c r="K247" s="56"/>
    </row>
    <row r="248" spans="1:11">
      <c r="A248" s="13"/>
      <c r="B248" s="13"/>
      <c r="C248" s="10"/>
      <c r="D248" s="10"/>
      <c r="E248" s="10"/>
      <c r="F248" s="10"/>
      <c r="G248" s="10"/>
      <c r="I248" s="57"/>
      <c r="J248" s="57" t="s">
        <v>79</v>
      </c>
      <c r="K248" s="56"/>
    </row>
    <row r="249" spans="1:11">
      <c r="A249" s="12" t="s">
        <v>37</v>
      </c>
      <c r="B249" s="10"/>
      <c r="C249" s="10"/>
      <c r="D249" s="10"/>
      <c r="E249" s="10"/>
      <c r="F249" s="10"/>
      <c r="G249" s="10"/>
      <c r="I249" s="12"/>
      <c r="J249" s="12" t="s">
        <v>38</v>
      </c>
      <c r="K249" s="56"/>
    </row>
    <row r="250" spans="1:11">
      <c r="A250" s="10"/>
      <c r="B250" s="10"/>
      <c r="C250" s="10"/>
      <c r="D250" s="10"/>
      <c r="E250" s="10"/>
      <c r="F250" s="10"/>
      <c r="G250" s="10"/>
      <c r="I250" s="12"/>
      <c r="J250" s="12"/>
      <c r="K250" s="56"/>
    </row>
    <row r="251" spans="1:11">
      <c r="A251" s="10"/>
      <c r="B251" s="10"/>
      <c r="C251" s="10"/>
      <c r="D251" s="10"/>
      <c r="E251" s="10"/>
      <c r="F251" s="10"/>
      <c r="G251" s="10"/>
      <c r="I251" s="12"/>
      <c r="J251" s="12"/>
      <c r="K251" s="56"/>
    </row>
    <row r="252" spans="1:11">
      <c r="A252" s="10"/>
      <c r="B252" s="10"/>
      <c r="C252" s="10"/>
      <c r="D252" s="10"/>
      <c r="E252" s="10"/>
      <c r="F252" s="10"/>
      <c r="G252" s="10"/>
      <c r="I252" s="12"/>
      <c r="J252" s="12"/>
      <c r="K252" s="56"/>
    </row>
    <row r="253" spans="1:11">
      <c r="A253" s="10"/>
      <c r="B253" s="10"/>
      <c r="C253" s="10"/>
      <c r="D253" s="10"/>
      <c r="E253" s="10"/>
      <c r="F253" s="10"/>
      <c r="G253" s="10"/>
      <c r="I253" s="12"/>
      <c r="J253" s="12"/>
      <c r="K253" s="56"/>
    </row>
    <row r="254" spans="1:11">
      <c r="A254" s="69" t="s">
        <v>50</v>
      </c>
      <c r="B254" s="58"/>
      <c r="C254" s="59"/>
      <c r="D254" s="59"/>
      <c r="E254" s="59"/>
      <c r="F254" s="59"/>
      <c r="G254" s="10" t="s">
        <v>39</v>
      </c>
      <c r="I254" s="58"/>
      <c r="J254" s="58" t="s">
        <v>40</v>
      </c>
      <c r="K254" s="56"/>
    </row>
    <row r="259" spans="1:11" ht="15.75">
      <c r="C259" s="2"/>
      <c r="D259" s="2"/>
      <c r="E259" s="2"/>
      <c r="F259" s="2"/>
    </row>
    <row r="260" spans="1:11" ht="15.75">
      <c r="A260" s="3"/>
      <c r="B260" s="3"/>
      <c r="C260" s="2"/>
      <c r="D260" s="2"/>
      <c r="E260" s="2"/>
      <c r="F260" s="2"/>
      <c r="G260" s="3"/>
      <c r="H260" s="4"/>
      <c r="I260" s="4"/>
      <c r="J260" s="4"/>
      <c r="K260" s="5"/>
    </row>
    <row r="261" spans="1:11">
      <c r="H261" s="5"/>
      <c r="I261" s="5"/>
      <c r="J261" s="5"/>
      <c r="K261" s="5"/>
    </row>
    <row r="262" spans="1:11">
      <c r="H262" s="5"/>
      <c r="I262" s="5"/>
      <c r="J262" s="5"/>
      <c r="K262" s="5"/>
    </row>
    <row r="263" spans="1:11">
      <c r="A263" s="73" t="s">
        <v>0</v>
      </c>
      <c r="B263" s="73"/>
      <c r="C263" s="74"/>
      <c r="D263" s="74"/>
      <c r="E263" s="74"/>
      <c r="F263" s="74"/>
      <c r="G263" s="74"/>
      <c r="H263" s="74"/>
      <c r="I263" s="74"/>
      <c r="J263" s="74"/>
      <c r="K263" s="74"/>
    </row>
    <row r="264" spans="1:11">
      <c r="A264" s="74" t="s">
        <v>81</v>
      </c>
      <c r="B264" s="74"/>
      <c r="C264" s="74"/>
      <c r="D264" s="74"/>
      <c r="E264" s="74"/>
      <c r="F264" s="74"/>
      <c r="G264" s="74"/>
      <c r="H264" s="74"/>
      <c r="I264" s="74"/>
      <c r="J264" s="74"/>
      <c r="K264" s="74"/>
    </row>
    <row r="265" spans="1:11">
      <c r="A265" s="74" t="s">
        <v>1</v>
      </c>
      <c r="B265" s="74"/>
      <c r="C265" s="74"/>
      <c r="D265" s="74"/>
      <c r="E265" s="74"/>
      <c r="F265" s="74"/>
      <c r="G265" s="74"/>
      <c r="H265" s="74"/>
      <c r="I265" s="74"/>
      <c r="J265" s="74"/>
      <c r="K265" s="74"/>
    </row>
    <row r="266" spans="1:11">
      <c r="A266" s="74" t="s">
        <v>51</v>
      </c>
      <c r="B266" s="74"/>
      <c r="C266" s="74"/>
      <c r="D266" s="74"/>
      <c r="E266" s="74"/>
      <c r="F266" s="74"/>
      <c r="G266" s="74"/>
      <c r="H266" s="74"/>
      <c r="I266" s="74"/>
      <c r="J266" s="74"/>
      <c r="K266" s="74"/>
    </row>
    <row r="267" spans="1:11">
      <c r="A267" s="74" t="s">
        <v>2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</row>
    <row r="268" spans="1:11">
      <c r="A268" s="6"/>
      <c r="B268" s="6"/>
      <c r="C268" s="7"/>
      <c r="D268" s="7"/>
      <c r="E268" s="7"/>
      <c r="F268" s="7"/>
      <c r="G268" s="8"/>
      <c r="H268" s="9"/>
      <c r="I268" s="9"/>
      <c r="J268" s="9"/>
      <c r="K268" s="9"/>
    </row>
    <row r="269" spans="1:11">
      <c r="A269" s="62" t="s">
        <v>3</v>
      </c>
      <c r="B269" s="10"/>
      <c r="C269" s="10"/>
      <c r="D269" s="63" t="s">
        <v>4</v>
      </c>
      <c r="E269" s="10" t="s">
        <v>5</v>
      </c>
      <c r="F269" s="11"/>
      <c r="G269" s="10"/>
      <c r="H269" s="12"/>
      <c r="I269" s="12"/>
      <c r="J269" s="12"/>
      <c r="K269" s="9"/>
    </row>
    <row r="270" spans="1:11">
      <c r="A270" s="62" t="s">
        <v>6</v>
      </c>
      <c r="B270" s="10"/>
      <c r="C270" s="10"/>
      <c r="D270" s="63" t="s">
        <v>4</v>
      </c>
      <c r="E270" s="10" t="s">
        <v>7</v>
      </c>
      <c r="F270" s="11"/>
      <c r="G270" s="10"/>
      <c r="H270" s="12"/>
      <c r="I270" s="12"/>
      <c r="J270" s="12"/>
      <c r="K270" s="9"/>
    </row>
    <row r="271" spans="1:11">
      <c r="A271" s="62" t="s">
        <v>8</v>
      </c>
      <c r="B271" s="10"/>
      <c r="C271" s="10"/>
      <c r="D271" s="63" t="s">
        <v>4</v>
      </c>
      <c r="E271" s="13">
        <v>2026</v>
      </c>
      <c r="F271" s="11"/>
      <c r="G271" s="13"/>
      <c r="H271" s="12"/>
      <c r="I271" s="12"/>
      <c r="J271" s="12"/>
      <c r="K271" s="9"/>
    </row>
    <row r="272" spans="1:11">
      <c r="A272" s="62" t="s">
        <v>9</v>
      </c>
      <c r="B272" s="10"/>
      <c r="C272" s="10"/>
      <c r="D272" s="63" t="s">
        <v>4</v>
      </c>
      <c r="E272" s="14">
        <f>J288</f>
        <v>44020000</v>
      </c>
      <c r="F272" s="11"/>
      <c r="G272" s="14"/>
      <c r="H272" s="12"/>
      <c r="I272" s="12"/>
      <c r="J272" s="12"/>
      <c r="K272" s="9"/>
    </row>
    <row r="273" spans="1:11" ht="15.75">
      <c r="A273" s="10"/>
      <c r="B273" s="10"/>
      <c r="C273" s="15" t="s">
        <v>10</v>
      </c>
      <c r="D273" s="63" t="s">
        <v>4</v>
      </c>
      <c r="E273" s="16" t="str">
        <f>PROPER(IF(E272=0,"nol",IF(E272&lt;0,"minus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272),"000000000000000"),1,3)=0,"",MID(TEXT(ABS(E272),"000000000000000"),1,1)&amp;" ratus "&amp;MID(TEXT(ABS(E272),"000000000000000"),2,1)&amp;" puluh "&amp;MID(TEXT(ABS(E272),"000000000000000"),3,1)&amp;" trilyun ")&amp;IF(--MID(TEXT(ABS(E272),"000000000000000"),4,3)=0,"",MID(TEXT(ABS(E272),"000000000000000"),4,1)&amp;" ratus "&amp;MID(TEXT(ABS(E272),"000000000000000"),5,1)&amp;" puluh "&amp;MID(TEXT(ABS(E272),"000000000000000"),6,1)&amp;" milyar ")&amp;IF(--MID(TEXT(ABS(E272),"000000000000000"),7,3)=0,"",MID(TEXT(ABS(E272),"000000000000000"),7,1)&amp;" ratus "&amp;MID(TEXT(ABS(E272),"000000000000000"),8,1)&amp;" puluh "&amp;MID(TEXT(ABS(E272),"000000000000000"),9,1)&amp;" juta ")&amp;IF(--MID(TEXT(ABS(E272),"000000000000000"),10,3)=0,"",IF(--MID(TEXT(ABS(E272),"000000000000000"),10,3)=1,"*",MID(TEXT(ABS(E272),"000000000000000"),10,1)&amp;" ratus "&amp;MID(TEXT(ABS(E272),"000000000000000"),11,1)&amp;" puluh ")&amp;MID(TEXT(ABS(E272),"000000000000000"),12,1)&amp;" ribu ")&amp;IF(--MID(TEXT(ABS(E272),"000000000000000"),13,3)=0,"",MID(TEXT(ABS(E272),"000000000000000"),13,1)&amp;" ratus "&amp;MID(TEXT(ABS(E272),"000000000000000"),14,1)&amp;" puluh "&amp;MID(TEXT(ABS(E272),"000000000000000"),15,1)),1,"satu"),2,"dua"),3,"tiga"),4,"empat"),5,"lima"),6,"enam"),7,"tujuh"),8,"delapan"),9,"sembilan"),"0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Juta Dua Puluh Ribu Rupiah</v>
      </c>
      <c r="F273" s="11"/>
      <c r="G273" s="16"/>
      <c r="H273" s="12"/>
      <c r="I273" s="12"/>
      <c r="J273" s="12"/>
      <c r="K273" s="9"/>
    </row>
    <row r="274" spans="1:11" ht="15.75">
      <c r="A274" s="10"/>
      <c r="B274" s="10"/>
      <c r="C274" s="15"/>
      <c r="D274" s="15"/>
      <c r="E274" s="15"/>
      <c r="F274" s="11"/>
      <c r="G274" s="16"/>
      <c r="H274" s="12"/>
      <c r="I274" s="12"/>
      <c r="J274" s="12"/>
      <c r="K274" s="9"/>
    </row>
    <row r="275" spans="1:11">
      <c r="A275" s="10" t="s">
        <v>11</v>
      </c>
      <c r="B275" s="10"/>
      <c r="C275" s="10"/>
      <c r="D275" s="10"/>
      <c r="E275" s="10"/>
      <c r="F275" s="10"/>
      <c r="G275" s="10"/>
      <c r="H275" s="12"/>
      <c r="I275" s="12"/>
      <c r="J275" s="12"/>
      <c r="K275" s="9"/>
    </row>
    <row r="276" spans="1:11">
      <c r="A276" s="75" t="s">
        <v>12</v>
      </c>
      <c r="B276" s="75"/>
      <c r="C276" s="75"/>
      <c r="D276" s="75"/>
      <c r="E276" s="75"/>
      <c r="F276" s="75"/>
      <c r="G276" s="75"/>
      <c r="H276" s="75"/>
      <c r="I276" s="75"/>
      <c r="J276" s="75"/>
      <c r="K276" s="75"/>
    </row>
    <row r="277" spans="1:11" ht="60">
      <c r="A277" s="17" t="s">
        <v>13</v>
      </c>
      <c r="B277" s="18" t="s">
        <v>14</v>
      </c>
      <c r="C277" s="76" t="s">
        <v>15</v>
      </c>
      <c r="D277" s="77"/>
      <c r="E277" s="78"/>
      <c r="F277" s="19"/>
      <c r="G277" s="20" t="s">
        <v>16</v>
      </c>
      <c r="H277" s="21" t="s">
        <v>41</v>
      </c>
      <c r="I277" s="21"/>
      <c r="J277" s="39" t="s">
        <v>17</v>
      </c>
      <c r="K277" s="40" t="s">
        <v>18</v>
      </c>
    </row>
    <row r="278" spans="1:11">
      <c r="A278" s="22">
        <v>1</v>
      </c>
      <c r="B278" s="25"/>
      <c r="C278" s="29" t="s">
        <v>23</v>
      </c>
      <c r="D278" s="67"/>
      <c r="E278" s="26"/>
      <c r="F278" s="23"/>
      <c r="G278" s="64" t="s">
        <v>19</v>
      </c>
      <c r="H278" s="64" t="s">
        <v>19</v>
      </c>
      <c r="I278" s="64"/>
      <c r="J278" s="64" t="s">
        <v>19</v>
      </c>
      <c r="K278" s="64" t="s">
        <v>19</v>
      </c>
    </row>
    <row r="279" spans="1:11">
      <c r="A279" s="25"/>
      <c r="B279" s="65" t="s">
        <v>20</v>
      </c>
      <c r="C279" s="70" t="s">
        <v>24</v>
      </c>
      <c r="D279" s="71"/>
      <c r="E279" s="72"/>
      <c r="F279" s="23"/>
      <c r="G279" s="24">
        <v>300000000</v>
      </c>
      <c r="H279" s="27">
        <f>H228+J228</f>
        <v>46681819</v>
      </c>
      <c r="I279" s="27"/>
      <c r="J279" s="27">
        <v>22000000</v>
      </c>
      <c r="K279" s="41">
        <f t="shared" ref="K279:K287" si="10">G279-H279-J279</f>
        <v>231318181</v>
      </c>
    </row>
    <row r="280" spans="1:11">
      <c r="A280" s="25"/>
      <c r="B280" s="65" t="s">
        <v>21</v>
      </c>
      <c r="C280" s="70" t="s">
        <v>25</v>
      </c>
      <c r="D280" s="71"/>
      <c r="E280" s="72"/>
      <c r="F280" s="23"/>
      <c r="G280" s="28">
        <v>15000000</v>
      </c>
      <c r="H280" s="27">
        <f t="shared" ref="H280:H281" si="11">H229+J229</f>
        <v>2000000</v>
      </c>
      <c r="I280" s="27"/>
      <c r="J280" s="27">
        <v>1250000</v>
      </c>
      <c r="K280" s="41">
        <f t="shared" si="10"/>
        <v>11750000</v>
      </c>
    </row>
    <row r="281" spans="1:11">
      <c r="A281" s="25"/>
      <c r="B281" s="65" t="s">
        <v>22</v>
      </c>
      <c r="C281" s="79" t="s">
        <v>26</v>
      </c>
      <c r="D281" s="80"/>
      <c r="E281" s="81"/>
      <c r="F281" s="23"/>
      <c r="G281" s="24">
        <v>115048000</v>
      </c>
      <c r="H281" s="27">
        <f t="shared" si="11"/>
        <v>16850000</v>
      </c>
      <c r="I281" s="27"/>
      <c r="J281" s="27">
        <v>7290000</v>
      </c>
      <c r="K281" s="41">
        <f t="shared" si="10"/>
        <v>90908000</v>
      </c>
    </row>
    <row r="282" spans="1:11">
      <c r="A282" s="25"/>
      <c r="B282" s="65" t="s">
        <v>43</v>
      </c>
      <c r="C282" s="70" t="s">
        <v>27</v>
      </c>
      <c r="D282" s="71"/>
      <c r="E282" s="72"/>
      <c r="F282" s="23"/>
      <c r="G282" s="24">
        <v>171988668</v>
      </c>
      <c r="H282" s="27">
        <f>H231+J231</f>
        <v>27115000</v>
      </c>
      <c r="I282" s="27"/>
      <c r="J282" s="27">
        <v>13480000</v>
      </c>
      <c r="K282" s="41">
        <f t="shared" si="10"/>
        <v>131393668</v>
      </c>
    </row>
    <row r="283" spans="1:11">
      <c r="A283" s="25"/>
      <c r="B283" s="65" t="s">
        <v>44</v>
      </c>
      <c r="C283" s="70" t="s">
        <v>28</v>
      </c>
      <c r="D283" s="71"/>
      <c r="E283" s="72"/>
      <c r="F283" s="23"/>
      <c r="G283" s="24">
        <v>92440133</v>
      </c>
      <c r="H283" s="27">
        <f t="shared" ref="H283" si="12">H232+J232</f>
        <v>27447920</v>
      </c>
      <c r="I283" s="27"/>
      <c r="J283" s="27">
        <v>0</v>
      </c>
      <c r="K283" s="41">
        <f t="shared" si="10"/>
        <v>64992213</v>
      </c>
    </row>
    <row r="284" spans="1:11">
      <c r="A284" s="25"/>
      <c r="B284" s="65" t="s">
        <v>45</v>
      </c>
      <c r="C284" s="70" t="s">
        <v>42</v>
      </c>
      <c r="D284" s="71"/>
      <c r="E284" s="72"/>
      <c r="F284" s="23"/>
      <c r="G284" s="24">
        <v>64388964</v>
      </c>
      <c r="H284" s="27">
        <f>H233+J233</f>
        <v>14134302</v>
      </c>
      <c r="I284" s="27"/>
      <c r="J284" s="27">
        <v>0</v>
      </c>
      <c r="K284" s="41">
        <f t="shared" si="10"/>
        <v>50254662</v>
      </c>
    </row>
    <row r="285" spans="1:11">
      <c r="A285" s="30"/>
      <c r="B285" s="66" t="s">
        <v>46</v>
      </c>
      <c r="C285" s="82" t="s">
        <v>29</v>
      </c>
      <c r="D285" s="83"/>
      <c r="E285" s="84"/>
      <c r="F285" s="31"/>
      <c r="G285" s="24">
        <v>214466910</v>
      </c>
      <c r="H285" s="27">
        <f t="shared" ref="H285:H287" si="13">H234+J234</f>
        <v>167204129</v>
      </c>
      <c r="I285" s="27"/>
      <c r="J285" s="27">
        <v>0</v>
      </c>
      <c r="K285" s="41">
        <f t="shared" si="10"/>
        <v>47262781</v>
      </c>
    </row>
    <row r="286" spans="1:11">
      <c r="A286" s="30"/>
      <c r="B286" s="66" t="s">
        <v>47</v>
      </c>
      <c r="C286" s="32" t="s">
        <v>30</v>
      </c>
      <c r="D286" s="33"/>
      <c r="E286" s="34"/>
      <c r="F286" s="31"/>
      <c r="G286" s="24">
        <v>25000000</v>
      </c>
      <c r="H286" s="27">
        <f t="shared" si="13"/>
        <v>3850000</v>
      </c>
      <c r="I286" s="27"/>
      <c r="J286" s="27">
        <v>0</v>
      </c>
      <c r="K286" s="41">
        <f t="shared" si="10"/>
        <v>21150000</v>
      </c>
    </row>
    <row r="287" spans="1:11">
      <c r="A287" s="35"/>
      <c r="B287" s="66" t="s">
        <v>48</v>
      </c>
      <c r="C287" s="68" t="s">
        <v>49</v>
      </c>
      <c r="D287" s="10"/>
      <c r="E287" s="36"/>
      <c r="F287" s="31"/>
      <c r="G287" s="24">
        <v>178488817</v>
      </c>
      <c r="H287" s="27">
        <f t="shared" si="13"/>
        <v>0</v>
      </c>
      <c r="I287" s="27"/>
      <c r="J287" s="42">
        <v>0</v>
      </c>
      <c r="K287" s="43">
        <f t="shared" si="10"/>
        <v>178488817</v>
      </c>
    </row>
    <row r="288" spans="1:11">
      <c r="A288" s="44"/>
      <c r="B288" s="44"/>
      <c r="C288" s="44" t="s">
        <v>31</v>
      </c>
      <c r="D288" s="44"/>
      <c r="E288" s="44"/>
      <c r="F288" s="45"/>
      <c r="G288" s="46">
        <f>SUM(G278:G287)</f>
        <v>1176821492</v>
      </c>
      <c r="H288" s="47">
        <f>SUM(H278:H287)</f>
        <v>305283170</v>
      </c>
      <c r="I288" s="47"/>
      <c r="J288" s="47">
        <f>SUM(J278:J287)</f>
        <v>44020000</v>
      </c>
      <c r="K288" s="47">
        <f>SUM(K278:K287)</f>
        <v>827518322</v>
      </c>
    </row>
    <row r="289" spans="1:11">
      <c r="A289" s="48"/>
      <c r="B289" s="8"/>
      <c r="C289" s="8"/>
      <c r="D289" s="8"/>
      <c r="E289" s="8"/>
      <c r="F289" s="8"/>
      <c r="G289" s="49"/>
      <c r="H289" s="49"/>
      <c r="I289" s="49"/>
      <c r="J289" s="49"/>
      <c r="K289" s="49"/>
    </row>
    <row r="290" spans="1:11">
      <c r="A290" s="85" t="s">
        <v>32</v>
      </c>
      <c r="B290" s="85"/>
      <c r="C290" s="85"/>
      <c r="D290" s="11" t="s">
        <v>4</v>
      </c>
      <c r="E290" s="14">
        <f>J288</f>
        <v>44020000</v>
      </c>
      <c r="F290" s="50"/>
      <c r="G290" s="51"/>
      <c r="H290" s="51"/>
      <c r="I290" s="51"/>
      <c r="J290" s="9"/>
      <c r="K290" s="9"/>
    </row>
    <row r="291" spans="1:11">
      <c r="A291" s="10" t="s">
        <v>33</v>
      </c>
      <c r="B291" s="10"/>
      <c r="C291" s="10"/>
      <c r="D291" s="11" t="s">
        <v>4</v>
      </c>
      <c r="E291" s="52"/>
      <c r="F291" s="52"/>
      <c r="G291" s="53"/>
      <c r="H291" s="12"/>
      <c r="I291" s="12"/>
      <c r="J291" s="9"/>
      <c r="K291" s="9"/>
    </row>
    <row r="292" spans="1:11">
      <c r="A292" s="10" t="s">
        <v>34</v>
      </c>
      <c r="B292" s="10"/>
      <c r="C292" s="10"/>
      <c r="D292" s="11" t="s">
        <v>4</v>
      </c>
      <c r="E292" s="54"/>
      <c r="F292" s="54"/>
      <c r="G292" s="53"/>
      <c r="H292" s="12"/>
      <c r="I292" s="12"/>
      <c r="J292" s="9"/>
      <c r="K292" s="9"/>
    </row>
    <row r="293" spans="1:11">
      <c r="A293" s="10" t="s">
        <v>35</v>
      </c>
      <c r="B293" s="10"/>
      <c r="C293" s="10"/>
      <c r="D293" s="11" t="s">
        <v>4</v>
      </c>
      <c r="E293" s="54">
        <f>E291+E292</f>
        <v>0</v>
      </c>
      <c r="F293" s="54"/>
      <c r="G293" s="10"/>
      <c r="H293" s="12"/>
      <c r="I293" s="12"/>
      <c r="J293" s="56"/>
      <c r="K293" s="56"/>
    </row>
    <row r="294" spans="1:11">
      <c r="A294" s="13"/>
      <c r="B294" s="13"/>
      <c r="C294" s="13"/>
      <c r="D294" s="11"/>
      <c r="E294" s="13"/>
      <c r="F294" s="13"/>
      <c r="G294" s="10"/>
      <c r="H294" s="12"/>
      <c r="I294" s="12"/>
      <c r="J294" s="56"/>
      <c r="K294" s="56"/>
    </row>
    <row r="295" spans="1:11">
      <c r="A295" s="85" t="s">
        <v>36</v>
      </c>
      <c r="B295" s="85"/>
      <c r="C295" s="85"/>
      <c r="D295" s="11" t="s">
        <v>4</v>
      </c>
      <c r="E295" s="50">
        <f>E290-E293</f>
        <v>44020000</v>
      </c>
      <c r="F295" s="50"/>
      <c r="G295" s="10"/>
      <c r="H295" s="12"/>
      <c r="I295" s="12"/>
      <c r="J295" s="56"/>
      <c r="K295" s="56"/>
    </row>
    <row r="296" spans="1:11" ht="15.75">
      <c r="A296" s="13"/>
      <c r="B296" s="13"/>
      <c r="C296" s="10"/>
      <c r="D296" s="10"/>
      <c r="E296" s="16" t="str">
        <f>PROPER(IF(E295=0,"nol",IF(E295&lt;0,"minus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295),"000000000000000"),1,3)=0,"",MID(TEXT(ABS(E295),"000000000000000"),1,1)&amp;" ratus "&amp;MID(TEXT(ABS(E295),"000000000000000"),2,1)&amp;" puluh "&amp;MID(TEXT(ABS(E295),"000000000000000"),3,1)&amp;" trilyun ")&amp;IF(--MID(TEXT(ABS(E295),"000000000000000"),4,3)=0,"",MID(TEXT(ABS(E295),"000000000000000"),4,1)&amp;" ratus "&amp;MID(TEXT(ABS(E295),"000000000000000"),5,1)&amp;" puluh "&amp;MID(TEXT(ABS(E295),"000000000000000"),6,1)&amp;" milyar ")&amp;IF(--MID(TEXT(ABS(E295),"000000000000000"),7,3)=0,"",MID(TEXT(ABS(E295),"000000000000000"),7,1)&amp;" ratus "&amp;MID(TEXT(ABS(E295),"000000000000000"),8,1)&amp;" puluh "&amp;MID(TEXT(ABS(E295),"000000000000000"),9,1)&amp;" juta ")&amp;IF(--MID(TEXT(ABS(E295),"000000000000000"),10,3)=0,"",IF(--MID(TEXT(ABS(E295),"000000000000000"),10,3)=1,"*",MID(TEXT(ABS(E295),"000000000000000"),10,1)&amp;" ratus "&amp;MID(TEXT(ABS(E295),"000000000000000"),11,1)&amp;" puluh ")&amp;MID(TEXT(ABS(E295),"000000000000000"),12,1)&amp;" ribu ")&amp;IF(--MID(TEXT(ABS(E295),"000000000000000"),13,3)=0,"",MID(TEXT(ABS(E295),"000000000000000"),13,1)&amp;" ratus "&amp;MID(TEXT(ABS(E295),"000000000000000"),14,1)&amp;" puluh "&amp;MID(TEXT(ABS(E295),"000000000000000"),15,1)),1,"satu"),2,"dua"),3,"tiga"),4,"empat"),5,"lima"),6,"enam"),7,"tujuh"),8,"delapan"),9,"sembilan"),"0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Empat Juta Dua Puluh Ribu Rupiah</v>
      </c>
      <c r="F296" s="10"/>
      <c r="G296" s="10"/>
      <c r="H296" s="10"/>
      <c r="I296" s="10"/>
      <c r="J296" s="56"/>
      <c r="K296" s="56"/>
    </row>
    <row r="297" spans="1:11">
      <c r="A297" s="55"/>
      <c r="B297" s="55"/>
      <c r="C297" s="55"/>
      <c r="D297" s="55"/>
      <c r="E297" s="55"/>
      <c r="F297" s="55"/>
      <c r="G297" s="37"/>
      <c r="H297" s="56"/>
      <c r="I297" s="56"/>
      <c r="J297" s="56"/>
      <c r="K297" s="56"/>
    </row>
    <row r="298" spans="1:11">
      <c r="A298" s="37"/>
      <c r="B298" s="37"/>
      <c r="C298" s="37"/>
      <c r="D298" s="37"/>
      <c r="E298" s="37"/>
      <c r="F298" s="37"/>
      <c r="G298" s="37"/>
      <c r="H298"/>
      <c r="I298"/>
      <c r="J298" s="56"/>
      <c r="K298" s="56"/>
    </row>
    <row r="299" spans="1:11">
      <c r="A299" s="13"/>
      <c r="B299" s="13"/>
      <c r="C299" s="10"/>
      <c r="D299" s="10"/>
      <c r="E299" s="10"/>
      <c r="F299" s="10"/>
      <c r="G299" s="10"/>
      <c r="I299" s="57"/>
      <c r="J299" s="57" t="s">
        <v>80</v>
      </c>
      <c r="K299" s="56"/>
    </row>
    <row r="300" spans="1:11">
      <c r="A300" s="12" t="s">
        <v>37</v>
      </c>
      <c r="B300" s="10"/>
      <c r="C300" s="10"/>
      <c r="D300" s="10"/>
      <c r="E300" s="10"/>
      <c r="F300" s="10"/>
      <c r="G300" s="10"/>
      <c r="I300" s="12"/>
      <c r="J300" s="12" t="s">
        <v>38</v>
      </c>
      <c r="K300" s="56"/>
    </row>
    <row r="301" spans="1:11">
      <c r="A301" s="10"/>
      <c r="B301" s="10"/>
      <c r="C301" s="10"/>
      <c r="D301" s="10"/>
      <c r="E301" s="10"/>
      <c r="F301" s="10"/>
      <c r="G301" s="10"/>
      <c r="I301" s="12"/>
      <c r="J301" s="12"/>
      <c r="K301" s="56"/>
    </row>
    <row r="302" spans="1:11">
      <c r="A302" s="10"/>
      <c r="B302" s="10"/>
      <c r="C302" s="10"/>
      <c r="D302" s="10"/>
      <c r="E302" s="10"/>
      <c r="F302" s="10"/>
      <c r="G302" s="10"/>
      <c r="I302" s="12"/>
      <c r="J302" s="12"/>
      <c r="K302" s="56"/>
    </row>
    <row r="303" spans="1:11">
      <c r="A303" s="10"/>
      <c r="B303" s="10"/>
      <c r="C303" s="10"/>
      <c r="D303" s="10"/>
      <c r="E303" s="10"/>
      <c r="F303" s="10"/>
      <c r="G303" s="10"/>
      <c r="I303" s="12"/>
      <c r="J303" s="12"/>
      <c r="K303" s="56"/>
    </row>
    <row r="304" spans="1:11">
      <c r="A304" s="10"/>
      <c r="B304" s="10"/>
      <c r="C304" s="10"/>
      <c r="D304" s="10"/>
      <c r="E304" s="10"/>
      <c r="F304" s="10"/>
      <c r="G304" s="10"/>
      <c r="I304" s="12"/>
      <c r="J304" s="12"/>
      <c r="K304" s="56"/>
    </row>
    <row r="305" spans="1:11">
      <c r="A305" s="69" t="s">
        <v>50</v>
      </c>
      <c r="B305" s="58"/>
      <c r="C305" s="59"/>
      <c r="D305" s="59"/>
      <c r="E305" s="59"/>
      <c r="F305" s="59"/>
      <c r="G305" s="10" t="s">
        <v>39</v>
      </c>
      <c r="I305" s="58"/>
      <c r="J305" s="58" t="s">
        <v>40</v>
      </c>
      <c r="K305" s="56"/>
    </row>
    <row r="310" spans="1:11" ht="15.75">
      <c r="C310" s="2"/>
      <c r="D310" s="2"/>
      <c r="E310" s="2"/>
      <c r="F310" s="2"/>
    </row>
    <row r="311" spans="1:11" ht="15.75">
      <c r="A311" s="3"/>
      <c r="B311" s="3"/>
      <c r="C311" s="2"/>
      <c r="D311" s="2"/>
      <c r="E311" s="2"/>
      <c r="F311" s="2"/>
      <c r="G311" s="3"/>
      <c r="H311" s="4"/>
      <c r="I311" s="4"/>
      <c r="J311" s="4"/>
      <c r="K311" s="5"/>
    </row>
    <row r="312" spans="1:11">
      <c r="H312" s="5"/>
      <c r="I312" s="5"/>
      <c r="J312" s="5"/>
      <c r="K312" s="5"/>
    </row>
    <row r="313" spans="1:11">
      <c r="H313" s="5"/>
      <c r="I313" s="5"/>
      <c r="J313" s="5"/>
      <c r="K313" s="5"/>
    </row>
    <row r="314" spans="1:11">
      <c r="A314" s="73" t="s">
        <v>0</v>
      </c>
      <c r="B314" s="73"/>
      <c r="C314" s="74"/>
      <c r="D314" s="74"/>
      <c r="E314" s="74"/>
      <c r="F314" s="74"/>
      <c r="G314" s="74"/>
      <c r="H314" s="74"/>
      <c r="I314" s="74"/>
      <c r="J314" s="74"/>
      <c r="K314" s="74"/>
    </row>
    <row r="315" spans="1:11">
      <c r="A315" s="74" t="s">
        <v>83</v>
      </c>
      <c r="B315" s="74"/>
      <c r="C315" s="74"/>
      <c r="D315" s="74"/>
      <c r="E315" s="74"/>
      <c r="F315" s="74"/>
      <c r="G315" s="74"/>
      <c r="H315" s="74"/>
      <c r="I315" s="74"/>
      <c r="J315" s="74"/>
      <c r="K315" s="74"/>
    </row>
    <row r="316" spans="1:11">
      <c r="A316" s="74" t="s">
        <v>1</v>
      </c>
      <c r="B316" s="74"/>
      <c r="C316" s="74"/>
      <c r="D316" s="74"/>
      <c r="E316" s="74"/>
      <c r="F316" s="74"/>
      <c r="G316" s="74"/>
      <c r="H316" s="74"/>
      <c r="I316" s="74"/>
      <c r="J316" s="74"/>
      <c r="K316" s="74"/>
    </row>
    <row r="317" spans="1:11">
      <c r="A317" s="74" t="s">
        <v>51</v>
      </c>
      <c r="B317" s="74"/>
      <c r="C317" s="74"/>
      <c r="D317" s="74"/>
      <c r="E317" s="74"/>
      <c r="F317" s="74"/>
      <c r="G317" s="74"/>
      <c r="H317" s="74"/>
      <c r="I317" s="74"/>
      <c r="J317" s="74"/>
      <c r="K317" s="74"/>
    </row>
    <row r="318" spans="1:11">
      <c r="A318" s="74" t="s">
        <v>2</v>
      </c>
      <c r="B318" s="74"/>
      <c r="C318" s="74"/>
      <c r="D318" s="74"/>
      <c r="E318" s="74"/>
      <c r="F318" s="74"/>
      <c r="G318" s="74"/>
      <c r="H318" s="74"/>
      <c r="I318" s="74"/>
      <c r="J318" s="74"/>
      <c r="K318" s="74"/>
    </row>
    <row r="319" spans="1:11">
      <c r="A319" s="6"/>
      <c r="B319" s="6"/>
      <c r="C319" s="7"/>
      <c r="D319" s="7"/>
      <c r="E319" s="7"/>
      <c r="F319" s="7"/>
      <c r="G319" s="8"/>
      <c r="H319" s="9"/>
      <c r="I319" s="9"/>
      <c r="J319" s="9"/>
      <c r="K319" s="9"/>
    </row>
    <row r="320" spans="1:11">
      <c r="A320" s="62" t="s">
        <v>3</v>
      </c>
      <c r="B320" s="10"/>
      <c r="C320" s="10"/>
      <c r="D320" s="63" t="s">
        <v>4</v>
      </c>
      <c r="E320" s="10" t="s">
        <v>5</v>
      </c>
      <c r="F320" s="11"/>
      <c r="G320" s="10"/>
      <c r="H320" s="12"/>
      <c r="I320" s="12"/>
      <c r="J320" s="12"/>
      <c r="K320" s="9"/>
    </row>
    <row r="321" spans="1:11">
      <c r="A321" s="62" t="s">
        <v>6</v>
      </c>
      <c r="B321" s="10"/>
      <c r="C321" s="10"/>
      <c r="D321" s="63" t="s">
        <v>4</v>
      </c>
      <c r="E321" s="10" t="s">
        <v>7</v>
      </c>
      <c r="F321" s="11"/>
      <c r="G321" s="10"/>
      <c r="H321" s="12"/>
      <c r="I321" s="12"/>
      <c r="J321" s="12"/>
      <c r="K321" s="9"/>
    </row>
    <row r="322" spans="1:11">
      <c r="A322" s="62" t="s">
        <v>8</v>
      </c>
      <c r="B322" s="10"/>
      <c r="C322" s="10"/>
      <c r="D322" s="63" t="s">
        <v>4</v>
      </c>
      <c r="E322" s="13">
        <v>2026</v>
      </c>
      <c r="F322" s="11"/>
      <c r="G322" s="13"/>
      <c r="H322" s="12"/>
      <c r="I322" s="12"/>
      <c r="J322" s="12"/>
      <c r="K322" s="9"/>
    </row>
    <row r="323" spans="1:11">
      <c r="A323" s="62" t="s">
        <v>9</v>
      </c>
      <c r="B323" s="10"/>
      <c r="C323" s="10"/>
      <c r="D323" s="63" t="s">
        <v>4</v>
      </c>
      <c r="E323" s="14">
        <f>J339</f>
        <v>190000</v>
      </c>
      <c r="F323" s="11"/>
      <c r="G323" s="14"/>
      <c r="H323" s="12"/>
      <c r="I323" s="12"/>
      <c r="J323" s="12"/>
      <c r="K323" s="9"/>
    </row>
    <row r="324" spans="1:11" ht="15.75">
      <c r="A324" s="10"/>
      <c r="B324" s="10"/>
      <c r="C324" s="15" t="s">
        <v>10</v>
      </c>
      <c r="D324" s="63" t="s">
        <v>4</v>
      </c>
      <c r="E324" s="16" t="str">
        <f>PROPER(IF(E323=0,"nol",IF(E323&lt;0,"minus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323),"000000000000000"),1,3)=0,"",MID(TEXT(ABS(E323),"000000000000000"),1,1)&amp;" ratus "&amp;MID(TEXT(ABS(E323),"000000000000000"),2,1)&amp;" puluh "&amp;MID(TEXT(ABS(E323),"000000000000000"),3,1)&amp;" trilyun ")&amp;IF(--MID(TEXT(ABS(E323),"000000000000000"),4,3)=0,"",MID(TEXT(ABS(E323),"000000000000000"),4,1)&amp;" ratus "&amp;MID(TEXT(ABS(E323),"000000000000000"),5,1)&amp;" puluh "&amp;MID(TEXT(ABS(E323),"000000000000000"),6,1)&amp;" milyar ")&amp;IF(--MID(TEXT(ABS(E323),"000000000000000"),7,3)=0,"",MID(TEXT(ABS(E323),"000000000000000"),7,1)&amp;" ratus "&amp;MID(TEXT(ABS(E323),"000000000000000"),8,1)&amp;" puluh "&amp;MID(TEXT(ABS(E323),"000000000000000"),9,1)&amp;" juta ")&amp;IF(--MID(TEXT(ABS(E323),"000000000000000"),10,3)=0,"",IF(--MID(TEXT(ABS(E323),"000000000000000"),10,3)=1,"*",MID(TEXT(ABS(E323),"000000000000000"),10,1)&amp;" ratus "&amp;MID(TEXT(ABS(E323),"000000000000000"),11,1)&amp;" puluh ")&amp;MID(TEXT(ABS(E323),"000000000000000"),12,1)&amp;" ribu ")&amp;IF(--MID(TEXT(ABS(E323),"000000000000000"),13,3)=0,"",MID(TEXT(ABS(E323),"000000000000000"),13,1)&amp;" ratus "&amp;MID(TEXT(ABS(E323),"000000000000000"),14,1)&amp;" puluh "&amp;MID(TEXT(ABS(E323),"000000000000000"),15,1)),1,"satu"),2,"dua"),3,"tiga"),4,"empat"),5,"lima"),6,"enam"),7,"tujuh"),8,"delapan"),9,"sembilan"),"0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Ribu Rupiah</v>
      </c>
      <c r="F324" s="11"/>
      <c r="G324" s="16"/>
      <c r="H324" s="12"/>
      <c r="I324" s="12"/>
      <c r="J324" s="12"/>
      <c r="K324" s="9"/>
    </row>
    <row r="325" spans="1:11" ht="15.75">
      <c r="A325" s="10"/>
      <c r="B325" s="10"/>
      <c r="C325" s="15"/>
      <c r="D325" s="15"/>
      <c r="E325" s="15"/>
      <c r="F325" s="11"/>
      <c r="G325" s="16"/>
      <c r="H325" s="12"/>
      <c r="I325" s="12"/>
      <c r="J325" s="12"/>
      <c r="K325" s="9"/>
    </row>
    <row r="326" spans="1:11">
      <c r="A326" s="10" t="s">
        <v>11</v>
      </c>
      <c r="B326" s="10"/>
      <c r="C326" s="10"/>
      <c r="D326" s="10"/>
      <c r="E326" s="10"/>
      <c r="F326" s="10"/>
      <c r="G326" s="10"/>
      <c r="H326" s="12"/>
      <c r="I326" s="12"/>
      <c r="J326" s="12"/>
      <c r="K326" s="9"/>
    </row>
    <row r="327" spans="1:11">
      <c r="A327" s="75" t="s">
        <v>12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</row>
    <row r="328" spans="1:11" ht="60">
      <c r="A328" s="17" t="s">
        <v>13</v>
      </c>
      <c r="B328" s="18" t="s">
        <v>14</v>
      </c>
      <c r="C328" s="76" t="s">
        <v>15</v>
      </c>
      <c r="D328" s="77"/>
      <c r="E328" s="78"/>
      <c r="F328" s="19"/>
      <c r="G328" s="20" t="s">
        <v>16</v>
      </c>
      <c r="H328" s="21" t="s">
        <v>41</v>
      </c>
      <c r="I328" s="21"/>
      <c r="J328" s="39" t="s">
        <v>17</v>
      </c>
      <c r="K328" s="40" t="s">
        <v>18</v>
      </c>
    </row>
    <row r="329" spans="1:11">
      <c r="A329" s="22">
        <v>1</v>
      </c>
      <c r="B329" s="25"/>
      <c r="C329" s="29" t="s">
        <v>23</v>
      </c>
      <c r="D329" s="67"/>
      <c r="E329" s="26"/>
      <c r="F329" s="23"/>
      <c r="G329" s="64" t="s">
        <v>19</v>
      </c>
      <c r="H329" s="64" t="s">
        <v>19</v>
      </c>
      <c r="I329" s="64"/>
      <c r="J329" s="64" t="s">
        <v>19</v>
      </c>
      <c r="K329" s="64" t="s">
        <v>19</v>
      </c>
    </row>
    <row r="330" spans="1:11">
      <c r="A330" s="25"/>
      <c r="B330" s="65" t="s">
        <v>20</v>
      </c>
      <c r="C330" s="70" t="s">
        <v>24</v>
      </c>
      <c r="D330" s="71"/>
      <c r="E330" s="72"/>
      <c r="F330" s="23"/>
      <c r="G330" s="24">
        <v>300000000</v>
      </c>
      <c r="H330" s="27">
        <f>H279+J279</f>
        <v>68681819</v>
      </c>
      <c r="I330" s="27"/>
      <c r="J330" s="27">
        <v>0</v>
      </c>
      <c r="K330" s="41">
        <f t="shared" ref="K330:K338" si="14">G330-H330-J330</f>
        <v>231318181</v>
      </c>
    </row>
    <row r="331" spans="1:11">
      <c r="A331" s="25"/>
      <c r="B331" s="65" t="s">
        <v>21</v>
      </c>
      <c r="C331" s="70" t="s">
        <v>25</v>
      </c>
      <c r="D331" s="71"/>
      <c r="E331" s="72"/>
      <c r="F331" s="23"/>
      <c r="G331" s="28">
        <v>15000000</v>
      </c>
      <c r="H331" s="27">
        <f t="shared" ref="H331:H332" si="15">H280+J280</f>
        <v>3250000</v>
      </c>
      <c r="I331" s="27"/>
      <c r="J331" s="27">
        <v>0</v>
      </c>
      <c r="K331" s="41">
        <f t="shared" si="14"/>
        <v>11750000</v>
      </c>
    </row>
    <row r="332" spans="1:11">
      <c r="A332" s="25"/>
      <c r="B332" s="65" t="s">
        <v>22</v>
      </c>
      <c r="C332" s="79" t="s">
        <v>26</v>
      </c>
      <c r="D332" s="80"/>
      <c r="E332" s="81"/>
      <c r="F332" s="23"/>
      <c r="G332" s="24">
        <v>115048000</v>
      </c>
      <c r="H332" s="27">
        <f t="shared" si="15"/>
        <v>24140000</v>
      </c>
      <c r="I332" s="27"/>
      <c r="J332" s="27">
        <v>0</v>
      </c>
      <c r="K332" s="41">
        <f t="shared" si="14"/>
        <v>90908000</v>
      </c>
    </row>
    <row r="333" spans="1:11">
      <c r="A333" s="25"/>
      <c r="B333" s="65" t="s">
        <v>43</v>
      </c>
      <c r="C333" s="70" t="s">
        <v>27</v>
      </c>
      <c r="D333" s="71"/>
      <c r="E333" s="72"/>
      <c r="F333" s="23"/>
      <c r="G333" s="24">
        <v>171988668</v>
      </c>
      <c r="H333" s="27">
        <f>H282+J282</f>
        <v>40595000</v>
      </c>
      <c r="I333" s="27"/>
      <c r="J333" s="27">
        <v>190000</v>
      </c>
      <c r="K333" s="41">
        <f t="shared" si="14"/>
        <v>131203668</v>
      </c>
    </row>
    <row r="334" spans="1:11">
      <c r="A334" s="25"/>
      <c r="B334" s="65" t="s">
        <v>44</v>
      </c>
      <c r="C334" s="70" t="s">
        <v>28</v>
      </c>
      <c r="D334" s="71"/>
      <c r="E334" s="72"/>
      <c r="F334" s="23"/>
      <c r="G334" s="24">
        <v>92440133</v>
      </c>
      <c r="H334" s="27">
        <f t="shared" ref="H334" si="16">H283+J283</f>
        <v>27447920</v>
      </c>
      <c r="I334" s="27"/>
      <c r="J334" s="27">
        <v>0</v>
      </c>
      <c r="K334" s="41">
        <f t="shared" si="14"/>
        <v>64992213</v>
      </c>
    </row>
    <row r="335" spans="1:11">
      <c r="A335" s="25"/>
      <c r="B335" s="65" t="s">
        <v>45</v>
      </c>
      <c r="C335" s="70" t="s">
        <v>42</v>
      </c>
      <c r="D335" s="71"/>
      <c r="E335" s="72"/>
      <c r="F335" s="23"/>
      <c r="G335" s="24">
        <v>64388964</v>
      </c>
      <c r="H335" s="27">
        <f>H284+J284</f>
        <v>14134302</v>
      </c>
      <c r="I335" s="27"/>
      <c r="J335" s="27">
        <v>0</v>
      </c>
      <c r="K335" s="41">
        <f t="shared" si="14"/>
        <v>50254662</v>
      </c>
    </row>
    <row r="336" spans="1:11">
      <c r="A336" s="30"/>
      <c r="B336" s="66" t="s">
        <v>46</v>
      </c>
      <c r="C336" s="82" t="s">
        <v>29</v>
      </c>
      <c r="D336" s="83"/>
      <c r="E336" s="84"/>
      <c r="F336" s="31"/>
      <c r="G336" s="24">
        <v>214466910</v>
      </c>
      <c r="H336" s="27">
        <f t="shared" ref="H336:H338" si="17">H285+J285</f>
        <v>167204129</v>
      </c>
      <c r="I336" s="27"/>
      <c r="J336" s="27">
        <v>0</v>
      </c>
      <c r="K336" s="41">
        <f t="shared" si="14"/>
        <v>47262781</v>
      </c>
    </row>
    <row r="337" spans="1:11">
      <c r="A337" s="30"/>
      <c r="B337" s="66" t="s">
        <v>47</v>
      </c>
      <c r="C337" s="32" t="s">
        <v>30</v>
      </c>
      <c r="D337" s="33"/>
      <c r="E337" s="34"/>
      <c r="F337" s="31"/>
      <c r="G337" s="24">
        <v>25000000</v>
      </c>
      <c r="H337" s="27">
        <f t="shared" si="17"/>
        <v>3850000</v>
      </c>
      <c r="I337" s="27"/>
      <c r="J337" s="27">
        <v>0</v>
      </c>
      <c r="K337" s="41">
        <f t="shared" si="14"/>
        <v>21150000</v>
      </c>
    </row>
    <row r="338" spans="1:11">
      <c r="A338" s="35"/>
      <c r="B338" s="66" t="s">
        <v>48</v>
      </c>
      <c r="C338" s="68" t="s">
        <v>49</v>
      </c>
      <c r="D338" s="10"/>
      <c r="E338" s="36"/>
      <c r="F338" s="31"/>
      <c r="G338" s="24">
        <v>178488817</v>
      </c>
      <c r="H338" s="27">
        <f t="shared" si="17"/>
        <v>0</v>
      </c>
      <c r="I338" s="27"/>
      <c r="J338" s="42">
        <v>0</v>
      </c>
      <c r="K338" s="43">
        <f t="shared" si="14"/>
        <v>178488817</v>
      </c>
    </row>
    <row r="339" spans="1:11">
      <c r="A339" s="44"/>
      <c r="B339" s="44"/>
      <c r="C339" s="44" t="s">
        <v>31</v>
      </c>
      <c r="D339" s="44"/>
      <c r="E339" s="44"/>
      <c r="F339" s="45"/>
      <c r="G339" s="46">
        <f>SUM(G329:G338)</f>
        <v>1176821492</v>
      </c>
      <c r="H339" s="47">
        <f>SUM(H329:H338)</f>
        <v>349303170</v>
      </c>
      <c r="I339" s="47"/>
      <c r="J339" s="47">
        <f>SUM(J329:J338)</f>
        <v>190000</v>
      </c>
      <c r="K339" s="47">
        <f>SUM(K329:K338)</f>
        <v>827328322</v>
      </c>
    </row>
    <row r="340" spans="1:11">
      <c r="A340" s="48"/>
      <c r="B340" s="8"/>
      <c r="C340" s="8"/>
      <c r="D340" s="8"/>
      <c r="E340" s="8"/>
      <c r="F340" s="8"/>
      <c r="G340" s="49"/>
      <c r="H340" s="49"/>
      <c r="I340" s="49"/>
      <c r="J340" s="49"/>
      <c r="K340" s="49"/>
    </row>
    <row r="341" spans="1:11">
      <c r="A341" s="85" t="s">
        <v>32</v>
      </c>
      <c r="B341" s="85"/>
      <c r="C341" s="85"/>
      <c r="D341" s="11" t="s">
        <v>4</v>
      </c>
      <c r="E341" s="14">
        <f>J339</f>
        <v>190000</v>
      </c>
      <c r="F341" s="50"/>
      <c r="G341" s="51"/>
      <c r="H341" s="51"/>
      <c r="I341" s="51"/>
      <c r="J341" s="9"/>
      <c r="K341" s="9"/>
    </row>
    <row r="342" spans="1:11">
      <c r="A342" s="10" t="s">
        <v>33</v>
      </c>
      <c r="B342" s="10"/>
      <c r="C342" s="10"/>
      <c r="D342" s="11" t="s">
        <v>4</v>
      </c>
      <c r="E342" s="52"/>
      <c r="F342" s="52"/>
      <c r="G342" s="53"/>
      <c r="H342" s="12"/>
      <c r="I342" s="12"/>
      <c r="J342" s="9"/>
      <c r="K342" s="9"/>
    </row>
    <row r="343" spans="1:11">
      <c r="A343" s="10" t="s">
        <v>34</v>
      </c>
      <c r="B343" s="10"/>
      <c r="C343" s="10"/>
      <c r="D343" s="11" t="s">
        <v>4</v>
      </c>
      <c r="E343" s="54"/>
      <c r="F343" s="54"/>
      <c r="G343" s="53"/>
      <c r="H343" s="12"/>
      <c r="I343" s="12"/>
      <c r="J343" s="9"/>
      <c r="K343" s="9"/>
    </row>
    <row r="344" spans="1:11">
      <c r="A344" s="10" t="s">
        <v>35</v>
      </c>
      <c r="B344" s="10"/>
      <c r="C344" s="10"/>
      <c r="D344" s="11" t="s">
        <v>4</v>
      </c>
      <c r="E344" s="54">
        <f>E342+E343</f>
        <v>0</v>
      </c>
      <c r="F344" s="54"/>
      <c r="G344" s="10"/>
      <c r="H344" s="12"/>
      <c r="I344" s="12"/>
      <c r="J344" s="56"/>
      <c r="K344" s="56"/>
    </row>
    <row r="345" spans="1:11">
      <c r="A345" s="13"/>
      <c r="B345" s="13"/>
      <c r="C345" s="13"/>
      <c r="D345" s="11"/>
      <c r="E345" s="13"/>
      <c r="F345" s="13"/>
      <c r="G345" s="10"/>
      <c r="H345" s="12"/>
      <c r="I345" s="12"/>
      <c r="J345" s="56"/>
      <c r="K345" s="56"/>
    </row>
    <row r="346" spans="1:11">
      <c r="A346" s="85" t="s">
        <v>36</v>
      </c>
      <c r="B346" s="85"/>
      <c r="C346" s="85"/>
      <c r="D346" s="11" t="s">
        <v>4</v>
      </c>
      <c r="E346" s="50">
        <f>E341-E344</f>
        <v>190000</v>
      </c>
      <c r="F346" s="50"/>
      <c r="G346" s="10"/>
      <c r="H346" s="12"/>
      <c r="I346" s="12"/>
      <c r="J346" s="56"/>
      <c r="K346" s="56"/>
    </row>
    <row r="347" spans="1:11" ht="15.75">
      <c r="A347" s="13"/>
      <c r="B347" s="13"/>
      <c r="C347" s="10"/>
      <c r="D347" s="10"/>
      <c r="E347" s="16" t="str">
        <f>PROPER(IF(E346=0,"nol",IF(E346&lt;0,"minus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346),"000000000000000"),1,3)=0,"",MID(TEXT(ABS(E346),"000000000000000"),1,1)&amp;" ratus "&amp;MID(TEXT(ABS(E346),"000000000000000"),2,1)&amp;" puluh "&amp;MID(TEXT(ABS(E346),"000000000000000"),3,1)&amp;" trilyun ")&amp;IF(--MID(TEXT(ABS(E346),"000000000000000"),4,3)=0,"",MID(TEXT(ABS(E346),"000000000000000"),4,1)&amp;" ratus "&amp;MID(TEXT(ABS(E346),"000000000000000"),5,1)&amp;" puluh "&amp;MID(TEXT(ABS(E346),"000000000000000"),6,1)&amp;" milyar ")&amp;IF(--MID(TEXT(ABS(E346),"000000000000000"),7,3)=0,"",MID(TEXT(ABS(E346),"000000000000000"),7,1)&amp;" ratus "&amp;MID(TEXT(ABS(E346),"000000000000000"),8,1)&amp;" puluh "&amp;MID(TEXT(ABS(E346),"000000000000000"),9,1)&amp;" juta ")&amp;IF(--MID(TEXT(ABS(E346),"000000000000000"),10,3)=0,"",IF(--MID(TEXT(ABS(E346),"000000000000000"),10,3)=1,"*",MID(TEXT(ABS(E346),"000000000000000"),10,1)&amp;" ratus "&amp;MID(TEXT(ABS(E346),"000000000000000"),11,1)&amp;" puluh ")&amp;MID(TEXT(ABS(E346),"000000000000000"),12,1)&amp;" ribu ")&amp;IF(--MID(TEXT(ABS(E346),"000000000000000"),13,3)=0,"",MID(TEXT(ABS(E346),"000000000000000"),13,1)&amp;" ratus "&amp;MID(TEXT(ABS(E346),"000000000000000"),14,1)&amp;" puluh "&amp;MID(TEXT(ABS(E346),"000000000000000"),15,1)),1,"satu"),2,"dua"),3,"tiga"),4,"empat"),5,"lima"),6,"enam"),7,"tujuh"),8,"delapan"),9,"sembilan"),"0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Sembilan Puluh Ribu Rupiah</v>
      </c>
      <c r="F347" s="10"/>
      <c r="G347" s="10"/>
      <c r="H347" s="10"/>
      <c r="I347" s="10"/>
      <c r="J347" s="56"/>
      <c r="K347" s="56"/>
    </row>
    <row r="348" spans="1:11">
      <c r="A348" s="55"/>
      <c r="B348" s="55"/>
      <c r="C348" s="55"/>
      <c r="D348" s="55"/>
      <c r="E348" s="55"/>
      <c r="F348" s="55"/>
      <c r="G348" s="37"/>
      <c r="H348" s="56"/>
      <c r="I348" s="56"/>
      <c r="J348" s="56"/>
      <c r="K348" s="56"/>
    </row>
    <row r="349" spans="1:11">
      <c r="A349" s="37"/>
      <c r="B349" s="37"/>
      <c r="C349" s="37"/>
      <c r="D349" s="37"/>
      <c r="E349" s="37"/>
      <c r="F349" s="37"/>
      <c r="G349" s="37"/>
      <c r="H349"/>
      <c r="I349"/>
      <c r="J349" s="56"/>
      <c r="K349" s="56"/>
    </row>
    <row r="350" spans="1:11">
      <c r="A350" s="13"/>
      <c r="B350" s="13"/>
      <c r="C350" s="10"/>
      <c r="D350" s="10"/>
      <c r="E350" s="10"/>
      <c r="F350" s="10"/>
      <c r="G350" s="10"/>
      <c r="I350" s="57"/>
      <c r="J350" s="57" t="s">
        <v>82</v>
      </c>
      <c r="K350" s="56"/>
    </row>
    <row r="351" spans="1:11">
      <c r="A351" s="12" t="s">
        <v>37</v>
      </c>
      <c r="B351" s="10"/>
      <c r="C351" s="10"/>
      <c r="D351" s="10"/>
      <c r="E351" s="10"/>
      <c r="F351" s="10"/>
      <c r="G351" s="10"/>
      <c r="I351" s="12"/>
      <c r="J351" s="12" t="s">
        <v>38</v>
      </c>
      <c r="K351" s="56"/>
    </row>
    <row r="352" spans="1:11">
      <c r="A352" s="10"/>
      <c r="B352" s="10"/>
      <c r="C352" s="10"/>
      <c r="D352" s="10"/>
      <c r="E352" s="10"/>
      <c r="F352" s="10"/>
      <c r="G352" s="10"/>
      <c r="I352" s="12"/>
      <c r="J352" s="12"/>
      <c r="K352" s="56"/>
    </row>
    <row r="353" spans="1:11">
      <c r="A353" s="10"/>
      <c r="B353" s="10"/>
      <c r="C353" s="10"/>
      <c r="D353" s="10"/>
      <c r="E353" s="10"/>
      <c r="F353" s="10"/>
      <c r="G353" s="10"/>
      <c r="I353" s="12"/>
      <c r="J353" s="12"/>
      <c r="K353" s="56"/>
    </row>
    <row r="354" spans="1:11">
      <c r="A354" s="10"/>
      <c r="B354" s="10"/>
      <c r="C354" s="10"/>
      <c r="D354" s="10"/>
      <c r="E354" s="10"/>
      <c r="F354" s="10"/>
      <c r="G354" s="10"/>
      <c r="I354" s="12"/>
      <c r="J354" s="12"/>
      <c r="K354" s="56"/>
    </row>
    <row r="355" spans="1:11">
      <c r="A355" s="10"/>
      <c r="B355" s="10"/>
      <c r="C355" s="10"/>
      <c r="D355" s="10"/>
      <c r="E355" s="10"/>
      <c r="F355" s="10"/>
      <c r="G355" s="10"/>
      <c r="I355" s="12"/>
      <c r="J355" s="12"/>
      <c r="K355" s="56"/>
    </row>
    <row r="356" spans="1:11">
      <c r="A356" s="69" t="s">
        <v>50</v>
      </c>
      <c r="B356" s="58"/>
      <c r="C356" s="59"/>
      <c r="D356" s="59"/>
      <c r="E356" s="59"/>
      <c r="F356" s="59"/>
      <c r="G356" s="10" t="s">
        <v>39</v>
      </c>
      <c r="I356" s="58"/>
      <c r="J356" s="58" t="s">
        <v>40</v>
      </c>
      <c r="K356" s="56"/>
    </row>
  </sheetData>
  <mergeCells count="112">
    <mergeCell ref="A346:C346"/>
    <mergeCell ref="C333:E333"/>
    <mergeCell ref="C334:E334"/>
    <mergeCell ref="C335:E335"/>
    <mergeCell ref="C336:E336"/>
    <mergeCell ref="A341:C341"/>
    <mergeCell ref="A327:K327"/>
    <mergeCell ref="C328:E328"/>
    <mergeCell ref="C330:E330"/>
    <mergeCell ref="C331:E331"/>
    <mergeCell ref="C332:E332"/>
    <mergeCell ref="A314:K314"/>
    <mergeCell ref="A315:K315"/>
    <mergeCell ref="A316:K316"/>
    <mergeCell ref="A317:K317"/>
    <mergeCell ref="A318:K318"/>
    <mergeCell ref="A295:C295"/>
    <mergeCell ref="A267:K267"/>
    <mergeCell ref="A276:K276"/>
    <mergeCell ref="C277:E277"/>
    <mergeCell ref="C279:E279"/>
    <mergeCell ref="C280:E280"/>
    <mergeCell ref="C281:E281"/>
    <mergeCell ref="C282:E282"/>
    <mergeCell ref="C283:E283"/>
    <mergeCell ref="C284:E284"/>
    <mergeCell ref="C285:E285"/>
    <mergeCell ref="A290:C290"/>
    <mergeCell ref="A266:K266"/>
    <mergeCell ref="C229:E229"/>
    <mergeCell ref="C230:E230"/>
    <mergeCell ref="C231:E231"/>
    <mergeCell ref="C232:E232"/>
    <mergeCell ref="C233:E233"/>
    <mergeCell ref="C234:E234"/>
    <mergeCell ref="A239:C239"/>
    <mergeCell ref="A244:C244"/>
    <mergeCell ref="A263:K263"/>
    <mergeCell ref="A264:K264"/>
    <mergeCell ref="A265:K265"/>
    <mergeCell ref="C228:E228"/>
    <mergeCell ref="C182:E182"/>
    <mergeCell ref="C183:E183"/>
    <mergeCell ref="A188:C188"/>
    <mergeCell ref="A193:C193"/>
    <mergeCell ref="A212:K212"/>
    <mergeCell ref="A213:K213"/>
    <mergeCell ref="A214:K214"/>
    <mergeCell ref="A215:K215"/>
    <mergeCell ref="A216:K216"/>
    <mergeCell ref="A225:K225"/>
    <mergeCell ref="C226:E226"/>
    <mergeCell ref="C181:E181"/>
    <mergeCell ref="A161:K161"/>
    <mergeCell ref="A162:K162"/>
    <mergeCell ref="A163:K163"/>
    <mergeCell ref="A164:K164"/>
    <mergeCell ref="A165:K165"/>
    <mergeCell ref="A174:K174"/>
    <mergeCell ref="C175:E175"/>
    <mergeCell ref="C177:E177"/>
    <mergeCell ref="C178:E178"/>
    <mergeCell ref="C179:E179"/>
    <mergeCell ref="C180:E180"/>
    <mergeCell ref="A142:C142"/>
    <mergeCell ref="A114:K114"/>
    <mergeCell ref="A123:K123"/>
    <mergeCell ref="C124:E124"/>
    <mergeCell ref="C126:E126"/>
    <mergeCell ref="C127:E127"/>
    <mergeCell ref="C128:E128"/>
    <mergeCell ref="C129:E129"/>
    <mergeCell ref="C130:E130"/>
    <mergeCell ref="C131:E131"/>
    <mergeCell ref="C132:E132"/>
    <mergeCell ref="A137:C137"/>
    <mergeCell ref="A113:K113"/>
    <mergeCell ref="C76:E76"/>
    <mergeCell ref="C77:E77"/>
    <mergeCell ref="C78:E78"/>
    <mergeCell ref="C79:E79"/>
    <mergeCell ref="C80:E80"/>
    <mergeCell ref="C81:E81"/>
    <mergeCell ref="A86:C86"/>
    <mergeCell ref="A91:C91"/>
    <mergeCell ref="A110:K110"/>
    <mergeCell ref="A111:K111"/>
    <mergeCell ref="A112:K112"/>
    <mergeCell ref="C75:E75"/>
    <mergeCell ref="C29:E29"/>
    <mergeCell ref="C30:E30"/>
    <mergeCell ref="A35:C35"/>
    <mergeCell ref="A40:C40"/>
    <mergeCell ref="A59:K59"/>
    <mergeCell ref="A60:K60"/>
    <mergeCell ref="A61:K61"/>
    <mergeCell ref="A62:K62"/>
    <mergeCell ref="A63:K63"/>
    <mergeCell ref="A72:K72"/>
    <mergeCell ref="C73:E73"/>
    <mergeCell ref="C28:E28"/>
    <mergeCell ref="A8:K8"/>
    <mergeCell ref="A9:K9"/>
    <mergeCell ref="A10:K10"/>
    <mergeCell ref="A11:K11"/>
    <mergeCell ref="A12:K12"/>
    <mergeCell ref="A21:K21"/>
    <mergeCell ref="C22:E22"/>
    <mergeCell ref="C24:E24"/>
    <mergeCell ref="C25:E25"/>
    <mergeCell ref="C26:E26"/>
    <mergeCell ref="C27:E27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7" manualBreakCount="7">
    <brk id="51" max="10" man="1"/>
    <brk id="102" max="10" man="1"/>
    <brk id="153" max="10" man="1"/>
    <brk id="204" max="10" man="1"/>
    <brk id="255" max="10" man="1"/>
    <brk id="306" max="10" man="1"/>
    <brk id="35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2026-03-26T08:53:11Z</cp:lastPrinted>
  <dcterms:created xsi:type="dcterms:W3CDTF">2017-02-01T01:06:00Z</dcterms:created>
  <dcterms:modified xsi:type="dcterms:W3CDTF">2026-03-26T08:55:58Z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