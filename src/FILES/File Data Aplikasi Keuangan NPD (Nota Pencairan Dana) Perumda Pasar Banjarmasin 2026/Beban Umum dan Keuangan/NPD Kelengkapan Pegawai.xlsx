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CAAA1A9D-2776-4BF8-A1A0-B70DE05832C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JANUARI" sheetId="14" r:id="rId1"/>
  </sheets>
  <definedNames>
    <definedName name="_xlnm.Print_Area" localSheetId="0">JANUARI!$A$1:$K$48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4" l="1"/>
  <c r="J30" i="14"/>
  <c r="E32" i="14" s="1"/>
  <c r="K25" i="14"/>
  <c r="K26" i="14"/>
  <c r="K27" i="14"/>
  <c r="K28" i="14"/>
  <c r="K29" i="14"/>
  <c r="G30" i="14"/>
  <c r="E35" i="14"/>
  <c r="K24" i="14"/>
  <c r="E37" i="14" l="1"/>
  <c r="E38" i="14" s="1"/>
  <c r="E17" i="14"/>
  <c r="E18" i="14" s="1"/>
  <c r="H30" i="14"/>
</calcChain>
</file>

<file path=xl/sharedStrings.xml><?xml version="1.0" encoding="utf-8"?>
<sst xmlns="http://schemas.openxmlformats.org/spreadsheetml/2006/main" count="60" uniqueCount="48">
  <si>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</si>
  <si>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</si>
  <si>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</si>
  <si>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</si>
  <si>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</si>
  <si>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</si>
  <si>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</si>
  <si>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</si>
  <si>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</si>
  <si>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</si>
  <si>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</si>
  <si>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</si>
  <si>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</si>
  <si>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</si>
  <si>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</si>
  <si>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</si>
  <si>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</si>
  <si>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</si>
  <si>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</si>
  <si>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</si>
  <si>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</si>
  <si>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</si>
  <si>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</si>
  <si>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Kelengkapan Pegawai</t>
  </si>
  <si>
    <t>Pakaian Adat Direksi (3)</t>
  </si>
  <si>
    <t>Pakaian Adat Ketua Dewas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</si>
  <si>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</si>
  <si>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</si>
  <si>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</si>
  <si>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</si>
  <si>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</si>
  <si>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</si>
  <si>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</si>
  <si>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</si>
  <si>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</si>
  <si>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</si>
  <si>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</si>
  <si>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1.4</t>
  </si>
  <si>
    <t>1.5</t>
  </si>
  <si>
    <t>PDH Karyawan</t>
  </si>
  <si>
    <t>Kain Sasirangan (Karyawan + Direksi + Dewas)</t>
  </si>
  <si>
    <t>IRNA WAHYUNI N.</t>
  </si>
  <si>
    <t>PERUMDA PASAR BANJARMASIN</t>
  </si>
  <si>
    <t>PSL Direksi (3)</t>
  </si>
  <si>
    <t>Seragam Loket</t>
  </si>
  <si>
    <t>1.6</t>
  </si>
  <si>
    <r>
      <t>Nomor : 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</si>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</sst>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8" formatCode="_(* #,##0_);_(* \(#,##0\);_(* &quot;-&quot;??_);_(@_)"/>
    <numFmt numFmtId="169" formatCode="_-[$Rp-421]* #,##0_-;\-[$Rp-421]* #,##0_-;_-[$Rp-421]* &quot;-&quot;_-;_-@_-"/>
  </numFmts>
  <fonts count="1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68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8" fontId="3" fillId="0" borderId="8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vertical="center"/>
    </xf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8" fontId="3" fillId="0" borderId="8" xfId="1" applyNumberFormat="1" applyFont="1" applyBorder="1" applyAlignment="1">
      <alignment horizontal="right"/>
    </xf>
    <xf numFmtId="168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9" fontId="3" fillId="0" borderId="5" xfId="2" applyNumberFormat="1" applyFont="1" applyBorder="1"/>
    <xf numFmtId="169" fontId="3" fillId="0" borderId="2" xfId="2" applyNumberFormat="1" applyFont="1" applyBorder="1"/>
    <xf numFmtId="0" fontId="4" fillId="0" borderId="4" xfId="0" applyFont="1" applyBorder="1"/>
    <xf numFmtId="169" fontId="4" fillId="0" borderId="4" xfId="2" applyNumberFormat="1" applyFont="1" applyBorder="1"/>
    <xf numFmtId="169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9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8" fontId="3" fillId="0" borderId="8" xfId="1" applyNumberFormat="1" applyFont="1" applyFill="1" applyBorder="1" applyAlignment="1">
      <alignment horizontal="right" vertical="center"/>
    </xf>
    <xf numFmtId="168" fontId="3" fillId="0" borderId="8" xfId="1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28576</xdr:rowOff>
    </xdr:from>
    <xdr:to>
      <xdr:col>10</xdr:col>
      <xdr:colOff>1162051</xdr:colOff>
      <xdr:row>9</xdr:row>
      <xdr:rowOff>132304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9206822-2E50-48D2-A896-09750AA09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8576"/>
          <a:ext cx="8048626" cy="183727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A461AC6-5719-463C-88BA-1FC40BC1716F}"/>
            </a:ext>
          </a:extLst>
        </xdr:cNvPr>
        <xdr:cNvCxnSpPr/>
      </xdr:nvCxnSpPr>
      <xdr:spPr>
        <a:xfrm>
          <a:off x="19050" y="1409700"/>
          <a:ext cx="101822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A832-73CC-483C-AAEE-BFC296981FD7}">
  <dimension ref="A1:W48"/>
  <sheetViews>
    <sheetView tabSelected="1" view="pageBreakPreview" zoomScaleNormal="100" workbookViewId="0">
      <selection activeCell="J42" sqref="J42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9.1406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0"/>
    </row>
    <row r="2" spans="1:23"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0"/>
    </row>
    <row r="3" spans="1:23">
      <c r="L3" s="30"/>
      <c r="M3" s="31"/>
      <c r="N3" s="31"/>
      <c r="O3" s="31"/>
      <c r="P3" s="31"/>
      <c r="Q3" s="31"/>
      <c r="R3" s="31"/>
      <c r="S3" s="31"/>
      <c r="T3" s="31"/>
      <c r="U3" s="31"/>
      <c r="V3" s="31"/>
      <c r="W3" s="30"/>
    </row>
    <row r="4" spans="1:23" ht="15.75">
      <c r="C4" s="2"/>
      <c r="D4" s="2"/>
      <c r="E4" s="2"/>
      <c r="F4" s="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0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</row>
    <row r="6" spans="1:23">
      <c r="H6" s="5"/>
      <c r="I6" s="5"/>
      <c r="J6" s="5"/>
      <c r="K6" s="5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0"/>
    </row>
    <row r="7" spans="1:23">
      <c r="H7" s="5"/>
      <c r="I7" s="5"/>
      <c r="J7" s="5"/>
      <c r="K7" s="5"/>
      <c r="L7" s="30"/>
      <c r="M7" s="31"/>
      <c r="N7" s="31"/>
      <c r="O7" s="31"/>
      <c r="P7" s="31"/>
      <c r="Q7" s="31"/>
      <c r="R7" s="31"/>
      <c r="S7" s="31"/>
      <c r="T7" s="31"/>
      <c r="U7" s="31"/>
      <c r="V7" s="31"/>
      <c r="W7" s="30"/>
    </row>
    <row r="8" spans="1:23" ht="15" customHeight="1">
      <c r="A8" s="66" t="s">
        <v>0</v>
      </c>
      <c r="B8" s="66"/>
      <c r="C8" s="67"/>
      <c r="D8" s="67"/>
      <c r="E8" s="67"/>
      <c r="F8" s="67"/>
      <c r="G8" s="67"/>
      <c r="H8" s="67"/>
      <c r="I8" s="67"/>
      <c r="J8" s="67"/>
      <c r="K8" s="67"/>
      <c r="L8" s="30"/>
      <c r="M8" s="31"/>
      <c r="N8" s="31"/>
      <c r="O8" s="31"/>
      <c r="P8" s="31"/>
      <c r="Q8" s="31"/>
      <c r="R8" s="31"/>
      <c r="S8" s="31"/>
      <c r="T8" s="31"/>
      <c r="U8" s="31"/>
      <c r="V8" s="31"/>
      <c r="W8" s="30"/>
    </row>
    <row r="9" spans="1:23" ht="15" customHeight="1">
      <c r="A9" s="67" t="s">
        <v>46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30"/>
      <c r="M9" s="31"/>
      <c r="N9" s="31"/>
      <c r="O9" s="31"/>
      <c r="P9" s="31"/>
      <c r="Q9" s="31"/>
      <c r="R9" s="31"/>
      <c r="S9" s="31"/>
      <c r="T9" s="31"/>
      <c r="U9" s="31"/>
      <c r="V9" s="31"/>
      <c r="W9" s="30"/>
    </row>
    <row r="10" spans="1:23" ht="15" customHeight="1">
      <c r="A10" s="67" t="s">
        <v>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</row>
    <row r="11" spans="1:23" ht="15" customHeight="1">
      <c r="A11" s="67" t="s">
        <v>42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</row>
    <row r="12" spans="1:23" ht="15" customHeight="1">
      <c r="A12" s="67" t="s">
        <v>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0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0"/>
    </row>
    <row r="14" spans="1:23">
      <c r="A14" s="54" t="s">
        <v>3</v>
      </c>
      <c r="B14" s="10"/>
      <c r="C14" s="10"/>
      <c r="D14" s="55" t="s">
        <v>4</v>
      </c>
      <c r="E14" s="10" t="s">
        <v>5</v>
      </c>
      <c r="F14" s="11"/>
      <c r="G14" s="10"/>
      <c r="H14" s="12"/>
      <c r="I14" s="12"/>
      <c r="J14" s="12"/>
      <c r="K14" s="9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0"/>
    </row>
    <row r="15" spans="1:23">
      <c r="A15" s="54" t="s">
        <v>6</v>
      </c>
      <c r="B15" s="10"/>
      <c r="C15" s="10"/>
      <c r="D15" s="55" t="s">
        <v>4</v>
      </c>
      <c r="E15" s="10" t="s">
        <v>7</v>
      </c>
      <c r="F15" s="11"/>
      <c r="G15" s="10"/>
      <c r="H15" s="12"/>
      <c r="I15" s="12"/>
      <c r="J15" s="12"/>
      <c r="K15" s="9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0"/>
    </row>
    <row r="16" spans="1:23">
      <c r="A16" s="54" t="s">
        <v>8</v>
      </c>
      <c r="B16" s="10"/>
      <c r="C16" s="10"/>
      <c r="D16" s="55" t="s">
        <v>4</v>
      </c>
      <c r="E16" s="13">
        <v>2026</v>
      </c>
      <c r="F16" s="11"/>
      <c r="G16" s="13"/>
      <c r="H16" s="12"/>
      <c r="I16" s="12"/>
      <c r="J16" s="12"/>
      <c r="K16" s="9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0"/>
    </row>
    <row r="17" spans="1:23">
      <c r="A17" s="54" t="s">
        <v>9</v>
      </c>
      <c r="B17" s="10"/>
      <c r="C17" s="10"/>
      <c r="D17" s="55" t="s">
        <v>4</v>
      </c>
      <c r="E17" s="14">
        <f>J30</f>
        <v>0</v>
      </c>
      <c r="F17" s="11"/>
      <c r="G17" s="14"/>
      <c r="H17" s="12"/>
      <c r="I17" s="12"/>
      <c r="J17" s="12"/>
      <c r="K17" s="9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0"/>
    </row>
    <row r="18" spans="1:23" ht="15.75">
      <c r="A18" s="10"/>
      <c r="B18" s="10"/>
      <c r="C18" s="15" t="s">
        <v>10</v>
      </c>
      <c r="D18" s="55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18" s="11"/>
      <c r="G18" s="16"/>
      <c r="H18" s="12"/>
      <c r="I18" s="12"/>
      <c r="J18" s="12"/>
      <c r="K18" s="9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0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0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0"/>
    </row>
    <row r="21" spans="1:23">
      <c r="A21" s="62" t="s">
        <v>12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0"/>
    </row>
    <row r="22" spans="1:23" ht="61.5" customHeight="1">
      <c r="A22" s="17" t="s">
        <v>13</v>
      </c>
      <c r="B22" s="18" t="s">
        <v>14</v>
      </c>
      <c r="C22" s="63" t="s">
        <v>15</v>
      </c>
      <c r="D22" s="64"/>
      <c r="E22" s="65"/>
      <c r="F22" s="19"/>
      <c r="G22" s="20" t="s">
        <v>16</v>
      </c>
      <c r="H22" s="21" t="s">
        <v>36</v>
      </c>
      <c r="I22" s="21"/>
      <c r="J22" s="32" t="s">
        <v>17</v>
      </c>
      <c r="K22" s="33" t="s">
        <v>18</v>
      </c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0"/>
    </row>
    <row r="23" spans="1:23">
      <c r="A23" s="28">
        <v>1</v>
      </c>
      <c r="B23" s="24"/>
      <c r="C23" s="29" t="s">
        <v>23</v>
      </c>
      <c r="D23" s="58"/>
      <c r="E23" s="26"/>
      <c r="F23" s="25"/>
      <c r="G23" s="56" t="s">
        <v>19</v>
      </c>
      <c r="H23" s="56" t="s">
        <v>19</v>
      </c>
      <c r="I23" s="56"/>
      <c r="J23" s="56" t="s">
        <v>19</v>
      </c>
      <c r="K23" s="56" t="s">
        <v>19</v>
      </c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0"/>
    </row>
    <row r="24" spans="1:23">
      <c r="A24" s="24"/>
      <c r="B24" s="57" t="s">
        <v>20</v>
      </c>
      <c r="C24" s="25" t="s">
        <v>24</v>
      </c>
      <c r="D24" s="10"/>
      <c r="E24" s="27"/>
      <c r="F24" s="25"/>
      <c r="G24" s="22">
        <v>12000000</v>
      </c>
      <c r="H24" s="23">
        <v>0</v>
      </c>
      <c r="I24" s="23"/>
      <c r="J24" s="34">
        <v>0</v>
      </c>
      <c r="K24" s="35">
        <f t="shared" ref="K24:K29" si="0">G24-H24-J24</f>
        <v>12000000</v>
      </c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0"/>
    </row>
    <row r="25" spans="1:23">
      <c r="A25" s="24"/>
      <c r="B25" s="57" t="s">
        <v>21</v>
      </c>
      <c r="C25" s="25" t="s">
        <v>43</v>
      </c>
      <c r="D25" s="10"/>
      <c r="E25" s="27"/>
      <c r="F25" s="25"/>
      <c r="G25" s="22">
        <v>4500000</v>
      </c>
      <c r="H25" s="23">
        <v>0</v>
      </c>
      <c r="I25" s="23"/>
      <c r="J25" s="34">
        <v>0</v>
      </c>
      <c r="K25" s="35">
        <f t="shared" si="0"/>
        <v>4500000</v>
      </c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0"/>
    </row>
    <row r="26" spans="1:23">
      <c r="A26" s="24"/>
      <c r="B26" s="57" t="s">
        <v>22</v>
      </c>
      <c r="C26" s="25" t="s">
        <v>39</v>
      </c>
      <c r="D26" s="10"/>
      <c r="E26" s="27"/>
      <c r="F26" s="25"/>
      <c r="G26" s="22">
        <v>19550000</v>
      </c>
      <c r="H26" s="23">
        <v>0</v>
      </c>
      <c r="I26" s="59"/>
      <c r="J26" s="60">
        <v>0</v>
      </c>
      <c r="K26" s="35">
        <f t="shared" si="0"/>
        <v>19550000</v>
      </c>
      <c r="L26" s="3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</row>
    <row r="27" spans="1:23">
      <c r="A27" s="24"/>
      <c r="B27" s="57" t="s">
        <v>37</v>
      </c>
      <c r="C27" s="25" t="s">
        <v>40</v>
      </c>
      <c r="D27" s="10"/>
      <c r="E27" s="27"/>
      <c r="F27" s="25"/>
      <c r="G27" s="22">
        <v>27350000</v>
      </c>
      <c r="H27" s="23">
        <v>0</v>
      </c>
      <c r="I27" s="23"/>
      <c r="J27" s="34">
        <v>0</v>
      </c>
      <c r="K27" s="35">
        <f t="shared" si="0"/>
        <v>27350000</v>
      </c>
      <c r="L27" s="3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</row>
    <row r="28" spans="1:23">
      <c r="A28" s="24"/>
      <c r="B28" s="57" t="s">
        <v>38</v>
      </c>
      <c r="C28" s="25" t="s">
        <v>25</v>
      </c>
      <c r="D28" s="10"/>
      <c r="E28" s="27"/>
      <c r="F28" s="25"/>
      <c r="G28" s="22">
        <v>4000000</v>
      </c>
      <c r="H28" s="23">
        <v>0</v>
      </c>
      <c r="I28" s="23"/>
      <c r="J28" s="34">
        <v>0</v>
      </c>
      <c r="K28" s="35">
        <f t="shared" si="0"/>
        <v>4000000</v>
      </c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0"/>
    </row>
    <row r="29" spans="1:23">
      <c r="A29" s="24"/>
      <c r="B29" s="57" t="s">
        <v>45</v>
      </c>
      <c r="C29" s="25" t="s">
        <v>44</v>
      </c>
      <c r="D29" s="10"/>
      <c r="E29" s="27"/>
      <c r="F29" s="25"/>
      <c r="G29" s="22">
        <v>9000000</v>
      </c>
      <c r="H29" s="23">
        <v>0</v>
      </c>
      <c r="I29" s="23"/>
      <c r="J29" s="34">
        <v>0</v>
      </c>
      <c r="K29" s="35">
        <f t="shared" si="0"/>
        <v>9000000</v>
      </c>
      <c r="L29" s="3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0"/>
    </row>
    <row r="30" spans="1:23">
      <c r="A30" s="36"/>
      <c r="B30" s="36"/>
      <c r="C30" s="36" t="s">
        <v>26</v>
      </c>
      <c r="D30" s="36"/>
      <c r="E30" s="36"/>
      <c r="F30" s="37"/>
      <c r="G30" s="38">
        <f>SUM(G23:G29)</f>
        <v>76400000</v>
      </c>
      <c r="H30" s="39">
        <f>SUM(H23:H28)</f>
        <v>0</v>
      </c>
      <c r="I30" s="39"/>
      <c r="J30" s="39">
        <f>SUM(J23:J29)</f>
        <v>0</v>
      </c>
      <c r="K30" s="39">
        <f>SUM(K23:L29)</f>
        <v>76400000</v>
      </c>
      <c r="L30" s="30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0"/>
    </row>
    <row r="31" spans="1:23">
      <c r="A31" s="40"/>
      <c r="B31" s="8"/>
      <c r="C31" s="8"/>
      <c r="D31" s="8"/>
      <c r="E31" s="8"/>
      <c r="F31" s="8"/>
      <c r="G31" s="41"/>
      <c r="H31" s="41"/>
      <c r="I31" s="41"/>
      <c r="J31" s="41"/>
      <c r="K31" s="41"/>
      <c r="L31" s="30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</row>
    <row r="32" spans="1:23">
      <c r="A32" s="61" t="s">
        <v>27</v>
      </c>
      <c r="B32" s="61"/>
      <c r="C32" s="61"/>
      <c r="D32" s="11" t="s">
        <v>4</v>
      </c>
      <c r="E32" s="14">
        <f>J30</f>
        <v>0</v>
      </c>
      <c r="F32" s="42"/>
      <c r="G32" s="43"/>
      <c r="H32" s="43"/>
      <c r="I32" s="43"/>
      <c r="J32" s="9"/>
      <c r="K32" s="9"/>
      <c r="L32" s="30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0"/>
    </row>
    <row r="33" spans="1:23">
      <c r="A33" s="10" t="s">
        <v>28</v>
      </c>
      <c r="B33" s="10"/>
      <c r="C33" s="10"/>
      <c r="D33" s="11" t="s">
        <v>4</v>
      </c>
      <c r="E33" s="44"/>
      <c r="F33" s="44"/>
      <c r="G33" s="45"/>
      <c r="H33" s="12"/>
      <c r="I33" s="12"/>
      <c r="J33" s="9"/>
      <c r="K33" s="9"/>
      <c r="L33" s="30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0"/>
    </row>
    <row r="34" spans="1:23">
      <c r="A34" s="10" t="s">
        <v>29</v>
      </c>
      <c r="B34" s="10"/>
      <c r="C34" s="10"/>
      <c r="D34" s="11" t="s">
        <v>4</v>
      </c>
      <c r="E34" s="46"/>
      <c r="F34" s="46"/>
      <c r="G34" s="45"/>
      <c r="H34" s="12"/>
      <c r="I34" s="12"/>
      <c r="J34" s="9"/>
      <c r="K34" s="9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0"/>
    </row>
    <row r="35" spans="1:23">
      <c r="A35" s="10" t="s">
        <v>30</v>
      </c>
      <c r="B35" s="10"/>
      <c r="C35" s="10"/>
      <c r="D35" s="11" t="s">
        <v>4</v>
      </c>
      <c r="E35" s="46">
        <f>E33+E34</f>
        <v>0</v>
      </c>
      <c r="F35" s="46"/>
      <c r="G35" s="10"/>
      <c r="H35" s="12"/>
      <c r="I35" s="12"/>
      <c r="J35" s="48"/>
      <c r="K35" s="48"/>
      <c r="L35" s="3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</row>
    <row r="36" spans="1:23">
      <c r="A36" s="13"/>
      <c r="B36" s="13"/>
      <c r="C36" s="13"/>
      <c r="D36" s="11"/>
      <c r="E36" s="13"/>
      <c r="F36" s="13"/>
      <c r="G36" s="10"/>
      <c r="H36" s="12"/>
      <c r="I36" s="12"/>
      <c r="J36" s="48"/>
      <c r="K36" s="48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</row>
    <row r="37" spans="1:23">
      <c r="A37" s="61" t="s">
        <v>31</v>
      </c>
      <c r="B37" s="61"/>
      <c r="C37" s="61"/>
      <c r="D37" s="11" t="s">
        <v>4</v>
      </c>
      <c r="E37" s="42">
        <f>E32-E35</f>
        <v>0</v>
      </c>
      <c r="F37" s="42"/>
      <c r="G37" s="10"/>
      <c r="H37" s="12"/>
      <c r="I37" s="12"/>
      <c r="J37" s="48"/>
      <c r="K37" s="48"/>
      <c r="L37" s="30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0"/>
    </row>
    <row r="38" spans="1:23" ht="15.75">
      <c r="A38" s="13"/>
      <c r="B38" s="13"/>
      <c r="C38" s="10"/>
      <c r="D38" s="10"/>
      <c r="E38" s="16" t="str">
        <f>PROPER(IF(E37=0,"nol",IF(E37&lt;0,"minus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37),"000000000000000"),1,3)=0,"",MID(TEXT(ABS(E37),"000000000000000"),1,1)&amp;" ratus "&amp;MID(TEXT(ABS(E37),"000000000000000"),2,1)&amp;" puluh "&amp;MID(TEXT(ABS(E37),"000000000000000"),3,1)&amp;" trilyun ")&amp;IF(--MID(TEXT(ABS(E37),"000000000000000"),4,3)=0,"",MID(TEXT(ABS(E37),"000000000000000"),4,1)&amp;" ratus "&amp;MID(TEXT(ABS(E37),"000000000000000"),5,1)&amp;" puluh "&amp;MID(TEXT(ABS(E37),"000000000000000"),6,1)&amp;" milyar ")&amp;IF(--MID(TEXT(ABS(E37),"000000000000000"),7,3)=0,"",MID(TEXT(ABS(E37),"000000000000000"),7,1)&amp;" ratus "&amp;MID(TEXT(ABS(E37),"000000000000000"),8,1)&amp;" puluh "&amp;MID(TEXT(ABS(E37),"000000000000000"),9,1)&amp;" juta ")&amp;IF(--MID(TEXT(ABS(E37),"000000000000000"),10,3)=0,"",IF(--MID(TEXT(ABS(E37),"000000000000000"),10,3)=1,"*",MID(TEXT(ABS(E37),"000000000000000"),10,1)&amp;" ratus "&amp;MID(TEXT(ABS(E37),"000000000000000"),11,1)&amp;" puluh ")&amp;MID(TEXT(ABS(E37),"000000000000000"),12,1)&amp;" ribu ")&amp;IF(--MID(TEXT(ABS(E37),"000000000000000"),13,3)=0,"",MID(TEXT(ABS(E37),"000000000000000"),13,1)&amp;" ratus "&amp;MID(TEXT(ABS(E37),"000000000000000"),14,1)&amp;" puluh "&amp;MID(TEXT(ABS(E37),"000000000000000"),15,1)),1,"satu"),2,"dua"),3,"tiga"),4,"empat"),5,"lima"),6,"enam"),7,"tujuh"),8,"delapan"),9,"sembilan"),"0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38" s="10"/>
      <c r="G38" s="10"/>
      <c r="H38" s="10"/>
      <c r="I38" s="10"/>
      <c r="J38" s="48"/>
      <c r="K38" s="48"/>
      <c r="L38" s="30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0"/>
    </row>
    <row r="39" spans="1:23">
      <c r="A39" s="47"/>
      <c r="B39" s="47"/>
      <c r="C39" s="47"/>
      <c r="D39" s="47"/>
      <c r="E39" s="47"/>
      <c r="F39" s="47"/>
      <c r="G39" s="30"/>
      <c r="H39" s="48"/>
      <c r="I39" s="48"/>
      <c r="J39" s="48"/>
      <c r="K39" s="48"/>
      <c r="L39" s="30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0"/>
    </row>
    <row r="40" spans="1:23">
      <c r="A40" s="30"/>
      <c r="B40" s="30"/>
      <c r="C40" s="30"/>
      <c r="D40" s="30"/>
      <c r="E40" s="30"/>
      <c r="F40" s="30"/>
      <c r="G40" s="30"/>
      <c r="H40"/>
      <c r="I40"/>
      <c r="J40" s="48"/>
      <c r="K40" s="48"/>
      <c r="L40" s="30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</row>
    <row r="41" spans="1:23">
      <c r="A41" s="13"/>
      <c r="B41" s="13"/>
      <c r="C41" s="10"/>
      <c r="D41" s="10"/>
      <c r="E41" s="10"/>
      <c r="F41" s="10"/>
      <c r="G41" s="10"/>
      <c r="I41" s="49"/>
      <c r="J41" s="49" t="s">
        <v>47</v>
      </c>
      <c r="K41" s="48"/>
      <c r="L41" s="30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</row>
    <row r="42" spans="1:23">
      <c r="A42" s="12" t="s">
        <v>32</v>
      </c>
      <c r="B42" s="10"/>
      <c r="C42" s="10"/>
      <c r="D42" s="10"/>
      <c r="E42" s="10"/>
      <c r="F42" s="10"/>
      <c r="G42" s="10"/>
      <c r="I42" s="12"/>
      <c r="J42" s="12" t="s">
        <v>33</v>
      </c>
      <c r="K42" s="48"/>
      <c r="L42" s="30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8"/>
      <c r="L43" s="30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0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8"/>
      <c r="L44" s="30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0"/>
    </row>
    <row r="45" spans="1:23">
      <c r="A45" s="10"/>
      <c r="B45" s="10"/>
      <c r="C45" s="10"/>
      <c r="D45" s="10"/>
      <c r="E45" s="10"/>
      <c r="F45" s="10"/>
      <c r="G45" s="10"/>
      <c r="I45" s="12"/>
      <c r="J45" s="12"/>
      <c r="K45" s="48"/>
      <c r="L45" s="30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0"/>
    </row>
    <row r="46" spans="1:23">
      <c r="A46" s="10"/>
      <c r="B46" s="10"/>
      <c r="C46" s="10"/>
      <c r="D46" s="10"/>
      <c r="E46" s="10"/>
      <c r="F46" s="10"/>
      <c r="G46" s="10"/>
      <c r="I46" s="12"/>
      <c r="J46" s="12"/>
      <c r="K46" s="48"/>
      <c r="L46" s="30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</row>
    <row r="47" spans="1:23">
      <c r="A47" s="50" t="s">
        <v>41</v>
      </c>
      <c r="B47" s="50"/>
      <c r="C47" s="51"/>
      <c r="D47" s="51"/>
      <c r="E47" s="51"/>
      <c r="F47" s="51"/>
      <c r="G47" s="10" t="s">
        <v>34</v>
      </c>
      <c r="I47" s="50"/>
      <c r="J47" s="50" t="s">
        <v>35</v>
      </c>
      <c r="K47" s="48"/>
      <c r="L47" s="30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</row>
    <row r="48" spans="1:23">
      <c r="A48" s="52"/>
      <c r="B48" s="52"/>
      <c r="C48" s="53"/>
      <c r="D48" s="53"/>
      <c r="E48" s="53"/>
      <c r="F48" s="53"/>
      <c r="G48" s="53"/>
      <c r="H48" s="52"/>
      <c r="I48" s="52"/>
      <c r="J48" s="52"/>
      <c r="K48" s="48"/>
      <c r="L48" s="30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</row>
  </sheetData>
  <mergeCells count="9">
    <mergeCell ref="A32:C32"/>
    <mergeCell ref="A37:C37"/>
    <mergeCell ref="C22:E22"/>
    <mergeCell ref="A8:K8"/>
    <mergeCell ref="A9:K9"/>
    <mergeCell ref="A10:K10"/>
    <mergeCell ref="A11:K11"/>
    <mergeCell ref="A12:K12"/>
    <mergeCell ref="A21:K21"/>
  </mergeCells>
  <phoneticPr fontId="16" type="noConversion"/>
  <pageMargins left="0.23622047244094491" right="0.23622047244094491" top="0.74803149606299213" bottom="0.74803149606299213" header="0.31496062992125984" footer="0.31496062992125984"/>
  <pageSetup paperSize="9" scale="8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2025-12-30T06:17:39Z</cp:lastPrinted>
  <dcterms:created xsi:type="dcterms:W3CDTF">2017-02-01T01:06:00Z</dcterms:created>
  <dcterms:modified xsi:type="dcterms:W3CDTF">2026-01-02T09:17:37Z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