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E:\NPD 2026\Beban Umum dan Keuangan\"/>
    </mc:Choice>
  </mc:AlternateContent>
  <xr:revisionPtr revIDLastSave="0" documentId="13_ncr:1_{92D8425F-56D4-4BC0-A239-168967BCFEF3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JANUARI" sheetId="15" r:id="rId1"/>
    <sheet name="FEBRUARI" sheetId="16" r:id="rId2"/>
    <sheet name="MARET" sheetId="17" r:id="rId3"/>
  </sheets>
  <definedNames>
    <definedName name="_xlnm.Print_Area" localSheetId="1">FEBRUARI!$A$1:$K$750</definedName>
    <definedName name="_xlnm.Print_Area" localSheetId="0">JANUARI!$A$1:$K$1029</definedName>
    <definedName name="_xlnm.Print_Area" localSheetId="2">MARET!$A$1:$K$1029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04" i="17" l="1"/>
  <c r="H160" i="17"/>
  <c r="H114" i="17"/>
  <c r="H69" i="17"/>
  <c r="H25" i="17"/>
  <c r="H26" i="17"/>
  <c r="H24" i="17"/>
  <c r="G702" i="17"/>
  <c r="J702" i="17"/>
  <c r="E707" i="17"/>
  <c r="G747" i="17"/>
  <c r="J747" i="17"/>
  <c r="E737" i="17" s="1"/>
  <c r="E738" i="17" s="1"/>
  <c r="E749" i="17"/>
  <c r="E752" i="17"/>
  <c r="E754" i="17" s="1"/>
  <c r="E755" i="17" s="1"/>
  <c r="G792" i="17"/>
  <c r="J792" i="17"/>
  <c r="E782" i="17" s="1"/>
  <c r="E783" i="17" s="1"/>
  <c r="E794" i="17"/>
  <c r="E797" i="17"/>
  <c r="E799" i="17"/>
  <c r="E800" i="17" s="1"/>
  <c r="E662" i="17"/>
  <c r="J657" i="17"/>
  <c r="E659" i="17" s="1"/>
  <c r="E664" i="17" s="1"/>
  <c r="E665" i="17" s="1"/>
  <c r="G657" i="17"/>
  <c r="E647" i="17"/>
  <c r="E648" i="17" s="1"/>
  <c r="E617" i="17"/>
  <c r="J612" i="17"/>
  <c r="E614" i="17" s="1"/>
  <c r="E619" i="17" s="1"/>
  <c r="E620" i="17" s="1"/>
  <c r="G612" i="17"/>
  <c r="E602" i="17"/>
  <c r="E603" i="17" s="1"/>
  <c r="E572" i="17"/>
  <c r="J567" i="17"/>
  <c r="E569" i="17" s="1"/>
  <c r="E574" i="17" s="1"/>
  <c r="E575" i="17" s="1"/>
  <c r="G567" i="17"/>
  <c r="E557" i="17"/>
  <c r="E558" i="17" s="1"/>
  <c r="E527" i="17"/>
  <c r="J522" i="17"/>
  <c r="E524" i="17" s="1"/>
  <c r="E529" i="17" s="1"/>
  <c r="E530" i="17" s="1"/>
  <c r="G522" i="17"/>
  <c r="E512" i="17"/>
  <c r="E513" i="17" s="1"/>
  <c r="E482" i="17"/>
  <c r="J477" i="17"/>
  <c r="E479" i="17" s="1"/>
  <c r="E484" i="17" s="1"/>
  <c r="E485" i="17" s="1"/>
  <c r="G477" i="17"/>
  <c r="E467" i="17"/>
  <c r="E468" i="17" s="1"/>
  <c r="E437" i="17"/>
  <c r="J432" i="17"/>
  <c r="E434" i="17" s="1"/>
  <c r="E439" i="17" s="1"/>
  <c r="E440" i="17" s="1"/>
  <c r="G432" i="17"/>
  <c r="E422" i="17"/>
  <c r="E423" i="17" s="1"/>
  <c r="E392" i="17"/>
  <c r="J387" i="17"/>
  <c r="E389" i="17" s="1"/>
  <c r="E394" i="17" s="1"/>
  <c r="E395" i="17" s="1"/>
  <c r="G387" i="17"/>
  <c r="E377" i="17"/>
  <c r="E378" i="17" s="1"/>
  <c r="E347" i="17"/>
  <c r="J342" i="17"/>
  <c r="G342" i="17"/>
  <c r="E302" i="17"/>
  <c r="J297" i="17"/>
  <c r="E299" i="17" s="1"/>
  <c r="E304" i="17" s="1"/>
  <c r="E305" i="17" s="1"/>
  <c r="G297" i="17"/>
  <c r="E287" i="17"/>
  <c r="E288" i="17" s="1"/>
  <c r="E257" i="17"/>
  <c r="J252" i="17"/>
  <c r="G252" i="17"/>
  <c r="E212" i="17"/>
  <c r="J207" i="17"/>
  <c r="G207" i="17"/>
  <c r="E167" i="17"/>
  <c r="J162" i="17"/>
  <c r="E164" i="17" s="1"/>
  <c r="E169" i="17" s="1"/>
  <c r="E170" i="17" s="1"/>
  <c r="G162" i="17"/>
  <c r="E152" i="17"/>
  <c r="E153" i="17" s="1"/>
  <c r="E122" i="17"/>
  <c r="J117" i="17"/>
  <c r="G117" i="17"/>
  <c r="E77" i="17"/>
  <c r="J72" i="17"/>
  <c r="G72" i="17"/>
  <c r="E32" i="17"/>
  <c r="J27" i="17"/>
  <c r="G27" i="17"/>
  <c r="E209" i="17" l="1"/>
  <c r="E214" i="17" s="1"/>
  <c r="E215" i="17" s="1"/>
  <c r="E197" i="17"/>
  <c r="E198" i="17" s="1"/>
  <c r="E119" i="17"/>
  <c r="E124" i="17" s="1"/>
  <c r="E125" i="17" s="1"/>
  <c r="E107" i="17"/>
  <c r="E108" i="17" s="1"/>
  <c r="E74" i="17"/>
  <c r="E79" i="17" s="1"/>
  <c r="E80" i="17" s="1"/>
  <c r="E62" i="17"/>
  <c r="E63" i="17" s="1"/>
  <c r="E704" i="17"/>
  <c r="E709" i="17" s="1"/>
  <c r="E710" i="17" s="1"/>
  <c r="E692" i="17"/>
  <c r="E693" i="17" s="1"/>
  <c r="E254" i="17"/>
  <c r="E259" i="17" s="1"/>
  <c r="E260" i="17" s="1"/>
  <c r="E242" i="17"/>
  <c r="E243" i="17" s="1"/>
  <c r="E29" i="17"/>
  <c r="E34" i="17" s="1"/>
  <c r="E35" i="17" s="1"/>
  <c r="E17" i="17"/>
  <c r="E18" i="17" s="1"/>
  <c r="E332" i="17"/>
  <c r="E333" i="17" s="1"/>
  <c r="E344" i="17"/>
  <c r="E349" i="17" s="1"/>
  <c r="E350" i="17" s="1"/>
  <c r="H71" i="17"/>
  <c r="K26" i="17"/>
  <c r="H70" i="17"/>
  <c r="K25" i="17"/>
  <c r="K24" i="17"/>
  <c r="K27" i="17" s="1"/>
  <c r="H27" i="17"/>
  <c r="K71" i="17" l="1"/>
  <c r="H116" i="17"/>
  <c r="K70" i="17"/>
  <c r="H115" i="17"/>
  <c r="K69" i="17"/>
  <c r="K72" i="17" s="1"/>
  <c r="H72" i="17"/>
  <c r="K116" i="17" l="1"/>
  <c r="H161" i="17"/>
  <c r="K115" i="17"/>
  <c r="K114" i="17"/>
  <c r="H117" i="17"/>
  <c r="H159" i="17"/>
  <c r="H25" i="16"/>
  <c r="H26" i="16"/>
  <c r="H24" i="16"/>
  <c r="H69" i="16" s="1"/>
  <c r="E662" i="16"/>
  <c r="J657" i="16"/>
  <c r="E659" i="16" s="1"/>
  <c r="E664" i="16" s="1"/>
  <c r="E665" i="16" s="1"/>
  <c r="G657" i="16"/>
  <c r="E647" i="16"/>
  <c r="E648" i="16" s="1"/>
  <c r="E617" i="16"/>
  <c r="J612" i="16"/>
  <c r="E602" i="16" s="1"/>
  <c r="E603" i="16" s="1"/>
  <c r="G612" i="16"/>
  <c r="E572" i="16"/>
  <c r="J567" i="16"/>
  <c r="E569" i="16" s="1"/>
  <c r="E574" i="16" s="1"/>
  <c r="E575" i="16" s="1"/>
  <c r="G567" i="16"/>
  <c r="E527" i="16"/>
  <c r="J522" i="16"/>
  <c r="E524" i="16" s="1"/>
  <c r="E529" i="16" s="1"/>
  <c r="E530" i="16" s="1"/>
  <c r="G522" i="16"/>
  <c r="E512" i="16"/>
  <c r="E513" i="16" s="1"/>
  <c r="E482" i="16"/>
  <c r="J477" i="16"/>
  <c r="E479" i="16" s="1"/>
  <c r="E484" i="16" s="1"/>
  <c r="E485" i="16" s="1"/>
  <c r="G477" i="16"/>
  <c r="E437" i="16"/>
  <c r="J432" i="16"/>
  <c r="E434" i="16" s="1"/>
  <c r="G432" i="16"/>
  <c r="E392" i="16"/>
  <c r="J387" i="16"/>
  <c r="G387" i="16"/>
  <c r="E347" i="16"/>
  <c r="J342" i="16"/>
  <c r="E344" i="16" s="1"/>
  <c r="E349" i="16" s="1"/>
  <c r="E350" i="16" s="1"/>
  <c r="G342" i="16"/>
  <c r="E302" i="16"/>
  <c r="J297" i="16"/>
  <c r="E287" i="16" s="1"/>
  <c r="E288" i="16" s="1"/>
  <c r="G297" i="16"/>
  <c r="E257" i="16"/>
  <c r="J252" i="16"/>
  <c r="E254" i="16" s="1"/>
  <c r="E259" i="16" s="1"/>
  <c r="E260" i="16" s="1"/>
  <c r="G252" i="16"/>
  <c r="E212" i="16"/>
  <c r="J207" i="16"/>
  <c r="E209" i="16" s="1"/>
  <c r="E214" i="16" s="1"/>
  <c r="E215" i="16" s="1"/>
  <c r="G207" i="16"/>
  <c r="E167" i="16"/>
  <c r="J162" i="16"/>
  <c r="E152" i="16" s="1"/>
  <c r="E153" i="16" s="1"/>
  <c r="G162" i="16"/>
  <c r="E122" i="16"/>
  <c r="J117" i="16"/>
  <c r="G117" i="16"/>
  <c r="E77" i="16"/>
  <c r="J72" i="16"/>
  <c r="E62" i="16" s="1"/>
  <c r="E63" i="16" s="1"/>
  <c r="G72" i="16"/>
  <c r="E32" i="16"/>
  <c r="J27" i="16"/>
  <c r="E17" i="16" s="1"/>
  <c r="E18" i="16" s="1"/>
  <c r="H27" i="16"/>
  <c r="G27" i="16"/>
  <c r="K24" i="16"/>
  <c r="H789" i="15"/>
  <c r="E797" i="15"/>
  <c r="J792" i="15"/>
  <c r="E794" i="15" s="1"/>
  <c r="E799" i="15" s="1"/>
  <c r="E800" i="15" s="1"/>
  <c r="G792" i="15"/>
  <c r="H791" i="15"/>
  <c r="K791" i="15" s="1"/>
  <c r="H790" i="15"/>
  <c r="H792" i="15" s="1"/>
  <c r="K789" i="15"/>
  <c r="E439" i="16" l="1"/>
  <c r="E440" i="16" s="1"/>
  <c r="K25" i="16"/>
  <c r="H70" i="16"/>
  <c r="K26" i="16"/>
  <c r="H71" i="16"/>
  <c r="K69" i="16"/>
  <c r="H114" i="16"/>
  <c r="H159" i="16" s="1"/>
  <c r="H204" i="16" s="1"/>
  <c r="E107" i="16"/>
  <c r="E108" i="16" s="1"/>
  <c r="E119" i="16"/>
  <c r="K117" i="17"/>
  <c r="K161" i="17"/>
  <c r="H206" i="17"/>
  <c r="K160" i="17"/>
  <c r="H205" i="17"/>
  <c r="K159" i="17"/>
  <c r="K162" i="17" s="1"/>
  <c r="H162" i="17"/>
  <c r="E389" i="16"/>
  <c r="E394" i="16" s="1"/>
  <c r="E395" i="16" s="1"/>
  <c r="E377" i="16"/>
  <c r="E378" i="16" s="1"/>
  <c r="E242" i="16"/>
  <c r="E243" i="16" s="1"/>
  <c r="K27" i="16"/>
  <c r="E124" i="16"/>
  <c r="E125" i="16" s="1"/>
  <c r="H72" i="16"/>
  <c r="E164" i="16"/>
  <c r="E169" i="16" s="1"/>
  <c r="E170" i="16" s="1"/>
  <c r="E299" i="16"/>
  <c r="E304" i="16" s="1"/>
  <c r="E305" i="16" s="1"/>
  <c r="E422" i="16"/>
  <c r="E423" i="16" s="1"/>
  <c r="E557" i="16"/>
  <c r="E558" i="16" s="1"/>
  <c r="E29" i="16"/>
  <c r="E34" i="16" s="1"/>
  <c r="E35" i="16" s="1"/>
  <c r="E197" i="16"/>
  <c r="E198" i="16" s="1"/>
  <c r="E467" i="16"/>
  <c r="E468" i="16" s="1"/>
  <c r="E614" i="16"/>
  <c r="E619" i="16" s="1"/>
  <c r="E620" i="16" s="1"/>
  <c r="E74" i="16"/>
  <c r="E79" i="16" s="1"/>
  <c r="E80" i="16" s="1"/>
  <c r="E332" i="16"/>
  <c r="E333" i="16" s="1"/>
  <c r="K790" i="15"/>
  <c r="K792" i="15" s="1"/>
  <c r="E782" i="15"/>
  <c r="E783" i="15" s="1"/>
  <c r="K70" i="16" l="1"/>
  <c r="H115" i="16"/>
  <c r="K71" i="16"/>
  <c r="H116" i="16"/>
  <c r="K206" i="17"/>
  <c r="H251" i="17"/>
  <c r="K205" i="17"/>
  <c r="H250" i="17"/>
  <c r="K204" i="17"/>
  <c r="H207" i="17"/>
  <c r="H249" i="17"/>
  <c r="K114" i="16"/>
  <c r="H117" i="16"/>
  <c r="H744" i="15"/>
  <c r="E752" i="15"/>
  <c r="J747" i="15"/>
  <c r="E749" i="15" s="1"/>
  <c r="E754" i="15" s="1"/>
  <c r="E755" i="15" s="1"/>
  <c r="G747" i="15"/>
  <c r="H746" i="15"/>
  <c r="K746" i="15" s="1"/>
  <c r="H745" i="15"/>
  <c r="H747" i="15" s="1"/>
  <c r="K744" i="15"/>
  <c r="H699" i="15"/>
  <c r="E707" i="15"/>
  <c r="J702" i="15"/>
  <c r="E704" i="15" s="1"/>
  <c r="E709" i="15" s="1"/>
  <c r="E710" i="15" s="1"/>
  <c r="G702" i="15"/>
  <c r="H701" i="15"/>
  <c r="K701" i="15" s="1"/>
  <c r="H700" i="15"/>
  <c r="H702" i="15" s="1"/>
  <c r="K699" i="15"/>
  <c r="H654" i="15"/>
  <c r="E662" i="15"/>
  <c r="J657" i="15"/>
  <c r="E647" i="15" s="1"/>
  <c r="E648" i="15" s="1"/>
  <c r="G657" i="15"/>
  <c r="H656" i="15"/>
  <c r="K656" i="15" s="1"/>
  <c r="H655" i="15"/>
  <c r="K655" i="15" s="1"/>
  <c r="K654" i="15"/>
  <c r="K657" i="15" s="1"/>
  <c r="H657" i="15"/>
  <c r="H609" i="15"/>
  <c r="E617" i="15"/>
  <c r="J612" i="15"/>
  <c r="E614" i="15" s="1"/>
  <c r="E619" i="15" s="1"/>
  <c r="E620" i="15" s="1"/>
  <c r="G612" i="15"/>
  <c r="H611" i="15"/>
  <c r="K611" i="15" s="1"/>
  <c r="H610" i="15"/>
  <c r="K610" i="15" s="1"/>
  <c r="H612" i="15"/>
  <c r="H564" i="15"/>
  <c r="E572" i="15"/>
  <c r="J567" i="15"/>
  <c r="E569" i="15" s="1"/>
  <c r="E574" i="15" s="1"/>
  <c r="E575" i="15" s="1"/>
  <c r="G567" i="15"/>
  <c r="H566" i="15"/>
  <c r="K566" i="15" s="1"/>
  <c r="H565" i="15"/>
  <c r="K565" i="15" s="1"/>
  <c r="H567" i="15"/>
  <c r="K207" i="17" l="1"/>
  <c r="K115" i="16"/>
  <c r="H160" i="16"/>
  <c r="K116" i="16"/>
  <c r="H161" i="16"/>
  <c r="K72" i="16"/>
  <c r="K251" i="17"/>
  <c r="H296" i="17"/>
  <c r="K250" i="17"/>
  <c r="H295" i="17"/>
  <c r="K249" i="17"/>
  <c r="H252" i="17"/>
  <c r="H294" i="17"/>
  <c r="K159" i="16"/>
  <c r="H162" i="16"/>
  <c r="K745" i="15"/>
  <c r="K747" i="15" s="1"/>
  <c r="E737" i="15"/>
  <c r="E738" i="15" s="1"/>
  <c r="K700" i="15"/>
  <c r="K702" i="15" s="1"/>
  <c r="E692" i="15"/>
  <c r="E693" i="15" s="1"/>
  <c r="E659" i="15"/>
  <c r="E664" i="15" s="1"/>
  <c r="E665" i="15" s="1"/>
  <c r="K609" i="15"/>
  <c r="K612" i="15" s="1"/>
  <c r="E602" i="15"/>
  <c r="E603" i="15" s="1"/>
  <c r="K564" i="15"/>
  <c r="K567" i="15" s="1"/>
  <c r="E557" i="15"/>
  <c r="E558" i="15" s="1"/>
  <c r="K252" i="17" l="1"/>
  <c r="H205" i="16"/>
  <c r="K160" i="16"/>
  <c r="K162" i="16" s="1"/>
  <c r="H206" i="16"/>
  <c r="K161" i="16"/>
  <c r="K117" i="16"/>
  <c r="K296" i="17"/>
  <c r="H341" i="17"/>
  <c r="K295" i="17"/>
  <c r="H340" i="17"/>
  <c r="K294" i="17"/>
  <c r="K297" i="17" s="1"/>
  <c r="H297" i="17"/>
  <c r="H339" i="17"/>
  <c r="K204" i="16"/>
  <c r="H249" i="16"/>
  <c r="H294" i="16" s="1"/>
  <c r="H207" i="16"/>
  <c r="H519" i="15"/>
  <c r="E527" i="15"/>
  <c r="J522" i="15"/>
  <c r="E524" i="15" s="1"/>
  <c r="E529" i="15" s="1"/>
  <c r="E530" i="15" s="1"/>
  <c r="G522" i="15"/>
  <c r="H521" i="15"/>
  <c r="H522" i="15" s="1"/>
  <c r="K520" i="15"/>
  <c r="H520" i="15"/>
  <c r="K519" i="15"/>
  <c r="H474" i="15"/>
  <c r="E482" i="15"/>
  <c r="E479" i="15"/>
  <c r="E484" i="15" s="1"/>
  <c r="E485" i="15" s="1"/>
  <c r="J477" i="15"/>
  <c r="G477" i="15"/>
  <c r="H476" i="15"/>
  <c r="K476" i="15" s="1"/>
  <c r="H475" i="15"/>
  <c r="H477" i="15" s="1"/>
  <c r="K474" i="15"/>
  <c r="E467" i="15"/>
  <c r="E468" i="15" s="1"/>
  <c r="H340" i="15"/>
  <c r="H341" i="15"/>
  <c r="H339" i="15"/>
  <c r="K205" i="16" l="1"/>
  <c r="H250" i="16"/>
  <c r="K250" i="16"/>
  <c r="K206" i="16"/>
  <c r="H251" i="16"/>
  <c r="K341" i="17"/>
  <c r="H386" i="17"/>
  <c r="K340" i="17"/>
  <c r="H385" i="17"/>
  <c r="K339" i="17"/>
  <c r="H342" i="17"/>
  <c r="H384" i="17"/>
  <c r="K249" i="16"/>
  <c r="K521" i="15"/>
  <c r="K522" i="15" s="1"/>
  <c r="E512" i="15"/>
  <c r="E513" i="15" s="1"/>
  <c r="K475" i="15"/>
  <c r="K477" i="15" s="1"/>
  <c r="E437" i="15"/>
  <c r="J432" i="15"/>
  <c r="E434" i="15" s="1"/>
  <c r="E439" i="15" s="1"/>
  <c r="E440" i="15" s="1"/>
  <c r="G432" i="15"/>
  <c r="E392" i="15"/>
  <c r="J387" i="15"/>
  <c r="E389" i="15" s="1"/>
  <c r="G387" i="15"/>
  <c r="K342" i="17" l="1"/>
  <c r="K251" i="16"/>
  <c r="H296" i="16"/>
  <c r="H297" i="16" s="1"/>
  <c r="K252" i="16"/>
  <c r="K207" i="16"/>
  <c r="H295" i="16"/>
  <c r="H252" i="16"/>
  <c r="K386" i="17"/>
  <c r="H431" i="17"/>
  <c r="K385" i="17"/>
  <c r="H430" i="17"/>
  <c r="K384" i="17"/>
  <c r="K387" i="17" s="1"/>
  <c r="H387" i="17"/>
  <c r="H429" i="17"/>
  <c r="H339" i="16"/>
  <c r="K294" i="16"/>
  <c r="E394" i="15"/>
  <c r="E395" i="15" s="1"/>
  <c r="E422" i="15"/>
  <c r="E423" i="15" s="1"/>
  <c r="E377" i="15"/>
  <c r="E378" i="15" s="1"/>
  <c r="K296" i="16" l="1"/>
  <c r="H341" i="16"/>
  <c r="K295" i="16"/>
  <c r="K297" i="16" s="1"/>
  <c r="H340" i="16"/>
  <c r="K431" i="17"/>
  <c r="H476" i="17"/>
  <c r="K430" i="17"/>
  <c r="H475" i="17"/>
  <c r="K429" i="17"/>
  <c r="H432" i="17"/>
  <c r="H474" i="17"/>
  <c r="K339" i="16"/>
  <c r="H384" i="16"/>
  <c r="H342" i="16"/>
  <c r="E347" i="15"/>
  <c r="J342" i="15"/>
  <c r="E344" i="15" s="1"/>
  <c r="E349" i="15" s="1"/>
  <c r="E350" i="15" s="1"/>
  <c r="G342" i="15"/>
  <c r="E302" i="15"/>
  <c r="J297" i="15"/>
  <c r="E299" i="15" s="1"/>
  <c r="E304" i="15" s="1"/>
  <c r="E305" i="15" s="1"/>
  <c r="G297" i="15"/>
  <c r="K432" i="17" l="1"/>
  <c r="K341" i="16"/>
  <c r="H386" i="16"/>
  <c r="K340" i="16"/>
  <c r="K342" i="16" s="1"/>
  <c r="H385" i="16"/>
  <c r="H387" i="16" s="1"/>
  <c r="K476" i="17"/>
  <c r="H521" i="17"/>
  <c r="K475" i="17"/>
  <c r="H520" i="17"/>
  <c r="K474" i="17"/>
  <c r="H477" i="17"/>
  <c r="H519" i="17"/>
  <c r="H429" i="16"/>
  <c r="K384" i="16"/>
  <c r="K339" i="15"/>
  <c r="H384" i="15"/>
  <c r="H342" i="15"/>
  <c r="H385" i="15"/>
  <c r="K341" i="15"/>
  <c r="H386" i="15"/>
  <c r="K340" i="15"/>
  <c r="E332" i="15"/>
  <c r="E333" i="15" s="1"/>
  <c r="E287" i="15"/>
  <c r="E288" i="15" s="1"/>
  <c r="K477" i="17" l="1"/>
  <c r="K386" i="16"/>
  <c r="H431" i="16"/>
  <c r="H430" i="16"/>
  <c r="K385" i="16"/>
  <c r="K387" i="16" s="1"/>
  <c r="K521" i="17"/>
  <c r="H566" i="17"/>
  <c r="K520" i="17"/>
  <c r="H565" i="17"/>
  <c r="K519" i="17"/>
  <c r="H522" i="17"/>
  <c r="H564" i="17"/>
  <c r="H474" i="16"/>
  <c r="H519" i="16" s="1"/>
  <c r="H564" i="16" s="1"/>
  <c r="H609" i="16" s="1"/>
  <c r="H654" i="16" s="1"/>
  <c r="K429" i="16"/>
  <c r="H432" i="16"/>
  <c r="K342" i="15"/>
  <c r="K386" i="15"/>
  <c r="H431" i="15"/>
  <c r="K431" i="15" s="1"/>
  <c r="K385" i="15"/>
  <c r="H430" i="15"/>
  <c r="K430" i="15" s="1"/>
  <c r="H429" i="15"/>
  <c r="K384" i="15"/>
  <c r="K387" i="15" s="1"/>
  <c r="H387" i="15"/>
  <c r="H476" i="16" l="1"/>
  <c r="K431" i="16"/>
  <c r="H475" i="16"/>
  <c r="K430" i="16"/>
  <c r="K432" i="16" s="1"/>
  <c r="K522" i="17"/>
  <c r="K566" i="17"/>
  <c r="H611" i="17"/>
  <c r="K565" i="17"/>
  <c r="H610" i="17"/>
  <c r="K564" i="17"/>
  <c r="H567" i="17"/>
  <c r="H609" i="17"/>
  <c r="K474" i="16"/>
  <c r="H477" i="16"/>
  <c r="H432" i="15"/>
  <c r="K429" i="15"/>
  <c r="K432" i="15" s="1"/>
  <c r="K476" i="16" l="1"/>
  <c r="H521" i="16"/>
  <c r="K475" i="16"/>
  <c r="K477" i="16" s="1"/>
  <c r="H520" i="16"/>
  <c r="H522" i="16" s="1"/>
  <c r="K611" i="17"/>
  <c r="H656" i="17"/>
  <c r="H701" i="17" s="1"/>
  <c r="K610" i="17"/>
  <c r="H655" i="17"/>
  <c r="H700" i="17" s="1"/>
  <c r="K609" i="17"/>
  <c r="K612" i="17" s="1"/>
  <c r="H612" i="17"/>
  <c r="H654" i="17"/>
  <c r="H699" i="17" s="1"/>
  <c r="K567" i="17"/>
  <c r="K519" i="16"/>
  <c r="E257" i="15"/>
  <c r="J252" i="15"/>
  <c r="E254" i="15" s="1"/>
  <c r="E259" i="15" s="1"/>
  <c r="E260" i="15" s="1"/>
  <c r="G252" i="15"/>
  <c r="H566" i="16" l="1"/>
  <c r="K521" i="16"/>
  <c r="H565" i="16"/>
  <c r="K520" i="16"/>
  <c r="K522" i="16" s="1"/>
  <c r="H746" i="17"/>
  <c r="K701" i="17"/>
  <c r="H745" i="17"/>
  <c r="K700" i="17"/>
  <c r="H702" i="17"/>
  <c r="H744" i="17"/>
  <c r="K699" i="17"/>
  <c r="K656" i="17"/>
  <c r="K655" i="17"/>
  <c r="K654" i="17"/>
  <c r="H657" i="17"/>
  <c r="K564" i="16"/>
  <c r="H567" i="16"/>
  <c r="E242" i="15"/>
  <c r="E243" i="15" s="1"/>
  <c r="K702" i="17" l="1"/>
  <c r="K657" i="17"/>
  <c r="H611" i="16"/>
  <c r="K566" i="16"/>
  <c r="H610" i="16"/>
  <c r="K565" i="16"/>
  <c r="K567" i="16" s="1"/>
  <c r="H791" i="17"/>
  <c r="K791" i="17" s="1"/>
  <c r="K746" i="17"/>
  <c r="K745" i="17"/>
  <c r="H790" i="17"/>
  <c r="K790" i="17" s="1"/>
  <c r="H789" i="17"/>
  <c r="H747" i="17"/>
  <c r="K744" i="17"/>
  <c r="K747" i="17" s="1"/>
  <c r="K609" i="16"/>
  <c r="H612" i="16"/>
  <c r="E212" i="15"/>
  <c r="J207" i="15"/>
  <c r="E209" i="15" s="1"/>
  <c r="E214" i="15" s="1"/>
  <c r="E215" i="15" s="1"/>
  <c r="G207" i="15"/>
  <c r="E167" i="15"/>
  <c r="J162" i="15"/>
  <c r="E164" i="15" s="1"/>
  <c r="E169" i="15" s="1"/>
  <c r="E170" i="15" s="1"/>
  <c r="G162" i="15"/>
  <c r="H161" i="15"/>
  <c r="K161" i="15" s="1"/>
  <c r="H115" i="15"/>
  <c r="K115" i="15" s="1"/>
  <c r="H116" i="15"/>
  <c r="K116" i="15" s="1"/>
  <c r="E122" i="15"/>
  <c r="J117" i="15"/>
  <c r="E107" i="15" s="1"/>
  <c r="E108" i="15" s="1"/>
  <c r="G117" i="15"/>
  <c r="H69" i="15"/>
  <c r="H72" i="15" s="1"/>
  <c r="E77" i="15"/>
  <c r="J72" i="15"/>
  <c r="E62" i="15" s="1"/>
  <c r="E63" i="15" s="1"/>
  <c r="G72" i="15"/>
  <c r="K71" i="15"/>
  <c r="K70" i="15"/>
  <c r="K25" i="15"/>
  <c r="K26" i="15"/>
  <c r="H656" i="16" l="1"/>
  <c r="K656" i="16" s="1"/>
  <c r="K611" i="16"/>
  <c r="H655" i="16"/>
  <c r="K655" i="16" s="1"/>
  <c r="K610" i="16"/>
  <c r="K612" i="16" s="1"/>
  <c r="H792" i="17"/>
  <c r="K789" i="17"/>
  <c r="K792" i="17" s="1"/>
  <c r="K654" i="16"/>
  <c r="K657" i="16" s="1"/>
  <c r="H657" i="16"/>
  <c r="H114" i="15"/>
  <c r="K69" i="15"/>
  <c r="H206" i="15"/>
  <c r="H160" i="15"/>
  <c r="E197" i="15"/>
  <c r="E198" i="15" s="1"/>
  <c r="K160" i="15"/>
  <c r="E152" i="15"/>
  <c r="E153" i="15" s="1"/>
  <c r="K114" i="15"/>
  <c r="K117" i="15" s="1"/>
  <c r="E119" i="15"/>
  <c r="E124" i="15" s="1"/>
  <c r="E125" i="15" s="1"/>
  <c r="K72" i="15"/>
  <c r="E74" i="15"/>
  <c r="E79" i="15" s="1"/>
  <c r="E80" i="15" s="1"/>
  <c r="E32" i="15"/>
  <c r="J27" i="15"/>
  <c r="E29" i="15" s="1"/>
  <c r="G27" i="15"/>
  <c r="H205" i="15" l="1"/>
  <c r="K206" i="15"/>
  <c r="H251" i="15"/>
  <c r="H117" i="15"/>
  <c r="H159" i="15"/>
  <c r="K24" i="15"/>
  <c r="E34" i="15"/>
  <c r="E35" i="15" s="1"/>
  <c r="E17" i="15"/>
  <c r="E18" i="15" s="1"/>
  <c r="H27" i="15"/>
  <c r="H204" i="15" l="1"/>
  <c r="K159" i="15"/>
  <c r="K162" i="15" s="1"/>
  <c r="K251" i="15"/>
  <c r="H296" i="15"/>
  <c r="H207" i="15"/>
  <c r="H250" i="15"/>
  <c r="K205" i="15"/>
  <c r="H162" i="15"/>
  <c r="K27" i="15"/>
  <c r="H295" i="15" l="1"/>
  <c r="K295" i="15" s="1"/>
  <c r="K250" i="15"/>
  <c r="K296" i="15"/>
  <c r="H249" i="15"/>
  <c r="K204" i="15"/>
  <c r="K207" i="15" s="1"/>
  <c r="H294" i="15" l="1"/>
  <c r="K249" i="15"/>
  <c r="K252" i="15" s="1"/>
  <c r="H252" i="15"/>
  <c r="K294" i="15" l="1"/>
  <c r="K297" i="15" s="1"/>
  <c r="H297" i="15"/>
</calcChain>
</file>

<file path=xl/sharedStrings.xml><?xml version="1.0" encoding="utf-8"?>
<sst xmlns="http://schemas.openxmlformats.org/spreadsheetml/2006/main" count="2754" uniqueCount="102">
  <si>
    <t>NOTA PENCIRAN DANA (NPD)</t>
  </si>
  <si>
    <t>BENDAHARA PENGELUARAN</t>
  </si>
  <si>
    <t>Supaya Mencairkan Dana</t>
  </si>
  <si>
    <t xml:space="preserve">1. Sub Kegiatan                                                       </t>
  </si>
  <si>
    <t>:</t>
  </si>
  <si>
    <t>Beban Umum &amp; Keuangan</t>
  </si>
  <si>
    <t xml:space="preserve">2. Nomor                                                          </t>
  </si>
  <si>
    <t>2.1.4</t>
  </si>
  <si>
    <t xml:space="preserve">3. Tahun Anggaran                                           </t>
  </si>
  <si>
    <t xml:space="preserve">4. Jumlah Yang Diminta                                    </t>
  </si>
  <si>
    <t xml:space="preserve">                                                                                                                          </t>
  </si>
  <si>
    <t xml:space="preserve">                                                                         </t>
  </si>
  <si>
    <t xml:space="preserve">         Pembebanan Pada Kode Rekening</t>
  </si>
  <si>
    <t>NO</t>
  </si>
  <si>
    <t>Kode</t>
  </si>
  <si>
    <t>Uraian</t>
  </si>
  <si>
    <t>Anggaran</t>
  </si>
  <si>
    <t>Pencairan Saat ini</t>
  </si>
  <si>
    <t>Sisa Anggaran</t>
  </si>
  <si>
    <t>---------------</t>
  </si>
  <si>
    <t>1.1</t>
  </si>
  <si>
    <t>1.2</t>
  </si>
  <si>
    <t>1.3</t>
  </si>
  <si>
    <t>Beban Perlengkapan dan Pemeliharaan Kantor</t>
  </si>
  <si>
    <t>Pemeliharaan Perlengkapan dan Peralatan Kantor</t>
  </si>
  <si>
    <t>Pemeliharaan Instalasi Listrik dan Air</t>
  </si>
  <si>
    <t>Pemeliharaan Bangunan Gedung Kantor (termasuk asuransi)</t>
  </si>
  <si>
    <t>JUMLAH</t>
  </si>
  <si>
    <t xml:space="preserve">Jumlah  Yang Diminta          </t>
  </si>
  <si>
    <t xml:space="preserve">PPN                                                </t>
  </si>
  <si>
    <t xml:space="preserve">PPh Psl 21/22/23/4(2)                    </t>
  </si>
  <si>
    <t xml:space="preserve">Jumlah Potongan                 </t>
  </si>
  <si>
    <t xml:space="preserve">Jumlah yang dibayarkan        </t>
  </si>
  <si>
    <t>MENGETAHUI</t>
  </si>
  <si>
    <t>YANG MEMBUAT</t>
  </si>
  <si>
    <t xml:space="preserve">                                  </t>
  </si>
  <si>
    <t>M. ZULKIFLI</t>
  </si>
  <si>
    <t>Akumulasi Pencairan dana Bulan Januari s/d Desember</t>
  </si>
  <si>
    <t>IRNA WAHYUNI N.</t>
  </si>
  <si>
    <t>PERUMDA PASAR BANJARMASIN</t>
  </si>
  <si>
    <t>Nomor : 01/DIV-KEU/PPB/I/2026</t>
  </si>
  <si>
    <t>Banjarmasin, 02 Januari 2026</t>
  </si>
  <si>
    <t>Nomor : 09/DIV-KEU/PPB/I/2026</t>
  </si>
  <si>
    <t>Banjarmasin, 05 Januari 2026</t>
  </si>
  <si>
    <t>Nomor : 18/DIV-KEU/PPB/I/2026</t>
  </si>
  <si>
    <t>Banjarmasin, 09 Januari 2026</t>
  </si>
  <si>
    <t>Nomor : 30/DIV-KEU/PPB/I/2026</t>
  </si>
  <si>
    <t>Banjarmasin, 13 Januari 2026</t>
  </si>
  <si>
    <t>Nomor : 31/DIV-KEU/PPB/I/2026</t>
  </si>
  <si>
    <t>Nomor : 35/DIV-KEU/PPB/I/2026</t>
  </si>
  <si>
    <t>Nomor : 37/DIV-KEU/PPB/I/2026</t>
  </si>
  <si>
    <t>Nomor : 39/DIV-KEU/PPB/I/2026</t>
  </si>
  <si>
    <t>Nomor : 45/DIV-KEU/PPB/I/2026</t>
  </si>
  <si>
    <t>Nomor : 46/DIV-KEU/PPB/I/2026</t>
  </si>
  <si>
    <t>Nomor : 38/DIV-KEU/PPB/I/2026</t>
  </si>
  <si>
    <t>Nomor : 49/DIV-KEU/PPB/I/2026</t>
  </si>
  <si>
    <t>Banjarmasin, 14 Januari 2026</t>
  </si>
  <si>
    <t>Nomor : 34/DIV-KEU/PPB/I/2026</t>
  </si>
  <si>
    <t>Nomor : 53/DIV-KEU/PPB/I/2026</t>
  </si>
  <si>
    <t>Banjarmasin, 15 Januari 2026</t>
  </si>
  <si>
    <t>Nomor : 54/DIV-KEU/PPB/I/2026</t>
  </si>
  <si>
    <t>Nomor : 64/DIV-KEU/PPB/I/2026</t>
  </si>
  <si>
    <t>Banjarmasin, 19 Januari 2026</t>
  </si>
  <si>
    <t>Nomor : 81/DIV-KEU/PPB/I/2026</t>
  </si>
  <si>
    <t>Banjarmasin, 26 Januari 2026</t>
  </si>
  <si>
    <t>Nomor : 89/DIV-KEU/PPB/I/2026</t>
  </si>
  <si>
    <t>Banjarmasin, 27 Januari 2026</t>
  </si>
  <si>
    <t>Nomor : 102/DIV-KEU/PPB/II/2026</t>
  </si>
  <si>
    <t>Banjarmasin, 02 Februari 2026</t>
  </si>
  <si>
    <t>Nomor : 106/DIV-KEU/PPB/II/2026</t>
  </si>
  <si>
    <t>Banjarmasin, 05 Februari 2026</t>
  </si>
  <si>
    <t>Nomor : 26/DIV-KEU/PPB/II/2026</t>
  </si>
  <si>
    <t>Banjarmasin, 06 Februari 2026</t>
  </si>
  <si>
    <t>Nomor : 34/DIV-KEU/PPB/II/2026</t>
  </si>
  <si>
    <t>Nomor : 42/DIV-KEU/PPB/II/2026</t>
  </si>
  <si>
    <t>Banjarmasin, 09 Februari 2026</t>
  </si>
  <si>
    <t>Nomor : 044/DIV-KEU/PPB/II/2026</t>
  </si>
  <si>
    <t>Nomor : 064/DIV-KEU/PPB/II/2026</t>
  </si>
  <si>
    <t>Banjarmasin, 13 Februari 2026</t>
  </si>
  <si>
    <t>Nomor : 066/DIV-KEU/PPB/II/2026</t>
  </si>
  <si>
    <t>Banjarmasin, 18 Februari 2026</t>
  </si>
  <si>
    <t>Nomor : 070/DIV-KEU/PPB/II/2026</t>
  </si>
  <si>
    <t>Nomor : 069/DIV-KEU/PPB/II/2026</t>
  </si>
  <si>
    <t>Nomor : 074/DIV-KEU/PPB/II/2026</t>
  </si>
  <si>
    <t>Nomor : 076/DIV-KEU/PPB/II/2026</t>
  </si>
  <si>
    <t>Banjarmasin, 19 Februari 2026</t>
  </si>
  <si>
    <t>Nomor : 082/DIV-KEU/PPB/II/2026</t>
  </si>
  <si>
    <t>Banjarmasin, 20 Februari 2026</t>
  </si>
  <si>
    <t>Nomor : 087/DIV-KEU/PPB/II/2026</t>
  </si>
  <si>
    <t>Banjarmasin, 21 Februari 2026</t>
  </si>
  <si>
    <t>Banjarmasin, 25 Februari 2026</t>
  </si>
  <si>
    <t>Nomor : 096/DIV-KEU/PPB/II/2026</t>
  </si>
  <si>
    <t>Nomor : 019/DIV-KEU/PPB/III/2026</t>
  </si>
  <si>
    <t>Banjarmasin, 09 Maret 2026</t>
  </si>
  <si>
    <t>Nomor : 023/DIV-KEU/PPB/III/2026</t>
  </si>
  <si>
    <t>Banjarmasin, 10 Maret 2026</t>
  </si>
  <si>
    <t>Nomor : 27/DIV-KEU/PPB/III/2026</t>
  </si>
  <si>
    <t>Banjarmasin, 11 Maret 2026</t>
  </si>
  <si>
    <t>Banjarmasin, 12 Maret 2026</t>
  </si>
  <si>
    <t>Nomor : 031/DIV-KEU/PPB/III/2026</t>
  </si>
  <si>
    <t>Banjarmasin, 25 Maret 2026</t>
  </si>
  <si>
    <t>Nomor : 048/DIV-KEU/PPB/III/2026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</si>
</sst>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Rp&quot;* #,##0_-;\-&quot;Rp&quot;* #,##0_-;_-&quot;Rp&quot;* &quot;-&quot;_-;_-@_-"/>
    <numFmt numFmtId="164" formatCode="_(* #,##0.00_);_(* \(#,##0.00\);_(* &quot;-&quot;??_);_(@_)"/>
    <numFmt numFmtId="165" formatCode="_(* #,##0_);_(* \(#,##0\);_(* &quot;-&quot;_);_(@_)"/>
    <numFmt numFmtId="166" formatCode="_(&quot;Rp&quot;* #,##0_);_(&quot;Rp&quot;* \(#,##0\);_(&quot;Rp&quot;* &quot;-&quot;_);_(@_)"/>
    <numFmt numFmtId="167" formatCode="_(* #,##0_);_(* \(#,##0\);_(* &quot;-&quot;??_);_(@_)"/>
    <numFmt numFmtId="168" formatCode="_-[$Rp-421]* #,##0_-;\-[$Rp-421]* #,##0_-;_-[$Rp-421]* &quot;-&quot;_-;_-@_-"/>
  </numFmts>
  <fonts count="15">
    <font>
      <sz val="11"/>
      <color theme="1"/>
      <name val="Calibri"/>
      <charset val="134"/>
      <scheme val="minor"/>
    </font>
    <font>
      <sz val="12"/>
      <color theme="1"/>
      <name val="Times New Roman"/>
      <family val="1"/>
    </font>
    <font>
      <b/>
      <u/>
      <sz val="11"/>
      <color indexed="8"/>
      <name val="Times New Roman"/>
      <family val="1"/>
    </font>
    <font>
      <sz val="11"/>
      <color theme="1"/>
      <name val="Times New Roman"/>
      <family val="1"/>
    </font>
    <font>
      <sz val="8"/>
      <color theme="1"/>
      <name val="Calibri"/>
      <family val="2"/>
      <scheme val="minor"/>
    </font>
    <font>
      <sz val="9"/>
      <color theme="1"/>
      <name val="Times New Roman"/>
      <family val="1"/>
    </font>
    <font>
      <sz val="12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3" fillId="0" borderId="0">
      <alignment vertical="top"/>
      <protection locked="0"/>
    </xf>
    <xf numFmtId="166" fontId="12" fillId="0" borderId="0" applyFont="0" applyFill="0" applyBorder="0" applyAlignment="0" applyProtection="0"/>
    <xf numFmtId="0" fontId="14" fillId="0" borderId="0"/>
  </cellStyleXfs>
  <cellXfs count="66">
    <xf numFmtId="0" fontId="0" fillId="0" borderId="0" xfId="0"/>
    <xf numFmtId="164" fontId="0" fillId="0" borderId="0" xfId="1" applyFont="1"/>
    <xf numFmtId="0" fontId="1" fillId="0" borderId="0" xfId="0" applyFont="1"/>
    <xf numFmtId="0" fontId="0" fillId="0" borderId="0" xfId="0" applyAlignment="1">
      <alignment horizontal="center"/>
    </xf>
    <xf numFmtId="164" fontId="0" fillId="0" borderId="0" xfId="1" applyFont="1" applyBorder="1" applyAlignment="1">
      <alignment horizontal="center"/>
    </xf>
    <xf numFmtId="164" fontId="0" fillId="0" borderId="0" xfId="1" applyFont="1" applyBorder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/>
    <xf numFmtId="164" fontId="4" fillId="0" borderId="0" xfId="1" applyFont="1" applyBorder="1"/>
    <xf numFmtId="0" fontId="3" fillId="0" borderId="0" xfId="0" applyFont="1"/>
    <xf numFmtId="0" fontId="3" fillId="0" borderId="0" xfId="0" applyFont="1" applyAlignment="1">
      <alignment horizontal="center" vertical="center"/>
    </xf>
    <xf numFmtId="164" fontId="3" fillId="0" borderId="0" xfId="1" applyFont="1" applyBorder="1"/>
    <xf numFmtId="0" fontId="3" fillId="0" borderId="0" xfId="0" applyFont="1" applyAlignment="1">
      <alignment horizontal="left"/>
    </xf>
    <xf numFmtId="42" fontId="3" fillId="0" borderId="0" xfId="0" applyNumberFormat="1" applyFont="1" applyAlignment="1">
      <alignment horizontal="left"/>
    </xf>
    <xf numFmtId="0" fontId="5" fillId="0" borderId="0" xfId="0" applyFont="1"/>
    <xf numFmtId="0" fontId="6" fillId="0" borderId="0" xfId="0" applyFont="1"/>
    <xf numFmtId="0" fontId="3" fillId="0" borderId="2" xfId="4" applyNumberFormat="1" applyFont="1" applyBorder="1" applyAlignment="1">
      <alignment horizontal="left" vertical="center"/>
    </xf>
    <xf numFmtId="0" fontId="3" fillId="0" borderId="3" xfId="4" applyNumberFormat="1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164" fontId="3" fillId="0" borderId="2" xfId="1" applyFont="1" applyBorder="1" applyAlignment="1">
      <alignment horizontal="center" vertical="center" wrapText="1"/>
    </xf>
    <xf numFmtId="165" fontId="8" fillId="0" borderId="7" xfId="3" applyFont="1" applyBorder="1" applyAlignment="1" applyProtection="1">
      <alignment horizontal="center"/>
    </xf>
    <xf numFmtId="167" fontId="3" fillId="0" borderId="8" xfId="1" applyNumberFormat="1" applyFont="1" applyBorder="1" applyAlignment="1">
      <alignment horizontal="right" vertical="center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/>
    <xf numFmtId="0" fontId="3" fillId="0" borderId="7" xfId="0" applyFont="1" applyBorder="1"/>
    <xf numFmtId="0" fontId="7" fillId="0" borderId="2" xfId="0" applyFont="1" applyBorder="1" applyAlignment="1">
      <alignment horizontal="center" vertical="center"/>
    </xf>
    <xf numFmtId="0" fontId="7" fillId="0" borderId="6" xfId="0" applyFont="1" applyBorder="1"/>
    <xf numFmtId="0" fontId="9" fillId="0" borderId="0" xfId="0" applyFont="1"/>
    <xf numFmtId="0" fontId="10" fillId="0" borderId="0" xfId="0" applyFont="1"/>
    <xf numFmtId="164" fontId="3" fillId="0" borderId="2" xfId="1" applyFont="1" applyFill="1" applyBorder="1" applyAlignment="1">
      <alignment horizontal="center" vertical="center" wrapText="1"/>
    </xf>
    <xf numFmtId="164" fontId="3" fillId="0" borderId="2" xfId="1" applyFont="1" applyFill="1" applyBorder="1" applyAlignment="1">
      <alignment horizontal="center" vertical="center"/>
    </xf>
    <xf numFmtId="167" fontId="3" fillId="0" borderId="8" xfId="1" applyNumberFormat="1" applyFont="1" applyBorder="1" applyAlignment="1">
      <alignment horizontal="right"/>
    </xf>
    <xf numFmtId="167" fontId="3" fillId="0" borderId="8" xfId="1" applyNumberFormat="1" applyFont="1" applyBorder="1"/>
    <xf numFmtId="0" fontId="3" fillId="0" borderId="2" xfId="0" applyFont="1" applyBorder="1"/>
    <xf numFmtId="0" fontId="3" fillId="0" borderId="3" xfId="0" applyFont="1" applyBorder="1"/>
    <xf numFmtId="168" fontId="3" fillId="0" borderId="5" xfId="2" applyNumberFormat="1" applyFont="1" applyBorder="1"/>
    <xf numFmtId="168" fontId="3" fillId="0" borderId="2" xfId="2" applyNumberFormat="1" applyFont="1" applyBorder="1"/>
    <xf numFmtId="0" fontId="4" fillId="0" borderId="4" xfId="0" applyFont="1" applyBorder="1"/>
    <xf numFmtId="168" fontId="4" fillId="0" borderId="4" xfId="2" applyNumberFormat="1" applyFont="1" applyBorder="1"/>
    <xf numFmtId="168" fontId="3" fillId="0" borderId="0" xfId="0" applyNumberFormat="1" applyFont="1" applyAlignment="1">
      <alignment horizontal="left"/>
    </xf>
    <xf numFmtId="164" fontId="3" fillId="0" borderId="0" xfId="1" applyFont="1" applyBorder="1" applyAlignment="1"/>
    <xf numFmtId="168" fontId="3" fillId="0" borderId="0" xfId="0" applyNumberFormat="1" applyFont="1"/>
    <xf numFmtId="164" fontId="3" fillId="0" borderId="0" xfId="0" applyNumberFormat="1" applyFont="1"/>
    <xf numFmtId="166" fontId="3" fillId="0" borderId="0" xfId="0" applyNumberFormat="1" applyFont="1"/>
    <xf numFmtId="0" fontId="9" fillId="0" borderId="0" xfId="0" applyFont="1" applyAlignment="1">
      <alignment horizontal="left"/>
    </xf>
    <xf numFmtId="164" fontId="9" fillId="0" borderId="0" xfId="1" applyFont="1" applyBorder="1"/>
    <xf numFmtId="0" fontId="3" fillId="0" borderId="0" xfId="1" applyNumberFormat="1" applyFont="1" applyBorder="1"/>
    <xf numFmtId="164" fontId="11" fillId="0" borderId="0" xfId="1" applyFont="1" applyBorder="1" applyAlignment="1">
      <alignment horizontal="left"/>
    </xf>
    <xf numFmtId="0" fontId="11" fillId="0" borderId="0" xfId="0" applyFont="1"/>
    <xf numFmtId="164" fontId="7" fillId="0" borderId="0" xfId="1" applyFont="1" applyBorder="1"/>
    <xf numFmtId="0" fontId="7" fillId="0" borderId="0" xfId="0" applyFont="1"/>
    <xf numFmtId="0" fontId="3" fillId="0" borderId="0" xfId="0" quotePrefix="1" applyFont="1"/>
    <xf numFmtId="0" fontId="3" fillId="0" borderId="0" xfId="0" quotePrefix="1" applyFont="1" applyAlignment="1">
      <alignment horizontal="center" vertical="center"/>
    </xf>
    <xf numFmtId="165" fontId="8" fillId="0" borderId="7" xfId="3" quotePrefix="1" applyFont="1" applyBorder="1" applyAlignment="1" applyProtection="1">
      <alignment horizontal="center"/>
    </xf>
    <xf numFmtId="0" fontId="3" fillId="0" borderId="2" xfId="0" quotePrefix="1" applyFont="1" applyBorder="1" applyAlignment="1">
      <alignment horizontal="center" vertical="center"/>
    </xf>
    <xf numFmtId="0" fontId="3" fillId="0" borderId="4" xfId="0" applyFont="1" applyBorder="1"/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</cellXfs>
  <cellStyles count="6">
    <cellStyle name="Comma" xfId="1" builtinId="3"/>
    <cellStyle name="Comma [0]" xfId="2" builtinId="6"/>
    <cellStyle name="Comma [0] 2 2" xfId="3" xr:uid="{00000000-0005-0000-0000-000031000000}"/>
    <cellStyle name="Currency [0] 7" xfId="4" xr:uid="{00000000-0005-0000-0000-000032000000}"/>
    <cellStyle name="Normal" xfId="0" builtinId="0"/>
    <cellStyle name="Normal 2" xfId="5" xr:uid="{00000000-0005-0000-0000-000033000000}"/>
  </cellStyles>
  <dxfs count="0"/>
  <tableStyles count="0" defaultTableStyle="TableStyleMedium2" defaultPivotStyle="PivotStyleLight16"/>
  <colors>
    <mruColors>
      <color rgb="FF990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765</xdr:row>
      <xdr:rowOff>9525</xdr:rowOff>
    </xdr:from>
    <xdr:to>
      <xdr:col>10</xdr:col>
      <xdr:colOff>1162050</xdr:colOff>
      <xdr:row>775</xdr:row>
      <xdr:rowOff>31468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594568EE-5EEF-41FA-B153-AF870D4D6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156286200"/>
          <a:ext cx="8524875" cy="194599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720</xdr:row>
      <xdr:rowOff>9525</xdr:rowOff>
    </xdr:from>
    <xdr:to>
      <xdr:col>10</xdr:col>
      <xdr:colOff>1162050</xdr:colOff>
      <xdr:row>730</xdr:row>
      <xdr:rowOff>31468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DC02370E-7752-466D-B4B4-70F90DB410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147094575"/>
          <a:ext cx="8524875" cy="194599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675</xdr:row>
      <xdr:rowOff>9525</xdr:rowOff>
    </xdr:from>
    <xdr:to>
      <xdr:col>10</xdr:col>
      <xdr:colOff>1162050</xdr:colOff>
      <xdr:row>685</xdr:row>
      <xdr:rowOff>31468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3628C13E-48BD-4E04-AA8C-D6785358C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137902950"/>
          <a:ext cx="8524875" cy="194599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630</xdr:row>
      <xdr:rowOff>9525</xdr:rowOff>
    </xdr:from>
    <xdr:to>
      <xdr:col>10</xdr:col>
      <xdr:colOff>1162050</xdr:colOff>
      <xdr:row>640</xdr:row>
      <xdr:rowOff>31468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3D375A75-E471-435D-91EC-343775C610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128711325"/>
          <a:ext cx="8524875" cy="194599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585</xdr:row>
      <xdr:rowOff>9525</xdr:rowOff>
    </xdr:from>
    <xdr:to>
      <xdr:col>10</xdr:col>
      <xdr:colOff>1162050</xdr:colOff>
      <xdr:row>595</xdr:row>
      <xdr:rowOff>31468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EE9EDF8-AAC0-45FA-91E4-4024F61707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119519700"/>
          <a:ext cx="8524875" cy="194599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540</xdr:row>
      <xdr:rowOff>9525</xdr:rowOff>
    </xdr:from>
    <xdr:to>
      <xdr:col>10</xdr:col>
      <xdr:colOff>1162050</xdr:colOff>
      <xdr:row>550</xdr:row>
      <xdr:rowOff>31468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84456DA4-D9DE-4AE3-A239-50653BA941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110328075"/>
          <a:ext cx="8524875" cy="194599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495</xdr:row>
      <xdr:rowOff>9525</xdr:rowOff>
    </xdr:from>
    <xdr:to>
      <xdr:col>10</xdr:col>
      <xdr:colOff>1162050</xdr:colOff>
      <xdr:row>505</xdr:row>
      <xdr:rowOff>31468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F03CD58D-19ED-454D-BDA8-3E19430F74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101136450"/>
          <a:ext cx="8524875" cy="194599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450</xdr:row>
      <xdr:rowOff>9525</xdr:rowOff>
    </xdr:from>
    <xdr:to>
      <xdr:col>10</xdr:col>
      <xdr:colOff>1162050</xdr:colOff>
      <xdr:row>460</xdr:row>
      <xdr:rowOff>31468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F04D3A76-D037-4B36-97CC-5FA541C7AC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91944825"/>
          <a:ext cx="8524875" cy="194599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405</xdr:row>
      <xdr:rowOff>9525</xdr:rowOff>
    </xdr:from>
    <xdr:to>
      <xdr:col>10</xdr:col>
      <xdr:colOff>1162050</xdr:colOff>
      <xdr:row>415</xdr:row>
      <xdr:rowOff>31468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A46F1798-2020-4043-9EA8-EFA392227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91944825"/>
          <a:ext cx="8524875" cy="194599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360</xdr:row>
      <xdr:rowOff>9525</xdr:rowOff>
    </xdr:from>
    <xdr:to>
      <xdr:col>10</xdr:col>
      <xdr:colOff>1162050</xdr:colOff>
      <xdr:row>370</xdr:row>
      <xdr:rowOff>31468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16B7B891-0504-49AC-92A1-825710A9E4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82753200"/>
          <a:ext cx="8524875" cy="194599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315</xdr:row>
      <xdr:rowOff>9525</xdr:rowOff>
    </xdr:from>
    <xdr:to>
      <xdr:col>10</xdr:col>
      <xdr:colOff>1162050</xdr:colOff>
      <xdr:row>325</xdr:row>
      <xdr:rowOff>31468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F807238E-1B6A-4A3F-8CA4-CCAF0E1CD8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73561575"/>
          <a:ext cx="8524875" cy="194599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270</xdr:row>
      <xdr:rowOff>9525</xdr:rowOff>
    </xdr:from>
    <xdr:to>
      <xdr:col>10</xdr:col>
      <xdr:colOff>1162050</xdr:colOff>
      <xdr:row>280</xdr:row>
      <xdr:rowOff>31468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2BAC1801-9C61-47BC-B4AE-51E5769862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55178325"/>
          <a:ext cx="8524875" cy="194599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225</xdr:row>
      <xdr:rowOff>9525</xdr:rowOff>
    </xdr:from>
    <xdr:to>
      <xdr:col>10</xdr:col>
      <xdr:colOff>1162050</xdr:colOff>
      <xdr:row>235</xdr:row>
      <xdr:rowOff>31468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C125298-80D0-4928-8C26-9AE0409FE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45986700"/>
          <a:ext cx="8524875" cy="194599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180</xdr:row>
      <xdr:rowOff>9525</xdr:rowOff>
    </xdr:from>
    <xdr:to>
      <xdr:col>10</xdr:col>
      <xdr:colOff>1162050</xdr:colOff>
      <xdr:row>190</xdr:row>
      <xdr:rowOff>31468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12B5481-44AF-4B85-84ED-6E5F56C2C0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36795075"/>
          <a:ext cx="8524875" cy="194599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135</xdr:row>
      <xdr:rowOff>9525</xdr:rowOff>
    </xdr:from>
    <xdr:to>
      <xdr:col>10</xdr:col>
      <xdr:colOff>1162050</xdr:colOff>
      <xdr:row>145</xdr:row>
      <xdr:rowOff>31468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A961752-A949-4FE2-8F97-63257DE6E9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27603450"/>
          <a:ext cx="8524875" cy="194599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90</xdr:row>
      <xdr:rowOff>9525</xdr:rowOff>
    </xdr:from>
    <xdr:to>
      <xdr:col>10</xdr:col>
      <xdr:colOff>1162050</xdr:colOff>
      <xdr:row>100</xdr:row>
      <xdr:rowOff>31468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72B1AAD-53A1-4B5A-82B1-C5576DAD03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18411825"/>
          <a:ext cx="8524875" cy="194599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45</xdr:row>
      <xdr:rowOff>9525</xdr:rowOff>
    </xdr:from>
    <xdr:to>
      <xdr:col>10</xdr:col>
      <xdr:colOff>1162050</xdr:colOff>
      <xdr:row>55</xdr:row>
      <xdr:rowOff>31468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F9BDC26-86BE-4138-AF7E-2C8372C26E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9220200"/>
          <a:ext cx="8524875" cy="194599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28574</xdr:colOff>
      <xdr:row>0</xdr:row>
      <xdr:rowOff>28576</xdr:rowOff>
    </xdr:from>
    <xdr:to>
      <xdr:col>10</xdr:col>
      <xdr:colOff>1162049</xdr:colOff>
      <xdr:row>10</xdr:row>
      <xdr:rowOff>50519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9C4A631A-9024-475C-B3C8-F1B69D00C4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4" y="28576"/>
          <a:ext cx="8524875" cy="1945993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19050</xdr:colOff>
      <xdr:row>6</xdr:row>
      <xdr:rowOff>47625</xdr:rowOff>
    </xdr:from>
    <xdr:to>
      <xdr:col>10</xdr:col>
      <xdr:colOff>1162050</xdr:colOff>
      <xdr:row>6</xdr:row>
      <xdr:rowOff>47625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F058F206-7158-4A82-AF2A-CCCFE4565972}"/>
            </a:ext>
          </a:extLst>
        </xdr:cNvPr>
        <xdr:cNvCxnSpPr/>
      </xdr:nvCxnSpPr>
      <xdr:spPr>
        <a:xfrm>
          <a:off x="19050" y="1409700"/>
          <a:ext cx="85344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51</xdr:row>
      <xdr:rowOff>47625</xdr:rowOff>
    </xdr:from>
    <xdr:to>
      <xdr:col>10</xdr:col>
      <xdr:colOff>1162050</xdr:colOff>
      <xdr:row>51</xdr:row>
      <xdr:rowOff>47625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8B8931C4-138E-454E-A74E-EF254BE33E38}"/>
            </a:ext>
          </a:extLst>
        </xdr:cNvPr>
        <xdr:cNvCxnSpPr/>
      </xdr:nvCxnSpPr>
      <xdr:spPr>
        <a:xfrm>
          <a:off x="19050" y="1209675"/>
          <a:ext cx="85344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96</xdr:row>
      <xdr:rowOff>47625</xdr:rowOff>
    </xdr:from>
    <xdr:to>
      <xdr:col>10</xdr:col>
      <xdr:colOff>1162050</xdr:colOff>
      <xdr:row>96</xdr:row>
      <xdr:rowOff>47625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8EC98040-F148-4802-AC2B-88C06EE03C05}"/>
            </a:ext>
          </a:extLst>
        </xdr:cNvPr>
        <xdr:cNvCxnSpPr/>
      </xdr:nvCxnSpPr>
      <xdr:spPr>
        <a:xfrm>
          <a:off x="19050" y="10420350"/>
          <a:ext cx="85344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141</xdr:row>
      <xdr:rowOff>47625</xdr:rowOff>
    </xdr:from>
    <xdr:to>
      <xdr:col>10</xdr:col>
      <xdr:colOff>1162050</xdr:colOff>
      <xdr:row>141</xdr:row>
      <xdr:rowOff>47625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226F1F14-FC3B-42F1-AAD2-FD479FFAC72C}"/>
            </a:ext>
          </a:extLst>
        </xdr:cNvPr>
        <xdr:cNvCxnSpPr/>
      </xdr:nvCxnSpPr>
      <xdr:spPr>
        <a:xfrm>
          <a:off x="19050" y="19611975"/>
          <a:ext cx="85344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186</xdr:row>
      <xdr:rowOff>47625</xdr:rowOff>
    </xdr:from>
    <xdr:to>
      <xdr:col>10</xdr:col>
      <xdr:colOff>1162050</xdr:colOff>
      <xdr:row>186</xdr:row>
      <xdr:rowOff>47625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4A5B2B63-EA36-4D96-8436-8E60396307C8}"/>
            </a:ext>
          </a:extLst>
        </xdr:cNvPr>
        <xdr:cNvCxnSpPr/>
      </xdr:nvCxnSpPr>
      <xdr:spPr>
        <a:xfrm>
          <a:off x="19050" y="28803600"/>
          <a:ext cx="85344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231</xdr:row>
      <xdr:rowOff>47625</xdr:rowOff>
    </xdr:from>
    <xdr:to>
      <xdr:col>10</xdr:col>
      <xdr:colOff>1162050</xdr:colOff>
      <xdr:row>231</xdr:row>
      <xdr:rowOff>47625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EC065F4C-83EA-4405-9638-92CAE2EC5261}"/>
            </a:ext>
          </a:extLst>
        </xdr:cNvPr>
        <xdr:cNvCxnSpPr/>
      </xdr:nvCxnSpPr>
      <xdr:spPr>
        <a:xfrm>
          <a:off x="19050" y="37995225"/>
          <a:ext cx="85344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276</xdr:row>
      <xdr:rowOff>47625</xdr:rowOff>
    </xdr:from>
    <xdr:to>
      <xdr:col>10</xdr:col>
      <xdr:colOff>1162050</xdr:colOff>
      <xdr:row>276</xdr:row>
      <xdr:rowOff>47625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C74F3514-A11A-4769-95A2-F9D46CDF5667}"/>
            </a:ext>
          </a:extLst>
        </xdr:cNvPr>
        <xdr:cNvCxnSpPr/>
      </xdr:nvCxnSpPr>
      <xdr:spPr>
        <a:xfrm>
          <a:off x="19050" y="47186850"/>
          <a:ext cx="85344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321</xdr:row>
      <xdr:rowOff>47625</xdr:rowOff>
    </xdr:from>
    <xdr:to>
      <xdr:col>10</xdr:col>
      <xdr:colOff>1162050</xdr:colOff>
      <xdr:row>321</xdr:row>
      <xdr:rowOff>47625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C41F83A0-468C-458C-8D10-382BB530156C}"/>
            </a:ext>
          </a:extLst>
        </xdr:cNvPr>
        <xdr:cNvCxnSpPr/>
      </xdr:nvCxnSpPr>
      <xdr:spPr>
        <a:xfrm>
          <a:off x="19050" y="65570100"/>
          <a:ext cx="85344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366</xdr:row>
      <xdr:rowOff>47625</xdr:rowOff>
    </xdr:from>
    <xdr:to>
      <xdr:col>10</xdr:col>
      <xdr:colOff>1162050</xdr:colOff>
      <xdr:row>366</xdr:row>
      <xdr:rowOff>47625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81CFA4AB-1244-4410-906D-FADCAA1A7D38}"/>
            </a:ext>
          </a:extLst>
        </xdr:cNvPr>
        <xdr:cNvCxnSpPr/>
      </xdr:nvCxnSpPr>
      <xdr:spPr>
        <a:xfrm>
          <a:off x="19050" y="74761725"/>
          <a:ext cx="85344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411</xdr:row>
      <xdr:rowOff>47625</xdr:rowOff>
    </xdr:from>
    <xdr:to>
      <xdr:col>10</xdr:col>
      <xdr:colOff>1162050</xdr:colOff>
      <xdr:row>411</xdr:row>
      <xdr:rowOff>47625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EE7E0016-B923-48A9-9ABA-F908DE46E6C2}"/>
            </a:ext>
          </a:extLst>
        </xdr:cNvPr>
        <xdr:cNvCxnSpPr/>
      </xdr:nvCxnSpPr>
      <xdr:spPr>
        <a:xfrm>
          <a:off x="19050" y="83953350"/>
          <a:ext cx="85344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456</xdr:row>
      <xdr:rowOff>47625</xdr:rowOff>
    </xdr:from>
    <xdr:to>
      <xdr:col>10</xdr:col>
      <xdr:colOff>1162050</xdr:colOff>
      <xdr:row>456</xdr:row>
      <xdr:rowOff>47625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C29CCD22-3032-44C0-9B4E-11EE63625797}"/>
            </a:ext>
          </a:extLst>
        </xdr:cNvPr>
        <xdr:cNvCxnSpPr/>
      </xdr:nvCxnSpPr>
      <xdr:spPr>
        <a:xfrm>
          <a:off x="19050" y="83953350"/>
          <a:ext cx="85344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501</xdr:row>
      <xdr:rowOff>47625</xdr:rowOff>
    </xdr:from>
    <xdr:to>
      <xdr:col>10</xdr:col>
      <xdr:colOff>1162050</xdr:colOff>
      <xdr:row>501</xdr:row>
      <xdr:rowOff>47625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DD0F1D71-2CD0-4898-8D39-78ECE91A55CC}"/>
            </a:ext>
          </a:extLst>
        </xdr:cNvPr>
        <xdr:cNvCxnSpPr/>
      </xdr:nvCxnSpPr>
      <xdr:spPr>
        <a:xfrm>
          <a:off x="19050" y="93144975"/>
          <a:ext cx="85344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546</xdr:row>
      <xdr:rowOff>47625</xdr:rowOff>
    </xdr:from>
    <xdr:to>
      <xdr:col>10</xdr:col>
      <xdr:colOff>1162050</xdr:colOff>
      <xdr:row>546</xdr:row>
      <xdr:rowOff>47625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BDFBD392-BE38-4732-98A4-F263E4D8287E}"/>
            </a:ext>
          </a:extLst>
        </xdr:cNvPr>
        <xdr:cNvCxnSpPr/>
      </xdr:nvCxnSpPr>
      <xdr:spPr>
        <a:xfrm>
          <a:off x="19050" y="102336600"/>
          <a:ext cx="85344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591</xdr:row>
      <xdr:rowOff>47625</xdr:rowOff>
    </xdr:from>
    <xdr:to>
      <xdr:col>10</xdr:col>
      <xdr:colOff>1162050</xdr:colOff>
      <xdr:row>591</xdr:row>
      <xdr:rowOff>47625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3DC4A0F5-0055-4FEB-8213-C614E943BC3C}"/>
            </a:ext>
          </a:extLst>
        </xdr:cNvPr>
        <xdr:cNvCxnSpPr/>
      </xdr:nvCxnSpPr>
      <xdr:spPr>
        <a:xfrm>
          <a:off x="19050" y="111528225"/>
          <a:ext cx="85344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636</xdr:row>
      <xdr:rowOff>47625</xdr:rowOff>
    </xdr:from>
    <xdr:to>
      <xdr:col>10</xdr:col>
      <xdr:colOff>1162050</xdr:colOff>
      <xdr:row>636</xdr:row>
      <xdr:rowOff>47625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2266295A-417F-495C-8BE4-3309D6D5A46F}"/>
            </a:ext>
          </a:extLst>
        </xdr:cNvPr>
        <xdr:cNvCxnSpPr/>
      </xdr:nvCxnSpPr>
      <xdr:spPr>
        <a:xfrm>
          <a:off x="19050" y="120719850"/>
          <a:ext cx="85344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681</xdr:row>
      <xdr:rowOff>47625</xdr:rowOff>
    </xdr:from>
    <xdr:to>
      <xdr:col>10</xdr:col>
      <xdr:colOff>1162050</xdr:colOff>
      <xdr:row>681</xdr:row>
      <xdr:rowOff>47625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AB0A7DC7-AAD5-4ADF-8244-AFF4FABE292E}"/>
            </a:ext>
          </a:extLst>
        </xdr:cNvPr>
        <xdr:cNvCxnSpPr/>
      </xdr:nvCxnSpPr>
      <xdr:spPr>
        <a:xfrm>
          <a:off x="19050" y="129911475"/>
          <a:ext cx="85344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726</xdr:row>
      <xdr:rowOff>47625</xdr:rowOff>
    </xdr:from>
    <xdr:to>
      <xdr:col>10</xdr:col>
      <xdr:colOff>1162050</xdr:colOff>
      <xdr:row>726</xdr:row>
      <xdr:rowOff>47625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D7B50899-9A9E-4660-9C86-2506AB6ECBFC}"/>
            </a:ext>
          </a:extLst>
        </xdr:cNvPr>
        <xdr:cNvCxnSpPr/>
      </xdr:nvCxnSpPr>
      <xdr:spPr>
        <a:xfrm>
          <a:off x="19050" y="139103100"/>
          <a:ext cx="85344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771</xdr:row>
      <xdr:rowOff>47625</xdr:rowOff>
    </xdr:from>
    <xdr:to>
      <xdr:col>10</xdr:col>
      <xdr:colOff>1162050</xdr:colOff>
      <xdr:row>771</xdr:row>
      <xdr:rowOff>47625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A2C2A612-4F99-4197-9E18-D47B13654784}"/>
            </a:ext>
          </a:extLst>
        </xdr:cNvPr>
        <xdr:cNvCxnSpPr/>
      </xdr:nvCxnSpPr>
      <xdr:spPr>
        <a:xfrm>
          <a:off x="19050" y="148294725"/>
          <a:ext cx="85344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630</xdr:row>
      <xdr:rowOff>9525</xdr:rowOff>
    </xdr:from>
    <xdr:to>
      <xdr:col>10</xdr:col>
      <xdr:colOff>1162050</xdr:colOff>
      <xdr:row>640</xdr:row>
      <xdr:rowOff>31468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9662771-A33B-4126-BE35-F14E7EE656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128711325"/>
          <a:ext cx="8524875" cy="194599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585</xdr:row>
      <xdr:rowOff>9525</xdr:rowOff>
    </xdr:from>
    <xdr:to>
      <xdr:col>10</xdr:col>
      <xdr:colOff>1162050</xdr:colOff>
      <xdr:row>595</xdr:row>
      <xdr:rowOff>31468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DC86A4D-9EA6-4AF8-992D-03ECFDDE58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119519700"/>
          <a:ext cx="8524875" cy="194599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540</xdr:row>
      <xdr:rowOff>9525</xdr:rowOff>
    </xdr:from>
    <xdr:to>
      <xdr:col>10</xdr:col>
      <xdr:colOff>1162050</xdr:colOff>
      <xdr:row>550</xdr:row>
      <xdr:rowOff>31468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7E9F3DA-9CB1-49BE-9D71-BD501C701F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110328075"/>
          <a:ext cx="8524875" cy="194599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495</xdr:row>
      <xdr:rowOff>9525</xdr:rowOff>
    </xdr:from>
    <xdr:to>
      <xdr:col>10</xdr:col>
      <xdr:colOff>1162050</xdr:colOff>
      <xdr:row>505</xdr:row>
      <xdr:rowOff>31468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F6701F0-7D65-4B52-9FC5-13781EDC41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101136450"/>
          <a:ext cx="8524875" cy="194599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450</xdr:row>
      <xdr:rowOff>9525</xdr:rowOff>
    </xdr:from>
    <xdr:to>
      <xdr:col>10</xdr:col>
      <xdr:colOff>1162050</xdr:colOff>
      <xdr:row>460</xdr:row>
      <xdr:rowOff>31468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A4DD9E1-2AA3-4727-909F-2A15419AE1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91944825"/>
          <a:ext cx="8524875" cy="194599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405</xdr:row>
      <xdr:rowOff>9525</xdr:rowOff>
    </xdr:from>
    <xdr:to>
      <xdr:col>10</xdr:col>
      <xdr:colOff>1162050</xdr:colOff>
      <xdr:row>415</xdr:row>
      <xdr:rowOff>31468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BCFC2C8-C2E8-4A1A-A76B-45FF7B5BEF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82753200"/>
          <a:ext cx="8524875" cy="194599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360</xdr:row>
      <xdr:rowOff>9525</xdr:rowOff>
    </xdr:from>
    <xdr:to>
      <xdr:col>10</xdr:col>
      <xdr:colOff>1162050</xdr:colOff>
      <xdr:row>370</xdr:row>
      <xdr:rowOff>31468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A16E092-F754-4A8B-BF1F-B408C65A02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73561575"/>
          <a:ext cx="8524875" cy="194599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315</xdr:row>
      <xdr:rowOff>9525</xdr:rowOff>
    </xdr:from>
    <xdr:to>
      <xdr:col>10</xdr:col>
      <xdr:colOff>1162050</xdr:colOff>
      <xdr:row>325</xdr:row>
      <xdr:rowOff>31468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9697F29-216D-4DD5-B5A8-C461AF2F1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64369950"/>
          <a:ext cx="8524875" cy="194599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270</xdr:row>
      <xdr:rowOff>9525</xdr:rowOff>
    </xdr:from>
    <xdr:to>
      <xdr:col>10</xdr:col>
      <xdr:colOff>1162050</xdr:colOff>
      <xdr:row>280</xdr:row>
      <xdr:rowOff>31468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A712B21-6725-4079-ABA9-DAB533C0F0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55178325"/>
          <a:ext cx="8524875" cy="194599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225</xdr:row>
      <xdr:rowOff>9525</xdr:rowOff>
    </xdr:from>
    <xdr:to>
      <xdr:col>10</xdr:col>
      <xdr:colOff>1162050</xdr:colOff>
      <xdr:row>235</xdr:row>
      <xdr:rowOff>31468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F23140F-E7D9-45E9-A09E-8FBC36CBA9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45986700"/>
          <a:ext cx="8524875" cy="194599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180</xdr:row>
      <xdr:rowOff>9525</xdr:rowOff>
    </xdr:from>
    <xdr:to>
      <xdr:col>10</xdr:col>
      <xdr:colOff>1162050</xdr:colOff>
      <xdr:row>190</xdr:row>
      <xdr:rowOff>31468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D4D5C01-B041-4487-AED0-FD042EE6B2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36795075"/>
          <a:ext cx="8524875" cy="194599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135</xdr:row>
      <xdr:rowOff>9525</xdr:rowOff>
    </xdr:from>
    <xdr:to>
      <xdr:col>10</xdr:col>
      <xdr:colOff>1162050</xdr:colOff>
      <xdr:row>145</xdr:row>
      <xdr:rowOff>31468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783C87FA-BC8E-4FF1-9C8D-1A2F747C58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27603450"/>
          <a:ext cx="8524875" cy="194599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90</xdr:row>
      <xdr:rowOff>9525</xdr:rowOff>
    </xdr:from>
    <xdr:to>
      <xdr:col>10</xdr:col>
      <xdr:colOff>1162050</xdr:colOff>
      <xdr:row>100</xdr:row>
      <xdr:rowOff>31468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79F2FA26-F14C-4214-B3C7-0A44E22958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18411825"/>
          <a:ext cx="8524875" cy="194599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45</xdr:row>
      <xdr:rowOff>9525</xdr:rowOff>
    </xdr:from>
    <xdr:to>
      <xdr:col>10</xdr:col>
      <xdr:colOff>1162050</xdr:colOff>
      <xdr:row>55</xdr:row>
      <xdr:rowOff>31468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C3A1A019-17FE-47A3-99DB-641080383C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9220200"/>
          <a:ext cx="8524875" cy="194599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28574</xdr:colOff>
      <xdr:row>0</xdr:row>
      <xdr:rowOff>28576</xdr:rowOff>
    </xdr:from>
    <xdr:to>
      <xdr:col>10</xdr:col>
      <xdr:colOff>1162049</xdr:colOff>
      <xdr:row>10</xdr:row>
      <xdr:rowOff>50519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6046FD5-4918-4F74-9463-C1B356358A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4" y="28576"/>
          <a:ext cx="8524875" cy="1945993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19050</xdr:colOff>
      <xdr:row>6</xdr:row>
      <xdr:rowOff>47625</xdr:rowOff>
    </xdr:from>
    <xdr:to>
      <xdr:col>10</xdr:col>
      <xdr:colOff>1162050</xdr:colOff>
      <xdr:row>6</xdr:row>
      <xdr:rowOff>47625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F01537B4-A4B8-44DE-87B2-407C6E245853}"/>
            </a:ext>
          </a:extLst>
        </xdr:cNvPr>
        <xdr:cNvCxnSpPr/>
      </xdr:nvCxnSpPr>
      <xdr:spPr>
        <a:xfrm>
          <a:off x="19050" y="1209675"/>
          <a:ext cx="85344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51</xdr:row>
      <xdr:rowOff>47625</xdr:rowOff>
    </xdr:from>
    <xdr:to>
      <xdr:col>10</xdr:col>
      <xdr:colOff>1162050</xdr:colOff>
      <xdr:row>51</xdr:row>
      <xdr:rowOff>47625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F806B957-155B-47E3-9420-FF46BE0ED0ED}"/>
            </a:ext>
          </a:extLst>
        </xdr:cNvPr>
        <xdr:cNvCxnSpPr/>
      </xdr:nvCxnSpPr>
      <xdr:spPr>
        <a:xfrm>
          <a:off x="19050" y="10420350"/>
          <a:ext cx="85344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96</xdr:row>
      <xdr:rowOff>47625</xdr:rowOff>
    </xdr:from>
    <xdr:to>
      <xdr:col>10</xdr:col>
      <xdr:colOff>1162050</xdr:colOff>
      <xdr:row>96</xdr:row>
      <xdr:rowOff>47625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E5E9511B-C293-4506-88CB-0C78D1542EF4}"/>
            </a:ext>
          </a:extLst>
        </xdr:cNvPr>
        <xdr:cNvCxnSpPr/>
      </xdr:nvCxnSpPr>
      <xdr:spPr>
        <a:xfrm>
          <a:off x="19050" y="19611975"/>
          <a:ext cx="85344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141</xdr:row>
      <xdr:rowOff>47625</xdr:rowOff>
    </xdr:from>
    <xdr:to>
      <xdr:col>10</xdr:col>
      <xdr:colOff>1162050</xdr:colOff>
      <xdr:row>141</xdr:row>
      <xdr:rowOff>47625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3F4D658D-5A9C-4590-B8DD-F97692B39BE9}"/>
            </a:ext>
          </a:extLst>
        </xdr:cNvPr>
        <xdr:cNvCxnSpPr/>
      </xdr:nvCxnSpPr>
      <xdr:spPr>
        <a:xfrm>
          <a:off x="19050" y="28803600"/>
          <a:ext cx="85344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186</xdr:row>
      <xdr:rowOff>47625</xdr:rowOff>
    </xdr:from>
    <xdr:to>
      <xdr:col>10</xdr:col>
      <xdr:colOff>1162050</xdr:colOff>
      <xdr:row>186</xdr:row>
      <xdr:rowOff>47625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631C8DE0-64F2-41DA-9B64-0D463DE1B3D3}"/>
            </a:ext>
          </a:extLst>
        </xdr:cNvPr>
        <xdr:cNvCxnSpPr/>
      </xdr:nvCxnSpPr>
      <xdr:spPr>
        <a:xfrm>
          <a:off x="19050" y="37995225"/>
          <a:ext cx="85344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231</xdr:row>
      <xdr:rowOff>47625</xdr:rowOff>
    </xdr:from>
    <xdr:to>
      <xdr:col>10</xdr:col>
      <xdr:colOff>1162050</xdr:colOff>
      <xdr:row>231</xdr:row>
      <xdr:rowOff>47625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FB9639E6-54FF-4B76-B925-2A19CDAAB1C5}"/>
            </a:ext>
          </a:extLst>
        </xdr:cNvPr>
        <xdr:cNvCxnSpPr/>
      </xdr:nvCxnSpPr>
      <xdr:spPr>
        <a:xfrm>
          <a:off x="19050" y="47186850"/>
          <a:ext cx="85344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276</xdr:row>
      <xdr:rowOff>47625</xdr:rowOff>
    </xdr:from>
    <xdr:to>
      <xdr:col>10</xdr:col>
      <xdr:colOff>1162050</xdr:colOff>
      <xdr:row>276</xdr:row>
      <xdr:rowOff>47625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4E85CDC2-D524-4A10-A38D-1924C837A497}"/>
            </a:ext>
          </a:extLst>
        </xdr:cNvPr>
        <xdr:cNvCxnSpPr/>
      </xdr:nvCxnSpPr>
      <xdr:spPr>
        <a:xfrm>
          <a:off x="19050" y="56378475"/>
          <a:ext cx="85344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321</xdr:row>
      <xdr:rowOff>47625</xdr:rowOff>
    </xdr:from>
    <xdr:to>
      <xdr:col>10</xdr:col>
      <xdr:colOff>1162050</xdr:colOff>
      <xdr:row>321</xdr:row>
      <xdr:rowOff>47625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555D74A3-3548-4AEF-AEF3-6E894DF0D2F5}"/>
            </a:ext>
          </a:extLst>
        </xdr:cNvPr>
        <xdr:cNvCxnSpPr/>
      </xdr:nvCxnSpPr>
      <xdr:spPr>
        <a:xfrm>
          <a:off x="19050" y="65570100"/>
          <a:ext cx="85344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366</xdr:row>
      <xdr:rowOff>47625</xdr:rowOff>
    </xdr:from>
    <xdr:to>
      <xdr:col>10</xdr:col>
      <xdr:colOff>1162050</xdr:colOff>
      <xdr:row>366</xdr:row>
      <xdr:rowOff>47625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7480D458-A40E-4111-9AAB-ECAE5CA64F85}"/>
            </a:ext>
          </a:extLst>
        </xdr:cNvPr>
        <xdr:cNvCxnSpPr/>
      </xdr:nvCxnSpPr>
      <xdr:spPr>
        <a:xfrm>
          <a:off x="19050" y="74761725"/>
          <a:ext cx="85344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411</xdr:row>
      <xdr:rowOff>47625</xdr:rowOff>
    </xdr:from>
    <xdr:to>
      <xdr:col>10</xdr:col>
      <xdr:colOff>1162050</xdr:colOff>
      <xdr:row>411</xdr:row>
      <xdr:rowOff>47625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09F4C482-4E6E-4480-B15C-38008B37F962}"/>
            </a:ext>
          </a:extLst>
        </xdr:cNvPr>
        <xdr:cNvCxnSpPr/>
      </xdr:nvCxnSpPr>
      <xdr:spPr>
        <a:xfrm>
          <a:off x="19050" y="83953350"/>
          <a:ext cx="85344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456</xdr:row>
      <xdr:rowOff>47625</xdr:rowOff>
    </xdr:from>
    <xdr:to>
      <xdr:col>10</xdr:col>
      <xdr:colOff>1162050</xdr:colOff>
      <xdr:row>456</xdr:row>
      <xdr:rowOff>47625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E5FAFB2A-8504-4229-B31F-3993D67CF4C9}"/>
            </a:ext>
          </a:extLst>
        </xdr:cNvPr>
        <xdr:cNvCxnSpPr/>
      </xdr:nvCxnSpPr>
      <xdr:spPr>
        <a:xfrm>
          <a:off x="19050" y="93144975"/>
          <a:ext cx="85344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501</xdr:row>
      <xdr:rowOff>47625</xdr:rowOff>
    </xdr:from>
    <xdr:to>
      <xdr:col>10</xdr:col>
      <xdr:colOff>1162050</xdr:colOff>
      <xdr:row>501</xdr:row>
      <xdr:rowOff>47625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665B4E42-6D89-45E8-B7C0-06B7B2DA2D48}"/>
            </a:ext>
          </a:extLst>
        </xdr:cNvPr>
        <xdr:cNvCxnSpPr/>
      </xdr:nvCxnSpPr>
      <xdr:spPr>
        <a:xfrm>
          <a:off x="19050" y="102336600"/>
          <a:ext cx="85344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546</xdr:row>
      <xdr:rowOff>47625</xdr:rowOff>
    </xdr:from>
    <xdr:to>
      <xdr:col>10</xdr:col>
      <xdr:colOff>1162050</xdr:colOff>
      <xdr:row>546</xdr:row>
      <xdr:rowOff>47625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A5A8218D-581E-45A4-B0CF-41CA5F71ABD4}"/>
            </a:ext>
          </a:extLst>
        </xdr:cNvPr>
        <xdr:cNvCxnSpPr/>
      </xdr:nvCxnSpPr>
      <xdr:spPr>
        <a:xfrm>
          <a:off x="19050" y="111528225"/>
          <a:ext cx="85344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591</xdr:row>
      <xdr:rowOff>47625</xdr:rowOff>
    </xdr:from>
    <xdr:to>
      <xdr:col>10</xdr:col>
      <xdr:colOff>1162050</xdr:colOff>
      <xdr:row>591</xdr:row>
      <xdr:rowOff>47625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65E7ADF9-5DB3-44B5-8399-EC9ED6793303}"/>
            </a:ext>
          </a:extLst>
        </xdr:cNvPr>
        <xdr:cNvCxnSpPr/>
      </xdr:nvCxnSpPr>
      <xdr:spPr>
        <a:xfrm>
          <a:off x="19050" y="120719850"/>
          <a:ext cx="85344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636</xdr:row>
      <xdr:rowOff>47625</xdr:rowOff>
    </xdr:from>
    <xdr:to>
      <xdr:col>10</xdr:col>
      <xdr:colOff>1162050</xdr:colOff>
      <xdr:row>636</xdr:row>
      <xdr:rowOff>47625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A21276B9-B174-46C3-ACF1-51674B665076}"/>
            </a:ext>
          </a:extLst>
        </xdr:cNvPr>
        <xdr:cNvCxnSpPr/>
      </xdr:nvCxnSpPr>
      <xdr:spPr>
        <a:xfrm>
          <a:off x="19050" y="129911475"/>
          <a:ext cx="85344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765</xdr:row>
      <xdr:rowOff>9525</xdr:rowOff>
    </xdr:from>
    <xdr:to>
      <xdr:col>10</xdr:col>
      <xdr:colOff>1162050</xdr:colOff>
      <xdr:row>775</xdr:row>
      <xdr:rowOff>31468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9D46F4-34DA-41E0-93E2-9CE7C8088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156286200"/>
          <a:ext cx="8524875" cy="194599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720</xdr:row>
      <xdr:rowOff>9525</xdr:rowOff>
    </xdr:from>
    <xdr:to>
      <xdr:col>10</xdr:col>
      <xdr:colOff>1162050</xdr:colOff>
      <xdr:row>730</xdr:row>
      <xdr:rowOff>31468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0E2C8C-74BA-42C4-AFC1-E50CE72DAA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147094575"/>
          <a:ext cx="8524875" cy="194599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675</xdr:row>
      <xdr:rowOff>9525</xdr:rowOff>
    </xdr:from>
    <xdr:to>
      <xdr:col>10</xdr:col>
      <xdr:colOff>1162050</xdr:colOff>
      <xdr:row>685</xdr:row>
      <xdr:rowOff>31468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F46448D-FCDF-47DE-9C62-D01BF92B05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137902950"/>
          <a:ext cx="8524875" cy="194599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630</xdr:row>
      <xdr:rowOff>9525</xdr:rowOff>
    </xdr:from>
    <xdr:to>
      <xdr:col>10</xdr:col>
      <xdr:colOff>1162050</xdr:colOff>
      <xdr:row>640</xdr:row>
      <xdr:rowOff>31468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246FF97-2F49-41A6-8447-BB9FE270F1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128711325"/>
          <a:ext cx="8524875" cy="194599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585</xdr:row>
      <xdr:rowOff>9525</xdr:rowOff>
    </xdr:from>
    <xdr:to>
      <xdr:col>10</xdr:col>
      <xdr:colOff>1162050</xdr:colOff>
      <xdr:row>595</xdr:row>
      <xdr:rowOff>31468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2646C23-3A5C-4FAF-9CFE-55A46D4DD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119519700"/>
          <a:ext cx="8524875" cy="194599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540</xdr:row>
      <xdr:rowOff>9525</xdr:rowOff>
    </xdr:from>
    <xdr:to>
      <xdr:col>10</xdr:col>
      <xdr:colOff>1162050</xdr:colOff>
      <xdr:row>550</xdr:row>
      <xdr:rowOff>31468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E496AE6-0F7F-4B0C-B08F-52BF9BE82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110328075"/>
          <a:ext cx="8524875" cy="194599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495</xdr:row>
      <xdr:rowOff>9525</xdr:rowOff>
    </xdr:from>
    <xdr:to>
      <xdr:col>10</xdr:col>
      <xdr:colOff>1162050</xdr:colOff>
      <xdr:row>505</xdr:row>
      <xdr:rowOff>31468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32FC79A-B4CD-4BF6-83C3-BA020E2CCC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101136450"/>
          <a:ext cx="8524875" cy="194599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450</xdr:row>
      <xdr:rowOff>9525</xdr:rowOff>
    </xdr:from>
    <xdr:to>
      <xdr:col>10</xdr:col>
      <xdr:colOff>1162050</xdr:colOff>
      <xdr:row>460</xdr:row>
      <xdr:rowOff>31468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4E4C6CF-D54D-463E-82DF-D52DE6389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91944825"/>
          <a:ext cx="8524875" cy="194599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405</xdr:row>
      <xdr:rowOff>9525</xdr:rowOff>
    </xdr:from>
    <xdr:to>
      <xdr:col>10</xdr:col>
      <xdr:colOff>1162050</xdr:colOff>
      <xdr:row>415</xdr:row>
      <xdr:rowOff>31468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098BCF8-7FDE-40F4-A9BC-7EE3740101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82753200"/>
          <a:ext cx="8524875" cy="194599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360</xdr:row>
      <xdr:rowOff>9525</xdr:rowOff>
    </xdr:from>
    <xdr:to>
      <xdr:col>10</xdr:col>
      <xdr:colOff>1162050</xdr:colOff>
      <xdr:row>370</xdr:row>
      <xdr:rowOff>31468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D1E2ED8-89F8-4ED5-8100-90F2A3F576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73561575"/>
          <a:ext cx="8524875" cy="194599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315</xdr:row>
      <xdr:rowOff>9525</xdr:rowOff>
    </xdr:from>
    <xdr:to>
      <xdr:col>10</xdr:col>
      <xdr:colOff>1162050</xdr:colOff>
      <xdr:row>325</xdr:row>
      <xdr:rowOff>31468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907A2C1-B40B-4BD8-90FD-C501C5398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64369950"/>
          <a:ext cx="8524875" cy="194599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270</xdr:row>
      <xdr:rowOff>9525</xdr:rowOff>
    </xdr:from>
    <xdr:to>
      <xdr:col>10</xdr:col>
      <xdr:colOff>1162050</xdr:colOff>
      <xdr:row>280</xdr:row>
      <xdr:rowOff>31468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A2303AB-E901-41B0-B3B0-E97E90E96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55178325"/>
          <a:ext cx="8524875" cy="194599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225</xdr:row>
      <xdr:rowOff>9525</xdr:rowOff>
    </xdr:from>
    <xdr:to>
      <xdr:col>10</xdr:col>
      <xdr:colOff>1162050</xdr:colOff>
      <xdr:row>235</xdr:row>
      <xdr:rowOff>31468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F6B136A-5E24-42D1-99EE-0BA47D288A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45986700"/>
          <a:ext cx="8524875" cy="194599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180</xdr:row>
      <xdr:rowOff>9525</xdr:rowOff>
    </xdr:from>
    <xdr:to>
      <xdr:col>10</xdr:col>
      <xdr:colOff>1162050</xdr:colOff>
      <xdr:row>190</xdr:row>
      <xdr:rowOff>31468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9359AC5-BBF6-4F46-92C0-A87F8FB9EA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36795075"/>
          <a:ext cx="8524875" cy="194599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135</xdr:row>
      <xdr:rowOff>9525</xdr:rowOff>
    </xdr:from>
    <xdr:to>
      <xdr:col>10</xdr:col>
      <xdr:colOff>1162050</xdr:colOff>
      <xdr:row>145</xdr:row>
      <xdr:rowOff>31468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CADBD026-28FA-4343-840F-552B9EA8E7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27603450"/>
          <a:ext cx="8524875" cy="194599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90</xdr:row>
      <xdr:rowOff>9525</xdr:rowOff>
    </xdr:from>
    <xdr:to>
      <xdr:col>10</xdr:col>
      <xdr:colOff>1162050</xdr:colOff>
      <xdr:row>100</xdr:row>
      <xdr:rowOff>31468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A0F39DAD-EFF0-4B86-8C5C-F5995DB57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18411825"/>
          <a:ext cx="8524875" cy="194599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45</xdr:row>
      <xdr:rowOff>9525</xdr:rowOff>
    </xdr:from>
    <xdr:to>
      <xdr:col>10</xdr:col>
      <xdr:colOff>1162050</xdr:colOff>
      <xdr:row>55</xdr:row>
      <xdr:rowOff>31468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9495D5E-3470-4061-AC90-D9407DB9FC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9220200"/>
          <a:ext cx="8524875" cy="194599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28574</xdr:colOff>
      <xdr:row>0</xdr:row>
      <xdr:rowOff>28576</xdr:rowOff>
    </xdr:from>
    <xdr:to>
      <xdr:col>10</xdr:col>
      <xdr:colOff>1162049</xdr:colOff>
      <xdr:row>10</xdr:row>
      <xdr:rowOff>50519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BB3E128-B1E1-4EF6-B222-BA01D1C79A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4" y="28576"/>
          <a:ext cx="8524875" cy="1945993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19050</xdr:colOff>
      <xdr:row>6</xdr:row>
      <xdr:rowOff>47625</xdr:rowOff>
    </xdr:from>
    <xdr:to>
      <xdr:col>10</xdr:col>
      <xdr:colOff>1162050</xdr:colOff>
      <xdr:row>6</xdr:row>
      <xdr:rowOff>47625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6B8F3A15-FFE8-4F37-9367-31AF587226DC}"/>
            </a:ext>
          </a:extLst>
        </xdr:cNvPr>
        <xdr:cNvCxnSpPr/>
      </xdr:nvCxnSpPr>
      <xdr:spPr>
        <a:xfrm>
          <a:off x="19050" y="1209675"/>
          <a:ext cx="85344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51</xdr:row>
      <xdr:rowOff>47625</xdr:rowOff>
    </xdr:from>
    <xdr:to>
      <xdr:col>10</xdr:col>
      <xdr:colOff>1162050</xdr:colOff>
      <xdr:row>51</xdr:row>
      <xdr:rowOff>47625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4D21075C-759A-4F42-A19C-C4B284693E5E}"/>
            </a:ext>
          </a:extLst>
        </xdr:cNvPr>
        <xdr:cNvCxnSpPr/>
      </xdr:nvCxnSpPr>
      <xdr:spPr>
        <a:xfrm>
          <a:off x="19050" y="10420350"/>
          <a:ext cx="85344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96</xdr:row>
      <xdr:rowOff>47625</xdr:rowOff>
    </xdr:from>
    <xdr:to>
      <xdr:col>10</xdr:col>
      <xdr:colOff>1162050</xdr:colOff>
      <xdr:row>96</xdr:row>
      <xdr:rowOff>47625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2D3C699D-631C-4E53-87E6-C9D3B1D78C4C}"/>
            </a:ext>
          </a:extLst>
        </xdr:cNvPr>
        <xdr:cNvCxnSpPr/>
      </xdr:nvCxnSpPr>
      <xdr:spPr>
        <a:xfrm>
          <a:off x="19050" y="19611975"/>
          <a:ext cx="85344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141</xdr:row>
      <xdr:rowOff>47625</xdr:rowOff>
    </xdr:from>
    <xdr:to>
      <xdr:col>10</xdr:col>
      <xdr:colOff>1162050</xdr:colOff>
      <xdr:row>141</xdr:row>
      <xdr:rowOff>47625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8DF608E7-9AE2-4A47-904B-5A47A765482A}"/>
            </a:ext>
          </a:extLst>
        </xdr:cNvPr>
        <xdr:cNvCxnSpPr/>
      </xdr:nvCxnSpPr>
      <xdr:spPr>
        <a:xfrm>
          <a:off x="19050" y="28803600"/>
          <a:ext cx="85344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186</xdr:row>
      <xdr:rowOff>47625</xdr:rowOff>
    </xdr:from>
    <xdr:to>
      <xdr:col>10</xdr:col>
      <xdr:colOff>1162050</xdr:colOff>
      <xdr:row>186</xdr:row>
      <xdr:rowOff>47625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E15D3E36-C537-4DB6-A9CB-CF8621F7979F}"/>
            </a:ext>
          </a:extLst>
        </xdr:cNvPr>
        <xdr:cNvCxnSpPr/>
      </xdr:nvCxnSpPr>
      <xdr:spPr>
        <a:xfrm>
          <a:off x="19050" y="37995225"/>
          <a:ext cx="85344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231</xdr:row>
      <xdr:rowOff>47625</xdr:rowOff>
    </xdr:from>
    <xdr:to>
      <xdr:col>10</xdr:col>
      <xdr:colOff>1162050</xdr:colOff>
      <xdr:row>231</xdr:row>
      <xdr:rowOff>47625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95601AC0-6695-470F-844E-D1B752649FD3}"/>
            </a:ext>
          </a:extLst>
        </xdr:cNvPr>
        <xdr:cNvCxnSpPr/>
      </xdr:nvCxnSpPr>
      <xdr:spPr>
        <a:xfrm>
          <a:off x="19050" y="47186850"/>
          <a:ext cx="85344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276</xdr:row>
      <xdr:rowOff>47625</xdr:rowOff>
    </xdr:from>
    <xdr:to>
      <xdr:col>10</xdr:col>
      <xdr:colOff>1162050</xdr:colOff>
      <xdr:row>276</xdr:row>
      <xdr:rowOff>47625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14230F93-DEAA-4341-A64D-2D34FCD82C27}"/>
            </a:ext>
          </a:extLst>
        </xdr:cNvPr>
        <xdr:cNvCxnSpPr/>
      </xdr:nvCxnSpPr>
      <xdr:spPr>
        <a:xfrm>
          <a:off x="19050" y="56378475"/>
          <a:ext cx="85344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321</xdr:row>
      <xdr:rowOff>47625</xdr:rowOff>
    </xdr:from>
    <xdr:to>
      <xdr:col>10</xdr:col>
      <xdr:colOff>1162050</xdr:colOff>
      <xdr:row>321</xdr:row>
      <xdr:rowOff>47625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4AB5EBBB-BE44-4C81-80FB-32B95905A17D}"/>
            </a:ext>
          </a:extLst>
        </xdr:cNvPr>
        <xdr:cNvCxnSpPr/>
      </xdr:nvCxnSpPr>
      <xdr:spPr>
        <a:xfrm>
          <a:off x="19050" y="65570100"/>
          <a:ext cx="85344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366</xdr:row>
      <xdr:rowOff>47625</xdr:rowOff>
    </xdr:from>
    <xdr:to>
      <xdr:col>10</xdr:col>
      <xdr:colOff>1162050</xdr:colOff>
      <xdr:row>366</xdr:row>
      <xdr:rowOff>47625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BD4000FA-FC87-45AE-A6A5-C6FB43D0208F}"/>
            </a:ext>
          </a:extLst>
        </xdr:cNvPr>
        <xdr:cNvCxnSpPr/>
      </xdr:nvCxnSpPr>
      <xdr:spPr>
        <a:xfrm>
          <a:off x="19050" y="74761725"/>
          <a:ext cx="85344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411</xdr:row>
      <xdr:rowOff>47625</xdr:rowOff>
    </xdr:from>
    <xdr:to>
      <xdr:col>10</xdr:col>
      <xdr:colOff>1162050</xdr:colOff>
      <xdr:row>411</xdr:row>
      <xdr:rowOff>47625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44C1A61C-CEDC-4360-A9DC-D1EC7F554AA3}"/>
            </a:ext>
          </a:extLst>
        </xdr:cNvPr>
        <xdr:cNvCxnSpPr/>
      </xdr:nvCxnSpPr>
      <xdr:spPr>
        <a:xfrm>
          <a:off x="19050" y="83953350"/>
          <a:ext cx="85344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456</xdr:row>
      <xdr:rowOff>47625</xdr:rowOff>
    </xdr:from>
    <xdr:to>
      <xdr:col>10</xdr:col>
      <xdr:colOff>1162050</xdr:colOff>
      <xdr:row>456</xdr:row>
      <xdr:rowOff>47625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C1274871-B9DA-4E65-87E4-08ACB98FC6D5}"/>
            </a:ext>
          </a:extLst>
        </xdr:cNvPr>
        <xdr:cNvCxnSpPr/>
      </xdr:nvCxnSpPr>
      <xdr:spPr>
        <a:xfrm>
          <a:off x="19050" y="93144975"/>
          <a:ext cx="85344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501</xdr:row>
      <xdr:rowOff>47625</xdr:rowOff>
    </xdr:from>
    <xdr:to>
      <xdr:col>10</xdr:col>
      <xdr:colOff>1162050</xdr:colOff>
      <xdr:row>501</xdr:row>
      <xdr:rowOff>47625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0855BC8E-D1EE-4F8A-9528-52F035BB2D83}"/>
            </a:ext>
          </a:extLst>
        </xdr:cNvPr>
        <xdr:cNvCxnSpPr/>
      </xdr:nvCxnSpPr>
      <xdr:spPr>
        <a:xfrm>
          <a:off x="19050" y="102336600"/>
          <a:ext cx="85344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546</xdr:row>
      <xdr:rowOff>47625</xdr:rowOff>
    </xdr:from>
    <xdr:to>
      <xdr:col>10</xdr:col>
      <xdr:colOff>1162050</xdr:colOff>
      <xdr:row>546</xdr:row>
      <xdr:rowOff>47625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6B2A71EE-9E2F-474C-9CEA-F852B14A4995}"/>
            </a:ext>
          </a:extLst>
        </xdr:cNvPr>
        <xdr:cNvCxnSpPr/>
      </xdr:nvCxnSpPr>
      <xdr:spPr>
        <a:xfrm>
          <a:off x="19050" y="111528225"/>
          <a:ext cx="85344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591</xdr:row>
      <xdr:rowOff>47625</xdr:rowOff>
    </xdr:from>
    <xdr:to>
      <xdr:col>10</xdr:col>
      <xdr:colOff>1162050</xdr:colOff>
      <xdr:row>591</xdr:row>
      <xdr:rowOff>47625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C4CD671D-82B6-44D0-9EC0-F6B416211F42}"/>
            </a:ext>
          </a:extLst>
        </xdr:cNvPr>
        <xdr:cNvCxnSpPr/>
      </xdr:nvCxnSpPr>
      <xdr:spPr>
        <a:xfrm>
          <a:off x="19050" y="120719850"/>
          <a:ext cx="85344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636</xdr:row>
      <xdr:rowOff>47625</xdr:rowOff>
    </xdr:from>
    <xdr:to>
      <xdr:col>10</xdr:col>
      <xdr:colOff>1162050</xdr:colOff>
      <xdr:row>636</xdr:row>
      <xdr:rowOff>47625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9BB0D2BA-8ECB-4CA5-B112-BA1A92432805}"/>
            </a:ext>
          </a:extLst>
        </xdr:cNvPr>
        <xdr:cNvCxnSpPr/>
      </xdr:nvCxnSpPr>
      <xdr:spPr>
        <a:xfrm>
          <a:off x="19050" y="129911475"/>
          <a:ext cx="85344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681</xdr:row>
      <xdr:rowOff>47625</xdr:rowOff>
    </xdr:from>
    <xdr:to>
      <xdr:col>10</xdr:col>
      <xdr:colOff>1162050</xdr:colOff>
      <xdr:row>681</xdr:row>
      <xdr:rowOff>47625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12510074-0410-4ED6-B0C1-B7D970DD67A7}"/>
            </a:ext>
          </a:extLst>
        </xdr:cNvPr>
        <xdr:cNvCxnSpPr/>
      </xdr:nvCxnSpPr>
      <xdr:spPr>
        <a:xfrm>
          <a:off x="19050" y="139103100"/>
          <a:ext cx="85344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726</xdr:row>
      <xdr:rowOff>47625</xdr:rowOff>
    </xdr:from>
    <xdr:to>
      <xdr:col>10</xdr:col>
      <xdr:colOff>1162050</xdr:colOff>
      <xdr:row>726</xdr:row>
      <xdr:rowOff>47625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BDD08DAA-E6FB-4825-8462-9D448B43AFC1}"/>
            </a:ext>
          </a:extLst>
        </xdr:cNvPr>
        <xdr:cNvCxnSpPr/>
      </xdr:nvCxnSpPr>
      <xdr:spPr>
        <a:xfrm>
          <a:off x="19050" y="148294725"/>
          <a:ext cx="85344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771</xdr:row>
      <xdr:rowOff>47625</xdr:rowOff>
    </xdr:from>
    <xdr:to>
      <xdr:col>10</xdr:col>
      <xdr:colOff>1162050</xdr:colOff>
      <xdr:row>771</xdr:row>
      <xdr:rowOff>47625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01665CBB-EC12-45BC-A448-7D68FACFE222}"/>
            </a:ext>
          </a:extLst>
        </xdr:cNvPr>
        <xdr:cNvCxnSpPr/>
      </xdr:nvCxnSpPr>
      <xdr:spPr>
        <a:xfrm>
          <a:off x="19050" y="157486350"/>
          <a:ext cx="85344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FBA9F-F640-4892-AD84-DF62DC8F3F7B}">
  <dimension ref="A1:W809"/>
  <sheetViews>
    <sheetView view="pageBreakPreview" topLeftCell="A777" zoomScaleNormal="100" workbookViewId="0">
      <selection activeCell="K809" sqref="A766:K809"/>
    </sheetView>
  </sheetViews>
  <sheetFormatPr defaultColWidth="9" defaultRowHeight="15"/>
  <cols>
    <col min="1" max="1" width="3.5703125" customWidth="1"/>
    <col min="2" max="2" width="5.5703125" customWidth="1"/>
    <col min="3" max="3" width="12.28515625" customWidth="1"/>
    <col min="4" max="4" width="1.85546875" customWidth="1"/>
    <col min="5" max="5" width="38.28515625" customWidth="1"/>
    <col min="6" max="6" width="1.140625" customWidth="1"/>
    <col min="7" max="7" width="16" customWidth="1"/>
    <col min="8" max="8" width="16.5703125" style="1" customWidth="1"/>
    <col min="9" max="9" width="16.5703125" style="1" hidden="1" customWidth="1"/>
    <col min="10" max="10" width="15.5703125" style="1" customWidth="1"/>
    <col min="11" max="11" width="18" style="1" customWidth="1"/>
    <col min="12" max="12" width="0.28515625" hidden="1" customWidth="1"/>
    <col min="13" max="13" width="2.85546875" customWidth="1"/>
    <col min="14" max="14" width="2.5703125" customWidth="1"/>
    <col min="15" max="15" width="2.7109375" customWidth="1"/>
    <col min="16" max="16" width="2.5703125" customWidth="1"/>
    <col min="17" max="17" width="2.7109375" customWidth="1"/>
    <col min="18" max="18" width="2.85546875" customWidth="1"/>
    <col min="19" max="19" width="44.7109375" customWidth="1"/>
    <col min="20" max="20" width="12.28515625" customWidth="1"/>
    <col min="21" max="21" width="11.7109375" customWidth="1"/>
    <col min="22" max="22" width="10.85546875" customWidth="1"/>
    <col min="23" max="23" width="11.5703125" customWidth="1"/>
    <col min="24" max="24" width="11.7109375" customWidth="1"/>
  </cols>
  <sheetData>
    <row r="1" spans="1:23">
      <c r="L1" s="29"/>
      <c r="M1" s="30"/>
      <c r="N1" s="30"/>
      <c r="O1" s="30"/>
      <c r="P1" s="30"/>
      <c r="Q1" s="30"/>
      <c r="R1" s="30"/>
      <c r="S1" s="30"/>
      <c r="T1" s="30"/>
      <c r="U1" s="30"/>
      <c r="V1" s="30"/>
      <c r="W1" s="29"/>
    </row>
    <row r="2" spans="1:23">
      <c r="L2" s="29"/>
      <c r="M2" s="30"/>
      <c r="N2" s="30"/>
      <c r="O2" s="30"/>
      <c r="P2" s="30"/>
      <c r="Q2" s="30"/>
      <c r="R2" s="30"/>
      <c r="S2" s="30"/>
      <c r="T2" s="30"/>
      <c r="U2" s="30"/>
      <c r="V2" s="30"/>
      <c r="W2" s="29"/>
    </row>
    <row r="3" spans="1:23">
      <c r="L3" s="29"/>
      <c r="M3" s="30"/>
      <c r="N3" s="30"/>
      <c r="O3" s="30"/>
      <c r="P3" s="30"/>
      <c r="Q3" s="30"/>
      <c r="R3" s="30"/>
      <c r="S3" s="30"/>
      <c r="T3" s="30"/>
      <c r="U3" s="30"/>
      <c r="V3" s="30"/>
      <c r="W3" s="29"/>
    </row>
    <row r="4" spans="1:23" ht="15.75">
      <c r="C4" s="2"/>
      <c r="D4" s="2"/>
      <c r="E4" s="2"/>
      <c r="F4" s="2"/>
      <c r="L4" s="29"/>
      <c r="M4" s="30"/>
      <c r="N4" s="30"/>
      <c r="O4" s="30"/>
      <c r="P4" s="30"/>
      <c r="Q4" s="30"/>
      <c r="R4" s="30"/>
      <c r="S4" s="30"/>
      <c r="T4" s="30"/>
      <c r="U4" s="30"/>
      <c r="V4" s="30"/>
      <c r="W4" s="29"/>
    </row>
    <row r="5" spans="1:23" ht="15.75">
      <c r="A5" s="3"/>
      <c r="B5" s="3"/>
      <c r="C5" s="2"/>
      <c r="D5" s="2"/>
      <c r="E5" s="2"/>
      <c r="F5" s="2"/>
      <c r="G5" s="3"/>
      <c r="H5" s="4"/>
      <c r="I5" s="4"/>
      <c r="J5" s="4"/>
      <c r="K5" s="5"/>
      <c r="L5" s="29"/>
      <c r="M5" s="30"/>
      <c r="N5" s="30"/>
      <c r="O5" s="30"/>
      <c r="P5" s="30"/>
      <c r="Q5" s="30"/>
      <c r="R5" s="30"/>
      <c r="S5" s="30"/>
      <c r="T5" s="30"/>
      <c r="U5" s="30"/>
      <c r="V5" s="30"/>
      <c r="W5" s="29"/>
    </row>
    <row r="6" spans="1:23">
      <c r="H6" s="5"/>
      <c r="I6" s="5"/>
      <c r="J6" s="5"/>
      <c r="K6" s="5"/>
      <c r="L6" s="29"/>
      <c r="M6" s="30"/>
      <c r="N6" s="30"/>
      <c r="O6" s="30"/>
      <c r="P6" s="30"/>
      <c r="Q6" s="30"/>
      <c r="R6" s="30"/>
      <c r="S6" s="30"/>
      <c r="T6" s="30"/>
      <c r="U6" s="30"/>
      <c r="V6" s="30"/>
      <c r="W6" s="29"/>
    </row>
    <row r="7" spans="1:23">
      <c r="H7" s="5"/>
      <c r="I7" s="5"/>
      <c r="J7" s="5"/>
      <c r="K7" s="5"/>
      <c r="L7" s="29"/>
      <c r="M7" s="30"/>
      <c r="N7" s="30"/>
      <c r="O7" s="30"/>
      <c r="P7" s="30"/>
      <c r="Q7" s="30"/>
      <c r="R7" s="30"/>
      <c r="S7" s="30"/>
      <c r="T7" s="30"/>
      <c r="U7" s="30"/>
      <c r="V7" s="30"/>
      <c r="W7" s="29"/>
    </row>
    <row r="8" spans="1:23" ht="15" customHeight="1">
      <c r="A8" s="64" t="s">
        <v>0</v>
      </c>
      <c r="B8" s="64"/>
      <c r="C8" s="58"/>
      <c r="D8" s="58"/>
      <c r="E8" s="58"/>
      <c r="F8" s="58"/>
      <c r="G8" s="58"/>
      <c r="H8" s="58"/>
      <c r="I8" s="58"/>
      <c r="J8" s="58"/>
      <c r="K8" s="58"/>
      <c r="L8" s="29"/>
      <c r="M8" s="30"/>
      <c r="N8" s="30"/>
      <c r="O8" s="30"/>
      <c r="P8" s="30"/>
      <c r="Q8" s="30"/>
      <c r="R8" s="30"/>
      <c r="S8" s="30"/>
      <c r="T8" s="30"/>
      <c r="U8" s="30"/>
      <c r="V8" s="30"/>
      <c r="W8" s="29"/>
    </row>
    <row r="9" spans="1:23" ht="15" customHeight="1">
      <c r="A9" s="58" t="s">
        <v>40</v>
      </c>
      <c r="B9" s="58"/>
      <c r="C9" s="58"/>
      <c r="D9" s="58"/>
      <c r="E9" s="58"/>
      <c r="F9" s="58"/>
      <c r="G9" s="58"/>
      <c r="H9" s="58"/>
      <c r="I9" s="58"/>
      <c r="J9" s="58"/>
      <c r="K9" s="58"/>
      <c r="L9" s="29"/>
      <c r="M9" s="30"/>
      <c r="N9" s="30"/>
      <c r="O9" s="30"/>
      <c r="P9" s="30"/>
      <c r="Q9" s="30"/>
      <c r="R9" s="30"/>
      <c r="S9" s="30"/>
      <c r="T9" s="30"/>
      <c r="U9" s="30"/>
      <c r="V9" s="30"/>
      <c r="W9" s="29"/>
    </row>
    <row r="10" spans="1:23" ht="15" customHeight="1">
      <c r="A10" s="58" t="s">
        <v>1</v>
      </c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29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29"/>
    </row>
    <row r="11" spans="1:23" ht="15" customHeight="1">
      <c r="A11" s="58" t="s">
        <v>39</v>
      </c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29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29"/>
    </row>
    <row r="12" spans="1:23" ht="15" customHeight="1">
      <c r="A12" s="58" t="s">
        <v>2</v>
      </c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29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29"/>
    </row>
    <row r="13" spans="1:23">
      <c r="A13" s="6"/>
      <c r="B13" s="6"/>
      <c r="C13" s="7"/>
      <c r="D13" s="7"/>
      <c r="E13" s="7"/>
      <c r="F13" s="7"/>
      <c r="G13" s="8"/>
      <c r="H13" s="9"/>
      <c r="I13" s="9"/>
      <c r="J13" s="9"/>
      <c r="K13" s="9"/>
      <c r="L13" s="29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29"/>
    </row>
    <row r="14" spans="1:23">
      <c r="A14" s="53" t="s">
        <v>3</v>
      </c>
      <c r="B14" s="10"/>
      <c r="C14" s="10"/>
      <c r="D14" s="54" t="s">
        <v>4</v>
      </c>
      <c r="E14" s="10" t="s">
        <v>5</v>
      </c>
      <c r="F14" s="11"/>
      <c r="G14" s="10"/>
      <c r="H14" s="12"/>
      <c r="I14" s="12"/>
      <c r="J14" s="12"/>
      <c r="K14" s="9"/>
      <c r="L14" s="29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29"/>
    </row>
    <row r="15" spans="1:23">
      <c r="A15" s="53" t="s">
        <v>6</v>
      </c>
      <c r="B15" s="10"/>
      <c r="C15" s="10"/>
      <c r="D15" s="54" t="s">
        <v>4</v>
      </c>
      <c r="E15" s="10" t="s">
        <v>7</v>
      </c>
      <c r="F15" s="11"/>
      <c r="G15" s="10"/>
      <c r="H15" s="12"/>
      <c r="I15" s="12"/>
      <c r="J15" s="12"/>
      <c r="K15" s="9"/>
      <c r="L15" s="29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29"/>
    </row>
    <row r="16" spans="1:23">
      <c r="A16" s="53" t="s">
        <v>8</v>
      </c>
      <c r="B16" s="10"/>
      <c r="C16" s="10"/>
      <c r="D16" s="54" t="s">
        <v>4</v>
      </c>
      <c r="E16" s="13">
        <v>2026</v>
      </c>
      <c r="F16" s="11"/>
      <c r="G16" s="13"/>
      <c r="H16" s="12"/>
      <c r="I16" s="12"/>
      <c r="J16" s="12"/>
      <c r="K16" s="9"/>
      <c r="L16" s="29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29"/>
    </row>
    <row r="17" spans="1:23">
      <c r="A17" s="53" t="s">
        <v>9</v>
      </c>
      <c r="B17" s="10"/>
      <c r="C17" s="10"/>
      <c r="D17" s="54" t="s">
        <v>4</v>
      </c>
      <c r="E17" s="14">
        <f>J27</f>
        <v>2000000</v>
      </c>
      <c r="F17" s="11"/>
      <c r="G17" s="14"/>
      <c r="H17" s="12"/>
      <c r="I17" s="12"/>
      <c r="J17" s="12"/>
      <c r="K17" s="9"/>
      <c r="L17" s="29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29"/>
    </row>
    <row r="18" spans="1:23" ht="15.75">
      <c r="A18" s="10"/>
      <c r="B18" s="10"/>
      <c r="C18" s="15" t="s">
        <v>10</v>
      </c>
      <c r="D18" s="54" t="s">
        <v>4</v>
      </c>
      <c r="E18" s="16" t="str">
        <f>PROPER(IF(E17=0,"nol",IF(E17&lt;0,"minus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17),"000000000000000"),1,3)=0,"",MID(TEXT(ABS(E17),"000000000000000"),1,1)&amp;" ratus "&amp;MID(TEXT(ABS(E17),"000000000000000"),2,1)&amp;" puluh "&amp;MID(TEXT(ABS(E17),"000000000000000"),3,1)&amp;" trilyun ")&amp;IF(--MID(TEXT(ABS(E17),"000000000000000"),4,3)=0,"",MID(TEXT(ABS(E17),"000000000000000"),4,1)&amp;" ratus "&amp;MID(TEXT(ABS(E17),"000000000000000"),5,1)&amp;" puluh "&amp;MID(TEXT(ABS(E17),"000000000000000"),6,1)&amp;" milyar ")&amp;IF(--MID(TEXT(ABS(E17),"000000000000000"),7,3)=0,"",MID(TEXT(ABS(E17),"000000000000000"),7,1)&amp;" ratus "&amp;MID(TEXT(ABS(E17),"000000000000000"),8,1)&amp;" puluh "&amp;MID(TEXT(ABS(E17),"000000000000000"),9,1)&amp;" juta ")&amp;IF(--MID(TEXT(ABS(E17),"000000000000000"),10,3)=0,"",IF(--MID(TEXT(ABS(E17),"000000000000000"),10,3)=1,"*",MID(TEXT(ABS(E17),"000000000000000"),10,1)&amp;" ratus "&amp;MID(TEXT(ABS(E17),"000000000000000"),11,1)&amp;" puluh ")&amp;MID(TEXT(ABS(E17),"000000000000000"),12,1)&amp;" ribu ")&amp;IF(--MID(TEXT(ABS(E17),"000000000000000"),13,3)=0,"",MID(TEXT(ABS(E17),"000000000000000"),13,1)&amp;" ratus "&amp;MID(TEXT(ABS(E17),"000000000000000"),14,1)&amp;" puluh "&amp;MID(TEXT(ABS(E17),"000000000000000"),15,1)),1,"satu"),2,"dua"),3,"tiga"),4,"empat"),5,"lima"),6,"enam"),7,"tujuh"),8,"delapan"),9,"sembilan"),"0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Dua Juta Rupiah</v>
      </c>
      <c r="F18" s="11"/>
      <c r="G18" s="16"/>
      <c r="H18" s="12"/>
      <c r="I18" s="12"/>
      <c r="J18" s="12"/>
      <c r="K18" s="9"/>
      <c r="L18" s="29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29"/>
    </row>
    <row r="19" spans="1:23" ht="15.75">
      <c r="A19" s="10"/>
      <c r="B19" s="10"/>
      <c r="C19" s="15"/>
      <c r="D19" s="15"/>
      <c r="E19" s="15"/>
      <c r="F19" s="11"/>
      <c r="G19" s="16"/>
      <c r="H19" s="12"/>
      <c r="I19" s="12"/>
      <c r="J19" s="12"/>
      <c r="K19" s="9"/>
      <c r="L19" s="29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29"/>
    </row>
    <row r="20" spans="1:23">
      <c r="A20" s="10" t="s">
        <v>11</v>
      </c>
      <c r="B20" s="10"/>
      <c r="C20" s="10"/>
      <c r="D20" s="10"/>
      <c r="E20" s="10"/>
      <c r="F20" s="10"/>
      <c r="G20" s="10"/>
      <c r="H20" s="12"/>
      <c r="I20" s="12"/>
      <c r="J20" s="12"/>
      <c r="K20" s="9"/>
      <c r="L20" s="29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29"/>
    </row>
    <row r="21" spans="1:23">
      <c r="A21" s="59" t="s">
        <v>12</v>
      </c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29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29"/>
    </row>
    <row r="22" spans="1:23" ht="61.5" customHeight="1">
      <c r="A22" s="17" t="s">
        <v>13</v>
      </c>
      <c r="B22" s="18" t="s">
        <v>14</v>
      </c>
      <c r="C22" s="60" t="s">
        <v>15</v>
      </c>
      <c r="D22" s="61"/>
      <c r="E22" s="62"/>
      <c r="F22" s="19"/>
      <c r="G22" s="20" t="s">
        <v>16</v>
      </c>
      <c r="H22" s="21" t="s">
        <v>37</v>
      </c>
      <c r="I22" s="21"/>
      <c r="J22" s="31" t="s">
        <v>17</v>
      </c>
      <c r="K22" s="32" t="s">
        <v>18</v>
      </c>
      <c r="L22" s="29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29"/>
    </row>
    <row r="23" spans="1:23">
      <c r="A23" s="27">
        <v>1</v>
      </c>
      <c r="B23" s="24"/>
      <c r="C23" s="28" t="s">
        <v>23</v>
      </c>
      <c r="D23" s="57"/>
      <c r="E23" s="26"/>
      <c r="F23" s="25"/>
      <c r="G23" s="55" t="s">
        <v>19</v>
      </c>
      <c r="H23" s="55" t="s">
        <v>19</v>
      </c>
      <c r="I23" s="55"/>
      <c r="J23" s="55" t="s">
        <v>19</v>
      </c>
      <c r="K23" s="55" t="s">
        <v>19</v>
      </c>
      <c r="L23" s="29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29"/>
    </row>
    <row r="24" spans="1:23">
      <c r="A24" s="24"/>
      <c r="B24" s="56" t="s">
        <v>20</v>
      </c>
      <c r="C24" s="25" t="s">
        <v>24</v>
      </c>
      <c r="D24" s="10"/>
      <c r="E24" s="26"/>
      <c r="F24" s="25"/>
      <c r="G24" s="22">
        <v>75000000</v>
      </c>
      <c r="H24" s="23">
        <v>0</v>
      </c>
      <c r="I24" s="23"/>
      <c r="J24" s="33">
        <v>2000000</v>
      </c>
      <c r="K24" s="34">
        <f t="shared" ref="K24:K26" si="0">G24-H24-J24</f>
        <v>73000000</v>
      </c>
      <c r="L24" s="29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29"/>
    </row>
    <row r="25" spans="1:23">
      <c r="A25" s="24"/>
      <c r="B25" s="56" t="s">
        <v>21</v>
      </c>
      <c r="C25" s="25" t="s">
        <v>25</v>
      </c>
      <c r="D25" s="10"/>
      <c r="E25" s="26"/>
      <c r="F25" s="25"/>
      <c r="G25" s="22">
        <v>30000000</v>
      </c>
      <c r="H25" s="23">
        <v>0</v>
      </c>
      <c r="I25" s="23"/>
      <c r="J25" s="33">
        <v>0</v>
      </c>
      <c r="K25" s="34">
        <f t="shared" si="0"/>
        <v>30000000</v>
      </c>
      <c r="L25" s="29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29"/>
    </row>
    <row r="26" spans="1:23">
      <c r="A26" s="24"/>
      <c r="B26" s="56" t="s">
        <v>22</v>
      </c>
      <c r="C26" s="25" t="s">
        <v>26</v>
      </c>
      <c r="D26" s="10"/>
      <c r="E26" s="26"/>
      <c r="F26" s="25"/>
      <c r="G26" s="22">
        <v>50000000</v>
      </c>
      <c r="H26" s="23">
        <v>0</v>
      </c>
      <c r="I26" s="23"/>
      <c r="J26" s="33">
        <v>0</v>
      </c>
      <c r="K26" s="34">
        <f t="shared" si="0"/>
        <v>50000000</v>
      </c>
      <c r="L26" s="29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29"/>
    </row>
    <row r="27" spans="1:23">
      <c r="A27" s="35"/>
      <c r="B27" s="35"/>
      <c r="C27" s="35" t="s">
        <v>27</v>
      </c>
      <c r="D27" s="35"/>
      <c r="E27" s="35"/>
      <c r="F27" s="36"/>
      <c r="G27" s="37">
        <f>SUM(G23:G26)</f>
        <v>155000000</v>
      </c>
      <c r="H27" s="38">
        <f>SUM(H23:H26)</f>
        <v>0</v>
      </c>
      <c r="I27" s="38"/>
      <c r="J27" s="38">
        <f>SUM(J23:J26)</f>
        <v>2000000</v>
      </c>
      <c r="K27" s="38">
        <f>SUM(K23:K26)</f>
        <v>153000000</v>
      </c>
      <c r="L27" s="29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29"/>
    </row>
    <row r="28" spans="1:23">
      <c r="A28" s="39"/>
      <c r="B28" s="8"/>
      <c r="C28" s="8"/>
      <c r="D28" s="8"/>
      <c r="E28" s="8"/>
      <c r="F28" s="8"/>
      <c r="G28" s="40"/>
      <c r="H28" s="40"/>
      <c r="I28" s="40"/>
      <c r="J28" s="40"/>
      <c r="K28" s="40"/>
      <c r="L28" s="29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29"/>
    </row>
    <row r="29" spans="1:23">
      <c r="A29" s="63" t="s">
        <v>28</v>
      </c>
      <c r="B29" s="63"/>
      <c r="C29" s="63"/>
      <c r="D29" s="11" t="s">
        <v>4</v>
      </c>
      <c r="E29" s="14">
        <f>J27</f>
        <v>2000000</v>
      </c>
      <c r="F29" s="41"/>
      <c r="G29" s="42"/>
      <c r="H29" s="42"/>
      <c r="I29" s="42"/>
      <c r="J29" s="9"/>
      <c r="K29" s="9"/>
      <c r="L29" s="29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29"/>
    </row>
    <row r="30" spans="1:23">
      <c r="A30" s="10" t="s">
        <v>29</v>
      </c>
      <c r="B30" s="10"/>
      <c r="C30" s="10"/>
      <c r="D30" s="11" t="s">
        <v>4</v>
      </c>
      <c r="E30" s="43"/>
      <c r="F30" s="43"/>
      <c r="G30" s="44"/>
      <c r="H30" s="12"/>
      <c r="I30" s="12"/>
      <c r="J30" s="9"/>
      <c r="K30" s="9"/>
      <c r="L30" s="29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29"/>
    </row>
    <row r="31" spans="1:23">
      <c r="A31" s="10" t="s">
        <v>30</v>
      </c>
      <c r="B31" s="10"/>
      <c r="C31" s="10"/>
      <c r="D31" s="11" t="s">
        <v>4</v>
      </c>
      <c r="E31" s="45"/>
      <c r="F31" s="45"/>
      <c r="G31" s="44"/>
      <c r="H31" s="12"/>
      <c r="I31" s="12"/>
      <c r="J31" s="9"/>
      <c r="K31" s="9"/>
      <c r="L31" s="29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29"/>
    </row>
    <row r="32" spans="1:23">
      <c r="A32" s="10" t="s">
        <v>31</v>
      </c>
      <c r="B32" s="10"/>
      <c r="C32" s="10"/>
      <c r="D32" s="11" t="s">
        <v>4</v>
      </c>
      <c r="E32" s="45">
        <f>E30+E31</f>
        <v>0</v>
      </c>
      <c r="F32" s="45"/>
      <c r="G32" s="10"/>
      <c r="H32" s="12"/>
      <c r="I32" s="12"/>
      <c r="J32" s="47"/>
      <c r="K32" s="47"/>
      <c r="L32" s="29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29"/>
    </row>
    <row r="33" spans="1:23">
      <c r="A33" s="13"/>
      <c r="B33" s="13"/>
      <c r="C33" s="13"/>
      <c r="D33" s="11"/>
      <c r="E33" s="13"/>
      <c r="F33" s="13"/>
      <c r="G33" s="10"/>
      <c r="H33" s="12"/>
      <c r="I33" s="12"/>
      <c r="J33" s="47"/>
      <c r="K33" s="47"/>
      <c r="L33" s="29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29"/>
    </row>
    <row r="34" spans="1:23">
      <c r="A34" s="63" t="s">
        <v>32</v>
      </c>
      <c r="B34" s="63"/>
      <c r="C34" s="63"/>
      <c r="D34" s="11" t="s">
        <v>4</v>
      </c>
      <c r="E34" s="41">
        <f>E29-E32</f>
        <v>2000000</v>
      </c>
      <c r="F34" s="41"/>
      <c r="G34" s="10"/>
      <c r="H34" s="12"/>
      <c r="I34" s="12"/>
      <c r="J34" s="47"/>
      <c r="K34" s="47"/>
      <c r="L34" s="29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29"/>
    </row>
    <row r="35" spans="1:23" ht="15.75">
      <c r="A35" s="13"/>
      <c r="B35" s="13"/>
      <c r="C35" s="10"/>
      <c r="D35" s="10"/>
      <c r="E35" s="16" t="str">
        <f>PROPER(IF(E34=0,"nol",IF(E34&lt;0,"minus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34),"000000000000000"),1,3)=0,"",MID(TEXT(ABS(E34),"000000000000000"),1,1)&amp;" ratus "&amp;MID(TEXT(ABS(E34),"000000000000000"),2,1)&amp;" puluh "&amp;MID(TEXT(ABS(E34),"000000000000000"),3,1)&amp;" trilyun ")&amp;IF(--MID(TEXT(ABS(E34),"000000000000000"),4,3)=0,"",MID(TEXT(ABS(E34),"000000000000000"),4,1)&amp;" ratus "&amp;MID(TEXT(ABS(E34),"000000000000000"),5,1)&amp;" puluh "&amp;MID(TEXT(ABS(E34),"000000000000000"),6,1)&amp;" milyar ")&amp;IF(--MID(TEXT(ABS(E34),"000000000000000"),7,3)=0,"",MID(TEXT(ABS(E34),"000000000000000"),7,1)&amp;" ratus "&amp;MID(TEXT(ABS(E34),"000000000000000"),8,1)&amp;" puluh "&amp;MID(TEXT(ABS(E34),"000000000000000"),9,1)&amp;" juta ")&amp;IF(--MID(TEXT(ABS(E34),"000000000000000"),10,3)=0,"",IF(--MID(TEXT(ABS(E34),"000000000000000"),10,3)=1,"*",MID(TEXT(ABS(E34),"000000000000000"),10,1)&amp;" ratus "&amp;MID(TEXT(ABS(E34),"000000000000000"),11,1)&amp;" puluh ")&amp;MID(TEXT(ABS(E34),"000000000000000"),12,1)&amp;" ribu ")&amp;IF(--MID(TEXT(ABS(E34),"000000000000000"),13,3)=0,"",MID(TEXT(ABS(E34),"000000000000000"),13,1)&amp;" ratus "&amp;MID(TEXT(ABS(E34),"000000000000000"),14,1)&amp;" puluh "&amp;MID(TEXT(ABS(E34),"000000000000000"),15,1)),1,"satu"),2,"dua"),3,"tiga"),4,"empat"),5,"lima"),6,"enam"),7,"tujuh"),8,"delapan"),9,"sembilan"),"0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Dua Juta Rupiah</v>
      </c>
      <c r="F35" s="10"/>
      <c r="G35" s="10"/>
      <c r="H35" s="10"/>
      <c r="I35" s="10"/>
      <c r="J35" s="47"/>
      <c r="K35" s="47"/>
      <c r="L35" s="29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29"/>
    </row>
    <row r="36" spans="1:23">
      <c r="A36" s="46"/>
      <c r="B36" s="46"/>
      <c r="C36" s="46"/>
      <c r="D36" s="46"/>
      <c r="E36" s="46"/>
      <c r="F36" s="46"/>
      <c r="G36" s="29"/>
      <c r="H36" s="47"/>
      <c r="I36" s="47"/>
      <c r="J36" s="47"/>
      <c r="K36" s="47"/>
      <c r="L36" s="29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29"/>
    </row>
    <row r="37" spans="1:23">
      <c r="A37" s="29"/>
      <c r="B37" s="29"/>
      <c r="C37" s="29"/>
      <c r="D37" s="29"/>
      <c r="E37" s="29"/>
      <c r="F37" s="29"/>
      <c r="G37" s="29"/>
      <c r="H37"/>
      <c r="I37"/>
      <c r="J37" s="47"/>
      <c r="K37" s="47"/>
      <c r="L37" s="29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29"/>
    </row>
    <row r="38" spans="1:23">
      <c r="A38" s="13"/>
      <c r="B38" s="13"/>
      <c r="C38" s="10"/>
      <c r="D38" s="10"/>
      <c r="E38" s="10"/>
      <c r="F38" s="10"/>
      <c r="G38" s="10"/>
      <c r="I38" s="48"/>
      <c r="J38" s="48" t="s">
        <v>41</v>
      </c>
      <c r="K38" s="47"/>
      <c r="L38" s="29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29"/>
    </row>
    <row r="39" spans="1:23">
      <c r="A39" s="12" t="s">
        <v>33</v>
      </c>
      <c r="B39" s="10"/>
      <c r="C39" s="10"/>
      <c r="D39" s="10"/>
      <c r="E39" s="10"/>
      <c r="F39" s="10"/>
      <c r="G39" s="10"/>
      <c r="I39" s="12"/>
      <c r="J39" s="12" t="s">
        <v>34</v>
      </c>
      <c r="K39" s="47"/>
      <c r="L39" s="29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29"/>
    </row>
    <row r="40" spans="1:23">
      <c r="A40" s="10"/>
      <c r="B40" s="10"/>
      <c r="C40" s="10"/>
      <c r="D40" s="10"/>
      <c r="E40" s="10"/>
      <c r="F40" s="10"/>
      <c r="G40" s="10"/>
      <c r="I40" s="12"/>
      <c r="J40" s="12"/>
      <c r="K40" s="47"/>
      <c r="L40" s="29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29"/>
    </row>
    <row r="41" spans="1:23">
      <c r="A41" s="10"/>
      <c r="B41" s="10"/>
      <c r="C41" s="10"/>
      <c r="D41" s="10"/>
      <c r="E41" s="10"/>
      <c r="F41" s="10"/>
      <c r="G41" s="10"/>
      <c r="I41" s="12"/>
      <c r="J41" s="12"/>
      <c r="K41" s="47"/>
      <c r="L41" s="29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29"/>
    </row>
    <row r="42" spans="1:23">
      <c r="A42" s="10"/>
      <c r="B42" s="10"/>
      <c r="C42" s="10"/>
      <c r="D42" s="10"/>
      <c r="E42" s="10"/>
      <c r="F42" s="10"/>
      <c r="G42" s="10"/>
      <c r="I42" s="12"/>
      <c r="J42" s="12"/>
      <c r="K42" s="47"/>
      <c r="L42" s="29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29"/>
    </row>
    <row r="43" spans="1:23">
      <c r="A43" s="10"/>
      <c r="B43" s="10"/>
      <c r="C43" s="10"/>
      <c r="D43" s="10"/>
      <c r="E43" s="10"/>
      <c r="F43" s="10"/>
      <c r="G43" s="10"/>
      <c r="I43" s="12"/>
      <c r="J43" s="12"/>
      <c r="K43" s="47"/>
      <c r="L43" s="29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29"/>
    </row>
    <row r="44" spans="1:23">
      <c r="A44" s="49" t="s">
        <v>38</v>
      </c>
      <c r="B44" s="49"/>
      <c r="C44" s="50"/>
      <c r="D44" s="50"/>
      <c r="E44" s="50"/>
      <c r="F44" s="50"/>
      <c r="G44" s="10" t="s">
        <v>35</v>
      </c>
      <c r="I44" s="49"/>
      <c r="J44" s="49" t="s">
        <v>36</v>
      </c>
      <c r="K44" s="47"/>
      <c r="L44" s="29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29"/>
    </row>
    <row r="45" spans="1:23">
      <c r="A45" s="51"/>
      <c r="B45" s="51"/>
      <c r="C45" s="52"/>
      <c r="D45" s="52"/>
      <c r="E45" s="52"/>
      <c r="F45" s="52"/>
      <c r="G45" s="52"/>
      <c r="H45" s="51"/>
      <c r="I45" s="51"/>
      <c r="J45" s="51"/>
      <c r="K45" s="47"/>
      <c r="L45" s="29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29"/>
    </row>
    <row r="49" spans="1:11" ht="15.75">
      <c r="C49" s="2"/>
      <c r="D49" s="2"/>
      <c r="E49" s="2"/>
      <c r="F49" s="2"/>
    </row>
    <row r="50" spans="1:11" ht="15.75">
      <c r="A50" s="3"/>
      <c r="B50" s="3"/>
      <c r="C50" s="2"/>
      <c r="D50" s="2"/>
      <c r="E50" s="2"/>
      <c r="F50" s="2"/>
      <c r="G50" s="3"/>
      <c r="H50" s="4"/>
      <c r="I50" s="4"/>
      <c r="J50" s="4"/>
      <c r="K50" s="5"/>
    </row>
    <row r="51" spans="1:11">
      <c r="H51" s="5"/>
      <c r="I51" s="5"/>
      <c r="J51" s="5"/>
      <c r="K51" s="5"/>
    </row>
    <row r="52" spans="1:11">
      <c r="H52" s="5"/>
      <c r="I52" s="5"/>
      <c r="J52" s="5"/>
      <c r="K52" s="5"/>
    </row>
    <row r="53" spans="1:11">
      <c r="A53" s="64" t="s">
        <v>0</v>
      </c>
      <c r="B53" s="64"/>
      <c r="C53" s="58"/>
      <c r="D53" s="58"/>
      <c r="E53" s="58"/>
      <c r="F53" s="58"/>
      <c r="G53" s="58"/>
      <c r="H53" s="58"/>
      <c r="I53" s="58"/>
      <c r="J53" s="58"/>
      <c r="K53" s="58"/>
    </row>
    <row r="54" spans="1:11">
      <c r="A54" s="58" t="s">
        <v>42</v>
      </c>
      <c r="B54" s="58"/>
      <c r="C54" s="58"/>
      <c r="D54" s="58"/>
      <c r="E54" s="58"/>
      <c r="F54" s="58"/>
      <c r="G54" s="58"/>
      <c r="H54" s="58"/>
      <c r="I54" s="58"/>
      <c r="J54" s="58"/>
      <c r="K54" s="58"/>
    </row>
    <row r="55" spans="1:11">
      <c r="A55" s="58" t="s">
        <v>1</v>
      </c>
      <c r="B55" s="58"/>
      <c r="C55" s="58"/>
      <c r="D55" s="58"/>
      <c r="E55" s="58"/>
      <c r="F55" s="58"/>
      <c r="G55" s="58"/>
      <c r="H55" s="58"/>
      <c r="I55" s="58"/>
      <c r="J55" s="58"/>
      <c r="K55" s="58"/>
    </row>
    <row r="56" spans="1:11">
      <c r="A56" s="58" t="s">
        <v>39</v>
      </c>
      <c r="B56" s="58"/>
      <c r="C56" s="58"/>
      <c r="D56" s="58"/>
      <c r="E56" s="58"/>
      <c r="F56" s="58"/>
      <c r="G56" s="58"/>
      <c r="H56" s="58"/>
      <c r="I56" s="58"/>
      <c r="J56" s="58"/>
      <c r="K56" s="58"/>
    </row>
    <row r="57" spans="1:11">
      <c r="A57" s="58" t="s">
        <v>2</v>
      </c>
      <c r="B57" s="58"/>
      <c r="C57" s="58"/>
      <c r="D57" s="58"/>
      <c r="E57" s="58"/>
      <c r="F57" s="58"/>
      <c r="G57" s="58"/>
      <c r="H57" s="58"/>
      <c r="I57" s="58"/>
      <c r="J57" s="58"/>
      <c r="K57" s="58"/>
    </row>
    <row r="58" spans="1:11">
      <c r="A58" s="6"/>
      <c r="B58" s="6"/>
      <c r="C58" s="7"/>
      <c r="D58" s="7"/>
      <c r="E58" s="7"/>
      <c r="F58" s="7"/>
      <c r="G58" s="8"/>
      <c r="H58" s="9"/>
      <c r="I58" s="9"/>
      <c r="J58" s="9"/>
      <c r="K58" s="9"/>
    </row>
    <row r="59" spans="1:11">
      <c r="A59" s="53" t="s">
        <v>3</v>
      </c>
      <c r="B59" s="10"/>
      <c r="C59" s="10"/>
      <c r="D59" s="54" t="s">
        <v>4</v>
      </c>
      <c r="E59" s="10" t="s">
        <v>5</v>
      </c>
      <c r="F59" s="11"/>
      <c r="G59" s="10"/>
      <c r="H59" s="12"/>
      <c r="I59" s="12"/>
      <c r="J59" s="12"/>
      <c r="K59" s="9"/>
    </row>
    <row r="60" spans="1:11">
      <c r="A60" s="53" t="s">
        <v>6</v>
      </c>
      <c r="B60" s="10"/>
      <c r="C60" s="10"/>
      <c r="D60" s="54" t="s">
        <v>4</v>
      </c>
      <c r="E60" s="10" t="s">
        <v>7</v>
      </c>
      <c r="F60" s="11"/>
      <c r="G60" s="10"/>
      <c r="H60" s="12"/>
      <c r="I60" s="12"/>
      <c r="J60" s="12"/>
      <c r="K60" s="9"/>
    </row>
    <row r="61" spans="1:11">
      <c r="A61" s="53" t="s">
        <v>8</v>
      </c>
      <c r="B61" s="10"/>
      <c r="C61" s="10"/>
      <c r="D61" s="54" t="s">
        <v>4</v>
      </c>
      <c r="E61" s="13">
        <v>2026</v>
      </c>
      <c r="F61" s="11"/>
      <c r="G61" s="13"/>
      <c r="H61" s="12"/>
      <c r="I61" s="12"/>
      <c r="J61" s="12"/>
      <c r="K61" s="9"/>
    </row>
    <row r="62" spans="1:11">
      <c r="A62" s="53" t="s">
        <v>9</v>
      </c>
      <c r="B62" s="10"/>
      <c r="C62" s="10"/>
      <c r="D62" s="54" t="s">
        <v>4</v>
      </c>
      <c r="E62" s="14">
        <f>J72</f>
        <v>100000</v>
      </c>
      <c r="F62" s="11"/>
      <c r="G62" s="14"/>
      <c r="H62" s="12"/>
      <c r="I62" s="12"/>
      <c r="J62" s="12"/>
      <c r="K62" s="9"/>
    </row>
    <row r="63" spans="1:11" ht="15.75">
      <c r="A63" s="10"/>
      <c r="B63" s="10"/>
      <c r="C63" s="15" t="s">
        <v>10</v>
      </c>
      <c r="D63" s="54" t="s">
        <v>4</v>
      </c>
      <c r="E63" s="16" t="str">
        <f>PROPER(IF(E62=0,"nol",IF(E62&lt;0,"minus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62),"000000000000000"),1,3)=0,"",MID(TEXT(ABS(E62),"000000000000000"),1,1)&amp;" ratus "&amp;MID(TEXT(ABS(E62),"000000000000000"),2,1)&amp;" puluh "&amp;MID(TEXT(ABS(E62),"000000000000000"),3,1)&amp;" trilyun ")&amp;IF(--MID(TEXT(ABS(E62),"000000000000000"),4,3)=0,"",MID(TEXT(ABS(E62),"000000000000000"),4,1)&amp;" ratus "&amp;MID(TEXT(ABS(E62),"000000000000000"),5,1)&amp;" puluh "&amp;MID(TEXT(ABS(E62),"000000000000000"),6,1)&amp;" milyar ")&amp;IF(--MID(TEXT(ABS(E62),"000000000000000"),7,3)=0,"",MID(TEXT(ABS(E62),"000000000000000"),7,1)&amp;" ratus "&amp;MID(TEXT(ABS(E62),"000000000000000"),8,1)&amp;" puluh "&amp;MID(TEXT(ABS(E62),"000000000000000"),9,1)&amp;" juta ")&amp;IF(--MID(TEXT(ABS(E62),"000000000000000"),10,3)=0,"",IF(--MID(TEXT(ABS(E62),"000000000000000"),10,3)=1,"*",MID(TEXT(ABS(E62),"000000000000000"),10,1)&amp;" ratus "&amp;MID(TEXT(ABS(E62),"000000000000000"),11,1)&amp;" puluh ")&amp;MID(TEXT(ABS(E62),"000000000000000"),12,1)&amp;" ribu ")&amp;IF(--MID(TEXT(ABS(E62),"000000000000000"),13,3)=0,"",MID(TEXT(ABS(E62),"000000000000000"),13,1)&amp;" ratus "&amp;MID(TEXT(ABS(E62),"000000000000000"),14,1)&amp;" puluh "&amp;MID(TEXT(ABS(E62),"000000000000000"),15,1)),1,"satu"),2,"dua"),3,"tiga"),4,"empat"),5,"lima"),6,"enam"),7,"tujuh"),8,"delapan"),9,"sembilan"),"0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Seratus Ribu Rupiah</v>
      </c>
      <c r="F63" s="11"/>
      <c r="G63" s="16"/>
      <c r="H63" s="12"/>
      <c r="I63" s="12"/>
      <c r="J63" s="12"/>
      <c r="K63" s="9"/>
    </row>
    <row r="64" spans="1:11" ht="15.75">
      <c r="A64" s="10"/>
      <c r="B64" s="10"/>
      <c r="C64" s="15"/>
      <c r="D64" s="15"/>
      <c r="E64" s="15"/>
      <c r="F64" s="11"/>
      <c r="G64" s="16"/>
      <c r="H64" s="12"/>
      <c r="I64" s="12"/>
      <c r="J64" s="12"/>
      <c r="K64" s="9"/>
    </row>
    <row r="65" spans="1:11">
      <c r="A65" s="10" t="s">
        <v>11</v>
      </c>
      <c r="B65" s="10"/>
      <c r="C65" s="10"/>
      <c r="D65" s="10"/>
      <c r="E65" s="10"/>
      <c r="F65" s="10"/>
      <c r="G65" s="10"/>
      <c r="H65" s="12"/>
      <c r="I65" s="12"/>
      <c r="J65" s="12"/>
      <c r="K65" s="9"/>
    </row>
    <row r="66" spans="1:11">
      <c r="A66" s="59" t="s">
        <v>12</v>
      </c>
      <c r="B66" s="59"/>
      <c r="C66" s="59"/>
      <c r="D66" s="59"/>
      <c r="E66" s="59"/>
      <c r="F66" s="59"/>
      <c r="G66" s="59"/>
      <c r="H66" s="59"/>
      <c r="I66" s="59"/>
      <c r="J66" s="59"/>
      <c r="K66" s="59"/>
    </row>
    <row r="67" spans="1:11" ht="60">
      <c r="A67" s="17" t="s">
        <v>13</v>
      </c>
      <c r="B67" s="18" t="s">
        <v>14</v>
      </c>
      <c r="C67" s="60" t="s">
        <v>15</v>
      </c>
      <c r="D67" s="61"/>
      <c r="E67" s="62"/>
      <c r="F67" s="19"/>
      <c r="G67" s="20" t="s">
        <v>16</v>
      </c>
      <c r="H67" s="21" t="s">
        <v>37</v>
      </c>
      <c r="I67" s="21"/>
      <c r="J67" s="31" t="s">
        <v>17</v>
      </c>
      <c r="K67" s="32" t="s">
        <v>18</v>
      </c>
    </row>
    <row r="68" spans="1:11">
      <c r="A68" s="27">
        <v>1</v>
      </c>
      <c r="B68" s="24"/>
      <c r="C68" s="28" t="s">
        <v>23</v>
      </c>
      <c r="D68" s="57"/>
      <c r="E68" s="26"/>
      <c r="F68" s="25"/>
      <c r="G68" s="55" t="s">
        <v>19</v>
      </c>
      <c r="H68" s="55" t="s">
        <v>19</v>
      </c>
      <c r="I68" s="55"/>
      <c r="J68" s="55" t="s">
        <v>19</v>
      </c>
      <c r="K68" s="55" t="s">
        <v>19</v>
      </c>
    </row>
    <row r="69" spans="1:11">
      <c r="A69" s="24"/>
      <c r="B69" s="56" t="s">
        <v>20</v>
      </c>
      <c r="C69" s="25" t="s">
        <v>24</v>
      </c>
      <c r="D69" s="10"/>
      <c r="E69" s="26"/>
      <c r="F69" s="25"/>
      <c r="G69" s="22">
        <v>75000000</v>
      </c>
      <c r="H69" s="23">
        <f>J24</f>
        <v>2000000</v>
      </c>
      <c r="I69" s="23"/>
      <c r="J69" s="33">
        <v>100000</v>
      </c>
      <c r="K69" s="34">
        <f>G69-H69-J69</f>
        <v>72900000</v>
      </c>
    </row>
    <row r="70" spans="1:11">
      <c r="A70" s="24"/>
      <c r="B70" s="56" t="s">
        <v>21</v>
      </c>
      <c r="C70" s="25" t="s">
        <v>25</v>
      </c>
      <c r="D70" s="10"/>
      <c r="E70" s="26"/>
      <c r="F70" s="25"/>
      <c r="G70" s="22">
        <v>30000000</v>
      </c>
      <c r="H70" s="23">
        <v>0</v>
      </c>
      <c r="I70" s="23"/>
      <c r="J70" s="33">
        <v>0</v>
      </c>
      <c r="K70" s="34">
        <f t="shared" ref="K70:K71" si="1">G70-H70-J70</f>
        <v>30000000</v>
      </c>
    </row>
    <row r="71" spans="1:11">
      <c r="A71" s="24"/>
      <c r="B71" s="56" t="s">
        <v>22</v>
      </c>
      <c r="C71" s="25" t="s">
        <v>26</v>
      </c>
      <c r="D71" s="10"/>
      <c r="E71" s="26"/>
      <c r="F71" s="25"/>
      <c r="G71" s="22">
        <v>50000000</v>
      </c>
      <c r="H71" s="23">
        <v>0</v>
      </c>
      <c r="I71" s="23"/>
      <c r="J71" s="33">
        <v>0</v>
      </c>
      <c r="K71" s="34">
        <f t="shared" si="1"/>
        <v>50000000</v>
      </c>
    </row>
    <row r="72" spans="1:11">
      <c r="A72" s="35"/>
      <c r="B72" s="35"/>
      <c r="C72" s="35" t="s">
        <v>27</v>
      </c>
      <c r="D72" s="35"/>
      <c r="E72" s="35"/>
      <c r="F72" s="36"/>
      <c r="G72" s="37">
        <f>SUM(G68:G71)</f>
        <v>155000000</v>
      </c>
      <c r="H72" s="38">
        <f>SUM(H68:H71)</f>
        <v>2000000</v>
      </c>
      <c r="I72" s="38"/>
      <c r="J72" s="38">
        <f>SUM(J68:J71)</f>
        <v>100000</v>
      </c>
      <c r="K72" s="38">
        <f>SUM(K68:K71)</f>
        <v>152900000</v>
      </c>
    </row>
    <row r="73" spans="1:11">
      <c r="A73" s="39"/>
      <c r="B73" s="8"/>
      <c r="C73" s="8"/>
      <c r="D73" s="8"/>
      <c r="E73" s="8"/>
      <c r="F73" s="8"/>
      <c r="G73" s="40"/>
      <c r="H73" s="40"/>
      <c r="I73" s="40"/>
      <c r="J73" s="40"/>
      <c r="K73" s="40"/>
    </row>
    <row r="74" spans="1:11">
      <c r="A74" s="63" t="s">
        <v>28</v>
      </c>
      <c r="B74" s="63"/>
      <c r="C74" s="63"/>
      <c r="D74" s="11" t="s">
        <v>4</v>
      </c>
      <c r="E74" s="14">
        <f>J72</f>
        <v>100000</v>
      </c>
      <c r="F74" s="41"/>
      <c r="G74" s="42"/>
      <c r="H74" s="42"/>
      <c r="I74" s="42"/>
      <c r="J74" s="9"/>
      <c r="K74" s="9"/>
    </row>
    <row r="75" spans="1:11">
      <c r="A75" s="10" t="s">
        <v>29</v>
      </c>
      <c r="B75" s="10"/>
      <c r="C75" s="10"/>
      <c r="D75" s="11" t="s">
        <v>4</v>
      </c>
      <c r="E75" s="43"/>
      <c r="F75" s="43"/>
      <c r="G75" s="44"/>
      <c r="H75" s="12"/>
      <c r="I75" s="12"/>
      <c r="J75" s="9"/>
      <c r="K75" s="9"/>
    </row>
    <row r="76" spans="1:11">
      <c r="A76" s="10" t="s">
        <v>30</v>
      </c>
      <c r="B76" s="10"/>
      <c r="C76" s="10"/>
      <c r="D76" s="11" t="s">
        <v>4</v>
      </c>
      <c r="E76" s="45"/>
      <c r="F76" s="45"/>
      <c r="G76" s="44"/>
      <c r="H76" s="12"/>
      <c r="I76" s="12"/>
      <c r="J76" s="9"/>
      <c r="K76" s="9"/>
    </row>
    <row r="77" spans="1:11">
      <c r="A77" s="10" t="s">
        <v>31</v>
      </c>
      <c r="B77" s="10"/>
      <c r="C77" s="10"/>
      <c r="D77" s="11" t="s">
        <v>4</v>
      </c>
      <c r="E77" s="45">
        <f>E75+E76</f>
        <v>0</v>
      </c>
      <c r="F77" s="45"/>
      <c r="G77" s="10"/>
      <c r="H77" s="12"/>
      <c r="I77" s="12"/>
      <c r="J77" s="47"/>
      <c r="K77" s="47"/>
    </row>
    <row r="78" spans="1:11">
      <c r="A78" s="13"/>
      <c r="B78" s="13"/>
      <c r="C78" s="13"/>
      <c r="D78" s="11"/>
      <c r="E78" s="13"/>
      <c r="F78" s="13"/>
      <c r="G78" s="10"/>
      <c r="H78" s="12"/>
      <c r="I78" s="12"/>
      <c r="J78" s="47"/>
      <c r="K78" s="47"/>
    </row>
    <row r="79" spans="1:11">
      <c r="A79" s="63" t="s">
        <v>32</v>
      </c>
      <c r="B79" s="63"/>
      <c r="C79" s="63"/>
      <c r="D79" s="11" t="s">
        <v>4</v>
      </c>
      <c r="E79" s="41">
        <f>E74-E77</f>
        <v>100000</v>
      </c>
      <c r="F79" s="41"/>
      <c r="G79" s="10"/>
      <c r="H79" s="12"/>
      <c r="I79" s="12"/>
      <c r="J79" s="47"/>
      <c r="K79" s="47"/>
    </row>
    <row r="80" spans="1:11" ht="15.75">
      <c r="A80" s="13"/>
      <c r="B80" s="13"/>
      <c r="C80" s="10"/>
      <c r="D80" s="10"/>
      <c r="E80" s="16" t="str">
        <f>PROPER(IF(E79=0,"nol",IF(E79&lt;0,"minus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79),"000000000000000"),1,3)=0,"",MID(TEXT(ABS(E79),"000000000000000"),1,1)&amp;" ratus "&amp;MID(TEXT(ABS(E79),"000000000000000"),2,1)&amp;" puluh "&amp;MID(TEXT(ABS(E79),"000000000000000"),3,1)&amp;" trilyun ")&amp;IF(--MID(TEXT(ABS(E79),"000000000000000"),4,3)=0,"",MID(TEXT(ABS(E79),"000000000000000"),4,1)&amp;" ratus "&amp;MID(TEXT(ABS(E79),"000000000000000"),5,1)&amp;" puluh "&amp;MID(TEXT(ABS(E79),"000000000000000"),6,1)&amp;" milyar ")&amp;IF(--MID(TEXT(ABS(E79),"000000000000000"),7,3)=0,"",MID(TEXT(ABS(E79),"000000000000000"),7,1)&amp;" ratus "&amp;MID(TEXT(ABS(E79),"000000000000000"),8,1)&amp;" puluh "&amp;MID(TEXT(ABS(E79),"000000000000000"),9,1)&amp;" juta ")&amp;IF(--MID(TEXT(ABS(E79),"000000000000000"),10,3)=0,"",IF(--MID(TEXT(ABS(E79),"000000000000000"),10,3)=1,"*",MID(TEXT(ABS(E79),"000000000000000"),10,1)&amp;" ratus "&amp;MID(TEXT(ABS(E79),"000000000000000"),11,1)&amp;" puluh ")&amp;MID(TEXT(ABS(E79),"000000000000000"),12,1)&amp;" ribu ")&amp;IF(--MID(TEXT(ABS(E79),"000000000000000"),13,3)=0,"",MID(TEXT(ABS(E79),"000000000000000"),13,1)&amp;" ratus "&amp;MID(TEXT(ABS(E79),"000000000000000"),14,1)&amp;" puluh "&amp;MID(TEXT(ABS(E79),"000000000000000"),15,1)),1,"satu"),2,"dua"),3,"tiga"),4,"empat"),5,"lima"),6,"enam"),7,"tujuh"),8,"delapan"),9,"sembilan"),"0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Seratus Ribu Rupiah</v>
      </c>
      <c r="F80" s="10"/>
      <c r="G80" s="10"/>
      <c r="H80" s="10"/>
      <c r="I80" s="10"/>
      <c r="J80" s="47"/>
      <c r="K80" s="47"/>
    </row>
    <row r="81" spans="1:11">
      <c r="A81" s="46"/>
      <c r="B81" s="46"/>
      <c r="C81" s="46"/>
      <c r="D81" s="46"/>
      <c r="E81" s="46"/>
      <c r="F81" s="46"/>
      <c r="G81" s="29"/>
      <c r="H81" s="47"/>
      <c r="I81" s="47"/>
      <c r="J81" s="47"/>
      <c r="K81" s="47"/>
    </row>
    <row r="82" spans="1:11">
      <c r="A82" s="29"/>
      <c r="B82" s="29"/>
      <c r="C82" s="29"/>
      <c r="D82" s="29"/>
      <c r="E82" s="29"/>
      <c r="F82" s="29"/>
      <c r="G82" s="29"/>
      <c r="H82"/>
      <c r="I82"/>
      <c r="J82" s="47"/>
      <c r="K82" s="47"/>
    </row>
    <row r="83" spans="1:11">
      <c r="A83" s="13"/>
      <c r="B83" s="13"/>
      <c r="C83" s="10"/>
      <c r="D83" s="10"/>
      <c r="E83" s="10"/>
      <c r="F83" s="10"/>
      <c r="G83" s="10"/>
      <c r="I83" s="48"/>
      <c r="J83" s="48" t="s">
        <v>43</v>
      </c>
      <c r="K83" s="47"/>
    </row>
    <row r="84" spans="1:11">
      <c r="A84" s="12" t="s">
        <v>33</v>
      </c>
      <c r="B84" s="10"/>
      <c r="C84" s="10"/>
      <c r="D84" s="10"/>
      <c r="E84" s="10"/>
      <c r="F84" s="10"/>
      <c r="G84" s="10"/>
      <c r="I84" s="12"/>
      <c r="J84" s="12" t="s">
        <v>34</v>
      </c>
      <c r="K84" s="47"/>
    </row>
    <row r="85" spans="1:11">
      <c r="A85" s="10"/>
      <c r="B85" s="10"/>
      <c r="C85" s="10"/>
      <c r="D85" s="10"/>
      <c r="E85" s="10"/>
      <c r="F85" s="10"/>
      <c r="G85" s="10"/>
      <c r="I85" s="12"/>
      <c r="J85" s="12"/>
      <c r="K85" s="47"/>
    </row>
    <row r="86" spans="1:11">
      <c r="A86" s="10"/>
      <c r="B86" s="10"/>
      <c r="C86" s="10"/>
      <c r="D86" s="10"/>
      <c r="E86" s="10"/>
      <c r="F86" s="10"/>
      <c r="G86" s="10"/>
      <c r="I86" s="12"/>
      <c r="J86" s="12"/>
      <c r="K86" s="47"/>
    </row>
    <row r="87" spans="1:11">
      <c r="A87" s="10"/>
      <c r="B87" s="10"/>
      <c r="C87" s="10"/>
      <c r="D87" s="10"/>
      <c r="E87" s="10"/>
      <c r="F87" s="10"/>
      <c r="G87" s="10"/>
      <c r="I87" s="12"/>
      <c r="J87" s="12"/>
      <c r="K87" s="47"/>
    </row>
    <row r="88" spans="1:11">
      <c r="A88" s="10"/>
      <c r="B88" s="10"/>
      <c r="C88" s="10"/>
      <c r="D88" s="10"/>
      <c r="E88" s="10"/>
      <c r="F88" s="10"/>
      <c r="G88" s="10"/>
      <c r="I88" s="12"/>
      <c r="J88" s="12"/>
      <c r="K88" s="47"/>
    </row>
    <row r="89" spans="1:11">
      <c r="A89" s="49" t="s">
        <v>38</v>
      </c>
      <c r="B89" s="49"/>
      <c r="C89" s="50"/>
      <c r="D89" s="50"/>
      <c r="E89" s="50"/>
      <c r="F89" s="50"/>
      <c r="G89" s="10" t="s">
        <v>35</v>
      </c>
      <c r="I89" s="49"/>
      <c r="J89" s="49" t="s">
        <v>36</v>
      </c>
      <c r="K89" s="47"/>
    </row>
    <row r="94" spans="1:11" ht="15.75">
      <c r="C94" s="2"/>
      <c r="D94" s="2"/>
      <c r="E94" s="2"/>
      <c r="F94" s="2"/>
    </row>
    <row r="95" spans="1:11" ht="15.75">
      <c r="A95" s="3"/>
      <c r="B95" s="3"/>
      <c r="C95" s="2"/>
      <c r="D95" s="2"/>
      <c r="E95" s="2"/>
      <c r="F95" s="2"/>
      <c r="G95" s="3"/>
      <c r="H95" s="4"/>
      <c r="I95" s="4"/>
      <c r="J95" s="4"/>
      <c r="K95" s="5"/>
    </row>
    <row r="96" spans="1:11">
      <c r="H96" s="5"/>
      <c r="I96" s="5"/>
      <c r="J96" s="5"/>
      <c r="K96" s="5"/>
    </row>
    <row r="97" spans="1:11">
      <c r="H97" s="5"/>
      <c r="I97" s="5"/>
      <c r="J97" s="5"/>
      <c r="K97" s="5"/>
    </row>
    <row r="98" spans="1:11">
      <c r="A98" s="64" t="s">
        <v>0</v>
      </c>
      <c r="B98" s="64"/>
      <c r="C98" s="58"/>
      <c r="D98" s="58"/>
      <c r="E98" s="58"/>
      <c r="F98" s="58"/>
      <c r="G98" s="58"/>
      <c r="H98" s="58"/>
      <c r="I98" s="58"/>
      <c r="J98" s="58"/>
      <c r="K98" s="58"/>
    </row>
    <row r="99" spans="1:11">
      <c r="A99" s="58" t="s">
        <v>44</v>
      </c>
      <c r="B99" s="58"/>
      <c r="C99" s="58"/>
      <c r="D99" s="58"/>
      <c r="E99" s="58"/>
      <c r="F99" s="58"/>
      <c r="G99" s="58"/>
      <c r="H99" s="58"/>
      <c r="I99" s="58"/>
      <c r="J99" s="58"/>
      <c r="K99" s="58"/>
    </row>
    <row r="100" spans="1:11">
      <c r="A100" s="58" t="s">
        <v>1</v>
      </c>
      <c r="B100" s="58"/>
      <c r="C100" s="58"/>
      <c r="D100" s="58"/>
      <c r="E100" s="58"/>
      <c r="F100" s="58"/>
      <c r="G100" s="58"/>
      <c r="H100" s="58"/>
      <c r="I100" s="58"/>
      <c r="J100" s="58"/>
      <c r="K100" s="58"/>
    </row>
    <row r="101" spans="1:11">
      <c r="A101" s="58" t="s">
        <v>39</v>
      </c>
      <c r="B101" s="58"/>
      <c r="C101" s="58"/>
      <c r="D101" s="58"/>
      <c r="E101" s="58"/>
      <c r="F101" s="58"/>
      <c r="G101" s="58"/>
      <c r="H101" s="58"/>
      <c r="I101" s="58"/>
      <c r="J101" s="58"/>
      <c r="K101" s="58"/>
    </row>
    <row r="102" spans="1:11">
      <c r="A102" s="58" t="s">
        <v>2</v>
      </c>
      <c r="B102" s="58"/>
      <c r="C102" s="58"/>
      <c r="D102" s="58"/>
      <c r="E102" s="58"/>
      <c r="F102" s="58"/>
      <c r="G102" s="58"/>
      <c r="H102" s="58"/>
      <c r="I102" s="58"/>
      <c r="J102" s="58"/>
      <c r="K102" s="58"/>
    </row>
    <row r="103" spans="1:11">
      <c r="A103" s="6"/>
      <c r="B103" s="6"/>
      <c r="C103" s="7"/>
      <c r="D103" s="7"/>
      <c r="E103" s="7"/>
      <c r="F103" s="7"/>
      <c r="G103" s="8"/>
      <c r="H103" s="9"/>
      <c r="I103" s="9"/>
      <c r="J103" s="9"/>
      <c r="K103" s="9"/>
    </row>
    <row r="104" spans="1:11">
      <c r="A104" s="53" t="s">
        <v>3</v>
      </c>
      <c r="B104" s="10"/>
      <c r="C104" s="10"/>
      <c r="D104" s="54" t="s">
        <v>4</v>
      </c>
      <c r="E104" s="10" t="s">
        <v>5</v>
      </c>
      <c r="F104" s="11"/>
      <c r="G104" s="10"/>
      <c r="H104" s="12"/>
      <c r="I104" s="12"/>
      <c r="J104" s="12"/>
      <c r="K104" s="9"/>
    </row>
    <row r="105" spans="1:11">
      <c r="A105" s="53" t="s">
        <v>6</v>
      </c>
      <c r="B105" s="10"/>
      <c r="C105" s="10"/>
      <c r="D105" s="54" t="s">
        <v>4</v>
      </c>
      <c r="E105" s="10" t="s">
        <v>7</v>
      </c>
      <c r="F105" s="11"/>
      <c r="G105" s="10"/>
      <c r="H105" s="12"/>
      <c r="I105" s="12"/>
      <c r="J105" s="12"/>
      <c r="K105" s="9"/>
    </row>
    <row r="106" spans="1:11">
      <c r="A106" s="53" t="s">
        <v>8</v>
      </c>
      <c r="B106" s="10"/>
      <c r="C106" s="10"/>
      <c r="D106" s="54" t="s">
        <v>4</v>
      </c>
      <c r="E106" s="13">
        <v>2026</v>
      </c>
      <c r="F106" s="11"/>
      <c r="G106" s="13"/>
      <c r="H106" s="12"/>
      <c r="I106" s="12"/>
      <c r="J106" s="12"/>
      <c r="K106" s="9"/>
    </row>
    <row r="107" spans="1:11">
      <c r="A107" s="53" t="s">
        <v>9</v>
      </c>
      <c r="B107" s="10"/>
      <c r="C107" s="10"/>
      <c r="D107" s="54" t="s">
        <v>4</v>
      </c>
      <c r="E107" s="14">
        <f>J117</f>
        <v>350000</v>
      </c>
      <c r="F107" s="11"/>
      <c r="G107" s="14"/>
      <c r="H107" s="12"/>
      <c r="I107" s="12"/>
      <c r="J107" s="12"/>
      <c r="K107" s="9"/>
    </row>
    <row r="108" spans="1:11" ht="15.75">
      <c r="A108" s="10"/>
      <c r="B108" s="10"/>
      <c r="C108" s="15" t="s">
        <v>10</v>
      </c>
      <c r="D108" s="54" t="s">
        <v>4</v>
      </c>
      <c r="E108" s="16" t="str">
        <f>PROPER(IF(E107=0,"nol",IF(E107&lt;0,"minus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107),"000000000000000"),1,3)=0,"",MID(TEXT(ABS(E107),"000000000000000"),1,1)&amp;" ratus "&amp;MID(TEXT(ABS(E107),"000000000000000"),2,1)&amp;" puluh "&amp;MID(TEXT(ABS(E107),"000000000000000"),3,1)&amp;" trilyun ")&amp;IF(--MID(TEXT(ABS(E107),"000000000000000"),4,3)=0,"",MID(TEXT(ABS(E107),"000000000000000"),4,1)&amp;" ratus "&amp;MID(TEXT(ABS(E107),"000000000000000"),5,1)&amp;" puluh "&amp;MID(TEXT(ABS(E107),"000000000000000"),6,1)&amp;" milyar ")&amp;IF(--MID(TEXT(ABS(E107),"000000000000000"),7,3)=0,"",MID(TEXT(ABS(E107),"000000000000000"),7,1)&amp;" ratus "&amp;MID(TEXT(ABS(E107),"000000000000000"),8,1)&amp;" puluh "&amp;MID(TEXT(ABS(E107),"000000000000000"),9,1)&amp;" juta ")&amp;IF(--MID(TEXT(ABS(E107),"000000000000000"),10,3)=0,"",IF(--MID(TEXT(ABS(E107),"000000000000000"),10,3)=1,"*",MID(TEXT(ABS(E107),"000000000000000"),10,1)&amp;" ratus "&amp;MID(TEXT(ABS(E107),"000000000000000"),11,1)&amp;" puluh ")&amp;MID(TEXT(ABS(E107),"000000000000000"),12,1)&amp;" ribu ")&amp;IF(--MID(TEXT(ABS(E107),"000000000000000"),13,3)=0,"",MID(TEXT(ABS(E107),"000000000000000"),13,1)&amp;" ratus "&amp;MID(TEXT(ABS(E107),"000000000000000"),14,1)&amp;" puluh "&amp;MID(TEXT(ABS(E107),"000000000000000"),15,1)),1,"satu"),2,"dua"),3,"tiga"),4,"empat"),5,"lima"),6,"enam"),7,"tujuh"),8,"delapan"),9,"sembilan"),"0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Tiga Ratus Lima Puluh Ribu Rupiah</v>
      </c>
      <c r="F108" s="11"/>
      <c r="G108" s="16"/>
      <c r="H108" s="12"/>
      <c r="I108" s="12"/>
      <c r="J108" s="12"/>
      <c r="K108" s="9"/>
    </row>
    <row r="109" spans="1:11" ht="15.75">
      <c r="A109" s="10"/>
      <c r="B109" s="10"/>
      <c r="C109" s="15"/>
      <c r="D109" s="15"/>
      <c r="E109" s="15"/>
      <c r="F109" s="11"/>
      <c r="G109" s="16"/>
      <c r="H109" s="12"/>
      <c r="I109" s="12"/>
      <c r="J109" s="12"/>
      <c r="K109" s="9"/>
    </row>
    <row r="110" spans="1:11">
      <c r="A110" s="10" t="s">
        <v>11</v>
      </c>
      <c r="B110" s="10"/>
      <c r="C110" s="10"/>
      <c r="D110" s="10"/>
      <c r="E110" s="10"/>
      <c r="F110" s="10"/>
      <c r="G110" s="10"/>
      <c r="H110" s="12"/>
      <c r="I110" s="12"/>
      <c r="J110" s="12"/>
      <c r="K110" s="9"/>
    </row>
    <row r="111" spans="1:11">
      <c r="A111" s="59" t="s">
        <v>12</v>
      </c>
      <c r="B111" s="59"/>
      <c r="C111" s="59"/>
      <c r="D111" s="59"/>
      <c r="E111" s="59"/>
      <c r="F111" s="59"/>
      <c r="G111" s="59"/>
      <c r="H111" s="59"/>
      <c r="I111" s="59"/>
      <c r="J111" s="59"/>
      <c r="K111" s="59"/>
    </row>
    <row r="112" spans="1:11" ht="60">
      <c r="A112" s="17" t="s">
        <v>13</v>
      </c>
      <c r="B112" s="18" t="s">
        <v>14</v>
      </c>
      <c r="C112" s="60" t="s">
        <v>15</v>
      </c>
      <c r="D112" s="61"/>
      <c r="E112" s="62"/>
      <c r="F112" s="19"/>
      <c r="G112" s="20" t="s">
        <v>16</v>
      </c>
      <c r="H112" s="21" t="s">
        <v>37</v>
      </c>
      <c r="I112" s="21"/>
      <c r="J112" s="31" t="s">
        <v>17</v>
      </c>
      <c r="K112" s="32" t="s">
        <v>18</v>
      </c>
    </row>
    <row r="113" spans="1:11">
      <c r="A113" s="27">
        <v>1</v>
      </c>
      <c r="B113" s="24"/>
      <c r="C113" s="28" t="s">
        <v>23</v>
      </c>
      <c r="D113" s="57"/>
      <c r="E113" s="26"/>
      <c r="F113" s="25"/>
      <c r="G113" s="55" t="s">
        <v>19</v>
      </c>
      <c r="H113" s="55" t="s">
        <v>19</v>
      </c>
      <c r="I113" s="55"/>
      <c r="J113" s="55" t="s">
        <v>19</v>
      </c>
      <c r="K113" s="55" t="s">
        <v>19</v>
      </c>
    </row>
    <row r="114" spans="1:11">
      <c r="A114" s="24"/>
      <c r="B114" s="56" t="s">
        <v>20</v>
      </c>
      <c r="C114" s="25" t="s">
        <v>24</v>
      </c>
      <c r="D114" s="10"/>
      <c r="E114" s="26"/>
      <c r="F114" s="25"/>
      <c r="G114" s="22">
        <v>75000000</v>
      </c>
      <c r="H114" s="23">
        <f>H69+J69</f>
        <v>2100000</v>
      </c>
      <c r="I114" s="23"/>
      <c r="J114" s="33">
        <v>350000</v>
      </c>
      <c r="K114" s="34">
        <f>G114-H114-J114</f>
        <v>72550000</v>
      </c>
    </row>
    <row r="115" spans="1:11">
      <c r="A115" s="24"/>
      <c r="B115" s="56" t="s">
        <v>21</v>
      </c>
      <c r="C115" s="25" t="s">
        <v>25</v>
      </c>
      <c r="D115" s="10"/>
      <c r="E115" s="26"/>
      <c r="F115" s="25"/>
      <c r="G115" s="22">
        <v>30000000</v>
      </c>
      <c r="H115" s="23">
        <f t="shared" ref="H115:H116" si="2">H70+J70</f>
        <v>0</v>
      </c>
      <c r="I115" s="23"/>
      <c r="J115" s="33">
        <v>0</v>
      </c>
      <c r="K115" s="34">
        <f t="shared" ref="K115:K116" si="3">G115-H115-J115</f>
        <v>30000000</v>
      </c>
    </row>
    <row r="116" spans="1:11">
      <c r="A116" s="24"/>
      <c r="B116" s="56" t="s">
        <v>22</v>
      </c>
      <c r="C116" s="25" t="s">
        <v>26</v>
      </c>
      <c r="D116" s="10"/>
      <c r="E116" s="26"/>
      <c r="F116" s="25"/>
      <c r="G116" s="22">
        <v>50000000</v>
      </c>
      <c r="H116" s="23">
        <f t="shared" si="2"/>
        <v>0</v>
      </c>
      <c r="I116" s="23"/>
      <c r="J116" s="33">
        <v>0</v>
      </c>
      <c r="K116" s="34">
        <f t="shared" si="3"/>
        <v>50000000</v>
      </c>
    </row>
    <row r="117" spans="1:11">
      <c r="A117" s="35"/>
      <c r="B117" s="35"/>
      <c r="C117" s="35" t="s">
        <v>27</v>
      </c>
      <c r="D117" s="35"/>
      <c r="E117" s="35"/>
      <c r="F117" s="36"/>
      <c r="G117" s="37">
        <f>SUM(G113:G116)</f>
        <v>155000000</v>
      </c>
      <c r="H117" s="38">
        <f>SUM(H113:H116)</f>
        <v>2100000</v>
      </c>
      <c r="I117" s="38"/>
      <c r="J117" s="38">
        <f>SUM(J113:J116)</f>
        <v>350000</v>
      </c>
      <c r="K117" s="38">
        <f>SUM(K113:K116)</f>
        <v>152550000</v>
      </c>
    </row>
    <row r="118" spans="1:11">
      <c r="A118" s="39"/>
      <c r="B118" s="8"/>
      <c r="C118" s="8"/>
      <c r="D118" s="8"/>
      <c r="E118" s="8"/>
      <c r="F118" s="8"/>
      <c r="G118" s="40"/>
      <c r="H118" s="40"/>
      <c r="I118" s="40"/>
      <c r="J118" s="40"/>
      <c r="K118" s="40"/>
    </row>
    <row r="119" spans="1:11">
      <c r="A119" s="63" t="s">
        <v>28</v>
      </c>
      <c r="B119" s="63"/>
      <c r="C119" s="63"/>
      <c r="D119" s="11" t="s">
        <v>4</v>
      </c>
      <c r="E119" s="14">
        <f>J117</f>
        <v>350000</v>
      </c>
      <c r="F119" s="41"/>
      <c r="G119" s="42"/>
      <c r="H119" s="42"/>
      <c r="I119" s="42"/>
      <c r="J119" s="9"/>
      <c r="K119" s="9"/>
    </row>
    <row r="120" spans="1:11">
      <c r="A120" s="10" t="s">
        <v>29</v>
      </c>
      <c r="B120" s="10"/>
      <c r="C120" s="10"/>
      <c r="D120" s="11" t="s">
        <v>4</v>
      </c>
      <c r="E120" s="43"/>
      <c r="F120" s="43"/>
      <c r="G120" s="44"/>
      <c r="H120" s="12"/>
      <c r="I120" s="12"/>
      <c r="J120" s="9"/>
      <c r="K120" s="9"/>
    </row>
    <row r="121" spans="1:11">
      <c r="A121" s="10" t="s">
        <v>30</v>
      </c>
      <c r="B121" s="10"/>
      <c r="C121" s="10"/>
      <c r="D121" s="11" t="s">
        <v>4</v>
      </c>
      <c r="E121" s="45"/>
      <c r="F121" s="45"/>
      <c r="G121" s="44"/>
      <c r="H121" s="12"/>
      <c r="I121" s="12"/>
      <c r="J121" s="9"/>
      <c r="K121" s="9"/>
    </row>
    <row r="122" spans="1:11">
      <c r="A122" s="10" t="s">
        <v>31</v>
      </c>
      <c r="B122" s="10"/>
      <c r="C122" s="10"/>
      <c r="D122" s="11" t="s">
        <v>4</v>
      </c>
      <c r="E122" s="45">
        <f>E120+E121</f>
        <v>0</v>
      </c>
      <c r="F122" s="45"/>
      <c r="G122" s="10"/>
      <c r="H122" s="12"/>
      <c r="I122" s="12"/>
      <c r="J122" s="47"/>
      <c r="K122" s="47"/>
    </row>
    <row r="123" spans="1:11">
      <c r="A123" s="13"/>
      <c r="B123" s="13"/>
      <c r="C123" s="13"/>
      <c r="D123" s="11"/>
      <c r="E123" s="13"/>
      <c r="F123" s="13"/>
      <c r="G123" s="10"/>
      <c r="H123" s="12"/>
      <c r="I123" s="12"/>
      <c r="J123" s="47"/>
      <c r="K123" s="47"/>
    </row>
    <row r="124" spans="1:11">
      <c r="A124" s="63" t="s">
        <v>32</v>
      </c>
      <c r="B124" s="63"/>
      <c r="C124" s="63"/>
      <c r="D124" s="11" t="s">
        <v>4</v>
      </c>
      <c r="E124" s="41">
        <f>E119-E122</f>
        <v>350000</v>
      </c>
      <c r="F124" s="41"/>
      <c r="G124" s="10"/>
      <c r="H124" s="12"/>
      <c r="I124" s="12"/>
      <c r="J124" s="47"/>
      <c r="K124" s="47"/>
    </row>
    <row r="125" spans="1:11" ht="15.75">
      <c r="A125" s="13"/>
      <c r="B125" s="13"/>
      <c r="C125" s="10"/>
      <c r="D125" s="10"/>
      <c r="E125" s="16" t="str">
        <f>PROPER(IF(E124=0,"nol",IF(E124&lt;0,"minus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124),"000000000000000"),1,3)=0,"",MID(TEXT(ABS(E124),"000000000000000"),1,1)&amp;" ratus "&amp;MID(TEXT(ABS(E124),"000000000000000"),2,1)&amp;" puluh "&amp;MID(TEXT(ABS(E124),"000000000000000"),3,1)&amp;" trilyun ")&amp;IF(--MID(TEXT(ABS(E124),"000000000000000"),4,3)=0,"",MID(TEXT(ABS(E124),"000000000000000"),4,1)&amp;" ratus "&amp;MID(TEXT(ABS(E124),"000000000000000"),5,1)&amp;" puluh "&amp;MID(TEXT(ABS(E124),"000000000000000"),6,1)&amp;" milyar ")&amp;IF(--MID(TEXT(ABS(E124),"000000000000000"),7,3)=0,"",MID(TEXT(ABS(E124),"000000000000000"),7,1)&amp;" ratus "&amp;MID(TEXT(ABS(E124),"000000000000000"),8,1)&amp;" puluh "&amp;MID(TEXT(ABS(E124),"000000000000000"),9,1)&amp;" juta ")&amp;IF(--MID(TEXT(ABS(E124),"000000000000000"),10,3)=0,"",IF(--MID(TEXT(ABS(E124),"000000000000000"),10,3)=1,"*",MID(TEXT(ABS(E124),"000000000000000"),10,1)&amp;" ratus "&amp;MID(TEXT(ABS(E124),"000000000000000"),11,1)&amp;" puluh ")&amp;MID(TEXT(ABS(E124),"000000000000000"),12,1)&amp;" ribu ")&amp;IF(--MID(TEXT(ABS(E124),"000000000000000"),13,3)=0,"",MID(TEXT(ABS(E124),"000000000000000"),13,1)&amp;" ratus "&amp;MID(TEXT(ABS(E124),"000000000000000"),14,1)&amp;" puluh "&amp;MID(TEXT(ABS(E124),"000000000000000"),15,1)),1,"satu"),2,"dua"),3,"tiga"),4,"empat"),5,"lima"),6,"enam"),7,"tujuh"),8,"delapan"),9,"sembilan"),"0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Tiga Ratus Lima Puluh Ribu Rupiah</v>
      </c>
      <c r="F125" s="10"/>
      <c r="G125" s="10"/>
      <c r="H125" s="10"/>
      <c r="I125" s="10"/>
      <c r="J125" s="47"/>
      <c r="K125" s="47"/>
    </row>
    <row r="126" spans="1:11">
      <c r="A126" s="46"/>
      <c r="B126" s="46"/>
      <c r="C126" s="46"/>
      <c r="D126" s="46"/>
      <c r="E126" s="46"/>
      <c r="F126" s="46"/>
      <c r="G126" s="29"/>
      <c r="H126" s="47"/>
      <c r="I126" s="47"/>
      <c r="J126" s="47"/>
      <c r="K126" s="47"/>
    </row>
    <row r="127" spans="1:11">
      <c r="A127" s="29"/>
      <c r="B127" s="29"/>
      <c r="C127" s="29"/>
      <c r="D127" s="29"/>
      <c r="E127" s="29"/>
      <c r="F127" s="29"/>
      <c r="G127" s="29"/>
      <c r="H127"/>
      <c r="I127"/>
      <c r="J127" s="47"/>
      <c r="K127" s="47"/>
    </row>
    <row r="128" spans="1:11">
      <c r="A128" s="13"/>
      <c r="B128" s="13"/>
      <c r="C128" s="10"/>
      <c r="D128" s="10"/>
      <c r="E128" s="10"/>
      <c r="F128" s="10"/>
      <c r="G128" s="10"/>
      <c r="I128" s="48"/>
      <c r="J128" s="48" t="s">
        <v>45</v>
      </c>
      <c r="K128" s="47"/>
    </row>
    <row r="129" spans="1:11">
      <c r="A129" s="12" t="s">
        <v>33</v>
      </c>
      <c r="B129" s="10"/>
      <c r="C129" s="10"/>
      <c r="D129" s="10"/>
      <c r="E129" s="10"/>
      <c r="F129" s="10"/>
      <c r="G129" s="10"/>
      <c r="I129" s="12"/>
      <c r="J129" s="12" t="s">
        <v>34</v>
      </c>
      <c r="K129" s="47"/>
    </row>
    <row r="130" spans="1:11">
      <c r="A130" s="10"/>
      <c r="B130" s="10"/>
      <c r="C130" s="10"/>
      <c r="D130" s="10"/>
      <c r="E130" s="10"/>
      <c r="F130" s="10"/>
      <c r="G130" s="10"/>
      <c r="I130" s="12"/>
      <c r="J130" s="12"/>
      <c r="K130" s="47"/>
    </row>
    <row r="131" spans="1:11">
      <c r="A131" s="10"/>
      <c r="B131" s="10"/>
      <c r="C131" s="10"/>
      <c r="D131" s="10"/>
      <c r="E131" s="10"/>
      <c r="F131" s="10"/>
      <c r="G131" s="10"/>
      <c r="I131" s="12"/>
      <c r="J131" s="12"/>
      <c r="K131" s="47"/>
    </row>
    <row r="132" spans="1:11">
      <c r="A132" s="10"/>
      <c r="B132" s="10"/>
      <c r="C132" s="10"/>
      <c r="D132" s="10"/>
      <c r="E132" s="10"/>
      <c r="F132" s="10"/>
      <c r="G132" s="10"/>
      <c r="I132" s="12"/>
      <c r="J132" s="12"/>
      <c r="K132" s="47"/>
    </row>
    <row r="133" spans="1:11">
      <c r="A133" s="10"/>
      <c r="B133" s="10"/>
      <c r="C133" s="10"/>
      <c r="D133" s="10"/>
      <c r="E133" s="10"/>
      <c r="F133" s="10"/>
      <c r="G133" s="10"/>
      <c r="I133" s="12"/>
      <c r="J133" s="12"/>
      <c r="K133" s="47"/>
    </row>
    <row r="134" spans="1:11">
      <c r="A134" s="49" t="s">
        <v>38</v>
      </c>
      <c r="B134" s="49"/>
      <c r="C134" s="50"/>
      <c r="D134" s="50"/>
      <c r="E134" s="50"/>
      <c r="F134" s="50"/>
      <c r="G134" s="10" t="s">
        <v>35</v>
      </c>
      <c r="I134" s="49"/>
      <c r="J134" s="49" t="s">
        <v>36</v>
      </c>
      <c r="K134" s="47"/>
    </row>
    <row r="139" spans="1:11" ht="15.75">
      <c r="C139" s="2"/>
      <c r="D139" s="2"/>
      <c r="E139" s="2"/>
      <c r="F139" s="2"/>
    </row>
    <row r="140" spans="1:11" ht="15.75">
      <c r="A140" s="3"/>
      <c r="B140" s="3"/>
      <c r="C140" s="2"/>
      <c r="D140" s="2"/>
      <c r="E140" s="2"/>
      <c r="F140" s="2"/>
      <c r="G140" s="3"/>
      <c r="H140" s="4"/>
      <c r="I140" s="4"/>
      <c r="J140" s="4"/>
      <c r="K140" s="5"/>
    </row>
    <row r="141" spans="1:11">
      <c r="H141" s="5"/>
      <c r="I141" s="5"/>
      <c r="J141" s="5"/>
      <c r="K141" s="5"/>
    </row>
    <row r="142" spans="1:11">
      <c r="H142" s="5"/>
      <c r="I142" s="5"/>
      <c r="J142" s="5"/>
      <c r="K142" s="5"/>
    </row>
    <row r="143" spans="1:11">
      <c r="A143" s="64" t="s">
        <v>0</v>
      </c>
      <c r="B143" s="64"/>
      <c r="C143" s="58"/>
      <c r="D143" s="58"/>
      <c r="E143" s="58"/>
      <c r="F143" s="58"/>
      <c r="G143" s="58"/>
      <c r="H143" s="58"/>
      <c r="I143" s="58"/>
      <c r="J143" s="58"/>
      <c r="K143" s="58"/>
    </row>
    <row r="144" spans="1:11">
      <c r="A144" s="58" t="s">
        <v>46</v>
      </c>
      <c r="B144" s="58"/>
      <c r="C144" s="58"/>
      <c r="D144" s="58"/>
      <c r="E144" s="58"/>
      <c r="F144" s="58"/>
      <c r="G144" s="58"/>
      <c r="H144" s="58"/>
      <c r="I144" s="58"/>
      <c r="J144" s="58"/>
      <c r="K144" s="58"/>
    </row>
    <row r="145" spans="1:11">
      <c r="A145" s="58" t="s">
        <v>1</v>
      </c>
      <c r="B145" s="58"/>
      <c r="C145" s="58"/>
      <c r="D145" s="58"/>
      <c r="E145" s="58"/>
      <c r="F145" s="58"/>
      <c r="G145" s="58"/>
      <c r="H145" s="58"/>
      <c r="I145" s="58"/>
      <c r="J145" s="58"/>
      <c r="K145" s="58"/>
    </row>
    <row r="146" spans="1:11">
      <c r="A146" s="58" t="s">
        <v>39</v>
      </c>
      <c r="B146" s="58"/>
      <c r="C146" s="58"/>
      <c r="D146" s="58"/>
      <c r="E146" s="58"/>
      <c r="F146" s="58"/>
      <c r="G146" s="58"/>
      <c r="H146" s="58"/>
      <c r="I146" s="58"/>
      <c r="J146" s="58"/>
      <c r="K146" s="58"/>
    </row>
    <row r="147" spans="1:11">
      <c r="A147" s="58" t="s">
        <v>2</v>
      </c>
      <c r="B147" s="58"/>
      <c r="C147" s="58"/>
      <c r="D147" s="58"/>
      <c r="E147" s="58"/>
      <c r="F147" s="58"/>
      <c r="G147" s="58"/>
      <c r="H147" s="58"/>
      <c r="I147" s="58"/>
      <c r="J147" s="58"/>
      <c r="K147" s="58"/>
    </row>
    <row r="148" spans="1:11">
      <c r="A148" s="6"/>
      <c r="B148" s="6"/>
      <c r="C148" s="7"/>
      <c r="D148" s="7"/>
      <c r="E148" s="7"/>
      <c r="F148" s="7"/>
      <c r="G148" s="8"/>
      <c r="H148" s="9"/>
      <c r="I148" s="9"/>
      <c r="J148" s="9"/>
      <c r="K148" s="9"/>
    </row>
    <row r="149" spans="1:11">
      <c r="A149" s="53" t="s">
        <v>3</v>
      </c>
      <c r="B149" s="10"/>
      <c r="C149" s="10"/>
      <c r="D149" s="54" t="s">
        <v>4</v>
      </c>
      <c r="E149" s="10" t="s">
        <v>5</v>
      </c>
      <c r="F149" s="11"/>
      <c r="G149" s="10"/>
      <c r="H149" s="12"/>
      <c r="I149" s="12"/>
      <c r="J149" s="12"/>
      <c r="K149" s="9"/>
    </row>
    <row r="150" spans="1:11">
      <c r="A150" s="53" t="s">
        <v>6</v>
      </c>
      <c r="B150" s="10"/>
      <c r="C150" s="10"/>
      <c r="D150" s="54" t="s">
        <v>4</v>
      </c>
      <c r="E150" s="10" t="s">
        <v>7</v>
      </c>
      <c r="F150" s="11"/>
      <c r="G150" s="10"/>
      <c r="H150" s="12"/>
      <c r="I150" s="12"/>
      <c r="J150" s="12"/>
      <c r="K150" s="9"/>
    </row>
    <row r="151" spans="1:11">
      <c r="A151" s="53" t="s">
        <v>8</v>
      </c>
      <c r="B151" s="10"/>
      <c r="C151" s="10"/>
      <c r="D151" s="54" t="s">
        <v>4</v>
      </c>
      <c r="E151" s="13">
        <v>2026</v>
      </c>
      <c r="F151" s="11"/>
      <c r="G151" s="13"/>
      <c r="H151" s="12"/>
      <c r="I151" s="12"/>
      <c r="J151" s="12"/>
      <c r="K151" s="9"/>
    </row>
    <row r="152" spans="1:11">
      <c r="A152" s="53" t="s">
        <v>9</v>
      </c>
      <c r="B152" s="10"/>
      <c r="C152" s="10"/>
      <c r="D152" s="54" t="s">
        <v>4</v>
      </c>
      <c r="E152" s="14">
        <f>J162</f>
        <v>1475000</v>
      </c>
      <c r="F152" s="11"/>
      <c r="G152" s="14"/>
      <c r="H152" s="12"/>
      <c r="I152" s="12"/>
      <c r="J152" s="12"/>
      <c r="K152" s="9"/>
    </row>
    <row r="153" spans="1:11" ht="15.75">
      <c r="A153" s="10"/>
      <c r="B153" s="10"/>
      <c r="C153" s="15" t="s">
        <v>10</v>
      </c>
      <c r="D153" s="54" t="s">
        <v>4</v>
      </c>
      <c r="E153" s="16" t="str">
        <f>PROPER(IF(E152=0,"nol",IF(E152&lt;0,"minus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152),"000000000000000"),1,3)=0,"",MID(TEXT(ABS(E152),"000000000000000"),1,1)&amp;" ratus "&amp;MID(TEXT(ABS(E152),"000000000000000"),2,1)&amp;" puluh "&amp;MID(TEXT(ABS(E152),"000000000000000"),3,1)&amp;" trilyun ")&amp;IF(--MID(TEXT(ABS(E152),"000000000000000"),4,3)=0,"",MID(TEXT(ABS(E152),"000000000000000"),4,1)&amp;" ratus "&amp;MID(TEXT(ABS(E152),"000000000000000"),5,1)&amp;" puluh "&amp;MID(TEXT(ABS(E152),"000000000000000"),6,1)&amp;" milyar ")&amp;IF(--MID(TEXT(ABS(E152),"000000000000000"),7,3)=0,"",MID(TEXT(ABS(E152),"000000000000000"),7,1)&amp;" ratus "&amp;MID(TEXT(ABS(E152),"000000000000000"),8,1)&amp;" puluh "&amp;MID(TEXT(ABS(E152),"000000000000000"),9,1)&amp;" juta ")&amp;IF(--MID(TEXT(ABS(E152),"000000000000000"),10,3)=0,"",IF(--MID(TEXT(ABS(E152),"000000000000000"),10,3)=1,"*",MID(TEXT(ABS(E152),"000000000000000"),10,1)&amp;" ratus "&amp;MID(TEXT(ABS(E152),"000000000000000"),11,1)&amp;" puluh ")&amp;MID(TEXT(ABS(E152),"000000000000000"),12,1)&amp;" ribu ")&amp;IF(--MID(TEXT(ABS(E152),"000000000000000"),13,3)=0,"",MID(TEXT(ABS(E152),"000000000000000"),13,1)&amp;" ratus "&amp;MID(TEXT(ABS(E152),"000000000000000"),14,1)&amp;" puluh "&amp;MID(TEXT(ABS(E152),"000000000000000"),15,1)),1,"satu"),2,"dua"),3,"tiga"),4,"empat"),5,"lima"),6,"enam"),7,"tujuh"),8,"delapan"),9,"sembilan"),"0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Satu Juta Empat Ratus Tujuh Puluh Lima Ribu Rupiah</v>
      </c>
      <c r="F153" s="11"/>
      <c r="G153" s="16"/>
      <c r="H153" s="12"/>
      <c r="I153" s="12"/>
      <c r="J153" s="12"/>
      <c r="K153" s="9"/>
    </row>
    <row r="154" spans="1:11" ht="15.75">
      <c r="A154" s="10"/>
      <c r="B154" s="10"/>
      <c r="C154" s="15"/>
      <c r="D154" s="15"/>
      <c r="E154" s="15"/>
      <c r="F154" s="11"/>
      <c r="G154" s="16"/>
      <c r="H154" s="12"/>
      <c r="I154" s="12"/>
      <c r="J154" s="12"/>
      <c r="K154" s="9"/>
    </row>
    <row r="155" spans="1:11">
      <c r="A155" s="10" t="s">
        <v>11</v>
      </c>
      <c r="B155" s="10"/>
      <c r="C155" s="10"/>
      <c r="D155" s="10"/>
      <c r="E155" s="10"/>
      <c r="F155" s="10"/>
      <c r="G155" s="10"/>
      <c r="H155" s="12"/>
      <c r="I155" s="12"/>
      <c r="J155" s="12"/>
      <c r="K155" s="9"/>
    </row>
    <row r="156" spans="1:11">
      <c r="A156" s="59" t="s">
        <v>12</v>
      </c>
      <c r="B156" s="59"/>
      <c r="C156" s="59"/>
      <c r="D156" s="59"/>
      <c r="E156" s="59"/>
      <c r="F156" s="59"/>
      <c r="G156" s="59"/>
      <c r="H156" s="59"/>
      <c r="I156" s="59"/>
      <c r="J156" s="59"/>
      <c r="K156" s="59"/>
    </row>
    <row r="157" spans="1:11" ht="60">
      <c r="A157" s="17" t="s">
        <v>13</v>
      </c>
      <c r="B157" s="18" t="s">
        <v>14</v>
      </c>
      <c r="C157" s="60" t="s">
        <v>15</v>
      </c>
      <c r="D157" s="61"/>
      <c r="E157" s="62"/>
      <c r="F157" s="19"/>
      <c r="G157" s="20" t="s">
        <v>16</v>
      </c>
      <c r="H157" s="21" t="s">
        <v>37</v>
      </c>
      <c r="I157" s="21"/>
      <c r="J157" s="31" t="s">
        <v>17</v>
      </c>
      <c r="K157" s="32" t="s">
        <v>18</v>
      </c>
    </row>
    <row r="158" spans="1:11">
      <c r="A158" s="27">
        <v>1</v>
      </c>
      <c r="B158" s="24"/>
      <c r="C158" s="28" t="s">
        <v>23</v>
      </c>
      <c r="D158" s="57"/>
      <c r="E158" s="26"/>
      <c r="F158" s="25"/>
      <c r="G158" s="55" t="s">
        <v>19</v>
      </c>
      <c r="H158" s="55" t="s">
        <v>19</v>
      </c>
      <c r="I158" s="55"/>
      <c r="J158" s="55" t="s">
        <v>19</v>
      </c>
      <c r="K158" s="55" t="s">
        <v>19</v>
      </c>
    </row>
    <row r="159" spans="1:11">
      <c r="A159" s="24"/>
      <c r="B159" s="56" t="s">
        <v>20</v>
      </c>
      <c r="C159" s="25" t="s">
        <v>24</v>
      </c>
      <c r="D159" s="10"/>
      <c r="E159" s="26"/>
      <c r="F159" s="25"/>
      <c r="G159" s="22">
        <v>75000000</v>
      </c>
      <c r="H159" s="23">
        <f>H114+J114</f>
        <v>2450000</v>
      </c>
      <c r="I159" s="23"/>
      <c r="J159" s="33">
        <v>1475000</v>
      </c>
      <c r="K159" s="34">
        <f>G159-H159-J159</f>
        <v>71075000</v>
      </c>
    </row>
    <row r="160" spans="1:11">
      <c r="A160" s="24"/>
      <c r="B160" s="56" t="s">
        <v>21</v>
      </c>
      <c r="C160" s="25" t="s">
        <v>25</v>
      </c>
      <c r="D160" s="10"/>
      <c r="E160" s="26"/>
      <c r="F160" s="25"/>
      <c r="G160" s="22">
        <v>30000000</v>
      </c>
      <c r="H160" s="23">
        <f t="shared" ref="H160:H161" si="4">H115+J115</f>
        <v>0</v>
      </c>
      <c r="I160" s="23"/>
      <c r="J160" s="33">
        <v>0</v>
      </c>
      <c r="K160" s="34">
        <f t="shared" ref="K160:K161" si="5">G160-H160-J160</f>
        <v>30000000</v>
      </c>
    </row>
    <row r="161" spans="1:11">
      <c r="A161" s="24"/>
      <c r="B161" s="56" t="s">
        <v>22</v>
      </c>
      <c r="C161" s="25" t="s">
        <v>26</v>
      </c>
      <c r="D161" s="10"/>
      <c r="E161" s="26"/>
      <c r="F161" s="25"/>
      <c r="G161" s="22">
        <v>50000000</v>
      </c>
      <c r="H161" s="23">
        <f t="shared" si="4"/>
        <v>0</v>
      </c>
      <c r="I161" s="23"/>
      <c r="J161" s="33">
        <v>0</v>
      </c>
      <c r="K161" s="34">
        <f t="shared" si="5"/>
        <v>50000000</v>
      </c>
    </row>
    <row r="162" spans="1:11">
      <c r="A162" s="35"/>
      <c r="B162" s="35"/>
      <c r="C162" s="35" t="s">
        <v>27</v>
      </c>
      <c r="D162" s="35"/>
      <c r="E162" s="35"/>
      <c r="F162" s="36"/>
      <c r="G162" s="37">
        <f>SUM(G158:G161)</f>
        <v>155000000</v>
      </c>
      <c r="H162" s="38">
        <f>SUM(H158:H161)</f>
        <v>2450000</v>
      </c>
      <c r="I162" s="38"/>
      <c r="J162" s="38">
        <f>SUM(J158:J161)</f>
        <v>1475000</v>
      </c>
      <c r="K162" s="38">
        <f>SUM(K158:K161)</f>
        <v>151075000</v>
      </c>
    </row>
    <row r="163" spans="1:11">
      <c r="A163" s="39"/>
      <c r="B163" s="8"/>
      <c r="C163" s="8"/>
      <c r="D163" s="8"/>
      <c r="E163" s="8"/>
      <c r="F163" s="8"/>
      <c r="G163" s="40"/>
      <c r="H163" s="40"/>
      <c r="I163" s="40"/>
      <c r="J163" s="40"/>
      <c r="K163" s="40"/>
    </row>
    <row r="164" spans="1:11">
      <c r="A164" s="63" t="s">
        <v>28</v>
      </c>
      <c r="B164" s="63"/>
      <c r="C164" s="63"/>
      <c r="D164" s="11" t="s">
        <v>4</v>
      </c>
      <c r="E164" s="14">
        <f>J162</f>
        <v>1475000</v>
      </c>
      <c r="F164" s="41"/>
      <c r="G164" s="42"/>
      <c r="H164" s="42"/>
      <c r="I164" s="42"/>
      <c r="J164" s="9"/>
      <c r="K164" s="9"/>
    </row>
    <row r="165" spans="1:11">
      <c r="A165" s="10" t="s">
        <v>29</v>
      </c>
      <c r="B165" s="10"/>
      <c r="C165" s="10"/>
      <c r="D165" s="11" t="s">
        <v>4</v>
      </c>
      <c r="E165" s="43"/>
      <c r="F165" s="43"/>
      <c r="G165" s="44"/>
      <c r="H165" s="12"/>
      <c r="I165" s="12"/>
      <c r="J165" s="9"/>
      <c r="K165" s="9"/>
    </row>
    <row r="166" spans="1:11">
      <c r="A166" s="10" t="s">
        <v>30</v>
      </c>
      <c r="B166" s="10"/>
      <c r="C166" s="10"/>
      <c r="D166" s="11" t="s">
        <v>4</v>
      </c>
      <c r="E166" s="45"/>
      <c r="F166" s="45"/>
      <c r="G166" s="44"/>
      <c r="H166" s="12"/>
      <c r="I166" s="12"/>
      <c r="J166" s="9"/>
      <c r="K166" s="9"/>
    </row>
    <row r="167" spans="1:11">
      <c r="A167" s="10" t="s">
        <v>31</v>
      </c>
      <c r="B167" s="10"/>
      <c r="C167" s="10"/>
      <c r="D167" s="11" t="s">
        <v>4</v>
      </c>
      <c r="E167" s="45">
        <f>E165+E166</f>
        <v>0</v>
      </c>
      <c r="F167" s="45"/>
      <c r="G167" s="10"/>
      <c r="H167" s="12"/>
      <c r="I167" s="12"/>
      <c r="J167" s="47"/>
      <c r="K167" s="47"/>
    </row>
    <row r="168" spans="1:11">
      <c r="A168" s="13"/>
      <c r="B168" s="13"/>
      <c r="C168" s="13"/>
      <c r="D168" s="11"/>
      <c r="E168" s="13"/>
      <c r="F168" s="13"/>
      <c r="G168" s="10"/>
      <c r="H168" s="12"/>
      <c r="I168" s="12"/>
      <c r="J168" s="47"/>
      <c r="K168" s="47"/>
    </row>
    <row r="169" spans="1:11">
      <c r="A169" s="63" t="s">
        <v>32</v>
      </c>
      <c r="B169" s="63"/>
      <c r="C169" s="63"/>
      <c r="D169" s="11" t="s">
        <v>4</v>
      </c>
      <c r="E169" s="41">
        <f>E164-E167</f>
        <v>1475000</v>
      </c>
      <c r="F169" s="41"/>
      <c r="G169" s="10"/>
      <c r="H169" s="12"/>
      <c r="I169" s="12"/>
      <c r="J169" s="47"/>
      <c r="K169" s="47"/>
    </row>
    <row r="170" spans="1:11" ht="15.75">
      <c r="A170" s="13"/>
      <c r="B170" s="13"/>
      <c r="C170" s="10"/>
      <c r="D170" s="10"/>
      <c r="E170" s="16" t="str">
        <f>PROPER(IF(E169=0,"nol",IF(E169&lt;0,"minus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169),"000000000000000"),1,3)=0,"",MID(TEXT(ABS(E169),"000000000000000"),1,1)&amp;" ratus "&amp;MID(TEXT(ABS(E169),"000000000000000"),2,1)&amp;" puluh "&amp;MID(TEXT(ABS(E169),"000000000000000"),3,1)&amp;" trilyun ")&amp;IF(--MID(TEXT(ABS(E169),"000000000000000"),4,3)=0,"",MID(TEXT(ABS(E169),"000000000000000"),4,1)&amp;" ratus "&amp;MID(TEXT(ABS(E169),"000000000000000"),5,1)&amp;" puluh "&amp;MID(TEXT(ABS(E169),"000000000000000"),6,1)&amp;" milyar ")&amp;IF(--MID(TEXT(ABS(E169),"000000000000000"),7,3)=0,"",MID(TEXT(ABS(E169),"000000000000000"),7,1)&amp;" ratus "&amp;MID(TEXT(ABS(E169),"000000000000000"),8,1)&amp;" puluh "&amp;MID(TEXT(ABS(E169),"000000000000000"),9,1)&amp;" juta ")&amp;IF(--MID(TEXT(ABS(E169),"000000000000000"),10,3)=0,"",IF(--MID(TEXT(ABS(E169),"000000000000000"),10,3)=1,"*",MID(TEXT(ABS(E169),"000000000000000"),10,1)&amp;" ratus "&amp;MID(TEXT(ABS(E169),"000000000000000"),11,1)&amp;" puluh ")&amp;MID(TEXT(ABS(E169),"000000000000000"),12,1)&amp;" ribu ")&amp;IF(--MID(TEXT(ABS(E169),"000000000000000"),13,3)=0,"",MID(TEXT(ABS(E169),"000000000000000"),13,1)&amp;" ratus "&amp;MID(TEXT(ABS(E169),"000000000000000"),14,1)&amp;" puluh "&amp;MID(TEXT(ABS(E169),"000000000000000"),15,1)),1,"satu"),2,"dua"),3,"tiga"),4,"empat"),5,"lima"),6,"enam"),7,"tujuh"),8,"delapan"),9,"sembilan"),"0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Satu Juta Empat Ratus Tujuh Puluh Lima Ribu Rupiah</v>
      </c>
      <c r="F170" s="10"/>
      <c r="G170" s="10"/>
      <c r="H170" s="10"/>
      <c r="I170" s="10"/>
      <c r="J170" s="47"/>
      <c r="K170" s="47"/>
    </row>
    <row r="171" spans="1:11">
      <c r="A171" s="46"/>
      <c r="B171" s="46"/>
      <c r="C171" s="46"/>
      <c r="D171" s="46"/>
      <c r="E171" s="46"/>
      <c r="F171" s="46"/>
      <c r="G171" s="29"/>
      <c r="H171" s="47"/>
      <c r="I171" s="47"/>
      <c r="J171" s="47"/>
      <c r="K171" s="47"/>
    </row>
    <row r="172" spans="1:11">
      <c r="A172" s="29"/>
      <c r="B172" s="29"/>
      <c r="C172" s="29"/>
      <c r="D172" s="29"/>
      <c r="E172" s="29"/>
      <c r="F172" s="29"/>
      <c r="G172" s="29"/>
      <c r="H172"/>
      <c r="I172"/>
      <c r="J172" s="47"/>
      <c r="K172" s="47"/>
    </row>
    <row r="173" spans="1:11">
      <c r="A173" s="13"/>
      <c r="B173" s="13"/>
      <c r="C173" s="10"/>
      <c r="D173" s="10"/>
      <c r="E173" s="10"/>
      <c r="F173" s="10"/>
      <c r="G173" s="10"/>
      <c r="I173" s="48"/>
      <c r="J173" s="48" t="s">
        <v>47</v>
      </c>
      <c r="K173" s="47"/>
    </row>
    <row r="174" spans="1:11">
      <c r="A174" s="12" t="s">
        <v>33</v>
      </c>
      <c r="B174" s="10"/>
      <c r="C174" s="10"/>
      <c r="D174" s="10"/>
      <c r="E174" s="10"/>
      <c r="F174" s="10"/>
      <c r="G174" s="10"/>
      <c r="I174" s="12"/>
      <c r="J174" s="12" t="s">
        <v>34</v>
      </c>
      <c r="K174" s="47"/>
    </row>
    <row r="175" spans="1:11">
      <c r="A175" s="10"/>
      <c r="B175" s="10"/>
      <c r="C175" s="10"/>
      <c r="D175" s="10"/>
      <c r="E175" s="10"/>
      <c r="F175" s="10"/>
      <c r="G175" s="10"/>
      <c r="I175" s="12"/>
      <c r="J175" s="12"/>
      <c r="K175" s="47"/>
    </row>
    <row r="176" spans="1:11">
      <c r="A176" s="10"/>
      <c r="B176" s="10"/>
      <c r="C176" s="10"/>
      <c r="D176" s="10"/>
      <c r="E176" s="10"/>
      <c r="F176" s="10"/>
      <c r="G176" s="10"/>
      <c r="I176" s="12"/>
      <c r="J176" s="12"/>
      <c r="K176" s="47"/>
    </row>
    <row r="177" spans="1:11">
      <c r="A177" s="10"/>
      <c r="B177" s="10"/>
      <c r="C177" s="10"/>
      <c r="D177" s="10"/>
      <c r="E177" s="10"/>
      <c r="F177" s="10"/>
      <c r="G177" s="10"/>
      <c r="I177" s="12"/>
      <c r="J177" s="12"/>
      <c r="K177" s="47"/>
    </row>
    <row r="178" spans="1:11">
      <c r="A178" s="10"/>
      <c r="B178" s="10"/>
      <c r="C178" s="10"/>
      <c r="D178" s="10"/>
      <c r="E178" s="10"/>
      <c r="F178" s="10"/>
      <c r="G178" s="10"/>
      <c r="I178" s="12"/>
      <c r="J178" s="12"/>
      <c r="K178" s="47"/>
    </row>
    <row r="179" spans="1:11">
      <c r="A179" s="49" t="s">
        <v>38</v>
      </c>
      <c r="B179" s="49"/>
      <c r="C179" s="50"/>
      <c r="D179" s="50"/>
      <c r="E179" s="50"/>
      <c r="F179" s="50"/>
      <c r="G179" s="10" t="s">
        <v>35</v>
      </c>
      <c r="I179" s="49"/>
      <c r="J179" s="49" t="s">
        <v>36</v>
      </c>
      <c r="K179" s="47"/>
    </row>
    <row r="184" spans="1:11" ht="15.75">
      <c r="C184" s="2"/>
      <c r="D184" s="2"/>
      <c r="E184" s="2"/>
      <c r="F184" s="2"/>
    </row>
    <row r="185" spans="1:11" ht="15.75">
      <c r="A185" s="3"/>
      <c r="B185" s="3"/>
      <c r="C185" s="2"/>
      <c r="D185" s="2"/>
      <c r="E185" s="2"/>
      <c r="F185" s="2"/>
      <c r="G185" s="3"/>
      <c r="H185" s="4"/>
      <c r="I185" s="4"/>
      <c r="J185" s="4"/>
      <c r="K185" s="5"/>
    </row>
    <row r="186" spans="1:11">
      <c r="H186" s="5"/>
      <c r="I186" s="5"/>
      <c r="J186" s="5"/>
      <c r="K186" s="5"/>
    </row>
    <row r="187" spans="1:11">
      <c r="H187" s="5"/>
      <c r="I187" s="5"/>
      <c r="J187" s="5"/>
      <c r="K187" s="5"/>
    </row>
    <row r="188" spans="1:11">
      <c r="A188" s="64" t="s">
        <v>0</v>
      </c>
      <c r="B188" s="64"/>
      <c r="C188" s="58"/>
      <c r="D188" s="58"/>
      <c r="E188" s="58"/>
      <c r="F188" s="58"/>
      <c r="G188" s="58"/>
      <c r="H188" s="58"/>
      <c r="I188" s="58"/>
      <c r="J188" s="58"/>
      <c r="K188" s="58"/>
    </row>
    <row r="189" spans="1:11">
      <c r="A189" s="58" t="s">
        <v>48</v>
      </c>
      <c r="B189" s="58"/>
      <c r="C189" s="58"/>
      <c r="D189" s="58"/>
      <c r="E189" s="58"/>
      <c r="F189" s="58"/>
      <c r="G189" s="58"/>
      <c r="H189" s="58"/>
      <c r="I189" s="58"/>
      <c r="J189" s="58"/>
      <c r="K189" s="58"/>
    </row>
    <row r="190" spans="1:11">
      <c r="A190" s="58" t="s">
        <v>1</v>
      </c>
      <c r="B190" s="58"/>
      <c r="C190" s="58"/>
      <c r="D190" s="58"/>
      <c r="E190" s="58"/>
      <c r="F190" s="58"/>
      <c r="G190" s="58"/>
      <c r="H190" s="58"/>
      <c r="I190" s="58"/>
      <c r="J190" s="58"/>
      <c r="K190" s="58"/>
    </row>
    <row r="191" spans="1:11">
      <c r="A191" s="58" t="s">
        <v>39</v>
      </c>
      <c r="B191" s="58"/>
      <c r="C191" s="58"/>
      <c r="D191" s="58"/>
      <c r="E191" s="58"/>
      <c r="F191" s="58"/>
      <c r="G191" s="58"/>
      <c r="H191" s="58"/>
      <c r="I191" s="58"/>
      <c r="J191" s="58"/>
      <c r="K191" s="58"/>
    </row>
    <row r="192" spans="1:11">
      <c r="A192" s="58" t="s">
        <v>2</v>
      </c>
      <c r="B192" s="58"/>
      <c r="C192" s="58"/>
      <c r="D192" s="58"/>
      <c r="E192" s="58"/>
      <c r="F192" s="58"/>
      <c r="G192" s="58"/>
      <c r="H192" s="58"/>
      <c r="I192" s="58"/>
      <c r="J192" s="58"/>
      <c r="K192" s="58"/>
    </row>
    <row r="193" spans="1:11">
      <c r="A193" s="6"/>
      <c r="B193" s="6"/>
      <c r="C193" s="7"/>
      <c r="D193" s="7"/>
      <c r="E193" s="7"/>
      <c r="F193" s="7"/>
      <c r="G193" s="8"/>
      <c r="H193" s="9"/>
      <c r="I193" s="9"/>
      <c r="J193" s="9"/>
      <c r="K193" s="9"/>
    </row>
    <row r="194" spans="1:11">
      <c r="A194" s="53" t="s">
        <v>3</v>
      </c>
      <c r="B194" s="10"/>
      <c r="C194" s="10"/>
      <c r="D194" s="54" t="s">
        <v>4</v>
      </c>
      <c r="E194" s="10" t="s">
        <v>5</v>
      </c>
      <c r="F194" s="11"/>
      <c r="G194" s="10"/>
      <c r="H194" s="12"/>
      <c r="I194" s="12"/>
      <c r="J194" s="12"/>
      <c r="K194" s="9"/>
    </row>
    <row r="195" spans="1:11">
      <c r="A195" s="53" t="s">
        <v>6</v>
      </c>
      <c r="B195" s="10"/>
      <c r="C195" s="10"/>
      <c r="D195" s="54" t="s">
        <v>4</v>
      </c>
      <c r="E195" s="10" t="s">
        <v>7</v>
      </c>
      <c r="F195" s="11"/>
      <c r="G195" s="10"/>
      <c r="H195" s="12"/>
      <c r="I195" s="12"/>
      <c r="J195" s="12"/>
      <c r="K195" s="9"/>
    </row>
    <row r="196" spans="1:11">
      <c r="A196" s="53" t="s">
        <v>8</v>
      </c>
      <c r="B196" s="10"/>
      <c r="C196" s="10"/>
      <c r="D196" s="54" t="s">
        <v>4</v>
      </c>
      <c r="E196" s="13">
        <v>2026</v>
      </c>
      <c r="F196" s="11"/>
      <c r="G196" s="13"/>
      <c r="H196" s="12"/>
      <c r="I196" s="12"/>
      <c r="J196" s="12"/>
      <c r="K196" s="9"/>
    </row>
    <row r="197" spans="1:11">
      <c r="A197" s="53" t="s">
        <v>9</v>
      </c>
      <c r="B197" s="10"/>
      <c r="C197" s="10"/>
      <c r="D197" s="54" t="s">
        <v>4</v>
      </c>
      <c r="E197" s="14">
        <f>J207</f>
        <v>500894</v>
      </c>
      <c r="F197" s="11"/>
      <c r="G197" s="14"/>
      <c r="H197" s="12"/>
      <c r="I197" s="12"/>
      <c r="J197" s="12"/>
      <c r="K197" s="9"/>
    </row>
    <row r="198" spans="1:11" ht="15.75">
      <c r="A198" s="10"/>
      <c r="B198" s="10"/>
      <c r="C198" s="15" t="s">
        <v>10</v>
      </c>
      <c r="D198" s="54" t="s">
        <v>4</v>
      </c>
      <c r="E198" s="16" t="str">
        <f>PROPER(IF(E197=0,"nol",IF(E197&lt;0,"minus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197),"000000000000000"),1,3)=0,"",MID(TEXT(ABS(E197),"000000000000000"),1,1)&amp;" ratus "&amp;MID(TEXT(ABS(E197),"000000000000000"),2,1)&amp;" puluh "&amp;MID(TEXT(ABS(E197),"000000000000000"),3,1)&amp;" trilyun ")&amp;IF(--MID(TEXT(ABS(E197),"000000000000000"),4,3)=0,"",MID(TEXT(ABS(E197),"000000000000000"),4,1)&amp;" ratus "&amp;MID(TEXT(ABS(E197),"000000000000000"),5,1)&amp;" puluh "&amp;MID(TEXT(ABS(E197),"000000000000000"),6,1)&amp;" milyar ")&amp;IF(--MID(TEXT(ABS(E197),"000000000000000"),7,3)=0,"",MID(TEXT(ABS(E197),"000000000000000"),7,1)&amp;" ratus "&amp;MID(TEXT(ABS(E197),"000000000000000"),8,1)&amp;" puluh "&amp;MID(TEXT(ABS(E197),"000000000000000"),9,1)&amp;" juta ")&amp;IF(--MID(TEXT(ABS(E197),"000000000000000"),10,3)=0,"",IF(--MID(TEXT(ABS(E197),"000000000000000"),10,3)=1,"*",MID(TEXT(ABS(E197),"000000000000000"),10,1)&amp;" ratus "&amp;MID(TEXT(ABS(E197),"000000000000000"),11,1)&amp;" puluh ")&amp;MID(TEXT(ABS(E197),"000000000000000"),12,1)&amp;" ribu ")&amp;IF(--MID(TEXT(ABS(E197),"000000000000000"),13,3)=0,"",MID(TEXT(ABS(E197),"000000000000000"),13,1)&amp;" ratus "&amp;MID(TEXT(ABS(E197),"000000000000000"),14,1)&amp;" puluh "&amp;MID(TEXT(ABS(E197),"000000000000000"),15,1)),1,"satu"),2,"dua"),3,"tiga"),4,"empat"),5,"lima"),6,"enam"),7,"tujuh"),8,"delapan"),9,"sembilan"),"0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Lima Ratus Ribu Delapan Ratus Sembilan Puluh Empat Rupiah</v>
      </c>
      <c r="F198" s="11"/>
      <c r="G198" s="16"/>
      <c r="H198" s="12"/>
      <c r="I198" s="12"/>
      <c r="J198" s="12"/>
      <c r="K198" s="9"/>
    </row>
    <row r="199" spans="1:11" ht="15.75">
      <c r="A199" s="10"/>
      <c r="B199" s="10"/>
      <c r="C199" s="15"/>
      <c r="D199" s="15"/>
      <c r="E199" s="15"/>
      <c r="F199" s="11"/>
      <c r="G199" s="16"/>
      <c r="H199" s="12"/>
      <c r="I199" s="12"/>
      <c r="J199" s="12"/>
      <c r="K199" s="9"/>
    </row>
    <row r="200" spans="1:11">
      <c r="A200" s="10" t="s">
        <v>11</v>
      </c>
      <c r="B200" s="10"/>
      <c r="C200" s="10"/>
      <c r="D200" s="10"/>
      <c r="E200" s="10"/>
      <c r="F200" s="10"/>
      <c r="G200" s="10"/>
      <c r="H200" s="12"/>
      <c r="I200" s="12"/>
      <c r="J200" s="12"/>
      <c r="K200" s="9"/>
    </row>
    <row r="201" spans="1:11">
      <c r="A201" s="59" t="s">
        <v>12</v>
      </c>
      <c r="B201" s="59"/>
      <c r="C201" s="59"/>
      <c r="D201" s="59"/>
      <c r="E201" s="59"/>
      <c r="F201" s="59"/>
      <c r="G201" s="59"/>
      <c r="H201" s="59"/>
      <c r="I201" s="59"/>
      <c r="J201" s="59"/>
      <c r="K201" s="59"/>
    </row>
    <row r="202" spans="1:11" ht="60">
      <c r="A202" s="17" t="s">
        <v>13</v>
      </c>
      <c r="B202" s="18" t="s">
        <v>14</v>
      </c>
      <c r="C202" s="60" t="s">
        <v>15</v>
      </c>
      <c r="D202" s="61"/>
      <c r="E202" s="62"/>
      <c r="F202" s="19"/>
      <c r="G202" s="20" t="s">
        <v>16</v>
      </c>
      <c r="H202" s="21" t="s">
        <v>37</v>
      </c>
      <c r="I202" s="21"/>
      <c r="J202" s="31" t="s">
        <v>17</v>
      </c>
      <c r="K202" s="32" t="s">
        <v>18</v>
      </c>
    </row>
    <row r="203" spans="1:11">
      <c r="A203" s="27">
        <v>1</v>
      </c>
      <c r="B203" s="24"/>
      <c r="C203" s="28" t="s">
        <v>23</v>
      </c>
      <c r="D203" s="57"/>
      <c r="E203" s="26"/>
      <c r="F203" s="25"/>
      <c r="G203" s="55" t="s">
        <v>19</v>
      </c>
      <c r="H203" s="55" t="s">
        <v>19</v>
      </c>
      <c r="I203" s="55"/>
      <c r="J203" s="55" t="s">
        <v>19</v>
      </c>
      <c r="K203" s="55" t="s">
        <v>19</v>
      </c>
    </row>
    <row r="204" spans="1:11">
      <c r="A204" s="24"/>
      <c r="B204" s="56" t="s">
        <v>20</v>
      </c>
      <c r="C204" s="25" t="s">
        <v>24</v>
      </c>
      <c r="D204" s="10"/>
      <c r="E204" s="26"/>
      <c r="F204" s="25"/>
      <c r="G204" s="22">
        <v>75000000</v>
      </c>
      <c r="H204" s="23">
        <f>H159+J159</f>
        <v>3925000</v>
      </c>
      <c r="I204" s="23"/>
      <c r="J204" s="33">
        <v>500894</v>
      </c>
      <c r="K204" s="34">
        <f>G204-H204-J204</f>
        <v>70574106</v>
      </c>
    </row>
    <row r="205" spans="1:11">
      <c r="A205" s="24"/>
      <c r="B205" s="56" t="s">
        <v>21</v>
      </c>
      <c r="C205" s="25" t="s">
        <v>25</v>
      </c>
      <c r="D205" s="10"/>
      <c r="E205" s="26"/>
      <c r="F205" s="25"/>
      <c r="G205" s="22">
        <v>30000000</v>
      </c>
      <c r="H205" s="23">
        <f t="shared" ref="H205:H206" si="6">H160+J160</f>
        <v>0</v>
      </c>
      <c r="I205" s="23"/>
      <c r="J205" s="33">
        <v>0</v>
      </c>
      <c r="K205" s="34">
        <f t="shared" ref="K205:K206" si="7">G205-H205-J205</f>
        <v>30000000</v>
      </c>
    </row>
    <row r="206" spans="1:11">
      <c r="A206" s="24"/>
      <c r="B206" s="56" t="s">
        <v>22</v>
      </c>
      <c r="C206" s="25" t="s">
        <v>26</v>
      </c>
      <c r="D206" s="10"/>
      <c r="E206" s="26"/>
      <c r="F206" s="25"/>
      <c r="G206" s="22">
        <v>50000000</v>
      </c>
      <c r="H206" s="23">
        <f t="shared" si="6"/>
        <v>0</v>
      </c>
      <c r="I206" s="23"/>
      <c r="J206" s="33">
        <v>0</v>
      </c>
      <c r="K206" s="34">
        <f t="shared" si="7"/>
        <v>50000000</v>
      </c>
    </row>
    <row r="207" spans="1:11">
      <c r="A207" s="35"/>
      <c r="B207" s="35"/>
      <c r="C207" s="35" t="s">
        <v>27</v>
      </c>
      <c r="D207" s="35"/>
      <c r="E207" s="35"/>
      <c r="F207" s="36"/>
      <c r="G207" s="37">
        <f>SUM(G203:G206)</f>
        <v>155000000</v>
      </c>
      <c r="H207" s="38">
        <f>SUM(H203:H206)</f>
        <v>3925000</v>
      </c>
      <c r="I207" s="38"/>
      <c r="J207" s="38">
        <f>SUM(J203:J206)</f>
        <v>500894</v>
      </c>
      <c r="K207" s="38">
        <f>SUM(K203:K206)</f>
        <v>150574106</v>
      </c>
    </row>
    <row r="208" spans="1:11">
      <c r="A208" s="39"/>
      <c r="B208" s="8"/>
      <c r="C208" s="8"/>
      <c r="D208" s="8"/>
      <c r="E208" s="8"/>
      <c r="F208" s="8"/>
      <c r="G208" s="40"/>
      <c r="H208" s="40"/>
      <c r="I208" s="40"/>
      <c r="J208" s="40"/>
      <c r="K208" s="40"/>
    </row>
    <row r="209" spans="1:11">
      <c r="A209" s="63" t="s">
        <v>28</v>
      </c>
      <c r="B209" s="63"/>
      <c r="C209" s="63"/>
      <c r="D209" s="11" t="s">
        <v>4</v>
      </c>
      <c r="E209" s="14">
        <f>J207</f>
        <v>500894</v>
      </c>
      <c r="F209" s="41"/>
      <c r="G209" s="42"/>
      <c r="H209" s="42"/>
      <c r="I209" s="42"/>
      <c r="J209" s="9"/>
      <c r="K209" s="9"/>
    </row>
    <row r="210" spans="1:11">
      <c r="A210" s="10" t="s">
        <v>29</v>
      </c>
      <c r="B210" s="10"/>
      <c r="C210" s="10"/>
      <c r="D210" s="11" t="s">
        <v>4</v>
      </c>
      <c r="E210" s="43"/>
      <c r="F210" s="43"/>
      <c r="G210" s="44"/>
      <c r="H210" s="12"/>
      <c r="I210" s="12"/>
      <c r="J210" s="9"/>
      <c r="K210" s="9"/>
    </row>
    <row r="211" spans="1:11">
      <c r="A211" s="10" t="s">
        <v>30</v>
      </c>
      <c r="B211" s="10"/>
      <c r="C211" s="10"/>
      <c r="D211" s="11" t="s">
        <v>4</v>
      </c>
      <c r="E211" s="45"/>
      <c r="F211" s="45"/>
      <c r="G211" s="44"/>
      <c r="H211" s="12"/>
      <c r="I211" s="12"/>
      <c r="J211" s="9"/>
      <c r="K211" s="9"/>
    </row>
    <row r="212" spans="1:11">
      <c r="A212" s="10" t="s">
        <v>31</v>
      </c>
      <c r="B212" s="10"/>
      <c r="C212" s="10"/>
      <c r="D212" s="11" t="s">
        <v>4</v>
      </c>
      <c r="E212" s="45">
        <f>E210+E211</f>
        <v>0</v>
      </c>
      <c r="F212" s="45"/>
      <c r="G212" s="10"/>
      <c r="H212" s="12"/>
      <c r="I212" s="12"/>
      <c r="J212" s="47"/>
      <c r="K212" s="47"/>
    </row>
    <row r="213" spans="1:11">
      <c r="A213" s="13"/>
      <c r="B213" s="13"/>
      <c r="C213" s="13"/>
      <c r="D213" s="11"/>
      <c r="E213" s="13"/>
      <c r="F213" s="13"/>
      <c r="G213" s="10"/>
      <c r="H213" s="12"/>
      <c r="I213" s="12"/>
      <c r="J213" s="47"/>
      <c r="K213" s="47"/>
    </row>
    <row r="214" spans="1:11">
      <c r="A214" s="63" t="s">
        <v>32</v>
      </c>
      <c r="B214" s="63"/>
      <c r="C214" s="63"/>
      <c r="D214" s="11" t="s">
        <v>4</v>
      </c>
      <c r="E214" s="41">
        <f>E209-E212</f>
        <v>500894</v>
      </c>
      <c r="F214" s="41"/>
      <c r="G214" s="10"/>
      <c r="H214" s="12"/>
      <c r="I214" s="12"/>
      <c r="J214" s="47"/>
      <c r="K214" s="47"/>
    </row>
    <row r="215" spans="1:11" ht="15.75">
      <c r="A215" s="13"/>
      <c r="B215" s="13"/>
      <c r="C215" s="10"/>
      <c r="D215" s="10"/>
      <c r="E215" s="16" t="str">
        <f>PROPER(IF(E214=0,"nol",IF(E214&lt;0,"minus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214),"000000000000000"),1,3)=0,"",MID(TEXT(ABS(E214),"000000000000000"),1,1)&amp;" ratus "&amp;MID(TEXT(ABS(E214),"000000000000000"),2,1)&amp;" puluh "&amp;MID(TEXT(ABS(E214),"000000000000000"),3,1)&amp;" trilyun ")&amp;IF(--MID(TEXT(ABS(E214),"000000000000000"),4,3)=0,"",MID(TEXT(ABS(E214),"000000000000000"),4,1)&amp;" ratus "&amp;MID(TEXT(ABS(E214),"000000000000000"),5,1)&amp;" puluh "&amp;MID(TEXT(ABS(E214),"000000000000000"),6,1)&amp;" milyar ")&amp;IF(--MID(TEXT(ABS(E214),"000000000000000"),7,3)=0,"",MID(TEXT(ABS(E214),"000000000000000"),7,1)&amp;" ratus "&amp;MID(TEXT(ABS(E214),"000000000000000"),8,1)&amp;" puluh "&amp;MID(TEXT(ABS(E214),"000000000000000"),9,1)&amp;" juta ")&amp;IF(--MID(TEXT(ABS(E214),"000000000000000"),10,3)=0,"",IF(--MID(TEXT(ABS(E214),"000000000000000"),10,3)=1,"*",MID(TEXT(ABS(E214),"000000000000000"),10,1)&amp;" ratus "&amp;MID(TEXT(ABS(E214),"000000000000000"),11,1)&amp;" puluh ")&amp;MID(TEXT(ABS(E214),"000000000000000"),12,1)&amp;" ribu ")&amp;IF(--MID(TEXT(ABS(E214),"000000000000000"),13,3)=0,"",MID(TEXT(ABS(E214),"000000000000000"),13,1)&amp;" ratus "&amp;MID(TEXT(ABS(E214),"000000000000000"),14,1)&amp;" puluh "&amp;MID(TEXT(ABS(E214),"000000000000000"),15,1)),1,"satu"),2,"dua"),3,"tiga"),4,"empat"),5,"lima"),6,"enam"),7,"tujuh"),8,"delapan"),9,"sembilan"),"0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Lima Ratus Ribu Delapan Ratus Sembilan Puluh Empat Rupiah</v>
      </c>
      <c r="F215" s="10"/>
      <c r="G215" s="10"/>
      <c r="H215" s="10"/>
      <c r="I215" s="10"/>
      <c r="J215" s="47"/>
      <c r="K215" s="47"/>
    </row>
    <row r="216" spans="1:11">
      <c r="A216" s="46"/>
      <c r="B216" s="46"/>
      <c r="C216" s="46"/>
      <c r="D216" s="46"/>
      <c r="E216" s="46"/>
      <c r="F216" s="46"/>
      <c r="G216" s="29"/>
      <c r="H216" s="47"/>
      <c r="I216" s="47"/>
      <c r="J216" s="47"/>
      <c r="K216" s="47"/>
    </row>
    <row r="217" spans="1:11">
      <c r="A217" s="29"/>
      <c r="B217" s="29"/>
      <c r="C217" s="29"/>
      <c r="D217" s="29"/>
      <c r="E217" s="29"/>
      <c r="F217" s="29"/>
      <c r="G217" s="29"/>
      <c r="H217"/>
      <c r="I217"/>
      <c r="J217" s="47"/>
      <c r="K217" s="47"/>
    </row>
    <row r="218" spans="1:11">
      <c r="A218" s="13"/>
      <c r="B218" s="13"/>
      <c r="C218" s="10"/>
      <c r="D218" s="10"/>
      <c r="E218" s="10"/>
      <c r="F218" s="10"/>
      <c r="G218" s="10"/>
      <c r="I218" s="48"/>
      <c r="J218" s="48" t="s">
        <v>47</v>
      </c>
      <c r="K218" s="47"/>
    </row>
    <row r="219" spans="1:11">
      <c r="A219" s="12" t="s">
        <v>33</v>
      </c>
      <c r="B219" s="10"/>
      <c r="C219" s="10"/>
      <c r="D219" s="10"/>
      <c r="E219" s="10"/>
      <c r="F219" s="10"/>
      <c r="G219" s="10"/>
      <c r="I219" s="12"/>
      <c r="J219" s="12" t="s">
        <v>34</v>
      </c>
      <c r="K219" s="47"/>
    </row>
    <row r="220" spans="1:11">
      <c r="A220" s="10"/>
      <c r="B220" s="10"/>
      <c r="C220" s="10"/>
      <c r="D220" s="10"/>
      <c r="E220" s="10"/>
      <c r="F220" s="10"/>
      <c r="G220" s="10"/>
      <c r="I220" s="12"/>
      <c r="J220" s="12"/>
      <c r="K220" s="47"/>
    </row>
    <row r="221" spans="1:11">
      <c r="A221" s="10"/>
      <c r="B221" s="10"/>
      <c r="C221" s="10"/>
      <c r="D221" s="10"/>
      <c r="E221" s="10"/>
      <c r="F221" s="10"/>
      <c r="G221" s="10"/>
      <c r="I221" s="12"/>
      <c r="J221" s="12"/>
      <c r="K221" s="47"/>
    </row>
    <row r="222" spans="1:11">
      <c r="A222" s="10"/>
      <c r="B222" s="10"/>
      <c r="C222" s="10"/>
      <c r="D222" s="10"/>
      <c r="E222" s="10"/>
      <c r="F222" s="10"/>
      <c r="G222" s="10"/>
      <c r="I222" s="12"/>
      <c r="J222" s="12"/>
      <c r="K222" s="47"/>
    </row>
    <row r="223" spans="1:11">
      <c r="A223" s="10"/>
      <c r="B223" s="10"/>
      <c r="C223" s="10"/>
      <c r="D223" s="10"/>
      <c r="E223" s="10"/>
      <c r="F223" s="10"/>
      <c r="G223" s="10"/>
      <c r="I223" s="12"/>
      <c r="J223" s="12"/>
      <c r="K223" s="47"/>
    </row>
    <row r="224" spans="1:11">
      <c r="A224" s="49" t="s">
        <v>38</v>
      </c>
      <c r="B224" s="49"/>
      <c r="C224" s="50"/>
      <c r="D224" s="50"/>
      <c r="E224" s="50"/>
      <c r="F224" s="50"/>
      <c r="G224" s="10" t="s">
        <v>35</v>
      </c>
      <c r="I224" s="49"/>
      <c r="J224" s="49" t="s">
        <v>36</v>
      </c>
      <c r="K224" s="47"/>
    </row>
    <row r="229" spans="1:11" ht="15.75">
      <c r="C229" s="2"/>
      <c r="D229" s="2"/>
      <c r="E229" s="2"/>
      <c r="F229" s="2"/>
    </row>
    <row r="230" spans="1:11" ht="15.75">
      <c r="A230" s="3"/>
      <c r="B230" s="3"/>
      <c r="C230" s="2"/>
      <c r="D230" s="2"/>
      <c r="E230" s="2"/>
      <c r="F230" s="2"/>
      <c r="G230" s="3"/>
      <c r="H230" s="4"/>
      <c r="I230" s="4"/>
      <c r="J230" s="4"/>
      <c r="K230" s="5"/>
    </row>
    <row r="231" spans="1:11">
      <c r="H231" s="5"/>
      <c r="I231" s="5"/>
      <c r="J231" s="5"/>
      <c r="K231" s="5"/>
    </row>
    <row r="232" spans="1:11">
      <c r="H232" s="5"/>
      <c r="I232" s="5"/>
      <c r="J232" s="5"/>
      <c r="K232" s="5"/>
    </row>
    <row r="233" spans="1:11">
      <c r="A233" s="64" t="s">
        <v>0</v>
      </c>
      <c r="B233" s="64"/>
      <c r="C233" s="58"/>
      <c r="D233" s="58"/>
      <c r="E233" s="58"/>
      <c r="F233" s="58"/>
      <c r="G233" s="58"/>
      <c r="H233" s="58"/>
      <c r="I233" s="58"/>
      <c r="J233" s="58"/>
      <c r="K233" s="58"/>
    </row>
    <row r="234" spans="1:11">
      <c r="A234" s="58" t="s">
        <v>49</v>
      </c>
      <c r="B234" s="58"/>
      <c r="C234" s="58"/>
      <c r="D234" s="58"/>
      <c r="E234" s="58"/>
      <c r="F234" s="58"/>
      <c r="G234" s="58"/>
      <c r="H234" s="58"/>
      <c r="I234" s="58"/>
      <c r="J234" s="58"/>
      <c r="K234" s="58"/>
    </row>
    <row r="235" spans="1:11">
      <c r="A235" s="58" t="s">
        <v>1</v>
      </c>
      <c r="B235" s="58"/>
      <c r="C235" s="58"/>
      <c r="D235" s="58"/>
      <c r="E235" s="58"/>
      <c r="F235" s="58"/>
      <c r="G235" s="58"/>
      <c r="H235" s="58"/>
      <c r="I235" s="58"/>
      <c r="J235" s="58"/>
      <c r="K235" s="58"/>
    </row>
    <row r="236" spans="1:11">
      <c r="A236" s="58" t="s">
        <v>39</v>
      </c>
      <c r="B236" s="58"/>
      <c r="C236" s="58"/>
      <c r="D236" s="58"/>
      <c r="E236" s="58"/>
      <c r="F236" s="58"/>
      <c r="G236" s="58"/>
      <c r="H236" s="58"/>
      <c r="I236" s="58"/>
      <c r="J236" s="58"/>
      <c r="K236" s="58"/>
    </row>
    <row r="237" spans="1:11">
      <c r="A237" s="58" t="s">
        <v>2</v>
      </c>
      <c r="B237" s="58"/>
      <c r="C237" s="58"/>
      <c r="D237" s="58"/>
      <c r="E237" s="58"/>
      <c r="F237" s="58"/>
      <c r="G237" s="58"/>
      <c r="H237" s="58"/>
      <c r="I237" s="58"/>
      <c r="J237" s="58"/>
      <c r="K237" s="58"/>
    </row>
    <row r="238" spans="1:11">
      <c r="A238" s="6"/>
      <c r="B238" s="6"/>
      <c r="C238" s="7"/>
      <c r="D238" s="7"/>
      <c r="E238" s="7"/>
      <c r="F238" s="7"/>
      <c r="G238" s="8"/>
      <c r="H238" s="9"/>
      <c r="I238" s="9"/>
      <c r="J238" s="9"/>
      <c r="K238" s="9"/>
    </row>
    <row r="239" spans="1:11">
      <c r="A239" s="53" t="s">
        <v>3</v>
      </c>
      <c r="B239" s="10"/>
      <c r="C239" s="10"/>
      <c r="D239" s="54" t="s">
        <v>4</v>
      </c>
      <c r="E239" s="10" t="s">
        <v>5</v>
      </c>
      <c r="F239" s="11"/>
      <c r="G239" s="10"/>
      <c r="H239" s="12"/>
      <c r="I239" s="12"/>
      <c r="J239" s="12"/>
      <c r="K239" s="9"/>
    </row>
    <row r="240" spans="1:11">
      <c r="A240" s="53" t="s">
        <v>6</v>
      </c>
      <c r="B240" s="10"/>
      <c r="C240" s="10"/>
      <c r="D240" s="54" t="s">
        <v>4</v>
      </c>
      <c r="E240" s="10" t="s">
        <v>7</v>
      </c>
      <c r="F240" s="11"/>
      <c r="G240" s="10"/>
      <c r="H240" s="12"/>
      <c r="I240" s="12"/>
      <c r="J240" s="12"/>
      <c r="K240" s="9"/>
    </row>
    <row r="241" spans="1:11">
      <c r="A241" s="53" t="s">
        <v>8</v>
      </c>
      <c r="B241" s="10"/>
      <c r="C241" s="10"/>
      <c r="D241" s="54" t="s">
        <v>4</v>
      </c>
      <c r="E241" s="13">
        <v>2026</v>
      </c>
      <c r="F241" s="11"/>
      <c r="G241" s="13"/>
      <c r="H241" s="12"/>
      <c r="I241" s="12"/>
      <c r="J241" s="12"/>
      <c r="K241" s="9"/>
    </row>
    <row r="242" spans="1:11">
      <c r="A242" s="53" t="s">
        <v>9</v>
      </c>
      <c r="B242" s="10"/>
      <c r="C242" s="10"/>
      <c r="D242" s="54" t="s">
        <v>4</v>
      </c>
      <c r="E242" s="14">
        <f>J252</f>
        <v>3000000</v>
      </c>
      <c r="F242" s="11"/>
      <c r="G242" s="14"/>
      <c r="H242" s="12"/>
      <c r="I242" s="12"/>
      <c r="J242" s="12"/>
      <c r="K242" s="9"/>
    </row>
    <row r="243" spans="1:11" ht="15.75">
      <c r="A243" s="10"/>
      <c r="B243" s="10"/>
      <c r="C243" s="15" t="s">
        <v>10</v>
      </c>
      <c r="D243" s="54" t="s">
        <v>4</v>
      </c>
      <c r="E243" s="16" t="str">
        <f>PROPER(IF(E242=0,"nol",IF(E242&lt;0,"minus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242),"000000000000000"),1,3)=0,"",MID(TEXT(ABS(E242),"000000000000000"),1,1)&amp;" ratus "&amp;MID(TEXT(ABS(E242),"000000000000000"),2,1)&amp;" puluh "&amp;MID(TEXT(ABS(E242),"000000000000000"),3,1)&amp;" trilyun ")&amp;IF(--MID(TEXT(ABS(E242),"000000000000000"),4,3)=0,"",MID(TEXT(ABS(E242),"000000000000000"),4,1)&amp;" ratus "&amp;MID(TEXT(ABS(E242),"000000000000000"),5,1)&amp;" puluh "&amp;MID(TEXT(ABS(E242),"000000000000000"),6,1)&amp;" milyar ")&amp;IF(--MID(TEXT(ABS(E242),"000000000000000"),7,3)=0,"",MID(TEXT(ABS(E242),"000000000000000"),7,1)&amp;" ratus "&amp;MID(TEXT(ABS(E242),"000000000000000"),8,1)&amp;" puluh "&amp;MID(TEXT(ABS(E242),"000000000000000"),9,1)&amp;" juta ")&amp;IF(--MID(TEXT(ABS(E242),"000000000000000"),10,3)=0,"",IF(--MID(TEXT(ABS(E242),"000000000000000"),10,3)=1,"*",MID(TEXT(ABS(E242),"000000000000000"),10,1)&amp;" ratus "&amp;MID(TEXT(ABS(E242),"000000000000000"),11,1)&amp;" puluh ")&amp;MID(TEXT(ABS(E242),"000000000000000"),12,1)&amp;" ribu ")&amp;IF(--MID(TEXT(ABS(E242),"000000000000000"),13,3)=0,"",MID(TEXT(ABS(E242),"000000000000000"),13,1)&amp;" ratus "&amp;MID(TEXT(ABS(E242),"000000000000000"),14,1)&amp;" puluh "&amp;MID(TEXT(ABS(E242),"000000000000000"),15,1)),1,"satu"),2,"dua"),3,"tiga"),4,"empat"),5,"lima"),6,"enam"),7,"tujuh"),8,"delapan"),9,"sembilan"),"0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Tiga Juta Rupiah</v>
      </c>
      <c r="F243" s="11"/>
      <c r="G243" s="16"/>
      <c r="H243" s="12"/>
      <c r="I243" s="12"/>
      <c r="J243" s="12"/>
      <c r="K243" s="9"/>
    </row>
    <row r="244" spans="1:11" ht="15.75">
      <c r="A244" s="10"/>
      <c r="B244" s="10"/>
      <c r="C244" s="15"/>
      <c r="D244" s="15"/>
      <c r="E244" s="15"/>
      <c r="F244" s="11"/>
      <c r="G244" s="16"/>
      <c r="H244" s="12"/>
      <c r="I244" s="12"/>
      <c r="J244" s="12"/>
      <c r="K244" s="9"/>
    </row>
    <row r="245" spans="1:11">
      <c r="A245" s="10" t="s">
        <v>11</v>
      </c>
      <c r="B245" s="10"/>
      <c r="C245" s="10"/>
      <c r="D245" s="10"/>
      <c r="E245" s="10"/>
      <c r="F245" s="10"/>
      <c r="G245" s="10"/>
      <c r="H245" s="12"/>
      <c r="I245" s="12"/>
      <c r="J245" s="12"/>
      <c r="K245" s="9"/>
    </row>
    <row r="246" spans="1:11">
      <c r="A246" s="59" t="s">
        <v>12</v>
      </c>
      <c r="B246" s="59"/>
      <c r="C246" s="59"/>
      <c r="D246" s="59"/>
      <c r="E246" s="59"/>
      <c r="F246" s="59"/>
      <c r="G246" s="59"/>
      <c r="H246" s="59"/>
      <c r="I246" s="59"/>
      <c r="J246" s="59"/>
      <c r="K246" s="59"/>
    </row>
    <row r="247" spans="1:11" ht="60">
      <c r="A247" s="17" t="s">
        <v>13</v>
      </c>
      <c r="B247" s="18" t="s">
        <v>14</v>
      </c>
      <c r="C247" s="60" t="s">
        <v>15</v>
      </c>
      <c r="D247" s="61"/>
      <c r="E247" s="62"/>
      <c r="F247" s="19"/>
      <c r="G247" s="20" t="s">
        <v>16</v>
      </c>
      <c r="H247" s="21" t="s">
        <v>37</v>
      </c>
      <c r="I247" s="21"/>
      <c r="J247" s="31" t="s">
        <v>17</v>
      </c>
      <c r="K247" s="32" t="s">
        <v>18</v>
      </c>
    </row>
    <row r="248" spans="1:11">
      <c r="A248" s="27">
        <v>1</v>
      </c>
      <c r="B248" s="24"/>
      <c r="C248" s="28" t="s">
        <v>23</v>
      </c>
      <c r="D248" s="57"/>
      <c r="E248" s="26"/>
      <c r="F248" s="25"/>
      <c r="G248" s="55" t="s">
        <v>19</v>
      </c>
      <c r="H248" s="55" t="s">
        <v>19</v>
      </c>
      <c r="I248" s="55"/>
      <c r="J248" s="55" t="s">
        <v>19</v>
      </c>
      <c r="K248" s="55" t="s">
        <v>19</v>
      </c>
    </row>
    <row r="249" spans="1:11">
      <c r="A249" s="24"/>
      <c r="B249" s="56" t="s">
        <v>20</v>
      </c>
      <c r="C249" s="25" t="s">
        <v>24</v>
      </c>
      <c r="D249" s="10"/>
      <c r="E249" s="26"/>
      <c r="F249" s="25"/>
      <c r="G249" s="22">
        <v>75000000</v>
      </c>
      <c r="H249" s="23">
        <f>H204+J204</f>
        <v>4425894</v>
      </c>
      <c r="I249" s="23"/>
      <c r="J249" s="33">
        <v>3000000</v>
      </c>
      <c r="K249" s="34">
        <f>G249-H249-J249</f>
        <v>67574106</v>
      </c>
    </row>
    <row r="250" spans="1:11">
      <c r="A250" s="24"/>
      <c r="B250" s="56" t="s">
        <v>21</v>
      </c>
      <c r="C250" s="25" t="s">
        <v>25</v>
      </c>
      <c r="D250" s="10"/>
      <c r="E250" s="26"/>
      <c r="F250" s="25"/>
      <c r="G250" s="22">
        <v>30000000</v>
      </c>
      <c r="H250" s="23">
        <f t="shared" ref="H250:H251" si="8">H205+J205</f>
        <v>0</v>
      </c>
      <c r="I250" s="23"/>
      <c r="J250" s="33">
        <v>0</v>
      </c>
      <c r="K250" s="34">
        <f t="shared" ref="K250:K251" si="9">G250-H250-J250</f>
        <v>30000000</v>
      </c>
    </row>
    <row r="251" spans="1:11">
      <c r="A251" s="24"/>
      <c r="B251" s="56" t="s">
        <v>22</v>
      </c>
      <c r="C251" s="25" t="s">
        <v>26</v>
      </c>
      <c r="D251" s="10"/>
      <c r="E251" s="26"/>
      <c r="F251" s="25"/>
      <c r="G251" s="22">
        <v>50000000</v>
      </c>
      <c r="H251" s="23">
        <f t="shared" si="8"/>
        <v>0</v>
      </c>
      <c r="I251" s="23"/>
      <c r="J251" s="33">
        <v>0</v>
      </c>
      <c r="K251" s="34">
        <f t="shared" si="9"/>
        <v>50000000</v>
      </c>
    </row>
    <row r="252" spans="1:11">
      <c r="A252" s="35"/>
      <c r="B252" s="35"/>
      <c r="C252" s="35" t="s">
        <v>27</v>
      </c>
      <c r="D252" s="35"/>
      <c r="E252" s="35"/>
      <c r="F252" s="36"/>
      <c r="G252" s="37">
        <f>SUM(G248:G251)</f>
        <v>155000000</v>
      </c>
      <c r="H252" s="38">
        <f>SUM(H248:H251)</f>
        <v>4425894</v>
      </c>
      <c r="I252" s="38"/>
      <c r="J252" s="38">
        <f>SUM(J248:J251)</f>
        <v>3000000</v>
      </c>
      <c r="K252" s="38">
        <f>SUM(K248:K251)</f>
        <v>147574106</v>
      </c>
    </row>
    <row r="253" spans="1:11">
      <c r="A253" s="39"/>
      <c r="B253" s="8"/>
      <c r="C253" s="8"/>
      <c r="D253" s="8"/>
      <c r="E253" s="8"/>
      <c r="F253" s="8"/>
      <c r="G253" s="40"/>
      <c r="H253" s="40"/>
      <c r="I253" s="40"/>
      <c r="J253" s="40"/>
      <c r="K253" s="40"/>
    </row>
    <row r="254" spans="1:11">
      <c r="A254" s="63" t="s">
        <v>28</v>
      </c>
      <c r="B254" s="63"/>
      <c r="C254" s="63"/>
      <c r="D254" s="11" t="s">
        <v>4</v>
      </c>
      <c r="E254" s="14">
        <f>J252</f>
        <v>3000000</v>
      </c>
      <c r="F254" s="41"/>
      <c r="G254" s="42"/>
      <c r="H254" s="42"/>
      <c r="I254" s="42"/>
      <c r="J254" s="9"/>
      <c r="K254" s="9"/>
    </row>
    <row r="255" spans="1:11">
      <c r="A255" s="10" t="s">
        <v>29</v>
      </c>
      <c r="B255" s="10"/>
      <c r="C255" s="10"/>
      <c r="D255" s="11" t="s">
        <v>4</v>
      </c>
      <c r="E255" s="43"/>
      <c r="F255" s="43"/>
      <c r="G255" s="44"/>
      <c r="H255" s="12"/>
      <c r="I255" s="12"/>
      <c r="J255" s="9"/>
      <c r="K255" s="9"/>
    </row>
    <row r="256" spans="1:11">
      <c r="A256" s="10" t="s">
        <v>30</v>
      </c>
      <c r="B256" s="10"/>
      <c r="C256" s="10"/>
      <c r="D256" s="11" t="s">
        <v>4</v>
      </c>
      <c r="E256" s="45"/>
      <c r="F256" s="45"/>
      <c r="G256" s="44"/>
      <c r="H256" s="12"/>
      <c r="I256" s="12"/>
      <c r="J256" s="9"/>
      <c r="K256" s="9"/>
    </row>
    <row r="257" spans="1:11">
      <c r="A257" s="10" t="s">
        <v>31</v>
      </c>
      <c r="B257" s="10"/>
      <c r="C257" s="10"/>
      <c r="D257" s="11" t="s">
        <v>4</v>
      </c>
      <c r="E257" s="45">
        <f>E255+E256</f>
        <v>0</v>
      </c>
      <c r="F257" s="45"/>
      <c r="G257" s="10"/>
      <c r="H257" s="12"/>
      <c r="I257" s="12"/>
      <c r="J257" s="47"/>
      <c r="K257" s="47"/>
    </row>
    <row r="258" spans="1:11">
      <c r="A258" s="13"/>
      <c r="B258" s="13"/>
      <c r="C258" s="13"/>
      <c r="D258" s="11"/>
      <c r="E258" s="13"/>
      <c r="F258" s="13"/>
      <c r="G258" s="10"/>
      <c r="H258" s="12"/>
      <c r="I258" s="12"/>
      <c r="J258" s="47"/>
      <c r="K258" s="47"/>
    </row>
    <row r="259" spans="1:11">
      <c r="A259" s="63" t="s">
        <v>32</v>
      </c>
      <c r="B259" s="63"/>
      <c r="C259" s="63"/>
      <c r="D259" s="11" t="s">
        <v>4</v>
      </c>
      <c r="E259" s="41">
        <f>E254-E257</f>
        <v>3000000</v>
      </c>
      <c r="F259" s="41"/>
      <c r="G259" s="10"/>
      <c r="H259" s="12"/>
      <c r="I259" s="12"/>
      <c r="J259" s="47"/>
      <c r="K259" s="47"/>
    </row>
    <row r="260" spans="1:11" ht="15.75">
      <c r="A260" s="13"/>
      <c r="B260" s="13"/>
      <c r="C260" s="10"/>
      <c r="D260" s="10"/>
      <c r="E260" s="16" t="str">
        <f>PROPER(IF(E259=0,"nol",IF(E259&lt;0,"minus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259),"000000000000000"),1,3)=0,"",MID(TEXT(ABS(E259),"000000000000000"),1,1)&amp;" ratus "&amp;MID(TEXT(ABS(E259),"000000000000000"),2,1)&amp;" puluh "&amp;MID(TEXT(ABS(E259),"000000000000000"),3,1)&amp;" trilyun ")&amp;IF(--MID(TEXT(ABS(E259),"000000000000000"),4,3)=0,"",MID(TEXT(ABS(E259),"000000000000000"),4,1)&amp;" ratus "&amp;MID(TEXT(ABS(E259),"000000000000000"),5,1)&amp;" puluh "&amp;MID(TEXT(ABS(E259),"000000000000000"),6,1)&amp;" milyar ")&amp;IF(--MID(TEXT(ABS(E259),"000000000000000"),7,3)=0,"",MID(TEXT(ABS(E259),"000000000000000"),7,1)&amp;" ratus "&amp;MID(TEXT(ABS(E259),"000000000000000"),8,1)&amp;" puluh "&amp;MID(TEXT(ABS(E259),"000000000000000"),9,1)&amp;" juta ")&amp;IF(--MID(TEXT(ABS(E259),"000000000000000"),10,3)=0,"",IF(--MID(TEXT(ABS(E259),"000000000000000"),10,3)=1,"*",MID(TEXT(ABS(E259),"000000000000000"),10,1)&amp;" ratus "&amp;MID(TEXT(ABS(E259),"000000000000000"),11,1)&amp;" puluh ")&amp;MID(TEXT(ABS(E259),"000000000000000"),12,1)&amp;" ribu ")&amp;IF(--MID(TEXT(ABS(E259),"000000000000000"),13,3)=0,"",MID(TEXT(ABS(E259),"000000000000000"),13,1)&amp;" ratus "&amp;MID(TEXT(ABS(E259),"000000000000000"),14,1)&amp;" puluh "&amp;MID(TEXT(ABS(E259),"000000000000000"),15,1)),1,"satu"),2,"dua"),3,"tiga"),4,"empat"),5,"lima"),6,"enam"),7,"tujuh"),8,"delapan"),9,"sembilan"),"0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Tiga Juta Rupiah</v>
      </c>
      <c r="F260" s="10"/>
      <c r="G260" s="10"/>
      <c r="H260" s="10"/>
      <c r="I260" s="10"/>
      <c r="J260" s="47"/>
      <c r="K260" s="47"/>
    </row>
    <row r="261" spans="1:11">
      <c r="A261" s="46"/>
      <c r="B261" s="46"/>
      <c r="C261" s="46"/>
      <c r="D261" s="46"/>
      <c r="E261" s="46"/>
      <c r="F261" s="46"/>
      <c r="G261" s="29"/>
      <c r="H261" s="47"/>
      <c r="I261" s="47"/>
      <c r="J261" s="47"/>
      <c r="K261" s="47"/>
    </row>
    <row r="262" spans="1:11">
      <c r="A262" s="29"/>
      <c r="B262" s="29"/>
      <c r="C262" s="29"/>
      <c r="D262" s="29"/>
      <c r="E262" s="29"/>
      <c r="F262" s="29"/>
      <c r="G262" s="29"/>
      <c r="H262"/>
      <c r="I262"/>
      <c r="J262" s="47"/>
      <c r="K262" s="47"/>
    </row>
    <row r="263" spans="1:11">
      <c r="A263" s="13"/>
      <c r="B263" s="13"/>
      <c r="C263" s="10"/>
      <c r="D263" s="10"/>
      <c r="E263" s="10"/>
      <c r="F263" s="10"/>
      <c r="G263" s="10"/>
      <c r="I263" s="48"/>
      <c r="J263" s="48" t="s">
        <v>47</v>
      </c>
      <c r="K263" s="47"/>
    </row>
    <row r="264" spans="1:11">
      <c r="A264" s="12" t="s">
        <v>33</v>
      </c>
      <c r="B264" s="10"/>
      <c r="C264" s="10"/>
      <c r="D264" s="10"/>
      <c r="E264" s="10"/>
      <c r="F264" s="10"/>
      <c r="G264" s="10"/>
      <c r="I264" s="12"/>
      <c r="J264" s="12" t="s">
        <v>34</v>
      </c>
      <c r="K264" s="47"/>
    </row>
    <row r="265" spans="1:11">
      <c r="A265" s="10"/>
      <c r="B265" s="10"/>
      <c r="C265" s="10"/>
      <c r="D265" s="10"/>
      <c r="E265" s="10"/>
      <c r="F265" s="10"/>
      <c r="G265" s="10"/>
      <c r="I265" s="12"/>
      <c r="J265" s="12"/>
      <c r="K265" s="47"/>
    </row>
    <row r="266" spans="1:11">
      <c r="A266" s="10"/>
      <c r="B266" s="10"/>
      <c r="C266" s="10"/>
      <c r="D266" s="10"/>
      <c r="E266" s="10"/>
      <c r="F266" s="10"/>
      <c r="G266" s="10"/>
      <c r="I266" s="12"/>
      <c r="J266" s="12"/>
      <c r="K266" s="47"/>
    </row>
    <row r="267" spans="1:11">
      <c r="A267" s="10"/>
      <c r="B267" s="10"/>
      <c r="C267" s="10"/>
      <c r="D267" s="10"/>
      <c r="E267" s="10"/>
      <c r="F267" s="10"/>
      <c r="G267" s="10"/>
      <c r="I267" s="12"/>
      <c r="J267" s="12"/>
      <c r="K267" s="47"/>
    </row>
    <row r="268" spans="1:11">
      <c r="A268" s="10"/>
      <c r="B268" s="10"/>
      <c r="C268" s="10"/>
      <c r="D268" s="10"/>
      <c r="E268" s="10"/>
      <c r="F268" s="10"/>
      <c r="G268" s="10"/>
      <c r="I268" s="12"/>
      <c r="J268" s="12"/>
      <c r="K268" s="47"/>
    </row>
    <row r="269" spans="1:11">
      <c r="A269" s="49" t="s">
        <v>38</v>
      </c>
      <c r="B269" s="49"/>
      <c r="C269" s="50"/>
      <c r="D269" s="50"/>
      <c r="E269" s="50"/>
      <c r="F269" s="50"/>
      <c r="G269" s="10" t="s">
        <v>35</v>
      </c>
      <c r="I269" s="49"/>
      <c r="J269" s="49" t="s">
        <v>36</v>
      </c>
      <c r="K269" s="47"/>
    </row>
    <row r="274" spans="1:11" ht="15.75">
      <c r="C274" s="2"/>
      <c r="D274" s="2"/>
      <c r="E274" s="2"/>
      <c r="F274" s="2"/>
    </row>
    <row r="275" spans="1:11" ht="15.75">
      <c r="A275" s="3"/>
      <c r="B275" s="3"/>
      <c r="C275" s="2"/>
      <c r="D275" s="2"/>
      <c r="E275" s="2"/>
      <c r="F275" s="2"/>
      <c r="G275" s="3"/>
      <c r="H275" s="4"/>
      <c r="I275" s="4"/>
      <c r="J275" s="4"/>
      <c r="K275" s="5"/>
    </row>
    <row r="276" spans="1:11">
      <c r="H276" s="5"/>
      <c r="I276" s="5"/>
      <c r="J276" s="5"/>
      <c r="K276" s="5"/>
    </row>
    <row r="277" spans="1:11">
      <c r="H277" s="5"/>
      <c r="I277" s="5"/>
      <c r="J277" s="5"/>
      <c r="K277" s="5"/>
    </row>
    <row r="278" spans="1:11">
      <c r="A278" s="64" t="s">
        <v>0</v>
      </c>
      <c r="B278" s="64"/>
      <c r="C278" s="58"/>
      <c r="D278" s="58"/>
      <c r="E278" s="58"/>
      <c r="F278" s="58"/>
      <c r="G278" s="58"/>
      <c r="H278" s="58"/>
      <c r="I278" s="58"/>
      <c r="J278" s="58"/>
      <c r="K278" s="58"/>
    </row>
    <row r="279" spans="1:11">
      <c r="A279" s="58" t="s">
        <v>50</v>
      </c>
      <c r="B279" s="58"/>
      <c r="C279" s="58"/>
      <c r="D279" s="58"/>
      <c r="E279" s="58"/>
      <c r="F279" s="58"/>
      <c r="G279" s="58"/>
      <c r="H279" s="58"/>
      <c r="I279" s="58"/>
      <c r="J279" s="58"/>
      <c r="K279" s="58"/>
    </row>
    <row r="280" spans="1:11">
      <c r="A280" s="58" t="s">
        <v>1</v>
      </c>
      <c r="B280" s="58"/>
      <c r="C280" s="58"/>
      <c r="D280" s="58"/>
      <c r="E280" s="58"/>
      <c r="F280" s="58"/>
      <c r="G280" s="58"/>
      <c r="H280" s="58"/>
      <c r="I280" s="58"/>
      <c r="J280" s="58"/>
      <c r="K280" s="58"/>
    </row>
    <row r="281" spans="1:11">
      <c r="A281" s="58" t="s">
        <v>39</v>
      </c>
      <c r="B281" s="58"/>
      <c r="C281" s="58"/>
      <c r="D281" s="58"/>
      <c r="E281" s="58"/>
      <c r="F281" s="58"/>
      <c r="G281" s="58"/>
      <c r="H281" s="58"/>
      <c r="I281" s="58"/>
      <c r="J281" s="58"/>
      <c r="K281" s="58"/>
    </row>
    <row r="282" spans="1:11">
      <c r="A282" s="58" t="s">
        <v>2</v>
      </c>
      <c r="B282" s="58"/>
      <c r="C282" s="58"/>
      <c r="D282" s="58"/>
      <c r="E282" s="58"/>
      <c r="F282" s="58"/>
      <c r="G282" s="58"/>
      <c r="H282" s="58"/>
      <c r="I282" s="58"/>
      <c r="J282" s="58"/>
      <c r="K282" s="58"/>
    </row>
    <row r="283" spans="1:11">
      <c r="A283" s="6"/>
      <c r="B283" s="6"/>
      <c r="C283" s="7"/>
      <c r="D283" s="7"/>
      <c r="E283" s="7"/>
      <c r="F283" s="7"/>
      <c r="G283" s="8"/>
      <c r="H283" s="9"/>
      <c r="I283" s="9"/>
      <c r="J283" s="9"/>
      <c r="K283" s="9"/>
    </row>
    <row r="284" spans="1:11">
      <c r="A284" s="53" t="s">
        <v>3</v>
      </c>
      <c r="B284" s="10"/>
      <c r="C284" s="10"/>
      <c r="D284" s="54" t="s">
        <v>4</v>
      </c>
      <c r="E284" s="10" t="s">
        <v>5</v>
      </c>
      <c r="F284" s="11"/>
      <c r="G284" s="10"/>
      <c r="H284" s="12"/>
      <c r="I284" s="12"/>
      <c r="J284" s="12"/>
      <c r="K284" s="9"/>
    </row>
    <row r="285" spans="1:11">
      <c r="A285" s="53" t="s">
        <v>6</v>
      </c>
      <c r="B285" s="10"/>
      <c r="C285" s="10"/>
      <c r="D285" s="54" t="s">
        <v>4</v>
      </c>
      <c r="E285" s="10" t="s">
        <v>7</v>
      </c>
      <c r="F285" s="11"/>
      <c r="G285" s="10"/>
      <c r="H285" s="12"/>
      <c r="I285" s="12"/>
      <c r="J285" s="12"/>
      <c r="K285" s="9"/>
    </row>
    <row r="286" spans="1:11">
      <c r="A286" s="53" t="s">
        <v>8</v>
      </c>
      <c r="B286" s="10"/>
      <c r="C286" s="10"/>
      <c r="D286" s="54" t="s">
        <v>4</v>
      </c>
      <c r="E286" s="13">
        <v>2026</v>
      </c>
      <c r="F286" s="11"/>
      <c r="G286" s="13"/>
      <c r="H286" s="12"/>
      <c r="I286" s="12"/>
      <c r="J286" s="12"/>
      <c r="K286" s="9"/>
    </row>
    <row r="287" spans="1:11">
      <c r="A287" s="53" t="s">
        <v>9</v>
      </c>
      <c r="B287" s="10"/>
      <c r="C287" s="10"/>
      <c r="D287" s="54" t="s">
        <v>4</v>
      </c>
      <c r="E287" s="14">
        <f>J297</f>
        <v>50000</v>
      </c>
      <c r="F287" s="11"/>
      <c r="G287" s="14"/>
      <c r="H287" s="12"/>
      <c r="I287" s="12"/>
      <c r="J287" s="12"/>
      <c r="K287" s="9"/>
    </row>
    <row r="288" spans="1:11" ht="15.75">
      <c r="A288" s="10"/>
      <c r="B288" s="10"/>
      <c r="C288" s="15" t="s">
        <v>10</v>
      </c>
      <c r="D288" s="54" t="s">
        <v>4</v>
      </c>
      <c r="E288" s="16" t="str">
        <f>PROPER(IF(E287=0,"nol",IF(E287&lt;0,"minus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287),"000000000000000"),1,3)=0,"",MID(TEXT(ABS(E287),"000000000000000"),1,1)&amp;" ratus "&amp;MID(TEXT(ABS(E287),"000000000000000"),2,1)&amp;" puluh "&amp;MID(TEXT(ABS(E287),"000000000000000"),3,1)&amp;" trilyun ")&amp;IF(--MID(TEXT(ABS(E287),"000000000000000"),4,3)=0,"",MID(TEXT(ABS(E287),"000000000000000"),4,1)&amp;" ratus "&amp;MID(TEXT(ABS(E287),"000000000000000"),5,1)&amp;" puluh "&amp;MID(TEXT(ABS(E287),"000000000000000"),6,1)&amp;" milyar ")&amp;IF(--MID(TEXT(ABS(E287),"000000000000000"),7,3)=0,"",MID(TEXT(ABS(E287),"000000000000000"),7,1)&amp;" ratus "&amp;MID(TEXT(ABS(E287),"000000000000000"),8,1)&amp;" puluh "&amp;MID(TEXT(ABS(E287),"000000000000000"),9,1)&amp;" juta ")&amp;IF(--MID(TEXT(ABS(E287),"000000000000000"),10,3)=0,"",IF(--MID(TEXT(ABS(E287),"000000000000000"),10,3)=1,"*",MID(TEXT(ABS(E287),"000000000000000"),10,1)&amp;" ratus "&amp;MID(TEXT(ABS(E287),"000000000000000"),11,1)&amp;" puluh ")&amp;MID(TEXT(ABS(E287),"000000000000000"),12,1)&amp;" ribu ")&amp;IF(--MID(TEXT(ABS(E287),"000000000000000"),13,3)=0,"",MID(TEXT(ABS(E287),"000000000000000"),13,1)&amp;" ratus "&amp;MID(TEXT(ABS(E287),"000000000000000"),14,1)&amp;" puluh "&amp;MID(TEXT(ABS(E287),"000000000000000"),15,1)),1,"satu"),2,"dua"),3,"tiga"),4,"empat"),5,"lima"),6,"enam"),7,"tujuh"),8,"delapan"),9,"sembilan"),"0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Lima Puluh Ribu Rupiah</v>
      </c>
      <c r="F288" s="11"/>
      <c r="G288" s="16"/>
      <c r="H288" s="12"/>
      <c r="I288" s="12"/>
      <c r="J288" s="12"/>
      <c r="K288" s="9"/>
    </row>
    <row r="289" spans="1:11" ht="15.75">
      <c r="A289" s="10"/>
      <c r="B289" s="10"/>
      <c r="C289" s="15"/>
      <c r="D289" s="15"/>
      <c r="E289" s="15"/>
      <c r="F289" s="11"/>
      <c r="G289" s="16"/>
      <c r="H289" s="12"/>
      <c r="I289" s="12"/>
      <c r="J289" s="12"/>
      <c r="K289" s="9"/>
    </row>
    <row r="290" spans="1:11">
      <c r="A290" s="10" t="s">
        <v>11</v>
      </c>
      <c r="B290" s="10"/>
      <c r="C290" s="10"/>
      <c r="D290" s="10"/>
      <c r="E290" s="10"/>
      <c r="F290" s="10"/>
      <c r="G290" s="10"/>
      <c r="H290" s="12"/>
      <c r="I290" s="12"/>
      <c r="J290" s="12"/>
      <c r="K290" s="9"/>
    </row>
    <row r="291" spans="1:11">
      <c r="A291" s="59" t="s">
        <v>12</v>
      </c>
      <c r="B291" s="59"/>
      <c r="C291" s="59"/>
      <c r="D291" s="59"/>
      <c r="E291" s="59"/>
      <c r="F291" s="59"/>
      <c r="G291" s="59"/>
      <c r="H291" s="59"/>
      <c r="I291" s="59"/>
      <c r="J291" s="59"/>
      <c r="K291" s="59"/>
    </row>
    <row r="292" spans="1:11" ht="60">
      <c r="A292" s="17" t="s">
        <v>13</v>
      </c>
      <c r="B292" s="18" t="s">
        <v>14</v>
      </c>
      <c r="C292" s="60" t="s">
        <v>15</v>
      </c>
      <c r="D292" s="61"/>
      <c r="E292" s="62"/>
      <c r="F292" s="19"/>
      <c r="G292" s="20" t="s">
        <v>16</v>
      </c>
      <c r="H292" s="21" t="s">
        <v>37</v>
      </c>
      <c r="I292" s="21"/>
      <c r="J292" s="31" t="s">
        <v>17</v>
      </c>
      <c r="K292" s="32" t="s">
        <v>18</v>
      </c>
    </row>
    <row r="293" spans="1:11">
      <c r="A293" s="27">
        <v>1</v>
      </c>
      <c r="B293" s="24"/>
      <c r="C293" s="28" t="s">
        <v>23</v>
      </c>
      <c r="D293" s="57"/>
      <c r="E293" s="26"/>
      <c r="F293" s="25"/>
      <c r="G293" s="55" t="s">
        <v>19</v>
      </c>
      <c r="H293" s="55" t="s">
        <v>19</v>
      </c>
      <c r="I293" s="55"/>
      <c r="J293" s="55" t="s">
        <v>19</v>
      </c>
      <c r="K293" s="55" t="s">
        <v>19</v>
      </c>
    </row>
    <row r="294" spans="1:11">
      <c r="A294" s="24"/>
      <c r="B294" s="56" t="s">
        <v>20</v>
      </c>
      <c r="C294" s="25" t="s">
        <v>24</v>
      </c>
      <c r="D294" s="10"/>
      <c r="E294" s="26"/>
      <c r="F294" s="25"/>
      <c r="G294" s="22">
        <v>75000000</v>
      </c>
      <c r="H294" s="23">
        <f>H249+J249</f>
        <v>7425894</v>
      </c>
      <c r="I294" s="23"/>
      <c r="J294" s="33">
        <v>50000</v>
      </c>
      <c r="K294" s="34">
        <f>G294-H294-J294</f>
        <v>67524106</v>
      </c>
    </row>
    <row r="295" spans="1:11">
      <c r="A295" s="24"/>
      <c r="B295" s="56" t="s">
        <v>21</v>
      </c>
      <c r="C295" s="25" t="s">
        <v>25</v>
      </c>
      <c r="D295" s="10"/>
      <c r="E295" s="26"/>
      <c r="F295" s="25"/>
      <c r="G295" s="22">
        <v>30000000</v>
      </c>
      <c r="H295" s="23">
        <f t="shared" ref="H295:H296" si="10">H250+J250</f>
        <v>0</v>
      </c>
      <c r="I295" s="23"/>
      <c r="J295" s="33">
        <v>0</v>
      </c>
      <c r="K295" s="34">
        <f t="shared" ref="K295:K296" si="11">G295-H295-J295</f>
        <v>30000000</v>
      </c>
    </row>
    <row r="296" spans="1:11">
      <c r="A296" s="24"/>
      <c r="B296" s="56" t="s">
        <v>22</v>
      </c>
      <c r="C296" s="25" t="s">
        <v>26</v>
      </c>
      <c r="D296" s="10"/>
      <c r="E296" s="26"/>
      <c r="F296" s="25"/>
      <c r="G296" s="22">
        <v>50000000</v>
      </c>
      <c r="H296" s="23">
        <f t="shared" si="10"/>
        <v>0</v>
      </c>
      <c r="I296" s="23"/>
      <c r="J296" s="33">
        <v>0</v>
      </c>
      <c r="K296" s="34">
        <f t="shared" si="11"/>
        <v>50000000</v>
      </c>
    </row>
    <row r="297" spans="1:11">
      <c r="A297" s="35"/>
      <c r="B297" s="35"/>
      <c r="C297" s="35" t="s">
        <v>27</v>
      </c>
      <c r="D297" s="35"/>
      <c r="E297" s="35"/>
      <c r="F297" s="36"/>
      <c r="G297" s="37">
        <f>SUM(G293:G296)</f>
        <v>155000000</v>
      </c>
      <c r="H297" s="38">
        <f>SUM(H293:H296)</f>
        <v>7425894</v>
      </c>
      <c r="I297" s="38"/>
      <c r="J297" s="38">
        <f>SUM(J293:J296)</f>
        <v>50000</v>
      </c>
      <c r="K297" s="38">
        <f>SUM(K293:K296)</f>
        <v>147524106</v>
      </c>
    </row>
    <row r="298" spans="1:11">
      <c r="A298" s="39"/>
      <c r="B298" s="8"/>
      <c r="C298" s="8"/>
      <c r="D298" s="8"/>
      <c r="E298" s="8"/>
      <c r="F298" s="8"/>
      <c r="G298" s="40"/>
      <c r="H298" s="40"/>
      <c r="I298" s="40"/>
      <c r="J298" s="40"/>
      <c r="K298" s="40"/>
    </row>
    <row r="299" spans="1:11">
      <c r="A299" s="63" t="s">
        <v>28</v>
      </c>
      <c r="B299" s="63"/>
      <c r="C299" s="63"/>
      <c r="D299" s="11" t="s">
        <v>4</v>
      </c>
      <c r="E299" s="14">
        <f>J297</f>
        <v>50000</v>
      </c>
      <c r="F299" s="41"/>
      <c r="G299" s="42"/>
      <c r="H299" s="42"/>
      <c r="I299" s="42"/>
      <c r="J299" s="9"/>
      <c r="K299" s="9"/>
    </row>
    <row r="300" spans="1:11">
      <c r="A300" s="10" t="s">
        <v>29</v>
      </c>
      <c r="B300" s="10"/>
      <c r="C300" s="10"/>
      <c r="D300" s="11" t="s">
        <v>4</v>
      </c>
      <c r="E300" s="43"/>
      <c r="F300" s="43"/>
      <c r="G300" s="44"/>
      <c r="H300" s="12"/>
      <c r="I300" s="12"/>
      <c r="J300" s="9"/>
      <c r="K300" s="9"/>
    </row>
    <row r="301" spans="1:11">
      <c r="A301" s="10" t="s">
        <v>30</v>
      </c>
      <c r="B301" s="10"/>
      <c r="C301" s="10"/>
      <c r="D301" s="11" t="s">
        <v>4</v>
      </c>
      <c r="E301" s="45"/>
      <c r="F301" s="45"/>
      <c r="G301" s="44"/>
      <c r="H301" s="12"/>
      <c r="I301" s="12"/>
      <c r="J301" s="9"/>
      <c r="K301" s="9"/>
    </row>
    <row r="302" spans="1:11">
      <c r="A302" s="10" t="s">
        <v>31</v>
      </c>
      <c r="B302" s="10"/>
      <c r="C302" s="10"/>
      <c r="D302" s="11" t="s">
        <v>4</v>
      </c>
      <c r="E302" s="45">
        <f>E300+E301</f>
        <v>0</v>
      </c>
      <c r="F302" s="45"/>
      <c r="G302" s="10"/>
      <c r="H302" s="12"/>
      <c r="I302" s="12"/>
      <c r="J302" s="47"/>
      <c r="K302" s="47"/>
    </row>
    <row r="303" spans="1:11">
      <c r="A303" s="13"/>
      <c r="B303" s="13"/>
      <c r="C303" s="13"/>
      <c r="D303" s="11"/>
      <c r="E303" s="13"/>
      <c r="F303" s="13"/>
      <c r="G303" s="10"/>
      <c r="H303" s="12"/>
      <c r="I303" s="12"/>
      <c r="J303" s="47"/>
      <c r="K303" s="47"/>
    </row>
    <row r="304" spans="1:11">
      <c r="A304" s="63" t="s">
        <v>32</v>
      </c>
      <c r="B304" s="63"/>
      <c r="C304" s="63"/>
      <c r="D304" s="11" t="s">
        <v>4</v>
      </c>
      <c r="E304" s="41">
        <f>E299-E302</f>
        <v>50000</v>
      </c>
      <c r="F304" s="41"/>
      <c r="G304" s="10"/>
      <c r="H304" s="12"/>
      <c r="I304" s="12"/>
      <c r="J304" s="47"/>
      <c r="K304" s="47"/>
    </row>
    <row r="305" spans="1:11" ht="15.75">
      <c r="A305" s="13"/>
      <c r="B305" s="13"/>
      <c r="C305" s="10"/>
      <c r="D305" s="10"/>
      <c r="E305" s="16" t="str">
        <f>PROPER(IF(E304=0,"nol",IF(E304&lt;0,"minus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304),"000000000000000"),1,3)=0,"",MID(TEXT(ABS(E304),"000000000000000"),1,1)&amp;" ratus "&amp;MID(TEXT(ABS(E304),"000000000000000"),2,1)&amp;" puluh "&amp;MID(TEXT(ABS(E304),"000000000000000"),3,1)&amp;" trilyun ")&amp;IF(--MID(TEXT(ABS(E304),"000000000000000"),4,3)=0,"",MID(TEXT(ABS(E304),"000000000000000"),4,1)&amp;" ratus "&amp;MID(TEXT(ABS(E304),"000000000000000"),5,1)&amp;" puluh "&amp;MID(TEXT(ABS(E304),"000000000000000"),6,1)&amp;" milyar ")&amp;IF(--MID(TEXT(ABS(E304),"000000000000000"),7,3)=0,"",MID(TEXT(ABS(E304),"000000000000000"),7,1)&amp;" ratus "&amp;MID(TEXT(ABS(E304),"000000000000000"),8,1)&amp;" puluh "&amp;MID(TEXT(ABS(E304),"000000000000000"),9,1)&amp;" juta ")&amp;IF(--MID(TEXT(ABS(E304),"000000000000000"),10,3)=0,"",IF(--MID(TEXT(ABS(E304),"000000000000000"),10,3)=1,"*",MID(TEXT(ABS(E304),"000000000000000"),10,1)&amp;" ratus "&amp;MID(TEXT(ABS(E304),"000000000000000"),11,1)&amp;" puluh ")&amp;MID(TEXT(ABS(E304),"000000000000000"),12,1)&amp;" ribu ")&amp;IF(--MID(TEXT(ABS(E304),"000000000000000"),13,3)=0,"",MID(TEXT(ABS(E304),"000000000000000"),13,1)&amp;" ratus "&amp;MID(TEXT(ABS(E304),"000000000000000"),14,1)&amp;" puluh "&amp;MID(TEXT(ABS(E304),"000000000000000"),15,1)),1,"satu"),2,"dua"),3,"tiga"),4,"empat"),5,"lima"),6,"enam"),7,"tujuh"),8,"delapan"),9,"sembilan"),"0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Lima Puluh Ribu Rupiah</v>
      </c>
      <c r="F305" s="10"/>
      <c r="G305" s="10"/>
      <c r="H305" s="10"/>
      <c r="I305" s="10"/>
      <c r="J305" s="47"/>
      <c r="K305" s="47"/>
    </row>
    <row r="306" spans="1:11">
      <c r="A306" s="46"/>
      <c r="B306" s="46"/>
      <c r="C306" s="46"/>
      <c r="D306" s="46"/>
      <c r="E306" s="46"/>
      <c r="F306" s="46"/>
      <c r="G306" s="29"/>
      <c r="H306" s="47"/>
      <c r="I306" s="47"/>
      <c r="J306" s="47"/>
      <c r="K306" s="47"/>
    </row>
    <row r="307" spans="1:11">
      <c r="A307" s="29"/>
      <c r="B307" s="29"/>
      <c r="C307" s="29"/>
      <c r="D307" s="29"/>
      <c r="E307" s="29"/>
      <c r="F307" s="29"/>
      <c r="G307" s="29"/>
      <c r="H307"/>
      <c r="I307"/>
      <c r="J307" s="47"/>
      <c r="K307" s="47"/>
    </row>
    <row r="308" spans="1:11">
      <c r="A308" s="13"/>
      <c r="B308" s="13"/>
      <c r="C308" s="10"/>
      <c r="D308" s="10"/>
      <c r="E308" s="10"/>
      <c r="F308" s="10"/>
      <c r="G308" s="10"/>
      <c r="I308" s="48"/>
      <c r="J308" s="48" t="s">
        <v>47</v>
      </c>
      <c r="K308" s="47"/>
    </row>
    <row r="309" spans="1:11">
      <c r="A309" s="12" t="s">
        <v>33</v>
      </c>
      <c r="B309" s="10"/>
      <c r="C309" s="10"/>
      <c r="D309" s="10"/>
      <c r="E309" s="10"/>
      <c r="F309" s="10"/>
      <c r="G309" s="10"/>
      <c r="I309" s="12"/>
      <c r="J309" s="12" t="s">
        <v>34</v>
      </c>
      <c r="K309" s="47"/>
    </row>
    <row r="310" spans="1:11">
      <c r="A310" s="10"/>
      <c r="B310" s="10"/>
      <c r="C310" s="10"/>
      <c r="D310" s="10"/>
      <c r="E310" s="10"/>
      <c r="F310" s="10"/>
      <c r="G310" s="10"/>
      <c r="I310" s="12"/>
      <c r="J310" s="12"/>
      <c r="K310" s="47"/>
    </row>
    <row r="311" spans="1:11">
      <c r="A311" s="10"/>
      <c r="B311" s="10"/>
      <c r="C311" s="10"/>
      <c r="D311" s="10"/>
      <c r="E311" s="10"/>
      <c r="F311" s="10"/>
      <c r="G311" s="10"/>
      <c r="I311" s="12"/>
      <c r="J311" s="12"/>
      <c r="K311" s="47"/>
    </row>
    <row r="312" spans="1:11">
      <c r="A312" s="10"/>
      <c r="B312" s="10"/>
      <c r="C312" s="10"/>
      <c r="D312" s="10"/>
      <c r="E312" s="10"/>
      <c r="F312" s="10"/>
      <c r="G312" s="10"/>
      <c r="I312" s="12"/>
      <c r="J312" s="12"/>
      <c r="K312" s="47"/>
    </row>
    <row r="313" spans="1:11">
      <c r="A313" s="10"/>
      <c r="B313" s="10"/>
      <c r="C313" s="10"/>
      <c r="D313" s="10"/>
      <c r="E313" s="10"/>
      <c r="F313" s="10"/>
      <c r="G313" s="10"/>
      <c r="I313" s="12"/>
      <c r="J313" s="12"/>
      <c r="K313" s="47"/>
    </row>
    <row r="314" spans="1:11">
      <c r="A314" s="49" t="s">
        <v>38</v>
      </c>
      <c r="B314" s="49"/>
      <c r="C314" s="50"/>
      <c r="D314" s="50"/>
      <c r="E314" s="50"/>
      <c r="F314" s="50"/>
      <c r="G314" s="10" t="s">
        <v>35</v>
      </c>
      <c r="I314" s="49"/>
      <c r="J314" s="49" t="s">
        <v>36</v>
      </c>
      <c r="K314" s="47"/>
    </row>
    <row r="319" spans="1:11" ht="15.75">
      <c r="C319" s="2"/>
      <c r="D319" s="2"/>
      <c r="E319" s="2"/>
      <c r="F319" s="2"/>
    </row>
    <row r="320" spans="1:11" ht="15.75">
      <c r="A320" s="3"/>
      <c r="B320" s="3"/>
      <c r="C320" s="2"/>
      <c r="D320" s="2"/>
      <c r="E320" s="2"/>
      <c r="F320" s="2"/>
      <c r="G320" s="3"/>
      <c r="H320" s="4"/>
      <c r="I320" s="4"/>
      <c r="J320" s="4"/>
      <c r="K320" s="5"/>
    </row>
    <row r="321" spans="1:11">
      <c r="H321" s="5"/>
      <c r="I321" s="5"/>
      <c r="J321" s="5"/>
      <c r="K321" s="5"/>
    </row>
    <row r="322" spans="1:11">
      <c r="H322" s="5"/>
      <c r="I322" s="5"/>
      <c r="J322" s="5"/>
      <c r="K322" s="5"/>
    </row>
    <row r="323" spans="1:11">
      <c r="A323" s="64" t="s">
        <v>0</v>
      </c>
      <c r="B323" s="64"/>
      <c r="C323" s="58"/>
      <c r="D323" s="58"/>
      <c r="E323" s="58"/>
      <c r="F323" s="58"/>
      <c r="G323" s="58"/>
      <c r="H323" s="58"/>
      <c r="I323" s="58"/>
      <c r="J323" s="58"/>
      <c r="K323" s="58"/>
    </row>
    <row r="324" spans="1:11">
      <c r="A324" s="58" t="s">
        <v>51</v>
      </c>
      <c r="B324" s="58"/>
      <c r="C324" s="58"/>
      <c r="D324" s="58"/>
      <c r="E324" s="58"/>
      <c r="F324" s="58"/>
      <c r="G324" s="58"/>
      <c r="H324" s="58"/>
      <c r="I324" s="58"/>
      <c r="J324" s="58"/>
      <c r="K324" s="58"/>
    </row>
    <row r="325" spans="1:11">
      <c r="A325" s="58" t="s">
        <v>1</v>
      </c>
      <c r="B325" s="58"/>
      <c r="C325" s="58"/>
      <c r="D325" s="58"/>
      <c r="E325" s="58"/>
      <c r="F325" s="58"/>
      <c r="G325" s="58"/>
      <c r="H325" s="58"/>
      <c r="I325" s="58"/>
      <c r="J325" s="58"/>
      <c r="K325" s="58"/>
    </row>
    <row r="326" spans="1:11">
      <c r="A326" s="58" t="s">
        <v>39</v>
      </c>
      <c r="B326" s="58"/>
      <c r="C326" s="58"/>
      <c r="D326" s="58"/>
      <c r="E326" s="58"/>
      <c r="F326" s="58"/>
      <c r="G326" s="58"/>
      <c r="H326" s="58"/>
      <c r="I326" s="58"/>
      <c r="J326" s="58"/>
      <c r="K326" s="58"/>
    </row>
    <row r="327" spans="1:11">
      <c r="A327" s="58" t="s">
        <v>2</v>
      </c>
      <c r="B327" s="58"/>
      <c r="C327" s="58"/>
      <c r="D327" s="58"/>
      <c r="E327" s="58"/>
      <c r="F327" s="58"/>
      <c r="G327" s="58"/>
      <c r="H327" s="58"/>
      <c r="I327" s="58"/>
      <c r="J327" s="58"/>
      <c r="K327" s="58"/>
    </row>
    <row r="328" spans="1:11">
      <c r="A328" s="6"/>
      <c r="B328" s="6"/>
      <c r="C328" s="7"/>
      <c r="D328" s="7"/>
      <c r="E328" s="7"/>
      <c r="F328" s="7"/>
      <c r="G328" s="8"/>
      <c r="H328" s="9"/>
      <c r="I328" s="9"/>
      <c r="J328" s="9"/>
      <c r="K328" s="9"/>
    </row>
    <row r="329" spans="1:11">
      <c r="A329" s="53" t="s">
        <v>3</v>
      </c>
      <c r="B329" s="10"/>
      <c r="C329" s="10"/>
      <c r="D329" s="54" t="s">
        <v>4</v>
      </c>
      <c r="E329" s="10" t="s">
        <v>5</v>
      </c>
      <c r="F329" s="11"/>
      <c r="G329" s="10"/>
      <c r="H329" s="12"/>
      <c r="I329" s="12"/>
      <c r="J329" s="12"/>
      <c r="K329" s="9"/>
    </row>
    <row r="330" spans="1:11">
      <c r="A330" s="53" t="s">
        <v>6</v>
      </c>
      <c r="B330" s="10"/>
      <c r="C330" s="10"/>
      <c r="D330" s="54" t="s">
        <v>4</v>
      </c>
      <c r="E330" s="10" t="s">
        <v>7</v>
      </c>
      <c r="F330" s="11"/>
      <c r="G330" s="10"/>
      <c r="H330" s="12"/>
      <c r="I330" s="12"/>
      <c r="J330" s="12"/>
      <c r="K330" s="9"/>
    </row>
    <row r="331" spans="1:11">
      <c r="A331" s="53" t="s">
        <v>8</v>
      </c>
      <c r="B331" s="10"/>
      <c r="C331" s="10"/>
      <c r="D331" s="54" t="s">
        <v>4</v>
      </c>
      <c r="E331" s="13">
        <v>2026</v>
      </c>
      <c r="F331" s="11"/>
      <c r="G331" s="13"/>
      <c r="H331" s="12"/>
      <c r="I331" s="12"/>
      <c r="J331" s="12"/>
      <c r="K331" s="9"/>
    </row>
    <row r="332" spans="1:11">
      <c r="A332" s="53" t="s">
        <v>9</v>
      </c>
      <c r="B332" s="10"/>
      <c r="C332" s="10"/>
      <c r="D332" s="54" t="s">
        <v>4</v>
      </c>
      <c r="E332" s="14">
        <f>J342</f>
        <v>205000</v>
      </c>
      <c r="F332" s="11"/>
      <c r="G332" s="14"/>
      <c r="H332" s="12"/>
      <c r="I332" s="12"/>
      <c r="J332" s="12"/>
      <c r="K332" s="9"/>
    </row>
    <row r="333" spans="1:11" ht="15.75">
      <c r="A333" s="10"/>
      <c r="B333" s="10"/>
      <c r="C333" s="15" t="s">
        <v>10</v>
      </c>
      <c r="D333" s="54" t="s">
        <v>4</v>
      </c>
      <c r="E333" s="16" t="str">
        <f>PROPER(IF(E332=0,"nol",IF(E332&lt;0,"minus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332),"000000000000000"),1,3)=0,"",MID(TEXT(ABS(E332),"000000000000000"),1,1)&amp;" ratus "&amp;MID(TEXT(ABS(E332),"000000000000000"),2,1)&amp;" puluh "&amp;MID(TEXT(ABS(E332),"000000000000000"),3,1)&amp;" trilyun ")&amp;IF(--MID(TEXT(ABS(E332),"000000000000000"),4,3)=0,"",MID(TEXT(ABS(E332),"000000000000000"),4,1)&amp;" ratus "&amp;MID(TEXT(ABS(E332),"000000000000000"),5,1)&amp;" puluh "&amp;MID(TEXT(ABS(E332),"000000000000000"),6,1)&amp;" milyar ")&amp;IF(--MID(TEXT(ABS(E332),"000000000000000"),7,3)=0,"",MID(TEXT(ABS(E332),"000000000000000"),7,1)&amp;" ratus "&amp;MID(TEXT(ABS(E332),"000000000000000"),8,1)&amp;" puluh "&amp;MID(TEXT(ABS(E332),"000000000000000"),9,1)&amp;" juta ")&amp;IF(--MID(TEXT(ABS(E332),"000000000000000"),10,3)=0,"",IF(--MID(TEXT(ABS(E332),"000000000000000"),10,3)=1,"*",MID(TEXT(ABS(E332),"000000000000000"),10,1)&amp;" ratus "&amp;MID(TEXT(ABS(E332),"000000000000000"),11,1)&amp;" puluh ")&amp;MID(TEXT(ABS(E332),"000000000000000"),12,1)&amp;" ribu ")&amp;IF(--MID(TEXT(ABS(E332),"000000000000000"),13,3)=0,"",MID(TEXT(ABS(E332),"000000000000000"),13,1)&amp;" ratus "&amp;MID(TEXT(ABS(E332),"000000000000000"),14,1)&amp;" puluh "&amp;MID(TEXT(ABS(E332),"000000000000000"),15,1)),1,"satu"),2,"dua"),3,"tiga"),4,"empat"),5,"lima"),6,"enam"),7,"tujuh"),8,"delapan"),9,"sembilan"),"0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Dua Ratus Lima Ribu Rupiah</v>
      </c>
      <c r="F333" s="11"/>
      <c r="G333" s="16"/>
      <c r="H333" s="12"/>
      <c r="I333" s="12"/>
      <c r="J333" s="12"/>
      <c r="K333" s="9"/>
    </row>
    <row r="334" spans="1:11" ht="15.75">
      <c r="A334" s="10"/>
      <c r="B334" s="10"/>
      <c r="C334" s="15"/>
      <c r="D334" s="15"/>
      <c r="E334" s="15"/>
      <c r="F334" s="11"/>
      <c r="G334" s="16"/>
      <c r="H334" s="12"/>
      <c r="I334" s="12"/>
      <c r="J334" s="12"/>
      <c r="K334" s="9"/>
    </row>
    <row r="335" spans="1:11">
      <c r="A335" s="10" t="s">
        <v>11</v>
      </c>
      <c r="B335" s="10"/>
      <c r="C335" s="10"/>
      <c r="D335" s="10"/>
      <c r="E335" s="10"/>
      <c r="F335" s="10"/>
      <c r="G335" s="10"/>
      <c r="H335" s="12"/>
      <c r="I335" s="12"/>
      <c r="J335" s="12"/>
      <c r="K335" s="9"/>
    </row>
    <row r="336" spans="1:11">
      <c r="A336" s="59" t="s">
        <v>12</v>
      </c>
      <c r="B336" s="59"/>
      <c r="C336" s="59"/>
      <c r="D336" s="59"/>
      <c r="E336" s="59"/>
      <c r="F336" s="59"/>
      <c r="G336" s="59"/>
      <c r="H336" s="59"/>
      <c r="I336" s="59"/>
      <c r="J336" s="59"/>
      <c r="K336" s="59"/>
    </row>
    <row r="337" spans="1:11" ht="60">
      <c r="A337" s="17" t="s">
        <v>13</v>
      </c>
      <c r="B337" s="18" t="s">
        <v>14</v>
      </c>
      <c r="C337" s="60" t="s">
        <v>15</v>
      </c>
      <c r="D337" s="61"/>
      <c r="E337" s="62"/>
      <c r="F337" s="19"/>
      <c r="G337" s="20" t="s">
        <v>16</v>
      </c>
      <c r="H337" s="21" t="s">
        <v>37</v>
      </c>
      <c r="I337" s="21"/>
      <c r="J337" s="31" t="s">
        <v>17</v>
      </c>
      <c r="K337" s="32" t="s">
        <v>18</v>
      </c>
    </row>
    <row r="338" spans="1:11">
      <c r="A338" s="27">
        <v>1</v>
      </c>
      <c r="B338" s="24"/>
      <c r="C338" s="28" t="s">
        <v>23</v>
      </c>
      <c r="D338" s="57"/>
      <c r="E338" s="26"/>
      <c r="F338" s="25"/>
      <c r="G338" s="55" t="s">
        <v>19</v>
      </c>
      <c r="H338" s="55" t="s">
        <v>19</v>
      </c>
      <c r="I338" s="55"/>
      <c r="J338" s="55" t="s">
        <v>19</v>
      </c>
      <c r="K338" s="55" t="s">
        <v>19</v>
      </c>
    </row>
    <row r="339" spans="1:11">
      <c r="A339" s="24"/>
      <c r="B339" s="56" t="s">
        <v>20</v>
      </c>
      <c r="C339" s="25" t="s">
        <v>24</v>
      </c>
      <c r="D339" s="10"/>
      <c r="E339" s="26"/>
      <c r="F339" s="25"/>
      <c r="G339" s="22">
        <v>75000000</v>
      </c>
      <c r="H339" s="23">
        <f>H294+J294</f>
        <v>7475894</v>
      </c>
      <c r="I339" s="23"/>
      <c r="J339" s="33">
        <v>205000</v>
      </c>
      <c r="K339" s="34">
        <f>G339-H339-J339</f>
        <v>67319106</v>
      </c>
    </row>
    <row r="340" spans="1:11">
      <c r="A340" s="24"/>
      <c r="B340" s="56" t="s">
        <v>21</v>
      </c>
      <c r="C340" s="25" t="s">
        <v>25</v>
      </c>
      <c r="D340" s="10"/>
      <c r="E340" s="26"/>
      <c r="F340" s="25"/>
      <c r="G340" s="22">
        <v>30000000</v>
      </c>
      <c r="H340" s="23">
        <f t="shared" ref="H340:H341" si="12">H295+J295</f>
        <v>0</v>
      </c>
      <c r="I340" s="23"/>
      <c r="J340" s="33">
        <v>0</v>
      </c>
      <c r="K340" s="34">
        <f t="shared" ref="K340:K341" si="13">G340-H340-J340</f>
        <v>30000000</v>
      </c>
    </row>
    <row r="341" spans="1:11">
      <c r="A341" s="24"/>
      <c r="B341" s="56" t="s">
        <v>22</v>
      </c>
      <c r="C341" s="25" t="s">
        <v>26</v>
      </c>
      <c r="D341" s="10"/>
      <c r="E341" s="26"/>
      <c r="F341" s="25"/>
      <c r="G341" s="22">
        <v>50000000</v>
      </c>
      <c r="H341" s="23">
        <f t="shared" si="12"/>
        <v>0</v>
      </c>
      <c r="I341" s="23"/>
      <c r="J341" s="33">
        <v>0</v>
      </c>
      <c r="K341" s="34">
        <f t="shared" si="13"/>
        <v>50000000</v>
      </c>
    </row>
    <row r="342" spans="1:11">
      <c r="A342" s="35"/>
      <c r="B342" s="35"/>
      <c r="C342" s="35" t="s">
        <v>27</v>
      </c>
      <c r="D342" s="35"/>
      <c r="E342" s="35"/>
      <c r="F342" s="36"/>
      <c r="G342" s="37">
        <f>SUM(G338:G341)</f>
        <v>155000000</v>
      </c>
      <c r="H342" s="38">
        <f>SUM(H338:H341)</f>
        <v>7475894</v>
      </c>
      <c r="I342" s="38"/>
      <c r="J342" s="38">
        <f>SUM(J338:J341)</f>
        <v>205000</v>
      </c>
      <c r="K342" s="38">
        <f>SUM(K338:K341)</f>
        <v>147319106</v>
      </c>
    </row>
    <row r="343" spans="1:11">
      <c r="A343" s="39"/>
      <c r="B343" s="8"/>
      <c r="C343" s="8"/>
      <c r="D343" s="8"/>
      <c r="E343" s="8"/>
      <c r="F343" s="8"/>
      <c r="G343" s="40"/>
      <c r="H343" s="40"/>
      <c r="I343" s="40"/>
      <c r="J343" s="40"/>
      <c r="K343" s="40"/>
    </row>
    <row r="344" spans="1:11">
      <c r="A344" s="63" t="s">
        <v>28</v>
      </c>
      <c r="B344" s="63"/>
      <c r="C344" s="63"/>
      <c r="D344" s="11" t="s">
        <v>4</v>
      </c>
      <c r="E344" s="14">
        <f>J342</f>
        <v>205000</v>
      </c>
      <c r="F344" s="41"/>
      <c r="G344" s="42"/>
      <c r="H344" s="42"/>
      <c r="I344" s="42"/>
      <c r="J344" s="9"/>
      <c r="K344" s="9"/>
    </row>
    <row r="345" spans="1:11">
      <c r="A345" s="10" t="s">
        <v>29</v>
      </c>
      <c r="B345" s="10"/>
      <c r="C345" s="10"/>
      <c r="D345" s="11" t="s">
        <v>4</v>
      </c>
      <c r="E345" s="43"/>
      <c r="F345" s="43"/>
      <c r="G345" s="44"/>
      <c r="H345" s="12"/>
      <c r="I345" s="12"/>
      <c r="J345" s="9"/>
      <c r="K345" s="9"/>
    </row>
    <row r="346" spans="1:11">
      <c r="A346" s="10" t="s">
        <v>30</v>
      </c>
      <c r="B346" s="10"/>
      <c r="C346" s="10"/>
      <c r="D346" s="11" t="s">
        <v>4</v>
      </c>
      <c r="E346" s="45"/>
      <c r="F346" s="45"/>
      <c r="G346" s="44"/>
      <c r="H346" s="12"/>
      <c r="I346" s="12"/>
      <c r="J346" s="9"/>
      <c r="K346" s="9"/>
    </row>
    <row r="347" spans="1:11">
      <c r="A347" s="10" t="s">
        <v>31</v>
      </c>
      <c r="B347" s="10"/>
      <c r="C347" s="10"/>
      <c r="D347" s="11" t="s">
        <v>4</v>
      </c>
      <c r="E347" s="45">
        <f>E345+E346</f>
        <v>0</v>
      </c>
      <c r="F347" s="45"/>
      <c r="G347" s="10"/>
      <c r="H347" s="12"/>
      <c r="I347" s="12"/>
      <c r="J347" s="47"/>
      <c r="K347" s="47"/>
    </row>
    <row r="348" spans="1:11">
      <c r="A348" s="13"/>
      <c r="B348" s="13"/>
      <c r="C348" s="13"/>
      <c r="D348" s="11"/>
      <c r="E348" s="13"/>
      <c r="F348" s="13"/>
      <c r="G348" s="10"/>
      <c r="H348" s="12"/>
      <c r="I348" s="12"/>
      <c r="J348" s="47"/>
      <c r="K348" s="47"/>
    </row>
    <row r="349" spans="1:11">
      <c r="A349" s="63" t="s">
        <v>32</v>
      </c>
      <c r="B349" s="63"/>
      <c r="C349" s="63"/>
      <c r="D349" s="11" t="s">
        <v>4</v>
      </c>
      <c r="E349" s="41">
        <f>E344-E347</f>
        <v>205000</v>
      </c>
      <c r="F349" s="41"/>
      <c r="G349" s="10"/>
      <c r="H349" s="12"/>
      <c r="I349" s="12"/>
      <c r="J349" s="47"/>
      <c r="K349" s="47"/>
    </row>
    <row r="350" spans="1:11" ht="15.75">
      <c r="A350" s="13"/>
      <c r="B350" s="13"/>
      <c r="C350" s="10"/>
      <c r="D350" s="10"/>
      <c r="E350" s="16" t="str">
        <f>PROPER(IF(E349=0,"nol",IF(E349&lt;0,"minus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349),"000000000000000"),1,3)=0,"",MID(TEXT(ABS(E349),"000000000000000"),1,1)&amp;" ratus "&amp;MID(TEXT(ABS(E349),"000000000000000"),2,1)&amp;" puluh "&amp;MID(TEXT(ABS(E349),"000000000000000"),3,1)&amp;" trilyun ")&amp;IF(--MID(TEXT(ABS(E349),"000000000000000"),4,3)=0,"",MID(TEXT(ABS(E349),"000000000000000"),4,1)&amp;" ratus "&amp;MID(TEXT(ABS(E349),"000000000000000"),5,1)&amp;" puluh "&amp;MID(TEXT(ABS(E349),"000000000000000"),6,1)&amp;" milyar ")&amp;IF(--MID(TEXT(ABS(E349),"000000000000000"),7,3)=0,"",MID(TEXT(ABS(E349),"000000000000000"),7,1)&amp;" ratus "&amp;MID(TEXT(ABS(E349),"000000000000000"),8,1)&amp;" puluh "&amp;MID(TEXT(ABS(E349),"000000000000000"),9,1)&amp;" juta ")&amp;IF(--MID(TEXT(ABS(E349),"000000000000000"),10,3)=0,"",IF(--MID(TEXT(ABS(E349),"000000000000000"),10,3)=1,"*",MID(TEXT(ABS(E349),"000000000000000"),10,1)&amp;" ratus "&amp;MID(TEXT(ABS(E349),"000000000000000"),11,1)&amp;" puluh ")&amp;MID(TEXT(ABS(E349),"000000000000000"),12,1)&amp;" ribu ")&amp;IF(--MID(TEXT(ABS(E349),"000000000000000"),13,3)=0,"",MID(TEXT(ABS(E349),"000000000000000"),13,1)&amp;" ratus "&amp;MID(TEXT(ABS(E349),"000000000000000"),14,1)&amp;" puluh "&amp;MID(TEXT(ABS(E349),"000000000000000"),15,1)),1,"satu"),2,"dua"),3,"tiga"),4,"empat"),5,"lima"),6,"enam"),7,"tujuh"),8,"delapan"),9,"sembilan"),"0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Dua Ratus Lima Ribu Rupiah</v>
      </c>
      <c r="F350" s="10"/>
      <c r="G350" s="10"/>
      <c r="H350" s="10"/>
      <c r="I350" s="10"/>
      <c r="J350" s="47"/>
      <c r="K350" s="47"/>
    </row>
    <row r="351" spans="1:11">
      <c r="A351" s="46"/>
      <c r="B351" s="46"/>
      <c r="C351" s="46"/>
      <c r="D351" s="46"/>
      <c r="E351" s="46"/>
      <c r="F351" s="46"/>
      <c r="G351" s="29"/>
      <c r="H351" s="47"/>
      <c r="I351" s="47"/>
      <c r="J351" s="47"/>
      <c r="K351" s="47"/>
    </row>
    <row r="352" spans="1:11">
      <c r="A352" s="29"/>
      <c r="B352" s="29"/>
      <c r="C352" s="29"/>
      <c r="D352" s="29"/>
      <c r="E352" s="29"/>
      <c r="F352" s="29"/>
      <c r="G352" s="29"/>
      <c r="H352"/>
      <c r="I352"/>
      <c r="J352" s="47"/>
      <c r="K352" s="47"/>
    </row>
    <row r="353" spans="1:11">
      <c r="A353" s="13"/>
      <c r="B353" s="13"/>
      <c r="C353" s="10"/>
      <c r="D353" s="10"/>
      <c r="E353" s="10"/>
      <c r="F353" s="10"/>
      <c r="G353" s="10"/>
      <c r="I353" s="48"/>
      <c r="J353" s="48" t="s">
        <v>47</v>
      </c>
      <c r="K353" s="47"/>
    </row>
    <row r="354" spans="1:11">
      <c r="A354" s="12" t="s">
        <v>33</v>
      </c>
      <c r="B354" s="10"/>
      <c r="C354" s="10"/>
      <c r="D354" s="10"/>
      <c r="E354" s="10"/>
      <c r="F354" s="10"/>
      <c r="G354" s="10"/>
      <c r="I354" s="12"/>
      <c r="J354" s="12" t="s">
        <v>34</v>
      </c>
      <c r="K354" s="47"/>
    </row>
    <row r="355" spans="1:11">
      <c r="A355" s="10"/>
      <c r="B355" s="10"/>
      <c r="C355" s="10"/>
      <c r="D355" s="10"/>
      <c r="E355" s="10"/>
      <c r="F355" s="10"/>
      <c r="G355" s="10"/>
      <c r="I355" s="12"/>
      <c r="J355" s="12"/>
      <c r="K355" s="47"/>
    </row>
    <row r="356" spans="1:11">
      <c r="A356" s="10"/>
      <c r="B356" s="10"/>
      <c r="C356" s="10"/>
      <c r="D356" s="10"/>
      <c r="E356" s="10"/>
      <c r="F356" s="10"/>
      <c r="G356" s="10"/>
      <c r="I356" s="12"/>
      <c r="J356" s="12"/>
      <c r="K356" s="47"/>
    </row>
    <row r="357" spans="1:11">
      <c r="A357" s="10"/>
      <c r="B357" s="10"/>
      <c r="C357" s="10"/>
      <c r="D357" s="10"/>
      <c r="E357" s="10"/>
      <c r="F357" s="10"/>
      <c r="G357" s="10"/>
      <c r="I357" s="12"/>
      <c r="J357" s="12"/>
      <c r="K357" s="47"/>
    </row>
    <row r="358" spans="1:11">
      <c r="A358" s="10"/>
      <c r="B358" s="10"/>
      <c r="C358" s="10"/>
      <c r="D358" s="10"/>
      <c r="E358" s="10"/>
      <c r="F358" s="10"/>
      <c r="G358" s="10"/>
      <c r="I358" s="12"/>
      <c r="J358" s="12"/>
      <c r="K358" s="47"/>
    </row>
    <row r="359" spans="1:11">
      <c r="A359" s="49" t="s">
        <v>38</v>
      </c>
      <c r="B359" s="49"/>
      <c r="C359" s="50"/>
      <c r="D359" s="50"/>
      <c r="E359" s="50"/>
      <c r="F359" s="50"/>
      <c r="G359" s="10" t="s">
        <v>35</v>
      </c>
      <c r="I359" s="49"/>
      <c r="J359" s="49" t="s">
        <v>36</v>
      </c>
      <c r="K359" s="47"/>
    </row>
    <row r="364" spans="1:11" ht="15.75">
      <c r="C364" s="2"/>
      <c r="D364" s="2"/>
      <c r="E364" s="2"/>
      <c r="F364" s="2"/>
    </row>
    <row r="365" spans="1:11" ht="15.75">
      <c r="A365" s="3"/>
      <c r="B365" s="3"/>
      <c r="C365" s="2"/>
      <c r="D365" s="2"/>
      <c r="E365" s="2"/>
      <c r="F365" s="2"/>
      <c r="G365" s="3"/>
      <c r="H365" s="4"/>
      <c r="I365" s="4"/>
      <c r="J365" s="4"/>
      <c r="K365" s="5"/>
    </row>
    <row r="366" spans="1:11">
      <c r="H366" s="5"/>
      <c r="I366" s="5"/>
      <c r="J366" s="5"/>
      <c r="K366" s="5"/>
    </row>
    <row r="367" spans="1:11">
      <c r="H367" s="5"/>
      <c r="I367" s="5"/>
      <c r="J367" s="5"/>
      <c r="K367" s="5"/>
    </row>
    <row r="368" spans="1:11">
      <c r="A368" s="64" t="s">
        <v>0</v>
      </c>
      <c r="B368" s="64"/>
      <c r="C368" s="58"/>
      <c r="D368" s="58"/>
      <c r="E368" s="58"/>
      <c r="F368" s="58"/>
      <c r="G368" s="58"/>
      <c r="H368" s="58"/>
      <c r="I368" s="58"/>
      <c r="J368" s="58"/>
      <c r="K368" s="58"/>
    </row>
    <row r="369" spans="1:11">
      <c r="A369" s="58" t="s">
        <v>52</v>
      </c>
      <c r="B369" s="58"/>
      <c r="C369" s="58"/>
      <c r="D369" s="58"/>
      <c r="E369" s="58"/>
      <c r="F369" s="58"/>
      <c r="G369" s="58"/>
      <c r="H369" s="58"/>
      <c r="I369" s="58"/>
      <c r="J369" s="58"/>
      <c r="K369" s="58"/>
    </row>
    <row r="370" spans="1:11">
      <c r="A370" s="58" t="s">
        <v>1</v>
      </c>
      <c r="B370" s="58"/>
      <c r="C370" s="58"/>
      <c r="D370" s="58"/>
      <c r="E370" s="58"/>
      <c r="F370" s="58"/>
      <c r="G370" s="58"/>
      <c r="H370" s="58"/>
      <c r="I370" s="58"/>
      <c r="J370" s="58"/>
      <c r="K370" s="58"/>
    </row>
    <row r="371" spans="1:11">
      <c r="A371" s="58" t="s">
        <v>39</v>
      </c>
      <c r="B371" s="58"/>
      <c r="C371" s="58"/>
      <c r="D371" s="58"/>
      <c r="E371" s="58"/>
      <c r="F371" s="58"/>
      <c r="G371" s="58"/>
      <c r="H371" s="58"/>
      <c r="I371" s="58"/>
      <c r="J371" s="58"/>
      <c r="K371" s="58"/>
    </row>
    <row r="372" spans="1:11">
      <c r="A372" s="58" t="s">
        <v>2</v>
      </c>
      <c r="B372" s="58"/>
      <c r="C372" s="58"/>
      <c r="D372" s="58"/>
      <c r="E372" s="58"/>
      <c r="F372" s="58"/>
      <c r="G372" s="58"/>
      <c r="H372" s="58"/>
      <c r="I372" s="58"/>
      <c r="J372" s="58"/>
      <c r="K372" s="58"/>
    </row>
    <row r="373" spans="1:11">
      <c r="A373" s="6"/>
      <c r="B373" s="6"/>
      <c r="C373" s="7"/>
      <c r="D373" s="7"/>
      <c r="E373" s="7"/>
      <c r="F373" s="7"/>
      <c r="G373" s="8"/>
      <c r="H373" s="9"/>
      <c r="I373" s="9"/>
      <c r="J373" s="9"/>
      <c r="K373" s="9"/>
    </row>
    <row r="374" spans="1:11">
      <c r="A374" s="53" t="s">
        <v>3</v>
      </c>
      <c r="B374" s="10"/>
      <c r="C374" s="10"/>
      <c r="D374" s="54" t="s">
        <v>4</v>
      </c>
      <c r="E374" s="10" t="s">
        <v>5</v>
      </c>
      <c r="F374" s="11"/>
      <c r="G374" s="10"/>
      <c r="H374" s="12"/>
      <c r="I374" s="12"/>
      <c r="J374" s="12"/>
      <c r="K374" s="9"/>
    </row>
    <row r="375" spans="1:11">
      <c r="A375" s="53" t="s">
        <v>6</v>
      </c>
      <c r="B375" s="10"/>
      <c r="C375" s="10"/>
      <c r="D375" s="54" t="s">
        <v>4</v>
      </c>
      <c r="E375" s="10" t="s">
        <v>7</v>
      </c>
      <c r="F375" s="11"/>
      <c r="G375" s="10"/>
      <c r="H375" s="12"/>
      <c r="I375" s="12"/>
      <c r="J375" s="12"/>
      <c r="K375" s="9"/>
    </row>
    <row r="376" spans="1:11">
      <c r="A376" s="53" t="s">
        <v>8</v>
      </c>
      <c r="B376" s="10"/>
      <c r="C376" s="10"/>
      <c r="D376" s="54" t="s">
        <v>4</v>
      </c>
      <c r="E376" s="13">
        <v>2026</v>
      </c>
      <c r="F376" s="11"/>
      <c r="G376" s="13"/>
      <c r="H376" s="12"/>
      <c r="I376" s="12"/>
      <c r="J376" s="12"/>
      <c r="K376" s="9"/>
    </row>
    <row r="377" spans="1:11">
      <c r="A377" s="53" t="s">
        <v>9</v>
      </c>
      <c r="B377" s="10"/>
      <c r="C377" s="10"/>
      <c r="D377" s="54" t="s">
        <v>4</v>
      </c>
      <c r="E377" s="14">
        <f>J387</f>
        <v>1492980</v>
      </c>
      <c r="F377" s="11"/>
      <c r="G377" s="14"/>
      <c r="H377" s="12"/>
      <c r="I377" s="12"/>
      <c r="J377" s="12"/>
      <c r="K377" s="9"/>
    </row>
    <row r="378" spans="1:11" ht="15.75">
      <c r="A378" s="10"/>
      <c r="B378" s="10"/>
      <c r="C378" s="15" t="s">
        <v>10</v>
      </c>
      <c r="D378" s="54" t="s">
        <v>4</v>
      </c>
      <c r="E378" s="16" t="str">
        <f>PROPER(IF(E377=0,"nol",IF(E377&lt;0,"minus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377),"000000000000000"),1,3)=0,"",MID(TEXT(ABS(E377),"000000000000000"),1,1)&amp;" ratus "&amp;MID(TEXT(ABS(E377),"000000000000000"),2,1)&amp;" puluh "&amp;MID(TEXT(ABS(E377),"000000000000000"),3,1)&amp;" trilyun ")&amp;IF(--MID(TEXT(ABS(E377),"000000000000000"),4,3)=0,"",MID(TEXT(ABS(E377),"000000000000000"),4,1)&amp;" ratus "&amp;MID(TEXT(ABS(E377),"000000000000000"),5,1)&amp;" puluh "&amp;MID(TEXT(ABS(E377),"000000000000000"),6,1)&amp;" milyar ")&amp;IF(--MID(TEXT(ABS(E377),"000000000000000"),7,3)=0,"",MID(TEXT(ABS(E377),"000000000000000"),7,1)&amp;" ratus "&amp;MID(TEXT(ABS(E377),"000000000000000"),8,1)&amp;" puluh "&amp;MID(TEXT(ABS(E377),"000000000000000"),9,1)&amp;" juta ")&amp;IF(--MID(TEXT(ABS(E377),"000000000000000"),10,3)=0,"",IF(--MID(TEXT(ABS(E377),"000000000000000"),10,3)=1,"*",MID(TEXT(ABS(E377),"000000000000000"),10,1)&amp;" ratus "&amp;MID(TEXT(ABS(E377),"000000000000000"),11,1)&amp;" puluh ")&amp;MID(TEXT(ABS(E377),"000000000000000"),12,1)&amp;" ribu ")&amp;IF(--MID(TEXT(ABS(E377),"000000000000000"),13,3)=0,"",MID(TEXT(ABS(E377),"000000000000000"),13,1)&amp;" ratus "&amp;MID(TEXT(ABS(E377),"000000000000000"),14,1)&amp;" puluh "&amp;MID(TEXT(ABS(E377),"000000000000000"),15,1)),1,"satu"),2,"dua"),3,"tiga"),4,"empat"),5,"lima"),6,"enam"),7,"tujuh"),8,"delapan"),9,"sembilan"),"0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Satu Juta Empat Ratus Sembilan Puluh Dua Ribu Sembilan Ratus Delapan Puluh Rupiah</v>
      </c>
      <c r="F378" s="11"/>
      <c r="G378" s="16"/>
      <c r="H378" s="12"/>
      <c r="I378" s="12"/>
      <c r="J378" s="12"/>
      <c r="K378" s="9"/>
    </row>
    <row r="379" spans="1:11" ht="15.75">
      <c r="A379" s="10"/>
      <c r="B379" s="10"/>
      <c r="C379" s="15"/>
      <c r="D379" s="15"/>
      <c r="E379" s="15"/>
      <c r="F379" s="11"/>
      <c r="G379" s="16"/>
      <c r="H379" s="12"/>
      <c r="I379" s="12"/>
      <c r="J379" s="12"/>
      <c r="K379" s="9"/>
    </row>
    <row r="380" spans="1:11">
      <c r="A380" s="10" t="s">
        <v>11</v>
      </c>
      <c r="B380" s="10"/>
      <c r="C380" s="10"/>
      <c r="D380" s="10"/>
      <c r="E380" s="10"/>
      <c r="F380" s="10"/>
      <c r="G380" s="10"/>
      <c r="H380" s="12"/>
      <c r="I380" s="12"/>
      <c r="J380" s="12"/>
      <c r="K380" s="9"/>
    </row>
    <row r="381" spans="1:11">
      <c r="A381" s="59" t="s">
        <v>12</v>
      </c>
      <c r="B381" s="59"/>
      <c r="C381" s="59"/>
      <c r="D381" s="59"/>
      <c r="E381" s="59"/>
      <c r="F381" s="59"/>
      <c r="G381" s="59"/>
      <c r="H381" s="59"/>
      <c r="I381" s="59"/>
      <c r="J381" s="59"/>
      <c r="K381" s="59"/>
    </row>
    <row r="382" spans="1:11" ht="60">
      <c r="A382" s="17" t="s">
        <v>13</v>
      </c>
      <c r="B382" s="18" t="s">
        <v>14</v>
      </c>
      <c r="C382" s="60" t="s">
        <v>15</v>
      </c>
      <c r="D382" s="61"/>
      <c r="E382" s="62"/>
      <c r="F382" s="19"/>
      <c r="G382" s="20" t="s">
        <v>16</v>
      </c>
      <c r="H382" s="21" t="s">
        <v>37</v>
      </c>
      <c r="I382" s="21"/>
      <c r="J382" s="31" t="s">
        <v>17</v>
      </c>
      <c r="K382" s="32" t="s">
        <v>18</v>
      </c>
    </row>
    <row r="383" spans="1:11">
      <c r="A383" s="27">
        <v>1</v>
      </c>
      <c r="B383" s="24"/>
      <c r="C383" s="28" t="s">
        <v>23</v>
      </c>
      <c r="D383" s="57"/>
      <c r="E383" s="26"/>
      <c r="F383" s="25"/>
      <c r="G383" s="55" t="s">
        <v>19</v>
      </c>
      <c r="H383" s="55" t="s">
        <v>19</v>
      </c>
      <c r="I383" s="55"/>
      <c r="J383" s="55" t="s">
        <v>19</v>
      </c>
      <c r="K383" s="55" t="s">
        <v>19</v>
      </c>
    </row>
    <row r="384" spans="1:11">
      <c r="A384" s="24"/>
      <c r="B384" s="56" t="s">
        <v>20</v>
      </c>
      <c r="C384" s="25" t="s">
        <v>24</v>
      </c>
      <c r="D384" s="10"/>
      <c r="E384" s="26"/>
      <c r="F384" s="25"/>
      <c r="G384" s="22">
        <v>75000000</v>
      </c>
      <c r="H384" s="23">
        <f>H339+J339</f>
        <v>7680894</v>
      </c>
      <c r="I384" s="23"/>
      <c r="J384" s="33">
        <v>1492980</v>
      </c>
      <c r="K384" s="34">
        <f>G384-H384-J384</f>
        <v>65826126</v>
      </c>
    </row>
    <row r="385" spans="1:11">
      <c r="A385" s="24"/>
      <c r="B385" s="56" t="s">
        <v>21</v>
      </c>
      <c r="C385" s="25" t="s">
        <v>25</v>
      </c>
      <c r="D385" s="10"/>
      <c r="E385" s="26"/>
      <c r="F385" s="25"/>
      <c r="G385" s="22">
        <v>30000000</v>
      </c>
      <c r="H385" s="23">
        <f t="shared" ref="H385:H386" si="14">H340+J340</f>
        <v>0</v>
      </c>
      <c r="I385" s="23"/>
      <c r="J385" s="33">
        <v>0</v>
      </c>
      <c r="K385" s="34">
        <f t="shared" ref="K385:K386" si="15">G385-H385-J385</f>
        <v>30000000</v>
      </c>
    </row>
    <row r="386" spans="1:11">
      <c r="A386" s="24"/>
      <c r="B386" s="56" t="s">
        <v>22</v>
      </c>
      <c r="C386" s="25" t="s">
        <v>26</v>
      </c>
      <c r="D386" s="10"/>
      <c r="E386" s="26"/>
      <c r="F386" s="25"/>
      <c r="G386" s="22">
        <v>50000000</v>
      </c>
      <c r="H386" s="23">
        <f t="shared" si="14"/>
        <v>0</v>
      </c>
      <c r="I386" s="23"/>
      <c r="J386" s="33">
        <v>0</v>
      </c>
      <c r="K386" s="34">
        <f t="shared" si="15"/>
        <v>50000000</v>
      </c>
    </row>
    <row r="387" spans="1:11">
      <c r="A387" s="35"/>
      <c r="B387" s="35"/>
      <c r="C387" s="35" t="s">
        <v>27</v>
      </c>
      <c r="D387" s="35"/>
      <c r="E387" s="35"/>
      <c r="F387" s="36"/>
      <c r="G387" s="37">
        <f>SUM(G383:G386)</f>
        <v>155000000</v>
      </c>
      <c r="H387" s="38">
        <f>SUM(H383:H386)</f>
        <v>7680894</v>
      </c>
      <c r="I387" s="38"/>
      <c r="J387" s="38">
        <f>SUM(J383:J386)</f>
        <v>1492980</v>
      </c>
      <c r="K387" s="38">
        <f>SUM(K383:K386)</f>
        <v>145826126</v>
      </c>
    </row>
    <row r="388" spans="1:11">
      <c r="A388" s="39"/>
      <c r="B388" s="8"/>
      <c r="C388" s="8"/>
      <c r="D388" s="8"/>
      <c r="E388" s="8"/>
      <c r="F388" s="8"/>
      <c r="G388" s="40"/>
      <c r="H388" s="40"/>
      <c r="I388" s="40"/>
      <c r="J388" s="40"/>
      <c r="K388" s="40"/>
    </row>
    <row r="389" spans="1:11">
      <c r="A389" s="63" t="s">
        <v>28</v>
      </c>
      <c r="B389" s="63"/>
      <c r="C389" s="63"/>
      <c r="D389" s="11" t="s">
        <v>4</v>
      </c>
      <c r="E389" s="14">
        <f>J387</f>
        <v>1492980</v>
      </c>
      <c r="F389" s="41"/>
      <c r="G389" s="42"/>
      <c r="H389" s="42"/>
      <c r="I389" s="42"/>
      <c r="J389" s="9"/>
      <c r="K389" s="9"/>
    </row>
    <row r="390" spans="1:11">
      <c r="A390" s="10" t="s">
        <v>29</v>
      </c>
      <c r="B390" s="10"/>
      <c r="C390" s="10"/>
      <c r="D390" s="11" t="s">
        <v>4</v>
      </c>
      <c r="E390" s="43"/>
      <c r="F390" s="43"/>
      <c r="G390" s="44"/>
      <c r="H390" s="12"/>
      <c r="I390" s="12"/>
      <c r="J390" s="9"/>
      <c r="K390" s="9"/>
    </row>
    <row r="391" spans="1:11">
      <c r="A391" s="10" t="s">
        <v>30</v>
      </c>
      <c r="B391" s="10"/>
      <c r="C391" s="10"/>
      <c r="D391" s="11" t="s">
        <v>4</v>
      </c>
      <c r="E391" s="45"/>
      <c r="F391" s="45"/>
      <c r="G391" s="44"/>
      <c r="H391" s="12"/>
      <c r="I391" s="12"/>
      <c r="J391" s="9"/>
      <c r="K391" s="9"/>
    </row>
    <row r="392" spans="1:11">
      <c r="A392" s="10" t="s">
        <v>31</v>
      </c>
      <c r="B392" s="10"/>
      <c r="C392" s="10"/>
      <c r="D392" s="11" t="s">
        <v>4</v>
      </c>
      <c r="E392" s="45">
        <f>E390+E391</f>
        <v>0</v>
      </c>
      <c r="F392" s="45"/>
      <c r="G392" s="10"/>
      <c r="H392" s="12"/>
      <c r="I392" s="12"/>
      <c r="J392" s="47"/>
      <c r="K392" s="47"/>
    </row>
    <row r="393" spans="1:11">
      <c r="A393" s="13"/>
      <c r="B393" s="13"/>
      <c r="C393" s="13"/>
      <c r="D393" s="11"/>
      <c r="E393" s="13"/>
      <c r="F393" s="13"/>
      <c r="G393" s="10"/>
      <c r="H393" s="12"/>
      <c r="I393" s="12"/>
      <c r="J393" s="47"/>
      <c r="K393" s="47"/>
    </row>
    <row r="394" spans="1:11">
      <c r="A394" s="63" t="s">
        <v>32</v>
      </c>
      <c r="B394" s="63"/>
      <c r="C394" s="63"/>
      <c r="D394" s="11" t="s">
        <v>4</v>
      </c>
      <c r="E394" s="41">
        <f>E389-E392</f>
        <v>1492980</v>
      </c>
      <c r="F394" s="41"/>
      <c r="G394" s="10"/>
      <c r="H394" s="12"/>
      <c r="I394" s="12"/>
      <c r="J394" s="47"/>
      <c r="K394" s="47"/>
    </row>
    <row r="395" spans="1:11" ht="15.75">
      <c r="A395" s="13"/>
      <c r="B395" s="13"/>
      <c r="C395" s="10"/>
      <c r="D395" s="10"/>
      <c r="E395" s="16" t="str">
        <f>PROPER(IF(E394=0,"nol",IF(E394&lt;0,"minus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394),"000000000000000"),1,3)=0,"",MID(TEXT(ABS(E394),"000000000000000"),1,1)&amp;" ratus "&amp;MID(TEXT(ABS(E394),"000000000000000"),2,1)&amp;" puluh "&amp;MID(TEXT(ABS(E394),"000000000000000"),3,1)&amp;" trilyun ")&amp;IF(--MID(TEXT(ABS(E394),"000000000000000"),4,3)=0,"",MID(TEXT(ABS(E394),"000000000000000"),4,1)&amp;" ratus "&amp;MID(TEXT(ABS(E394),"000000000000000"),5,1)&amp;" puluh "&amp;MID(TEXT(ABS(E394),"000000000000000"),6,1)&amp;" milyar ")&amp;IF(--MID(TEXT(ABS(E394),"000000000000000"),7,3)=0,"",MID(TEXT(ABS(E394),"000000000000000"),7,1)&amp;" ratus "&amp;MID(TEXT(ABS(E394),"000000000000000"),8,1)&amp;" puluh "&amp;MID(TEXT(ABS(E394),"000000000000000"),9,1)&amp;" juta ")&amp;IF(--MID(TEXT(ABS(E394),"000000000000000"),10,3)=0,"",IF(--MID(TEXT(ABS(E394),"000000000000000"),10,3)=1,"*",MID(TEXT(ABS(E394),"000000000000000"),10,1)&amp;" ratus "&amp;MID(TEXT(ABS(E394),"000000000000000"),11,1)&amp;" puluh ")&amp;MID(TEXT(ABS(E394),"000000000000000"),12,1)&amp;" ribu ")&amp;IF(--MID(TEXT(ABS(E394),"000000000000000"),13,3)=0,"",MID(TEXT(ABS(E394),"000000000000000"),13,1)&amp;" ratus "&amp;MID(TEXT(ABS(E394),"000000000000000"),14,1)&amp;" puluh "&amp;MID(TEXT(ABS(E394),"000000000000000"),15,1)),1,"satu"),2,"dua"),3,"tiga"),4,"empat"),5,"lima"),6,"enam"),7,"tujuh"),8,"delapan"),9,"sembilan"),"0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Satu Juta Empat Ratus Sembilan Puluh Dua Ribu Sembilan Ratus Delapan Puluh Rupiah</v>
      </c>
      <c r="F395" s="10"/>
      <c r="G395" s="10"/>
      <c r="H395" s="10"/>
      <c r="I395" s="10"/>
      <c r="J395" s="47"/>
      <c r="K395" s="47"/>
    </row>
    <row r="396" spans="1:11">
      <c r="A396" s="46"/>
      <c r="B396" s="46"/>
      <c r="C396" s="46"/>
      <c r="D396" s="46"/>
      <c r="E396" s="46"/>
      <c r="F396" s="46"/>
      <c r="G396" s="29"/>
      <c r="H396" s="47"/>
      <c r="I396" s="47"/>
      <c r="J396" s="47"/>
      <c r="K396" s="47"/>
    </row>
    <row r="397" spans="1:11">
      <c r="A397" s="29"/>
      <c r="B397" s="29"/>
      <c r="C397" s="29"/>
      <c r="D397" s="29"/>
      <c r="E397" s="29"/>
      <c r="F397" s="29"/>
      <c r="G397" s="29"/>
      <c r="H397"/>
      <c r="I397"/>
      <c r="J397" s="47"/>
      <c r="K397" s="47"/>
    </row>
    <row r="398" spans="1:11">
      <c r="A398" s="13"/>
      <c r="B398" s="13"/>
      <c r="C398" s="10"/>
      <c r="D398" s="10"/>
      <c r="E398" s="10"/>
      <c r="F398" s="10"/>
      <c r="G398" s="10"/>
      <c r="I398" s="48"/>
      <c r="J398" s="48" t="s">
        <v>47</v>
      </c>
      <c r="K398" s="47"/>
    </row>
    <row r="399" spans="1:11">
      <c r="A399" s="12" t="s">
        <v>33</v>
      </c>
      <c r="B399" s="10"/>
      <c r="C399" s="10"/>
      <c r="D399" s="10"/>
      <c r="E399" s="10"/>
      <c r="F399" s="10"/>
      <c r="G399" s="10"/>
      <c r="I399" s="12"/>
      <c r="J399" s="12" t="s">
        <v>34</v>
      </c>
      <c r="K399" s="47"/>
    </row>
    <row r="400" spans="1:11">
      <c r="A400" s="10"/>
      <c r="B400" s="10"/>
      <c r="C400" s="10"/>
      <c r="D400" s="10"/>
      <c r="E400" s="10"/>
      <c r="F400" s="10"/>
      <c r="G400" s="10"/>
      <c r="I400" s="12"/>
      <c r="J400" s="12"/>
      <c r="K400" s="47"/>
    </row>
    <row r="401" spans="1:11">
      <c r="A401" s="10"/>
      <c r="B401" s="10"/>
      <c r="C401" s="10"/>
      <c r="D401" s="10"/>
      <c r="E401" s="10"/>
      <c r="F401" s="10"/>
      <c r="G401" s="10"/>
      <c r="I401" s="12"/>
      <c r="J401" s="12"/>
      <c r="K401" s="47"/>
    </row>
    <row r="402" spans="1:11">
      <c r="A402" s="10"/>
      <c r="B402" s="10"/>
      <c r="C402" s="10"/>
      <c r="D402" s="10"/>
      <c r="E402" s="10"/>
      <c r="F402" s="10"/>
      <c r="G402" s="10"/>
      <c r="I402" s="12"/>
      <c r="J402" s="12"/>
      <c r="K402" s="47"/>
    </row>
    <row r="403" spans="1:11">
      <c r="A403" s="10"/>
      <c r="B403" s="10"/>
      <c r="C403" s="10"/>
      <c r="D403" s="10"/>
      <c r="E403" s="10"/>
      <c r="F403" s="10"/>
      <c r="G403" s="10"/>
      <c r="I403" s="12"/>
      <c r="J403" s="12"/>
      <c r="K403" s="47"/>
    </row>
    <row r="404" spans="1:11">
      <c r="A404" s="49" t="s">
        <v>38</v>
      </c>
      <c r="B404" s="49"/>
      <c r="C404" s="50"/>
      <c r="D404" s="50"/>
      <c r="E404" s="50"/>
      <c r="F404" s="50"/>
      <c r="G404" s="10" t="s">
        <v>35</v>
      </c>
      <c r="I404" s="49"/>
      <c r="J404" s="49" t="s">
        <v>36</v>
      </c>
      <c r="K404" s="47"/>
    </row>
    <row r="409" spans="1:11" ht="15.75">
      <c r="C409" s="2"/>
      <c r="D409" s="2"/>
      <c r="E409" s="2"/>
      <c r="F409" s="2"/>
    </row>
    <row r="410" spans="1:11" ht="15.75">
      <c r="A410" s="3"/>
      <c r="B410" s="3"/>
      <c r="C410" s="2"/>
      <c r="D410" s="2"/>
      <c r="E410" s="2"/>
      <c r="F410" s="2"/>
      <c r="G410" s="3"/>
      <c r="H410" s="4"/>
      <c r="I410" s="4"/>
      <c r="J410" s="4"/>
      <c r="K410" s="5"/>
    </row>
    <row r="411" spans="1:11">
      <c r="H411" s="5"/>
      <c r="I411" s="5"/>
      <c r="J411" s="5"/>
      <c r="K411" s="5"/>
    </row>
    <row r="412" spans="1:11">
      <c r="H412" s="5"/>
      <c r="I412" s="5"/>
      <c r="J412" s="5"/>
      <c r="K412" s="5"/>
    </row>
    <row r="413" spans="1:11">
      <c r="A413" s="64" t="s">
        <v>0</v>
      </c>
      <c r="B413" s="64"/>
      <c r="C413" s="58"/>
      <c r="D413" s="58"/>
      <c r="E413" s="58"/>
      <c r="F413" s="58"/>
      <c r="G413" s="58"/>
      <c r="H413" s="58"/>
      <c r="I413" s="58"/>
      <c r="J413" s="58"/>
      <c r="K413" s="58"/>
    </row>
    <row r="414" spans="1:11">
      <c r="A414" s="58" t="s">
        <v>53</v>
      </c>
      <c r="B414" s="58"/>
      <c r="C414" s="58"/>
      <c r="D414" s="58"/>
      <c r="E414" s="58"/>
      <c r="F414" s="58"/>
      <c r="G414" s="58"/>
      <c r="H414" s="58"/>
      <c r="I414" s="58"/>
      <c r="J414" s="58"/>
      <c r="K414" s="58"/>
    </row>
    <row r="415" spans="1:11">
      <c r="A415" s="58" t="s">
        <v>1</v>
      </c>
      <c r="B415" s="58"/>
      <c r="C415" s="58"/>
      <c r="D415" s="58"/>
      <c r="E415" s="58"/>
      <c r="F415" s="58"/>
      <c r="G415" s="58"/>
      <c r="H415" s="58"/>
      <c r="I415" s="58"/>
      <c r="J415" s="58"/>
      <c r="K415" s="58"/>
    </row>
    <row r="416" spans="1:11">
      <c r="A416" s="58" t="s">
        <v>39</v>
      </c>
      <c r="B416" s="58"/>
      <c r="C416" s="58"/>
      <c r="D416" s="58"/>
      <c r="E416" s="58"/>
      <c r="F416" s="58"/>
      <c r="G416" s="58"/>
      <c r="H416" s="58"/>
      <c r="I416" s="58"/>
      <c r="J416" s="58"/>
      <c r="K416" s="58"/>
    </row>
    <row r="417" spans="1:11">
      <c r="A417" s="58" t="s">
        <v>2</v>
      </c>
      <c r="B417" s="58"/>
      <c r="C417" s="58"/>
      <c r="D417" s="58"/>
      <c r="E417" s="58"/>
      <c r="F417" s="58"/>
      <c r="G417" s="58"/>
      <c r="H417" s="58"/>
      <c r="I417" s="58"/>
      <c r="J417" s="58"/>
      <c r="K417" s="58"/>
    </row>
    <row r="418" spans="1:11">
      <c r="A418" s="6"/>
      <c r="B418" s="6"/>
      <c r="C418" s="7"/>
      <c r="D418" s="7"/>
      <c r="E418" s="7"/>
      <c r="F418" s="7"/>
      <c r="G418" s="8"/>
      <c r="H418" s="9"/>
      <c r="I418" s="9"/>
      <c r="J418" s="9"/>
      <c r="K418" s="9"/>
    </row>
    <row r="419" spans="1:11">
      <c r="A419" s="53" t="s">
        <v>3</v>
      </c>
      <c r="B419" s="10"/>
      <c r="C419" s="10"/>
      <c r="D419" s="54" t="s">
        <v>4</v>
      </c>
      <c r="E419" s="10" t="s">
        <v>5</v>
      </c>
      <c r="F419" s="11"/>
      <c r="G419" s="10"/>
      <c r="H419" s="12"/>
      <c r="I419" s="12"/>
      <c r="J419" s="12"/>
      <c r="K419" s="9"/>
    </row>
    <row r="420" spans="1:11">
      <c r="A420" s="53" t="s">
        <v>6</v>
      </c>
      <c r="B420" s="10"/>
      <c r="C420" s="10"/>
      <c r="D420" s="54" t="s">
        <v>4</v>
      </c>
      <c r="E420" s="10" t="s">
        <v>7</v>
      </c>
      <c r="F420" s="11"/>
      <c r="G420" s="10"/>
      <c r="H420" s="12"/>
      <c r="I420" s="12"/>
      <c r="J420" s="12"/>
      <c r="K420" s="9"/>
    </row>
    <row r="421" spans="1:11">
      <c r="A421" s="53" t="s">
        <v>8</v>
      </c>
      <c r="B421" s="10"/>
      <c r="C421" s="10"/>
      <c r="D421" s="54" t="s">
        <v>4</v>
      </c>
      <c r="E421" s="13">
        <v>2026</v>
      </c>
      <c r="F421" s="11"/>
      <c r="G421" s="13"/>
      <c r="H421" s="12"/>
      <c r="I421" s="12"/>
      <c r="J421" s="12"/>
      <c r="K421" s="9"/>
    </row>
    <row r="422" spans="1:11">
      <c r="A422" s="53" t="s">
        <v>9</v>
      </c>
      <c r="B422" s="10"/>
      <c r="C422" s="10"/>
      <c r="D422" s="54" t="s">
        <v>4</v>
      </c>
      <c r="E422" s="14">
        <f>J432</f>
        <v>3900000</v>
      </c>
      <c r="F422" s="11"/>
      <c r="G422" s="14"/>
      <c r="H422" s="12"/>
      <c r="I422" s="12"/>
      <c r="J422" s="12"/>
      <c r="K422" s="9"/>
    </row>
    <row r="423" spans="1:11" ht="15.75">
      <c r="A423" s="10"/>
      <c r="B423" s="10"/>
      <c r="C423" s="15" t="s">
        <v>10</v>
      </c>
      <c r="D423" s="54" t="s">
        <v>4</v>
      </c>
      <c r="E423" s="16" t="str">
        <f>PROPER(IF(E422=0,"nol",IF(E422&lt;0,"minus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422),"000000000000000"),1,3)=0,"",MID(TEXT(ABS(E422),"000000000000000"),1,1)&amp;" ratus "&amp;MID(TEXT(ABS(E422),"000000000000000"),2,1)&amp;" puluh "&amp;MID(TEXT(ABS(E422),"000000000000000"),3,1)&amp;" trilyun ")&amp;IF(--MID(TEXT(ABS(E422),"000000000000000"),4,3)=0,"",MID(TEXT(ABS(E422),"000000000000000"),4,1)&amp;" ratus "&amp;MID(TEXT(ABS(E422),"000000000000000"),5,1)&amp;" puluh "&amp;MID(TEXT(ABS(E422),"000000000000000"),6,1)&amp;" milyar ")&amp;IF(--MID(TEXT(ABS(E422),"000000000000000"),7,3)=0,"",MID(TEXT(ABS(E422),"000000000000000"),7,1)&amp;" ratus "&amp;MID(TEXT(ABS(E422),"000000000000000"),8,1)&amp;" puluh "&amp;MID(TEXT(ABS(E422),"000000000000000"),9,1)&amp;" juta ")&amp;IF(--MID(TEXT(ABS(E422),"000000000000000"),10,3)=0,"",IF(--MID(TEXT(ABS(E422),"000000000000000"),10,3)=1,"*",MID(TEXT(ABS(E422),"000000000000000"),10,1)&amp;" ratus "&amp;MID(TEXT(ABS(E422),"000000000000000"),11,1)&amp;" puluh ")&amp;MID(TEXT(ABS(E422),"000000000000000"),12,1)&amp;" ribu ")&amp;IF(--MID(TEXT(ABS(E422),"000000000000000"),13,3)=0,"",MID(TEXT(ABS(E422),"000000000000000"),13,1)&amp;" ratus "&amp;MID(TEXT(ABS(E422),"000000000000000"),14,1)&amp;" puluh "&amp;MID(TEXT(ABS(E422),"000000000000000"),15,1)),1,"satu"),2,"dua"),3,"tiga"),4,"empat"),5,"lima"),6,"enam"),7,"tujuh"),8,"delapan"),9,"sembilan"),"0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Tiga Juta Sembilan Ratus Ribu Rupiah</v>
      </c>
      <c r="F423" s="11"/>
      <c r="G423" s="16"/>
      <c r="H423" s="12"/>
      <c r="I423" s="12"/>
      <c r="J423" s="12"/>
      <c r="K423" s="9"/>
    </row>
    <row r="424" spans="1:11" ht="15.75">
      <c r="A424" s="10"/>
      <c r="B424" s="10"/>
      <c r="C424" s="15"/>
      <c r="D424" s="15"/>
      <c r="E424" s="15"/>
      <c r="F424" s="11"/>
      <c r="G424" s="16"/>
      <c r="H424" s="12"/>
      <c r="I424" s="12"/>
      <c r="J424" s="12"/>
      <c r="K424" s="9"/>
    </row>
    <row r="425" spans="1:11">
      <c r="A425" s="10" t="s">
        <v>11</v>
      </c>
      <c r="B425" s="10"/>
      <c r="C425" s="10"/>
      <c r="D425" s="10"/>
      <c r="E425" s="10"/>
      <c r="F425" s="10"/>
      <c r="G425" s="10"/>
      <c r="H425" s="12"/>
      <c r="I425" s="12"/>
      <c r="J425" s="12"/>
      <c r="K425" s="9"/>
    </row>
    <row r="426" spans="1:11">
      <c r="A426" s="59" t="s">
        <v>12</v>
      </c>
      <c r="B426" s="59"/>
      <c r="C426" s="59"/>
      <c r="D426" s="59"/>
      <c r="E426" s="59"/>
      <c r="F426" s="59"/>
      <c r="G426" s="59"/>
      <c r="H426" s="59"/>
      <c r="I426" s="59"/>
      <c r="J426" s="59"/>
      <c r="K426" s="59"/>
    </row>
    <row r="427" spans="1:11" ht="60">
      <c r="A427" s="17" t="s">
        <v>13</v>
      </c>
      <c r="B427" s="18" t="s">
        <v>14</v>
      </c>
      <c r="C427" s="60" t="s">
        <v>15</v>
      </c>
      <c r="D427" s="61"/>
      <c r="E427" s="62"/>
      <c r="F427" s="19"/>
      <c r="G427" s="20" t="s">
        <v>16</v>
      </c>
      <c r="H427" s="21" t="s">
        <v>37</v>
      </c>
      <c r="I427" s="21"/>
      <c r="J427" s="31" t="s">
        <v>17</v>
      </c>
      <c r="K427" s="32" t="s">
        <v>18</v>
      </c>
    </row>
    <row r="428" spans="1:11">
      <c r="A428" s="27">
        <v>1</v>
      </c>
      <c r="B428" s="24"/>
      <c r="C428" s="28" t="s">
        <v>23</v>
      </c>
      <c r="D428" s="57"/>
      <c r="E428" s="26"/>
      <c r="F428" s="25"/>
      <c r="G428" s="55" t="s">
        <v>19</v>
      </c>
      <c r="H428" s="55" t="s">
        <v>19</v>
      </c>
      <c r="I428" s="55"/>
      <c r="J428" s="55" t="s">
        <v>19</v>
      </c>
      <c r="K428" s="55" t="s">
        <v>19</v>
      </c>
    </row>
    <row r="429" spans="1:11">
      <c r="A429" s="24"/>
      <c r="B429" s="56" t="s">
        <v>20</v>
      </c>
      <c r="C429" s="25" t="s">
        <v>24</v>
      </c>
      <c r="D429" s="10"/>
      <c r="E429" s="26"/>
      <c r="F429" s="25"/>
      <c r="G429" s="22">
        <v>75000000</v>
      </c>
      <c r="H429" s="23">
        <f>H384+J384</f>
        <v>9173874</v>
      </c>
      <c r="I429" s="23"/>
      <c r="J429" s="33">
        <v>3900000</v>
      </c>
      <c r="K429" s="34">
        <f>G429-H429-J429</f>
        <v>61926126</v>
      </c>
    </row>
    <row r="430" spans="1:11">
      <c r="A430" s="24"/>
      <c r="B430" s="56" t="s">
        <v>21</v>
      </c>
      <c r="C430" s="25" t="s">
        <v>25</v>
      </c>
      <c r="D430" s="10"/>
      <c r="E430" s="26"/>
      <c r="F430" s="25"/>
      <c r="G430" s="22">
        <v>30000000</v>
      </c>
      <c r="H430" s="23">
        <f t="shared" ref="H430:H431" si="16">H385+J385</f>
        <v>0</v>
      </c>
      <c r="I430" s="23"/>
      <c r="J430" s="33">
        <v>0</v>
      </c>
      <c r="K430" s="34">
        <f t="shared" ref="K430:K431" si="17">G430-H430-J430</f>
        <v>30000000</v>
      </c>
    </row>
    <row r="431" spans="1:11">
      <c r="A431" s="24"/>
      <c r="B431" s="56" t="s">
        <v>22</v>
      </c>
      <c r="C431" s="25" t="s">
        <v>26</v>
      </c>
      <c r="D431" s="10"/>
      <c r="E431" s="26"/>
      <c r="F431" s="25"/>
      <c r="G431" s="22">
        <v>50000000</v>
      </c>
      <c r="H431" s="23">
        <f t="shared" si="16"/>
        <v>0</v>
      </c>
      <c r="I431" s="23"/>
      <c r="J431" s="33">
        <v>0</v>
      </c>
      <c r="K431" s="34">
        <f t="shared" si="17"/>
        <v>50000000</v>
      </c>
    </row>
    <row r="432" spans="1:11">
      <c r="A432" s="35"/>
      <c r="B432" s="35"/>
      <c r="C432" s="35" t="s">
        <v>27</v>
      </c>
      <c r="D432" s="35"/>
      <c r="E432" s="35"/>
      <c r="F432" s="36"/>
      <c r="G432" s="37">
        <f>SUM(G428:G431)</f>
        <v>155000000</v>
      </c>
      <c r="H432" s="38">
        <f>SUM(H428:H431)</f>
        <v>9173874</v>
      </c>
      <c r="I432" s="38"/>
      <c r="J432" s="38">
        <f>SUM(J428:J431)</f>
        <v>3900000</v>
      </c>
      <c r="K432" s="38">
        <f>SUM(K428:K431)</f>
        <v>141926126</v>
      </c>
    </row>
    <row r="433" spans="1:11">
      <c r="A433" s="39"/>
      <c r="B433" s="8"/>
      <c r="C433" s="8"/>
      <c r="D433" s="8"/>
      <c r="E433" s="8"/>
      <c r="F433" s="8"/>
      <c r="G433" s="40"/>
      <c r="H433" s="40"/>
      <c r="I433" s="40"/>
      <c r="J433" s="40"/>
      <c r="K433" s="40"/>
    </row>
    <row r="434" spans="1:11">
      <c r="A434" s="63" t="s">
        <v>28</v>
      </c>
      <c r="B434" s="63"/>
      <c r="C434" s="63"/>
      <c r="D434" s="11" t="s">
        <v>4</v>
      </c>
      <c r="E434" s="14">
        <f>J432</f>
        <v>3900000</v>
      </c>
      <c r="F434" s="41"/>
      <c r="G434" s="42"/>
      <c r="H434" s="42"/>
      <c r="I434" s="42"/>
      <c r="J434" s="9"/>
      <c r="K434" s="9"/>
    </row>
    <row r="435" spans="1:11">
      <c r="A435" s="10" t="s">
        <v>29</v>
      </c>
      <c r="B435" s="10"/>
      <c r="C435" s="10"/>
      <c r="D435" s="11" t="s">
        <v>4</v>
      </c>
      <c r="E435" s="43"/>
      <c r="F435" s="43"/>
      <c r="G435" s="44"/>
      <c r="H435" s="12"/>
      <c r="I435" s="12"/>
      <c r="J435" s="9"/>
      <c r="K435" s="9"/>
    </row>
    <row r="436" spans="1:11">
      <c r="A436" s="10" t="s">
        <v>30</v>
      </c>
      <c r="B436" s="10"/>
      <c r="C436" s="10"/>
      <c r="D436" s="11" t="s">
        <v>4</v>
      </c>
      <c r="E436" s="45"/>
      <c r="F436" s="45"/>
      <c r="G436" s="44"/>
      <c r="H436" s="12"/>
      <c r="I436" s="12"/>
      <c r="J436" s="9"/>
      <c r="K436" s="9"/>
    </row>
    <row r="437" spans="1:11">
      <c r="A437" s="10" t="s">
        <v>31</v>
      </c>
      <c r="B437" s="10"/>
      <c r="C437" s="10"/>
      <c r="D437" s="11" t="s">
        <v>4</v>
      </c>
      <c r="E437" s="45">
        <f>E435+E436</f>
        <v>0</v>
      </c>
      <c r="F437" s="45"/>
      <c r="G437" s="10"/>
      <c r="H437" s="12"/>
      <c r="I437" s="12"/>
      <c r="J437" s="47"/>
      <c r="K437" s="47"/>
    </row>
    <row r="438" spans="1:11">
      <c r="A438" s="13"/>
      <c r="B438" s="13"/>
      <c r="C438" s="13"/>
      <c r="D438" s="11"/>
      <c r="E438" s="13"/>
      <c r="F438" s="13"/>
      <c r="G438" s="10"/>
      <c r="H438" s="12"/>
      <c r="I438" s="12"/>
      <c r="J438" s="47"/>
      <c r="K438" s="47"/>
    </row>
    <row r="439" spans="1:11">
      <c r="A439" s="63" t="s">
        <v>32</v>
      </c>
      <c r="B439" s="63"/>
      <c r="C439" s="63"/>
      <c r="D439" s="11" t="s">
        <v>4</v>
      </c>
      <c r="E439" s="41">
        <f>E434-E437</f>
        <v>3900000</v>
      </c>
      <c r="F439" s="41"/>
      <c r="G439" s="10"/>
      <c r="H439" s="12"/>
      <c r="I439" s="12"/>
      <c r="J439" s="47"/>
      <c r="K439" s="47"/>
    </row>
    <row r="440" spans="1:11" ht="15.75">
      <c r="A440" s="13"/>
      <c r="B440" s="13"/>
      <c r="C440" s="10"/>
      <c r="D440" s="10"/>
      <c r="E440" s="16" t="str">
        <f>PROPER(IF(E439=0,"nol",IF(E439&lt;0,"minus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439),"000000000000000"),1,3)=0,"",MID(TEXT(ABS(E439),"000000000000000"),1,1)&amp;" ratus "&amp;MID(TEXT(ABS(E439),"000000000000000"),2,1)&amp;" puluh "&amp;MID(TEXT(ABS(E439),"000000000000000"),3,1)&amp;" trilyun ")&amp;IF(--MID(TEXT(ABS(E439),"000000000000000"),4,3)=0,"",MID(TEXT(ABS(E439),"000000000000000"),4,1)&amp;" ratus "&amp;MID(TEXT(ABS(E439),"000000000000000"),5,1)&amp;" puluh "&amp;MID(TEXT(ABS(E439),"000000000000000"),6,1)&amp;" milyar ")&amp;IF(--MID(TEXT(ABS(E439),"000000000000000"),7,3)=0,"",MID(TEXT(ABS(E439),"000000000000000"),7,1)&amp;" ratus "&amp;MID(TEXT(ABS(E439),"000000000000000"),8,1)&amp;" puluh "&amp;MID(TEXT(ABS(E439),"000000000000000"),9,1)&amp;" juta ")&amp;IF(--MID(TEXT(ABS(E439),"000000000000000"),10,3)=0,"",IF(--MID(TEXT(ABS(E439),"000000000000000"),10,3)=1,"*",MID(TEXT(ABS(E439),"000000000000000"),10,1)&amp;" ratus "&amp;MID(TEXT(ABS(E439),"000000000000000"),11,1)&amp;" puluh ")&amp;MID(TEXT(ABS(E439),"000000000000000"),12,1)&amp;" ribu ")&amp;IF(--MID(TEXT(ABS(E439),"000000000000000"),13,3)=0,"",MID(TEXT(ABS(E439),"000000000000000"),13,1)&amp;" ratus "&amp;MID(TEXT(ABS(E439),"000000000000000"),14,1)&amp;" puluh "&amp;MID(TEXT(ABS(E439),"000000000000000"),15,1)),1,"satu"),2,"dua"),3,"tiga"),4,"empat"),5,"lima"),6,"enam"),7,"tujuh"),8,"delapan"),9,"sembilan"),"0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Tiga Juta Sembilan Ratus Ribu Rupiah</v>
      </c>
      <c r="F440" s="10"/>
      <c r="G440" s="10"/>
      <c r="H440" s="10"/>
      <c r="I440" s="10"/>
      <c r="J440" s="47"/>
      <c r="K440" s="47"/>
    </row>
    <row r="441" spans="1:11">
      <c r="A441" s="46"/>
      <c r="B441" s="46"/>
      <c r="C441" s="46"/>
      <c r="D441" s="46"/>
      <c r="E441" s="46"/>
      <c r="F441" s="46"/>
      <c r="G441" s="29"/>
      <c r="H441" s="47"/>
      <c r="I441" s="47"/>
      <c r="J441" s="47"/>
      <c r="K441" s="47"/>
    </row>
    <row r="442" spans="1:11">
      <c r="A442" s="29"/>
      <c r="B442" s="29"/>
      <c r="C442" s="29"/>
      <c r="D442" s="29"/>
      <c r="E442" s="29"/>
      <c r="F442" s="29"/>
      <c r="G442" s="29"/>
      <c r="H442"/>
      <c r="I442"/>
      <c r="J442" s="47"/>
      <c r="K442" s="47"/>
    </row>
    <row r="443" spans="1:11">
      <c r="A443" s="13"/>
      <c r="B443" s="13"/>
      <c r="C443" s="10"/>
      <c r="D443" s="10"/>
      <c r="E443" s="10"/>
      <c r="F443" s="10"/>
      <c r="G443" s="10"/>
      <c r="I443" s="48"/>
      <c r="J443" s="48" t="s">
        <v>47</v>
      </c>
      <c r="K443" s="47"/>
    </row>
    <row r="444" spans="1:11">
      <c r="A444" s="12" t="s">
        <v>33</v>
      </c>
      <c r="B444" s="10"/>
      <c r="C444" s="10"/>
      <c r="D444" s="10"/>
      <c r="E444" s="10"/>
      <c r="F444" s="10"/>
      <c r="G444" s="10"/>
      <c r="I444" s="12"/>
      <c r="J444" s="12" t="s">
        <v>34</v>
      </c>
      <c r="K444" s="47"/>
    </row>
    <row r="445" spans="1:11">
      <c r="A445" s="10"/>
      <c r="B445" s="10"/>
      <c r="C445" s="10"/>
      <c r="D445" s="10"/>
      <c r="E445" s="10"/>
      <c r="F445" s="10"/>
      <c r="G445" s="10"/>
      <c r="I445" s="12"/>
      <c r="J445" s="12"/>
      <c r="K445" s="47"/>
    </row>
    <row r="446" spans="1:11">
      <c r="A446" s="10"/>
      <c r="B446" s="10"/>
      <c r="C446" s="10"/>
      <c r="D446" s="10"/>
      <c r="E446" s="10"/>
      <c r="F446" s="10"/>
      <c r="G446" s="10"/>
      <c r="I446" s="12"/>
      <c r="J446" s="12"/>
      <c r="K446" s="47"/>
    </row>
    <row r="447" spans="1:11">
      <c r="A447" s="10"/>
      <c r="B447" s="10"/>
      <c r="C447" s="10"/>
      <c r="D447" s="10"/>
      <c r="E447" s="10"/>
      <c r="F447" s="10"/>
      <c r="G447" s="10"/>
      <c r="I447" s="12"/>
      <c r="J447" s="12"/>
      <c r="K447" s="47"/>
    </row>
    <row r="448" spans="1:11">
      <c r="A448" s="10"/>
      <c r="B448" s="10"/>
      <c r="C448" s="10"/>
      <c r="D448" s="10"/>
      <c r="E448" s="10"/>
      <c r="F448" s="10"/>
      <c r="G448" s="10"/>
      <c r="I448" s="12"/>
      <c r="J448" s="12"/>
      <c r="K448" s="47"/>
    </row>
    <row r="449" spans="1:11">
      <c r="A449" s="49" t="s">
        <v>38</v>
      </c>
      <c r="B449" s="49"/>
      <c r="C449" s="50"/>
      <c r="D449" s="50"/>
      <c r="E449" s="50"/>
      <c r="F449" s="50"/>
      <c r="G449" s="10" t="s">
        <v>35</v>
      </c>
      <c r="I449" s="49"/>
      <c r="J449" s="49" t="s">
        <v>36</v>
      </c>
      <c r="K449" s="47"/>
    </row>
    <row r="454" spans="1:11" ht="15.75">
      <c r="C454" s="2"/>
      <c r="D454" s="2"/>
      <c r="E454" s="2"/>
      <c r="F454" s="2"/>
    </row>
    <row r="455" spans="1:11" ht="15.75">
      <c r="A455" s="3"/>
      <c r="B455" s="3"/>
      <c r="C455" s="2"/>
      <c r="D455" s="2"/>
      <c r="E455" s="2"/>
      <c r="F455" s="2"/>
      <c r="G455" s="3"/>
      <c r="H455" s="4"/>
      <c r="I455" s="4"/>
      <c r="J455" s="4"/>
      <c r="K455" s="5"/>
    </row>
    <row r="456" spans="1:11">
      <c r="H456" s="5"/>
      <c r="I456" s="5"/>
      <c r="J456" s="5"/>
      <c r="K456" s="5"/>
    </row>
    <row r="457" spans="1:11">
      <c r="H457" s="5"/>
      <c r="I457" s="5"/>
      <c r="J457" s="5"/>
      <c r="K457" s="5"/>
    </row>
    <row r="458" spans="1:11">
      <c r="A458" s="64" t="s">
        <v>0</v>
      </c>
      <c r="B458" s="64"/>
      <c r="C458" s="58"/>
      <c r="D458" s="58"/>
      <c r="E458" s="58"/>
      <c r="F458" s="58"/>
      <c r="G458" s="58"/>
      <c r="H458" s="58"/>
      <c r="I458" s="58"/>
      <c r="J458" s="58"/>
      <c r="K458" s="58"/>
    </row>
    <row r="459" spans="1:11">
      <c r="A459" s="58" t="s">
        <v>54</v>
      </c>
      <c r="B459" s="58"/>
      <c r="C459" s="58"/>
      <c r="D459" s="58"/>
      <c r="E459" s="58"/>
      <c r="F459" s="58"/>
      <c r="G459" s="58"/>
      <c r="H459" s="58"/>
      <c r="I459" s="58"/>
      <c r="J459" s="58"/>
      <c r="K459" s="58"/>
    </row>
    <row r="460" spans="1:11">
      <c r="A460" s="58" t="s">
        <v>1</v>
      </c>
      <c r="B460" s="58"/>
      <c r="C460" s="58"/>
      <c r="D460" s="58"/>
      <c r="E460" s="58"/>
      <c r="F460" s="58"/>
      <c r="G460" s="58"/>
      <c r="H460" s="58"/>
      <c r="I460" s="58"/>
      <c r="J460" s="58"/>
      <c r="K460" s="58"/>
    </row>
    <row r="461" spans="1:11">
      <c r="A461" s="58" t="s">
        <v>39</v>
      </c>
      <c r="B461" s="58"/>
      <c r="C461" s="58"/>
      <c r="D461" s="58"/>
      <c r="E461" s="58"/>
      <c r="F461" s="58"/>
      <c r="G461" s="58"/>
      <c r="H461" s="58"/>
      <c r="I461" s="58"/>
      <c r="J461" s="58"/>
      <c r="K461" s="58"/>
    </row>
    <row r="462" spans="1:11">
      <c r="A462" s="58" t="s">
        <v>2</v>
      </c>
      <c r="B462" s="58"/>
      <c r="C462" s="58"/>
      <c r="D462" s="58"/>
      <c r="E462" s="58"/>
      <c r="F462" s="58"/>
      <c r="G462" s="58"/>
      <c r="H462" s="58"/>
      <c r="I462" s="58"/>
      <c r="J462" s="58"/>
      <c r="K462" s="58"/>
    </row>
    <row r="463" spans="1:11">
      <c r="A463" s="6"/>
      <c r="B463" s="6"/>
      <c r="C463" s="7"/>
      <c r="D463" s="7"/>
      <c r="E463" s="7"/>
      <c r="F463" s="7"/>
      <c r="G463" s="8"/>
      <c r="H463" s="9"/>
      <c r="I463" s="9"/>
      <c r="J463" s="9"/>
      <c r="K463" s="9"/>
    </row>
    <row r="464" spans="1:11">
      <c r="A464" s="53" t="s">
        <v>3</v>
      </c>
      <c r="B464" s="10"/>
      <c r="C464" s="10"/>
      <c r="D464" s="54" t="s">
        <v>4</v>
      </c>
      <c r="E464" s="10" t="s">
        <v>5</v>
      </c>
      <c r="F464" s="11"/>
      <c r="G464" s="10"/>
      <c r="H464" s="12"/>
      <c r="I464" s="12"/>
      <c r="J464" s="12"/>
      <c r="K464" s="9"/>
    </row>
    <row r="465" spans="1:11">
      <c r="A465" s="53" t="s">
        <v>6</v>
      </c>
      <c r="B465" s="10"/>
      <c r="C465" s="10"/>
      <c r="D465" s="54" t="s">
        <v>4</v>
      </c>
      <c r="E465" s="10" t="s">
        <v>7</v>
      </c>
      <c r="F465" s="11"/>
      <c r="G465" s="10"/>
      <c r="H465" s="12"/>
      <c r="I465" s="12"/>
      <c r="J465" s="12"/>
      <c r="K465" s="9"/>
    </row>
    <row r="466" spans="1:11">
      <c r="A466" s="53" t="s">
        <v>8</v>
      </c>
      <c r="B466" s="10"/>
      <c r="C466" s="10"/>
      <c r="D466" s="54" t="s">
        <v>4</v>
      </c>
      <c r="E466" s="13">
        <v>2026</v>
      </c>
      <c r="F466" s="11"/>
      <c r="G466" s="13"/>
      <c r="H466" s="12"/>
      <c r="I466" s="12"/>
      <c r="J466" s="12"/>
      <c r="K466" s="9"/>
    </row>
    <row r="467" spans="1:11">
      <c r="A467" s="53" t="s">
        <v>9</v>
      </c>
      <c r="B467" s="10"/>
      <c r="C467" s="10"/>
      <c r="D467" s="54" t="s">
        <v>4</v>
      </c>
      <c r="E467" s="14">
        <f>J477</f>
        <v>505000</v>
      </c>
      <c r="F467" s="11"/>
      <c r="G467" s="14"/>
      <c r="H467" s="12"/>
      <c r="I467" s="12"/>
      <c r="J467" s="12"/>
      <c r="K467" s="9"/>
    </row>
    <row r="468" spans="1:11" ht="15.75">
      <c r="A468" s="10"/>
      <c r="B468" s="10"/>
      <c r="C468" s="15" t="s">
        <v>10</v>
      </c>
      <c r="D468" s="54" t="s">
        <v>4</v>
      </c>
      <c r="E468" s="16" t="str">
        <f>PROPER(IF(E467=0,"nol",IF(E467&lt;0,"minus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467),"000000000000000"),1,3)=0,"",MID(TEXT(ABS(E467),"000000000000000"),1,1)&amp;" ratus "&amp;MID(TEXT(ABS(E467),"000000000000000"),2,1)&amp;" puluh "&amp;MID(TEXT(ABS(E467),"000000000000000"),3,1)&amp;" trilyun ")&amp;IF(--MID(TEXT(ABS(E467),"000000000000000"),4,3)=0,"",MID(TEXT(ABS(E467),"000000000000000"),4,1)&amp;" ratus "&amp;MID(TEXT(ABS(E467),"000000000000000"),5,1)&amp;" puluh "&amp;MID(TEXT(ABS(E467),"000000000000000"),6,1)&amp;" milyar ")&amp;IF(--MID(TEXT(ABS(E467),"000000000000000"),7,3)=0,"",MID(TEXT(ABS(E467),"000000000000000"),7,1)&amp;" ratus "&amp;MID(TEXT(ABS(E467),"000000000000000"),8,1)&amp;" puluh "&amp;MID(TEXT(ABS(E467),"000000000000000"),9,1)&amp;" juta ")&amp;IF(--MID(TEXT(ABS(E467),"000000000000000"),10,3)=0,"",IF(--MID(TEXT(ABS(E467),"000000000000000"),10,3)=1,"*",MID(TEXT(ABS(E467),"000000000000000"),10,1)&amp;" ratus "&amp;MID(TEXT(ABS(E467),"000000000000000"),11,1)&amp;" puluh ")&amp;MID(TEXT(ABS(E467),"000000000000000"),12,1)&amp;" ribu ")&amp;IF(--MID(TEXT(ABS(E467),"000000000000000"),13,3)=0,"",MID(TEXT(ABS(E467),"000000000000000"),13,1)&amp;" ratus "&amp;MID(TEXT(ABS(E467),"000000000000000"),14,1)&amp;" puluh "&amp;MID(TEXT(ABS(E467),"000000000000000"),15,1)),1,"satu"),2,"dua"),3,"tiga"),4,"empat"),5,"lima"),6,"enam"),7,"tujuh"),8,"delapan"),9,"sembilan"),"0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Lima Ratus Lima Ribu Rupiah</v>
      </c>
      <c r="F468" s="11"/>
      <c r="G468" s="16"/>
      <c r="H468" s="12"/>
      <c r="I468" s="12"/>
      <c r="J468" s="12"/>
      <c r="K468" s="9"/>
    </row>
    <row r="469" spans="1:11" ht="15.75">
      <c r="A469" s="10"/>
      <c r="B469" s="10"/>
      <c r="C469" s="15"/>
      <c r="D469" s="15"/>
      <c r="E469" s="15"/>
      <c r="F469" s="11"/>
      <c r="G469" s="16"/>
      <c r="H469" s="12"/>
      <c r="I469" s="12"/>
      <c r="J469" s="12"/>
      <c r="K469" s="9"/>
    </row>
    <row r="470" spans="1:11">
      <c r="A470" s="10" t="s">
        <v>11</v>
      </c>
      <c r="B470" s="10"/>
      <c r="C470" s="10"/>
      <c r="D470" s="10"/>
      <c r="E470" s="10"/>
      <c r="F470" s="10"/>
      <c r="G470" s="10"/>
      <c r="H470" s="12"/>
      <c r="I470" s="12"/>
      <c r="J470" s="12"/>
      <c r="K470" s="9"/>
    </row>
    <row r="471" spans="1:11">
      <c r="A471" s="59" t="s">
        <v>12</v>
      </c>
      <c r="B471" s="59"/>
      <c r="C471" s="59"/>
      <c r="D471" s="59"/>
      <c r="E471" s="59"/>
      <c r="F471" s="59"/>
      <c r="G471" s="59"/>
      <c r="H471" s="59"/>
      <c r="I471" s="59"/>
      <c r="J471" s="59"/>
      <c r="K471" s="59"/>
    </row>
    <row r="472" spans="1:11" ht="60">
      <c r="A472" s="17" t="s">
        <v>13</v>
      </c>
      <c r="B472" s="18" t="s">
        <v>14</v>
      </c>
      <c r="C472" s="60" t="s">
        <v>15</v>
      </c>
      <c r="D472" s="61"/>
      <c r="E472" s="62"/>
      <c r="F472" s="19"/>
      <c r="G472" s="20" t="s">
        <v>16</v>
      </c>
      <c r="H472" s="21" t="s">
        <v>37</v>
      </c>
      <c r="I472" s="21"/>
      <c r="J472" s="31" t="s">
        <v>17</v>
      </c>
      <c r="K472" s="32" t="s">
        <v>18</v>
      </c>
    </row>
    <row r="473" spans="1:11">
      <c r="A473" s="27">
        <v>1</v>
      </c>
      <c r="B473" s="24"/>
      <c r="C473" s="28" t="s">
        <v>23</v>
      </c>
      <c r="D473" s="57"/>
      <c r="E473" s="26"/>
      <c r="F473" s="25"/>
      <c r="G473" s="55" t="s">
        <v>19</v>
      </c>
      <c r="H473" s="55" t="s">
        <v>19</v>
      </c>
      <c r="I473" s="55"/>
      <c r="J473" s="55" t="s">
        <v>19</v>
      </c>
      <c r="K473" s="55" t="s">
        <v>19</v>
      </c>
    </row>
    <row r="474" spans="1:11">
      <c r="A474" s="24"/>
      <c r="B474" s="56" t="s">
        <v>20</v>
      </c>
      <c r="C474" s="25" t="s">
        <v>24</v>
      </c>
      <c r="D474" s="10"/>
      <c r="E474" s="26"/>
      <c r="F474" s="25"/>
      <c r="G474" s="22">
        <v>75000000</v>
      </c>
      <c r="H474" s="23">
        <f>H429+J429</f>
        <v>13073874</v>
      </c>
      <c r="I474" s="23"/>
      <c r="J474" s="33">
        <v>505000</v>
      </c>
      <c r="K474" s="34">
        <f>G474-H474-J474</f>
        <v>61421126</v>
      </c>
    </row>
    <row r="475" spans="1:11">
      <c r="A475" s="24"/>
      <c r="B475" s="56" t="s">
        <v>21</v>
      </c>
      <c r="C475" s="25" t="s">
        <v>25</v>
      </c>
      <c r="D475" s="10"/>
      <c r="E475" s="26"/>
      <c r="F475" s="25"/>
      <c r="G475" s="22">
        <v>30000000</v>
      </c>
      <c r="H475" s="23">
        <f t="shared" ref="H475:H476" si="18">H430+J430</f>
        <v>0</v>
      </c>
      <c r="I475" s="23"/>
      <c r="J475" s="33">
        <v>0</v>
      </c>
      <c r="K475" s="34">
        <f t="shared" ref="K475:K476" si="19">G475-H475-J475</f>
        <v>30000000</v>
      </c>
    </row>
    <row r="476" spans="1:11">
      <c r="A476" s="24"/>
      <c r="B476" s="56" t="s">
        <v>22</v>
      </c>
      <c r="C476" s="25" t="s">
        <v>26</v>
      </c>
      <c r="D476" s="10"/>
      <c r="E476" s="26"/>
      <c r="F476" s="25"/>
      <c r="G476" s="22">
        <v>50000000</v>
      </c>
      <c r="H476" s="23">
        <f t="shared" si="18"/>
        <v>0</v>
      </c>
      <c r="I476" s="23"/>
      <c r="J476" s="33">
        <v>0</v>
      </c>
      <c r="K476" s="34">
        <f t="shared" si="19"/>
        <v>50000000</v>
      </c>
    </row>
    <row r="477" spans="1:11">
      <c r="A477" s="35"/>
      <c r="B477" s="35"/>
      <c r="C477" s="35" t="s">
        <v>27</v>
      </c>
      <c r="D477" s="35"/>
      <c r="E477" s="35"/>
      <c r="F477" s="36"/>
      <c r="G477" s="37">
        <f>SUM(G473:G476)</f>
        <v>155000000</v>
      </c>
      <c r="H477" s="38">
        <f>SUM(H473:H476)</f>
        <v>13073874</v>
      </c>
      <c r="I477" s="38"/>
      <c r="J477" s="38">
        <f>SUM(J473:J476)</f>
        <v>505000</v>
      </c>
      <c r="K477" s="38">
        <f>SUM(K473:K476)</f>
        <v>141421126</v>
      </c>
    </row>
    <row r="478" spans="1:11">
      <c r="A478" s="39"/>
      <c r="B478" s="8"/>
      <c r="C478" s="8"/>
      <c r="D478" s="8"/>
      <c r="E478" s="8"/>
      <c r="F478" s="8"/>
      <c r="G478" s="40"/>
      <c r="H478" s="40"/>
      <c r="I478" s="40"/>
      <c r="J478" s="40"/>
      <c r="K478" s="40"/>
    </row>
    <row r="479" spans="1:11">
      <c r="A479" s="63" t="s">
        <v>28</v>
      </c>
      <c r="B479" s="63"/>
      <c r="C479" s="63"/>
      <c r="D479" s="11" t="s">
        <v>4</v>
      </c>
      <c r="E479" s="14">
        <f>J477</f>
        <v>505000</v>
      </c>
      <c r="F479" s="41"/>
      <c r="G479" s="42"/>
      <c r="H479" s="42"/>
      <c r="I479" s="42"/>
      <c r="J479" s="9"/>
      <c r="K479" s="9"/>
    </row>
    <row r="480" spans="1:11">
      <c r="A480" s="10" t="s">
        <v>29</v>
      </c>
      <c r="B480" s="10"/>
      <c r="C480" s="10"/>
      <c r="D480" s="11" t="s">
        <v>4</v>
      </c>
      <c r="E480" s="43"/>
      <c r="F480" s="43"/>
      <c r="G480" s="44"/>
      <c r="H480" s="12"/>
      <c r="I480" s="12"/>
      <c r="J480" s="9"/>
      <c r="K480" s="9"/>
    </row>
    <row r="481" spans="1:11">
      <c r="A481" s="10" t="s">
        <v>30</v>
      </c>
      <c r="B481" s="10"/>
      <c r="C481" s="10"/>
      <c r="D481" s="11" t="s">
        <v>4</v>
      </c>
      <c r="E481" s="45"/>
      <c r="F481" s="45"/>
      <c r="G481" s="44"/>
      <c r="H481" s="12"/>
      <c r="I481" s="12"/>
      <c r="J481" s="9"/>
      <c r="K481" s="9"/>
    </row>
    <row r="482" spans="1:11">
      <c r="A482" s="10" t="s">
        <v>31</v>
      </c>
      <c r="B482" s="10"/>
      <c r="C482" s="10"/>
      <c r="D482" s="11" t="s">
        <v>4</v>
      </c>
      <c r="E482" s="45">
        <f>E480+E481</f>
        <v>0</v>
      </c>
      <c r="F482" s="45"/>
      <c r="G482" s="10"/>
      <c r="H482" s="12"/>
      <c r="I482" s="12"/>
      <c r="J482" s="47"/>
      <c r="K482" s="47"/>
    </row>
    <row r="483" spans="1:11">
      <c r="A483" s="13"/>
      <c r="B483" s="13"/>
      <c r="C483" s="13"/>
      <c r="D483" s="11"/>
      <c r="E483" s="13"/>
      <c r="F483" s="13"/>
      <c r="G483" s="10"/>
      <c r="H483" s="12"/>
      <c r="I483" s="12"/>
      <c r="J483" s="47"/>
      <c r="K483" s="47"/>
    </row>
    <row r="484" spans="1:11">
      <c r="A484" s="63" t="s">
        <v>32</v>
      </c>
      <c r="B484" s="63"/>
      <c r="C484" s="63"/>
      <c r="D484" s="11" t="s">
        <v>4</v>
      </c>
      <c r="E484" s="41">
        <f>E479-E482</f>
        <v>505000</v>
      </c>
      <c r="F484" s="41"/>
      <c r="G484" s="10"/>
      <c r="H484" s="12"/>
      <c r="I484" s="12"/>
      <c r="J484" s="47"/>
      <c r="K484" s="47"/>
    </row>
    <row r="485" spans="1:11" ht="15.75">
      <c r="A485" s="13"/>
      <c r="B485" s="13"/>
      <c r="C485" s="10"/>
      <c r="D485" s="10"/>
      <c r="E485" s="16" t="str">
        <f>PROPER(IF(E484=0,"nol",IF(E484&lt;0,"minus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484),"000000000000000"),1,3)=0,"",MID(TEXT(ABS(E484),"000000000000000"),1,1)&amp;" ratus "&amp;MID(TEXT(ABS(E484),"000000000000000"),2,1)&amp;" puluh "&amp;MID(TEXT(ABS(E484),"000000000000000"),3,1)&amp;" trilyun ")&amp;IF(--MID(TEXT(ABS(E484),"000000000000000"),4,3)=0,"",MID(TEXT(ABS(E484),"000000000000000"),4,1)&amp;" ratus "&amp;MID(TEXT(ABS(E484),"000000000000000"),5,1)&amp;" puluh "&amp;MID(TEXT(ABS(E484),"000000000000000"),6,1)&amp;" milyar ")&amp;IF(--MID(TEXT(ABS(E484),"000000000000000"),7,3)=0,"",MID(TEXT(ABS(E484),"000000000000000"),7,1)&amp;" ratus "&amp;MID(TEXT(ABS(E484),"000000000000000"),8,1)&amp;" puluh "&amp;MID(TEXT(ABS(E484),"000000000000000"),9,1)&amp;" juta ")&amp;IF(--MID(TEXT(ABS(E484),"000000000000000"),10,3)=0,"",IF(--MID(TEXT(ABS(E484),"000000000000000"),10,3)=1,"*",MID(TEXT(ABS(E484),"000000000000000"),10,1)&amp;" ratus "&amp;MID(TEXT(ABS(E484),"000000000000000"),11,1)&amp;" puluh ")&amp;MID(TEXT(ABS(E484),"000000000000000"),12,1)&amp;" ribu ")&amp;IF(--MID(TEXT(ABS(E484),"000000000000000"),13,3)=0,"",MID(TEXT(ABS(E484),"000000000000000"),13,1)&amp;" ratus "&amp;MID(TEXT(ABS(E484),"000000000000000"),14,1)&amp;" puluh "&amp;MID(TEXT(ABS(E484),"000000000000000"),15,1)),1,"satu"),2,"dua"),3,"tiga"),4,"empat"),5,"lima"),6,"enam"),7,"tujuh"),8,"delapan"),9,"sembilan"),"0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Lima Ratus Lima Ribu Rupiah</v>
      </c>
      <c r="F485" s="10"/>
      <c r="G485" s="10"/>
      <c r="H485" s="10"/>
      <c r="I485" s="10"/>
      <c r="J485" s="47"/>
      <c r="K485" s="47"/>
    </row>
    <row r="486" spans="1:11">
      <c r="A486" s="46"/>
      <c r="B486" s="46"/>
      <c r="C486" s="46"/>
      <c r="D486" s="46"/>
      <c r="E486" s="46"/>
      <c r="F486" s="46"/>
      <c r="G486" s="29"/>
      <c r="H486" s="47"/>
      <c r="I486" s="47"/>
      <c r="J486" s="47"/>
      <c r="K486" s="47"/>
    </row>
    <row r="487" spans="1:11">
      <c r="A487" s="29"/>
      <c r="B487" s="29"/>
      <c r="C487" s="29"/>
      <c r="D487" s="29"/>
      <c r="E487" s="29"/>
      <c r="F487" s="29"/>
      <c r="G487" s="29"/>
      <c r="H487"/>
      <c r="I487"/>
      <c r="J487" s="47"/>
      <c r="K487" s="47"/>
    </row>
    <row r="488" spans="1:11">
      <c r="A488" s="13"/>
      <c r="B488" s="13"/>
      <c r="C488" s="10"/>
      <c r="D488" s="10"/>
      <c r="E488" s="10"/>
      <c r="F488" s="10"/>
      <c r="G488" s="10"/>
      <c r="I488" s="48"/>
      <c r="J488" s="48" t="s">
        <v>47</v>
      </c>
      <c r="K488" s="47"/>
    </row>
    <row r="489" spans="1:11">
      <c r="A489" s="12" t="s">
        <v>33</v>
      </c>
      <c r="B489" s="10"/>
      <c r="C489" s="10"/>
      <c r="D489" s="10"/>
      <c r="E489" s="10"/>
      <c r="F489" s="10"/>
      <c r="G489" s="10"/>
      <c r="I489" s="12"/>
      <c r="J489" s="12" t="s">
        <v>34</v>
      </c>
      <c r="K489" s="47"/>
    </row>
    <row r="490" spans="1:11">
      <c r="A490" s="10"/>
      <c r="B490" s="10"/>
      <c r="C490" s="10"/>
      <c r="D490" s="10"/>
      <c r="E490" s="10"/>
      <c r="F490" s="10"/>
      <c r="G490" s="10"/>
      <c r="I490" s="12"/>
      <c r="J490" s="12"/>
      <c r="K490" s="47"/>
    </row>
    <row r="491" spans="1:11">
      <c r="A491" s="10"/>
      <c r="B491" s="10"/>
      <c r="C491" s="10"/>
      <c r="D491" s="10"/>
      <c r="E491" s="10"/>
      <c r="F491" s="10"/>
      <c r="G491" s="10"/>
      <c r="I491" s="12"/>
      <c r="J491" s="12"/>
      <c r="K491" s="47"/>
    </row>
    <row r="492" spans="1:11">
      <c r="A492" s="10"/>
      <c r="B492" s="10"/>
      <c r="C492" s="10"/>
      <c r="D492" s="10"/>
      <c r="E492" s="10"/>
      <c r="F492" s="10"/>
      <c r="G492" s="10"/>
      <c r="I492" s="12"/>
      <c r="J492" s="12"/>
      <c r="K492" s="47"/>
    </row>
    <row r="493" spans="1:11">
      <c r="A493" s="10"/>
      <c r="B493" s="10"/>
      <c r="C493" s="10"/>
      <c r="D493" s="10"/>
      <c r="E493" s="10"/>
      <c r="F493" s="10"/>
      <c r="G493" s="10"/>
      <c r="I493" s="12"/>
      <c r="J493" s="12"/>
      <c r="K493" s="47"/>
    </row>
    <row r="494" spans="1:11">
      <c r="A494" s="49" t="s">
        <v>38</v>
      </c>
      <c r="B494" s="49"/>
      <c r="C494" s="50"/>
      <c r="D494" s="50"/>
      <c r="E494" s="50"/>
      <c r="F494" s="50"/>
      <c r="G494" s="10" t="s">
        <v>35</v>
      </c>
      <c r="I494" s="49"/>
      <c r="J494" s="49" t="s">
        <v>36</v>
      </c>
      <c r="K494" s="47"/>
    </row>
    <row r="499" spans="1:11" ht="15.75">
      <c r="C499" s="2"/>
      <c r="D499" s="2"/>
      <c r="E499" s="2"/>
      <c r="F499" s="2"/>
    </row>
    <row r="500" spans="1:11" ht="15.75">
      <c r="A500" s="3"/>
      <c r="B500" s="3"/>
      <c r="C500" s="2"/>
      <c r="D500" s="2"/>
      <c r="E500" s="2"/>
      <c r="F500" s="2"/>
      <c r="G500" s="3"/>
      <c r="H500" s="4"/>
      <c r="I500" s="4"/>
      <c r="J500" s="4"/>
      <c r="K500" s="5"/>
    </row>
    <row r="501" spans="1:11">
      <c r="H501" s="5"/>
      <c r="I501" s="5"/>
      <c r="J501" s="5"/>
      <c r="K501" s="5"/>
    </row>
    <row r="502" spans="1:11">
      <c r="H502" s="5"/>
      <c r="I502" s="5"/>
      <c r="J502" s="5"/>
      <c r="K502" s="5"/>
    </row>
    <row r="503" spans="1:11">
      <c r="A503" s="64" t="s">
        <v>0</v>
      </c>
      <c r="B503" s="64"/>
      <c r="C503" s="58"/>
      <c r="D503" s="58"/>
      <c r="E503" s="58"/>
      <c r="F503" s="58"/>
      <c r="G503" s="58"/>
      <c r="H503" s="58"/>
      <c r="I503" s="58"/>
      <c r="J503" s="58"/>
      <c r="K503" s="58"/>
    </row>
    <row r="504" spans="1:11">
      <c r="A504" s="58" t="s">
        <v>55</v>
      </c>
      <c r="B504" s="58"/>
      <c r="C504" s="58"/>
      <c r="D504" s="58"/>
      <c r="E504" s="58"/>
      <c r="F504" s="58"/>
      <c r="G504" s="58"/>
      <c r="H504" s="58"/>
      <c r="I504" s="58"/>
      <c r="J504" s="58"/>
      <c r="K504" s="58"/>
    </row>
    <row r="505" spans="1:11">
      <c r="A505" s="58" t="s">
        <v>1</v>
      </c>
      <c r="B505" s="58"/>
      <c r="C505" s="58"/>
      <c r="D505" s="58"/>
      <c r="E505" s="58"/>
      <c r="F505" s="58"/>
      <c r="G505" s="58"/>
      <c r="H505" s="58"/>
      <c r="I505" s="58"/>
      <c r="J505" s="58"/>
      <c r="K505" s="58"/>
    </row>
    <row r="506" spans="1:11">
      <c r="A506" s="58" t="s">
        <v>39</v>
      </c>
      <c r="B506" s="58"/>
      <c r="C506" s="58"/>
      <c r="D506" s="58"/>
      <c r="E506" s="58"/>
      <c r="F506" s="58"/>
      <c r="G506" s="58"/>
      <c r="H506" s="58"/>
      <c r="I506" s="58"/>
      <c r="J506" s="58"/>
      <c r="K506" s="58"/>
    </row>
    <row r="507" spans="1:11">
      <c r="A507" s="58" t="s">
        <v>2</v>
      </c>
      <c r="B507" s="58"/>
      <c r="C507" s="58"/>
      <c r="D507" s="58"/>
      <c r="E507" s="58"/>
      <c r="F507" s="58"/>
      <c r="G507" s="58"/>
      <c r="H507" s="58"/>
      <c r="I507" s="58"/>
      <c r="J507" s="58"/>
      <c r="K507" s="58"/>
    </row>
    <row r="508" spans="1:11">
      <c r="A508" s="6"/>
      <c r="B508" s="6"/>
      <c r="C508" s="7"/>
      <c r="D508" s="7"/>
      <c r="E508" s="7"/>
      <c r="F508" s="7"/>
      <c r="G508" s="8"/>
      <c r="H508" s="9"/>
      <c r="I508" s="9"/>
      <c r="J508" s="9"/>
      <c r="K508" s="9"/>
    </row>
    <row r="509" spans="1:11">
      <c r="A509" s="53" t="s">
        <v>3</v>
      </c>
      <c r="B509" s="10"/>
      <c r="C509" s="10"/>
      <c r="D509" s="54" t="s">
        <v>4</v>
      </c>
      <c r="E509" s="10" t="s">
        <v>5</v>
      </c>
      <c r="F509" s="11"/>
      <c r="G509" s="10"/>
      <c r="H509" s="12"/>
      <c r="I509" s="12"/>
      <c r="J509" s="12"/>
      <c r="K509" s="9"/>
    </row>
    <row r="510" spans="1:11">
      <c r="A510" s="53" t="s">
        <v>6</v>
      </c>
      <c r="B510" s="10"/>
      <c r="C510" s="10"/>
      <c r="D510" s="54" t="s">
        <v>4</v>
      </c>
      <c r="E510" s="10" t="s">
        <v>7</v>
      </c>
      <c r="F510" s="11"/>
      <c r="G510" s="10"/>
      <c r="H510" s="12"/>
      <c r="I510" s="12"/>
      <c r="J510" s="12"/>
      <c r="K510" s="9"/>
    </row>
    <row r="511" spans="1:11">
      <c r="A511" s="53" t="s">
        <v>8</v>
      </c>
      <c r="B511" s="10"/>
      <c r="C511" s="10"/>
      <c r="D511" s="54" t="s">
        <v>4</v>
      </c>
      <c r="E511" s="13">
        <v>2026</v>
      </c>
      <c r="F511" s="11"/>
      <c r="G511" s="13"/>
      <c r="H511" s="12"/>
      <c r="I511" s="12"/>
      <c r="J511" s="12"/>
      <c r="K511" s="9"/>
    </row>
    <row r="512" spans="1:11">
      <c r="A512" s="53" t="s">
        <v>9</v>
      </c>
      <c r="B512" s="10"/>
      <c r="C512" s="10"/>
      <c r="D512" s="54" t="s">
        <v>4</v>
      </c>
      <c r="E512" s="14">
        <f>J522</f>
        <v>200000</v>
      </c>
      <c r="F512" s="11"/>
      <c r="G512" s="14"/>
      <c r="H512" s="12"/>
      <c r="I512" s="12"/>
      <c r="J512" s="12"/>
      <c r="K512" s="9"/>
    </row>
    <row r="513" spans="1:11" ht="15.75">
      <c r="A513" s="10"/>
      <c r="B513" s="10"/>
      <c r="C513" s="15" t="s">
        <v>10</v>
      </c>
      <c r="D513" s="54" t="s">
        <v>4</v>
      </c>
      <c r="E513" s="16" t="str">
        <f>PROPER(IF(E512=0,"nol",IF(E512&lt;0,"minus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512),"000000000000000"),1,3)=0,"",MID(TEXT(ABS(E512),"000000000000000"),1,1)&amp;" ratus "&amp;MID(TEXT(ABS(E512),"000000000000000"),2,1)&amp;" puluh "&amp;MID(TEXT(ABS(E512),"000000000000000"),3,1)&amp;" trilyun ")&amp;IF(--MID(TEXT(ABS(E512),"000000000000000"),4,3)=0,"",MID(TEXT(ABS(E512),"000000000000000"),4,1)&amp;" ratus "&amp;MID(TEXT(ABS(E512),"000000000000000"),5,1)&amp;" puluh "&amp;MID(TEXT(ABS(E512),"000000000000000"),6,1)&amp;" milyar ")&amp;IF(--MID(TEXT(ABS(E512),"000000000000000"),7,3)=0,"",MID(TEXT(ABS(E512),"000000000000000"),7,1)&amp;" ratus "&amp;MID(TEXT(ABS(E512),"000000000000000"),8,1)&amp;" puluh "&amp;MID(TEXT(ABS(E512),"000000000000000"),9,1)&amp;" juta ")&amp;IF(--MID(TEXT(ABS(E512),"000000000000000"),10,3)=0,"",IF(--MID(TEXT(ABS(E512),"000000000000000"),10,3)=1,"*",MID(TEXT(ABS(E512),"000000000000000"),10,1)&amp;" ratus "&amp;MID(TEXT(ABS(E512),"000000000000000"),11,1)&amp;" puluh ")&amp;MID(TEXT(ABS(E512),"000000000000000"),12,1)&amp;" ribu ")&amp;IF(--MID(TEXT(ABS(E512),"000000000000000"),13,3)=0,"",MID(TEXT(ABS(E512),"000000000000000"),13,1)&amp;" ratus "&amp;MID(TEXT(ABS(E512),"000000000000000"),14,1)&amp;" puluh "&amp;MID(TEXT(ABS(E512),"000000000000000"),15,1)),1,"satu"),2,"dua"),3,"tiga"),4,"empat"),5,"lima"),6,"enam"),7,"tujuh"),8,"delapan"),9,"sembilan"),"0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Dua Ratus Ribu Rupiah</v>
      </c>
      <c r="F513" s="11"/>
      <c r="G513" s="16"/>
      <c r="H513" s="12"/>
      <c r="I513" s="12"/>
      <c r="J513" s="12"/>
      <c r="K513" s="9"/>
    </row>
    <row r="514" spans="1:11" ht="15.75">
      <c r="A514" s="10"/>
      <c r="B514" s="10"/>
      <c r="C514" s="15"/>
      <c r="D514" s="15"/>
      <c r="E514" s="15"/>
      <c r="F514" s="11"/>
      <c r="G514" s="16"/>
      <c r="H514" s="12"/>
      <c r="I514" s="12"/>
      <c r="J514" s="12"/>
      <c r="K514" s="9"/>
    </row>
    <row r="515" spans="1:11">
      <c r="A515" s="10" t="s">
        <v>11</v>
      </c>
      <c r="B515" s="10"/>
      <c r="C515" s="10"/>
      <c r="D515" s="10"/>
      <c r="E515" s="10"/>
      <c r="F515" s="10"/>
      <c r="G515" s="10"/>
      <c r="H515" s="12"/>
      <c r="I515" s="12"/>
      <c r="J515" s="12"/>
      <c r="K515" s="9"/>
    </row>
    <row r="516" spans="1:11">
      <c r="A516" s="59" t="s">
        <v>12</v>
      </c>
      <c r="B516" s="59"/>
      <c r="C516" s="59"/>
      <c r="D516" s="59"/>
      <c r="E516" s="59"/>
      <c r="F516" s="59"/>
      <c r="G516" s="59"/>
      <c r="H516" s="59"/>
      <c r="I516" s="59"/>
      <c r="J516" s="59"/>
      <c r="K516" s="59"/>
    </row>
    <row r="517" spans="1:11" ht="60">
      <c r="A517" s="17" t="s">
        <v>13</v>
      </c>
      <c r="B517" s="18" t="s">
        <v>14</v>
      </c>
      <c r="C517" s="60" t="s">
        <v>15</v>
      </c>
      <c r="D517" s="61"/>
      <c r="E517" s="62"/>
      <c r="F517" s="19"/>
      <c r="G517" s="20" t="s">
        <v>16</v>
      </c>
      <c r="H517" s="21" t="s">
        <v>37</v>
      </c>
      <c r="I517" s="21"/>
      <c r="J517" s="31" t="s">
        <v>17</v>
      </c>
      <c r="K517" s="32" t="s">
        <v>18</v>
      </c>
    </row>
    <row r="518" spans="1:11">
      <c r="A518" s="27">
        <v>1</v>
      </c>
      <c r="B518" s="24"/>
      <c r="C518" s="28" t="s">
        <v>23</v>
      </c>
      <c r="D518" s="57"/>
      <c r="E518" s="26"/>
      <c r="F518" s="25"/>
      <c r="G518" s="55" t="s">
        <v>19</v>
      </c>
      <c r="H518" s="55" t="s">
        <v>19</v>
      </c>
      <c r="I518" s="55"/>
      <c r="J518" s="55" t="s">
        <v>19</v>
      </c>
      <c r="K518" s="55" t="s">
        <v>19</v>
      </c>
    </row>
    <row r="519" spans="1:11">
      <c r="A519" s="24"/>
      <c r="B519" s="56" t="s">
        <v>20</v>
      </c>
      <c r="C519" s="25" t="s">
        <v>24</v>
      </c>
      <c r="D519" s="10"/>
      <c r="E519" s="26"/>
      <c r="F519" s="25"/>
      <c r="G519" s="22">
        <v>75000000</v>
      </c>
      <c r="H519" s="23">
        <f>H474+J474</f>
        <v>13578874</v>
      </c>
      <c r="I519" s="23"/>
      <c r="J519" s="33">
        <v>200000</v>
      </c>
      <c r="K519" s="34">
        <f>G519-H519-J519</f>
        <v>61221126</v>
      </c>
    </row>
    <row r="520" spans="1:11">
      <c r="A520" s="24"/>
      <c r="B520" s="56" t="s">
        <v>21</v>
      </c>
      <c r="C520" s="25" t="s">
        <v>25</v>
      </c>
      <c r="D520" s="10"/>
      <c r="E520" s="26"/>
      <c r="F520" s="25"/>
      <c r="G520" s="22">
        <v>30000000</v>
      </c>
      <c r="H520" s="23">
        <f t="shared" ref="H520:H521" si="20">H475+J475</f>
        <v>0</v>
      </c>
      <c r="I520" s="23"/>
      <c r="J520" s="33">
        <v>0</v>
      </c>
      <c r="K520" s="34">
        <f t="shared" ref="K520:K521" si="21">G520-H520-J520</f>
        <v>30000000</v>
      </c>
    </row>
    <row r="521" spans="1:11">
      <c r="A521" s="24"/>
      <c r="B521" s="56" t="s">
        <v>22</v>
      </c>
      <c r="C521" s="25" t="s">
        <v>26</v>
      </c>
      <c r="D521" s="10"/>
      <c r="E521" s="26"/>
      <c r="F521" s="25"/>
      <c r="G521" s="22">
        <v>50000000</v>
      </c>
      <c r="H521" s="23">
        <f t="shared" si="20"/>
        <v>0</v>
      </c>
      <c r="I521" s="23"/>
      <c r="J521" s="33">
        <v>0</v>
      </c>
      <c r="K521" s="34">
        <f t="shared" si="21"/>
        <v>50000000</v>
      </c>
    </row>
    <row r="522" spans="1:11">
      <c r="A522" s="35"/>
      <c r="B522" s="35"/>
      <c r="C522" s="35" t="s">
        <v>27</v>
      </c>
      <c r="D522" s="35"/>
      <c r="E522" s="35"/>
      <c r="F522" s="36"/>
      <c r="G522" s="37">
        <f>SUM(G518:G521)</f>
        <v>155000000</v>
      </c>
      <c r="H522" s="38">
        <f>SUM(H518:H521)</f>
        <v>13578874</v>
      </c>
      <c r="I522" s="38"/>
      <c r="J522" s="38">
        <f>SUM(J518:J521)</f>
        <v>200000</v>
      </c>
      <c r="K522" s="38">
        <f>SUM(K518:K521)</f>
        <v>141221126</v>
      </c>
    </row>
    <row r="523" spans="1:11">
      <c r="A523" s="39"/>
      <c r="B523" s="8"/>
      <c r="C523" s="8"/>
      <c r="D523" s="8"/>
      <c r="E523" s="8"/>
      <c r="F523" s="8"/>
      <c r="G523" s="40"/>
      <c r="H523" s="40"/>
      <c r="I523" s="40"/>
      <c r="J523" s="40"/>
      <c r="K523" s="40"/>
    </row>
    <row r="524" spans="1:11">
      <c r="A524" s="63" t="s">
        <v>28</v>
      </c>
      <c r="B524" s="63"/>
      <c r="C524" s="63"/>
      <c r="D524" s="11" t="s">
        <v>4</v>
      </c>
      <c r="E524" s="14">
        <f>J522</f>
        <v>200000</v>
      </c>
      <c r="F524" s="41"/>
      <c r="G524" s="42"/>
      <c r="H524" s="42"/>
      <c r="I524" s="42"/>
      <c r="J524" s="9"/>
      <c r="K524" s="9"/>
    </row>
    <row r="525" spans="1:11">
      <c r="A525" s="10" t="s">
        <v>29</v>
      </c>
      <c r="B525" s="10"/>
      <c r="C525" s="10"/>
      <c r="D525" s="11" t="s">
        <v>4</v>
      </c>
      <c r="E525" s="43"/>
      <c r="F525" s="43"/>
      <c r="G525" s="44"/>
      <c r="H525" s="12"/>
      <c r="I525" s="12"/>
      <c r="J525" s="9"/>
      <c r="K525" s="9"/>
    </row>
    <row r="526" spans="1:11">
      <c r="A526" s="10" t="s">
        <v>30</v>
      </c>
      <c r="B526" s="10"/>
      <c r="C526" s="10"/>
      <c r="D526" s="11" t="s">
        <v>4</v>
      </c>
      <c r="E526" s="45"/>
      <c r="F526" s="45"/>
      <c r="G526" s="44"/>
      <c r="H526" s="12"/>
      <c r="I526" s="12"/>
      <c r="J526" s="9"/>
      <c r="K526" s="9"/>
    </row>
    <row r="527" spans="1:11">
      <c r="A527" s="10" t="s">
        <v>31</v>
      </c>
      <c r="B527" s="10"/>
      <c r="C527" s="10"/>
      <c r="D527" s="11" t="s">
        <v>4</v>
      </c>
      <c r="E527" s="45">
        <f>E525+E526</f>
        <v>0</v>
      </c>
      <c r="F527" s="45"/>
      <c r="G527" s="10"/>
      <c r="H527" s="12"/>
      <c r="I527" s="12"/>
      <c r="J527" s="47"/>
      <c r="K527" s="47"/>
    </row>
    <row r="528" spans="1:11">
      <c r="A528" s="13"/>
      <c r="B528" s="13"/>
      <c r="C528" s="13"/>
      <c r="D528" s="11"/>
      <c r="E528" s="13"/>
      <c r="F528" s="13"/>
      <c r="G528" s="10"/>
      <c r="H528" s="12"/>
      <c r="I528" s="12"/>
      <c r="J528" s="47"/>
      <c r="K528" s="47"/>
    </row>
    <row r="529" spans="1:11">
      <c r="A529" s="63" t="s">
        <v>32</v>
      </c>
      <c r="B529" s="63"/>
      <c r="C529" s="63"/>
      <c r="D529" s="11" t="s">
        <v>4</v>
      </c>
      <c r="E529" s="41">
        <f>E524-E527</f>
        <v>200000</v>
      </c>
      <c r="F529" s="41"/>
      <c r="G529" s="10"/>
      <c r="H529" s="12"/>
      <c r="I529" s="12"/>
      <c r="J529" s="47"/>
      <c r="K529" s="47"/>
    </row>
    <row r="530" spans="1:11" ht="15.75">
      <c r="A530" s="13"/>
      <c r="B530" s="13"/>
      <c r="C530" s="10"/>
      <c r="D530" s="10"/>
      <c r="E530" s="16" t="str">
        <f>PROPER(IF(E529=0,"nol",IF(E529&lt;0,"minus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529),"000000000000000"),1,3)=0,"",MID(TEXT(ABS(E529),"000000000000000"),1,1)&amp;" ratus "&amp;MID(TEXT(ABS(E529),"000000000000000"),2,1)&amp;" puluh "&amp;MID(TEXT(ABS(E529),"000000000000000"),3,1)&amp;" trilyun ")&amp;IF(--MID(TEXT(ABS(E529),"000000000000000"),4,3)=0,"",MID(TEXT(ABS(E529),"000000000000000"),4,1)&amp;" ratus "&amp;MID(TEXT(ABS(E529),"000000000000000"),5,1)&amp;" puluh "&amp;MID(TEXT(ABS(E529),"000000000000000"),6,1)&amp;" milyar ")&amp;IF(--MID(TEXT(ABS(E529),"000000000000000"),7,3)=0,"",MID(TEXT(ABS(E529),"000000000000000"),7,1)&amp;" ratus "&amp;MID(TEXT(ABS(E529),"000000000000000"),8,1)&amp;" puluh "&amp;MID(TEXT(ABS(E529),"000000000000000"),9,1)&amp;" juta ")&amp;IF(--MID(TEXT(ABS(E529),"000000000000000"),10,3)=0,"",IF(--MID(TEXT(ABS(E529),"000000000000000"),10,3)=1,"*",MID(TEXT(ABS(E529),"000000000000000"),10,1)&amp;" ratus "&amp;MID(TEXT(ABS(E529),"000000000000000"),11,1)&amp;" puluh ")&amp;MID(TEXT(ABS(E529),"000000000000000"),12,1)&amp;" ribu ")&amp;IF(--MID(TEXT(ABS(E529),"000000000000000"),13,3)=0,"",MID(TEXT(ABS(E529),"000000000000000"),13,1)&amp;" ratus "&amp;MID(TEXT(ABS(E529),"000000000000000"),14,1)&amp;" puluh "&amp;MID(TEXT(ABS(E529),"000000000000000"),15,1)),1,"satu"),2,"dua"),3,"tiga"),4,"empat"),5,"lima"),6,"enam"),7,"tujuh"),8,"delapan"),9,"sembilan"),"0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Dua Ratus Ribu Rupiah</v>
      </c>
      <c r="F530" s="10"/>
      <c r="G530" s="10"/>
      <c r="H530" s="10"/>
      <c r="I530" s="10"/>
      <c r="J530" s="47"/>
      <c r="K530" s="47"/>
    </row>
    <row r="531" spans="1:11">
      <c r="A531" s="46"/>
      <c r="B531" s="46"/>
      <c r="C531" s="46"/>
      <c r="D531" s="46"/>
      <c r="E531" s="46"/>
      <c r="F531" s="46"/>
      <c r="G531" s="29"/>
      <c r="H531" s="47"/>
      <c r="I531" s="47"/>
      <c r="J531" s="47"/>
      <c r="K531" s="47"/>
    </row>
    <row r="532" spans="1:11">
      <c r="A532" s="29"/>
      <c r="B532" s="29"/>
      <c r="C532" s="29"/>
      <c r="D532" s="29"/>
      <c r="E532" s="29"/>
      <c r="F532" s="29"/>
      <c r="G532" s="29"/>
      <c r="H532"/>
      <c r="I532"/>
      <c r="J532" s="47"/>
      <c r="K532" s="47"/>
    </row>
    <row r="533" spans="1:11">
      <c r="A533" s="13"/>
      <c r="B533" s="13"/>
      <c r="C533" s="10"/>
      <c r="D533" s="10"/>
      <c r="E533" s="10"/>
      <c r="F533" s="10"/>
      <c r="G533" s="10"/>
      <c r="I533" s="48"/>
      <c r="J533" s="48" t="s">
        <v>56</v>
      </c>
      <c r="K533" s="47"/>
    </row>
    <row r="534" spans="1:11">
      <c r="A534" s="12" t="s">
        <v>33</v>
      </c>
      <c r="B534" s="10"/>
      <c r="C534" s="10"/>
      <c r="D534" s="10"/>
      <c r="E534" s="10"/>
      <c r="F534" s="10"/>
      <c r="G534" s="10"/>
      <c r="I534" s="12"/>
      <c r="J534" s="12" t="s">
        <v>34</v>
      </c>
      <c r="K534" s="47"/>
    </row>
    <row r="535" spans="1:11">
      <c r="A535" s="10"/>
      <c r="B535" s="10"/>
      <c r="C535" s="10"/>
      <c r="D535" s="10"/>
      <c r="E535" s="10"/>
      <c r="F535" s="10"/>
      <c r="G535" s="10"/>
      <c r="I535" s="12"/>
      <c r="J535" s="12"/>
      <c r="K535" s="47"/>
    </row>
    <row r="536" spans="1:11">
      <c r="A536" s="10"/>
      <c r="B536" s="10"/>
      <c r="C536" s="10"/>
      <c r="D536" s="10"/>
      <c r="E536" s="10"/>
      <c r="F536" s="10"/>
      <c r="G536" s="10"/>
      <c r="I536" s="12"/>
      <c r="J536" s="12"/>
      <c r="K536" s="47"/>
    </row>
    <row r="537" spans="1:11">
      <c r="A537" s="10"/>
      <c r="B537" s="10"/>
      <c r="C537" s="10"/>
      <c r="D537" s="10"/>
      <c r="E537" s="10"/>
      <c r="F537" s="10"/>
      <c r="G537" s="10"/>
      <c r="I537" s="12"/>
      <c r="J537" s="12"/>
      <c r="K537" s="47"/>
    </row>
    <row r="538" spans="1:11">
      <c r="A538" s="10"/>
      <c r="B538" s="10"/>
      <c r="C538" s="10"/>
      <c r="D538" s="10"/>
      <c r="E538" s="10"/>
      <c r="F538" s="10"/>
      <c r="G538" s="10"/>
      <c r="I538" s="12"/>
      <c r="J538" s="12"/>
      <c r="K538" s="47"/>
    </row>
    <row r="539" spans="1:11">
      <c r="A539" s="49" t="s">
        <v>38</v>
      </c>
      <c r="B539" s="49"/>
      <c r="C539" s="50"/>
      <c r="D539" s="50"/>
      <c r="E539" s="50"/>
      <c r="F539" s="50"/>
      <c r="G539" s="10" t="s">
        <v>35</v>
      </c>
      <c r="I539" s="49"/>
      <c r="J539" s="49" t="s">
        <v>36</v>
      </c>
      <c r="K539" s="47"/>
    </row>
    <row r="544" spans="1:11" ht="15.75">
      <c r="C544" s="2"/>
      <c r="D544" s="2"/>
      <c r="E544" s="2"/>
      <c r="F544" s="2"/>
    </row>
    <row r="545" spans="1:11" ht="15.75">
      <c r="A545" s="3"/>
      <c r="B545" s="3"/>
      <c r="C545" s="2"/>
      <c r="D545" s="2"/>
      <c r="E545" s="2"/>
      <c r="F545" s="2"/>
      <c r="G545" s="3"/>
      <c r="H545" s="4"/>
      <c r="I545" s="4"/>
      <c r="J545" s="4"/>
      <c r="K545" s="5"/>
    </row>
    <row r="546" spans="1:11">
      <c r="H546" s="5"/>
      <c r="I546" s="5"/>
      <c r="J546" s="5"/>
      <c r="K546" s="5"/>
    </row>
    <row r="547" spans="1:11">
      <c r="H547" s="5"/>
      <c r="I547" s="5"/>
      <c r="J547" s="5"/>
      <c r="K547" s="5"/>
    </row>
    <row r="548" spans="1:11">
      <c r="A548" s="64" t="s">
        <v>0</v>
      </c>
      <c r="B548" s="64"/>
      <c r="C548" s="58"/>
      <c r="D548" s="58"/>
      <c r="E548" s="58"/>
      <c r="F548" s="58"/>
      <c r="G548" s="58"/>
      <c r="H548" s="58"/>
      <c r="I548" s="58"/>
      <c r="J548" s="58"/>
      <c r="K548" s="58"/>
    </row>
    <row r="549" spans="1:11">
      <c r="A549" s="58" t="s">
        <v>57</v>
      </c>
      <c r="B549" s="58"/>
      <c r="C549" s="58"/>
      <c r="D549" s="58"/>
      <c r="E549" s="58"/>
      <c r="F549" s="58"/>
      <c r="G549" s="58"/>
      <c r="H549" s="58"/>
      <c r="I549" s="58"/>
      <c r="J549" s="58"/>
      <c r="K549" s="58"/>
    </row>
    <row r="550" spans="1:11">
      <c r="A550" s="58" t="s">
        <v>1</v>
      </c>
      <c r="B550" s="58"/>
      <c r="C550" s="58"/>
      <c r="D550" s="58"/>
      <c r="E550" s="58"/>
      <c r="F550" s="58"/>
      <c r="G550" s="58"/>
      <c r="H550" s="58"/>
      <c r="I550" s="58"/>
      <c r="J550" s="58"/>
      <c r="K550" s="58"/>
    </row>
    <row r="551" spans="1:11">
      <c r="A551" s="58" t="s">
        <v>39</v>
      </c>
      <c r="B551" s="58"/>
      <c r="C551" s="58"/>
      <c r="D551" s="58"/>
      <c r="E551" s="58"/>
      <c r="F551" s="58"/>
      <c r="G551" s="58"/>
      <c r="H551" s="58"/>
      <c r="I551" s="58"/>
      <c r="J551" s="58"/>
      <c r="K551" s="58"/>
    </row>
    <row r="552" spans="1:11">
      <c r="A552" s="58" t="s">
        <v>2</v>
      </c>
      <c r="B552" s="58"/>
      <c r="C552" s="58"/>
      <c r="D552" s="58"/>
      <c r="E552" s="58"/>
      <c r="F552" s="58"/>
      <c r="G552" s="58"/>
      <c r="H552" s="58"/>
      <c r="I552" s="58"/>
      <c r="J552" s="58"/>
      <c r="K552" s="58"/>
    </row>
    <row r="553" spans="1:11">
      <c r="A553" s="6"/>
      <c r="B553" s="6"/>
      <c r="C553" s="7"/>
      <c r="D553" s="7"/>
      <c r="E553" s="7"/>
      <c r="F553" s="7"/>
      <c r="G553" s="8"/>
      <c r="H553" s="9"/>
      <c r="I553" s="9"/>
      <c r="J553" s="9"/>
      <c r="K553" s="9"/>
    </row>
    <row r="554" spans="1:11">
      <c r="A554" s="53" t="s">
        <v>3</v>
      </c>
      <c r="B554" s="10"/>
      <c r="C554" s="10"/>
      <c r="D554" s="54" t="s">
        <v>4</v>
      </c>
      <c r="E554" s="10" t="s">
        <v>5</v>
      </c>
      <c r="F554" s="11"/>
      <c r="G554" s="10"/>
      <c r="H554" s="12"/>
      <c r="I554" s="12"/>
      <c r="J554" s="12"/>
      <c r="K554" s="9"/>
    </row>
    <row r="555" spans="1:11">
      <c r="A555" s="53" t="s">
        <v>6</v>
      </c>
      <c r="B555" s="10"/>
      <c r="C555" s="10"/>
      <c r="D555" s="54" t="s">
        <v>4</v>
      </c>
      <c r="E555" s="10" t="s">
        <v>7</v>
      </c>
      <c r="F555" s="11"/>
      <c r="G555" s="10"/>
      <c r="H555" s="12"/>
      <c r="I555" s="12"/>
      <c r="J555" s="12"/>
      <c r="K555" s="9"/>
    </row>
    <row r="556" spans="1:11">
      <c r="A556" s="53" t="s">
        <v>8</v>
      </c>
      <c r="B556" s="10"/>
      <c r="C556" s="10"/>
      <c r="D556" s="54" t="s">
        <v>4</v>
      </c>
      <c r="E556" s="13">
        <v>2026</v>
      </c>
      <c r="F556" s="11"/>
      <c r="G556" s="13"/>
      <c r="H556" s="12"/>
      <c r="I556" s="12"/>
      <c r="J556" s="12"/>
      <c r="K556" s="9"/>
    </row>
    <row r="557" spans="1:11">
      <c r="A557" s="53" t="s">
        <v>9</v>
      </c>
      <c r="B557" s="10"/>
      <c r="C557" s="10"/>
      <c r="D557" s="54" t="s">
        <v>4</v>
      </c>
      <c r="E557" s="14">
        <f>J567</f>
        <v>100000</v>
      </c>
      <c r="F557" s="11"/>
      <c r="G557" s="14"/>
      <c r="H557" s="12"/>
      <c r="I557" s="12"/>
      <c r="J557" s="12"/>
      <c r="K557" s="9"/>
    </row>
    <row r="558" spans="1:11" ht="15.75">
      <c r="A558" s="10"/>
      <c r="B558" s="10"/>
      <c r="C558" s="15" t="s">
        <v>10</v>
      </c>
      <c r="D558" s="54" t="s">
        <v>4</v>
      </c>
      <c r="E558" s="16" t="str">
        <f>PROPER(IF(E557=0,"nol",IF(E557&lt;0,"minus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557),"000000000000000"),1,3)=0,"",MID(TEXT(ABS(E557),"000000000000000"),1,1)&amp;" ratus "&amp;MID(TEXT(ABS(E557),"000000000000000"),2,1)&amp;" puluh "&amp;MID(TEXT(ABS(E557),"000000000000000"),3,1)&amp;" trilyun ")&amp;IF(--MID(TEXT(ABS(E557),"000000000000000"),4,3)=0,"",MID(TEXT(ABS(E557),"000000000000000"),4,1)&amp;" ratus "&amp;MID(TEXT(ABS(E557),"000000000000000"),5,1)&amp;" puluh "&amp;MID(TEXT(ABS(E557),"000000000000000"),6,1)&amp;" milyar ")&amp;IF(--MID(TEXT(ABS(E557),"000000000000000"),7,3)=0,"",MID(TEXT(ABS(E557),"000000000000000"),7,1)&amp;" ratus "&amp;MID(TEXT(ABS(E557),"000000000000000"),8,1)&amp;" puluh "&amp;MID(TEXT(ABS(E557),"000000000000000"),9,1)&amp;" juta ")&amp;IF(--MID(TEXT(ABS(E557),"000000000000000"),10,3)=0,"",IF(--MID(TEXT(ABS(E557),"000000000000000"),10,3)=1,"*",MID(TEXT(ABS(E557),"000000000000000"),10,1)&amp;" ratus "&amp;MID(TEXT(ABS(E557),"000000000000000"),11,1)&amp;" puluh ")&amp;MID(TEXT(ABS(E557),"000000000000000"),12,1)&amp;" ribu ")&amp;IF(--MID(TEXT(ABS(E557),"000000000000000"),13,3)=0,"",MID(TEXT(ABS(E557),"000000000000000"),13,1)&amp;" ratus "&amp;MID(TEXT(ABS(E557),"000000000000000"),14,1)&amp;" puluh "&amp;MID(TEXT(ABS(E557),"000000000000000"),15,1)),1,"satu"),2,"dua"),3,"tiga"),4,"empat"),5,"lima"),6,"enam"),7,"tujuh"),8,"delapan"),9,"sembilan"),"0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Seratus Ribu Rupiah</v>
      </c>
      <c r="F558" s="11"/>
      <c r="G558" s="16"/>
      <c r="H558" s="12"/>
      <c r="I558" s="12"/>
      <c r="J558" s="12"/>
      <c r="K558" s="9"/>
    </row>
    <row r="559" spans="1:11" ht="15.75">
      <c r="A559" s="10"/>
      <c r="B559" s="10"/>
      <c r="C559" s="15"/>
      <c r="D559" s="15"/>
      <c r="E559" s="15"/>
      <c r="F559" s="11"/>
      <c r="G559" s="16"/>
      <c r="H559" s="12"/>
      <c r="I559" s="12"/>
      <c r="J559" s="12"/>
      <c r="K559" s="9"/>
    </row>
    <row r="560" spans="1:11">
      <c r="A560" s="10" t="s">
        <v>11</v>
      </c>
      <c r="B560" s="10"/>
      <c r="C560" s="10"/>
      <c r="D560" s="10"/>
      <c r="E560" s="10"/>
      <c r="F560" s="10"/>
      <c r="G560" s="10"/>
      <c r="H560" s="12"/>
      <c r="I560" s="12"/>
      <c r="J560" s="12"/>
      <c r="K560" s="9"/>
    </row>
    <row r="561" spans="1:11">
      <c r="A561" s="59" t="s">
        <v>12</v>
      </c>
      <c r="B561" s="59"/>
      <c r="C561" s="59"/>
      <c r="D561" s="59"/>
      <c r="E561" s="59"/>
      <c r="F561" s="59"/>
      <c r="G561" s="59"/>
      <c r="H561" s="59"/>
      <c r="I561" s="59"/>
      <c r="J561" s="59"/>
      <c r="K561" s="59"/>
    </row>
    <row r="562" spans="1:11" ht="60">
      <c r="A562" s="17" t="s">
        <v>13</v>
      </c>
      <c r="B562" s="18" t="s">
        <v>14</v>
      </c>
      <c r="C562" s="60" t="s">
        <v>15</v>
      </c>
      <c r="D562" s="61"/>
      <c r="E562" s="62"/>
      <c r="F562" s="19"/>
      <c r="G562" s="20" t="s">
        <v>16</v>
      </c>
      <c r="H562" s="21" t="s">
        <v>37</v>
      </c>
      <c r="I562" s="21"/>
      <c r="J562" s="31" t="s">
        <v>17</v>
      </c>
      <c r="K562" s="32" t="s">
        <v>18</v>
      </c>
    </row>
    <row r="563" spans="1:11">
      <c r="A563" s="27">
        <v>1</v>
      </c>
      <c r="B563" s="24"/>
      <c r="C563" s="28" t="s">
        <v>23</v>
      </c>
      <c r="D563" s="57"/>
      <c r="E563" s="26"/>
      <c r="F563" s="25"/>
      <c r="G563" s="55" t="s">
        <v>19</v>
      </c>
      <c r="H563" s="55" t="s">
        <v>19</v>
      </c>
      <c r="I563" s="55"/>
      <c r="J563" s="55" t="s">
        <v>19</v>
      </c>
      <c r="K563" s="55" t="s">
        <v>19</v>
      </c>
    </row>
    <row r="564" spans="1:11">
      <c r="A564" s="24"/>
      <c r="B564" s="56" t="s">
        <v>20</v>
      </c>
      <c r="C564" s="25" t="s">
        <v>24</v>
      </c>
      <c r="D564" s="10"/>
      <c r="E564" s="26"/>
      <c r="F564" s="25"/>
      <c r="G564" s="22">
        <v>75000000</v>
      </c>
      <c r="H564" s="23">
        <f>H519+J519</f>
        <v>13778874</v>
      </c>
      <c r="I564" s="23"/>
      <c r="J564" s="33">
        <v>100000</v>
      </c>
      <c r="K564" s="34">
        <f>G564-H564-J564</f>
        <v>61121126</v>
      </c>
    </row>
    <row r="565" spans="1:11">
      <c r="A565" s="24"/>
      <c r="B565" s="56" t="s">
        <v>21</v>
      </c>
      <c r="C565" s="25" t="s">
        <v>25</v>
      </c>
      <c r="D565" s="10"/>
      <c r="E565" s="26"/>
      <c r="F565" s="25"/>
      <c r="G565" s="22">
        <v>30000000</v>
      </c>
      <c r="H565" s="23">
        <f t="shared" ref="H565:H566" si="22">H520+J520</f>
        <v>0</v>
      </c>
      <c r="I565" s="23"/>
      <c r="J565" s="33">
        <v>0</v>
      </c>
      <c r="K565" s="34">
        <f t="shared" ref="K565:K566" si="23">G565-H565-J565</f>
        <v>30000000</v>
      </c>
    </row>
    <row r="566" spans="1:11">
      <c r="A566" s="24"/>
      <c r="B566" s="56" t="s">
        <v>22</v>
      </c>
      <c r="C566" s="25" t="s">
        <v>26</v>
      </c>
      <c r="D566" s="10"/>
      <c r="E566" s="26"/>
      <c r="F566" s="25"/>
      <c r="G566" s="22">
        <v>50000000</v>
      </c>
      <c r="H566" s="23">
        <f t="shared" si="22"/>
        <v>0</v>
      </c>
      <c r="I566" s="23"/>
      <c r="J566" s="33">
        <v>0</v>
      </c>
      <c r="K566" s="34">
        <f t="shared" si="23"/>
        <v>50000000</v>
      </c>
    </row>
    <row r="567" spans="1:11">
      <c r="A567" s="35"/>
      <c r="B567" s="35"/>
      <c r="C567" s="35" t="s">
        <v>27</v>
      </c>
      <c r="D567" s="35"/>
      <c r="E567" s="35"/>
      <c r="F567" s="36"/>
      <c r="G567" s="37">
        <f>SUM(G563:G566)</f>
        <v>155000000</v>
      </c>
      <c r="H567" s="38">
        <f>SUM(H563:H566)</f>
        <v>13778874</v>
      </c>
      <c r="I567" s="38"/>
      <c r="J567" s="38">
        <f>SUM(J563:J566)</f>
        <v>100000</v>
      </c>
      <c r="K567" s="38">
        <f>SUM(K563:K566)</f>
        <v>141121126</v>
      </c>
    </row>
    <row r="568" spans="1:11">
      <c r="A568" s="39"/>
      <c r="B568" s="8"/>
      <c r="C568" s="8"/>
      <c r="D568" s="8"/>
      <c r="E568" s="8"/>
      <c r="F568" s="8"/>
      <c r="G568" s="40"/>
      <c r="H568" s="40"/>
      <c r="I568" s="40"/>
      <c r="J568" s="40"/>
      <c r="K568" s="40"/>
    </row>
    <row r="569" spans="1:11">
      <c r="A569" s="63" t="s">
        <v>28</v>
      </c>
      <c r="B569" s="63"/>
      <c r="C569" s="63"/>
      <c r="D569" s="11" t="s">
        <v>4</v>
      </c>
      <c r="E569" s="14">
        <f>J567</f>
        <v>100000</v>
      </c>
      <c r="F569" s="41"/>
      <c r="G569" s="42"/>
      <c r="H569" s="42"/>
      <c r="I569" s="42"/>
      <c r="J569" s="9"/>
      <c r="K569" s="9"/>
    </row>
    <row r="570" spans="1:11">
      <c r="A570" s="10" t="s">
        <v>29</v>
      </c>
      <c r="B570" s="10"/>
      <c r="C570" s="10"/>
      <c r="D570" s="11" t="s">
        <v>4</v>
      </c>
      <c r="E570" s="43"/>
      <c r="F570" s="43"/>
      <c r="G570" s="44"/>
      <c r="H570" s="12"/>
      <c r="I570" s="12"/>
      <c r="J570" s="9"/>
      <c r="K570" s="9"/>
    </row>
    <row r="571" spans="1:11">
      <c r="A571" s="10" t="s">
        <v>30</v>
      </c>
      <c r="B571" s="10"/>
      <c r="C571" s="10"/>
      <c r="D571" s="11" t="s">
        <v>4</v>
      </c>
      <c r="E571" s="45"/>
      <c r="F571" s="45"/>
      <c r="G571" s="44"/>
      <c r="H571" s="12"/>
      <c r="I571" s="12"/>
      <c r="J571" s="9"/>
      <c r="K571" s="9"/>
    </row>
    <row r="572" spans="1:11">
      <c r="A572" s="10" t="s">
        <v>31</v>
      </c>
      <c r="B572" s="10"/>
      <c r="C572" s="10"/>
      <c r="D572" s="11" t="s">
        <v>4</v>
      </c>
      <c r="E572" s="45">
        <f>E570+E571</f>
        <v>0</v>
      </c>
      <c r="F572" s="45"/>
      <c r="G572" s="10"/>
      <c r="H572" s="12"/>
      <c r="I572" s="12"/>
      <c r="J572" s="47"/>
      <c r="K572" s="47"/>
    </row>
    <row r="573" spans="1:11">
      <c r="A573" s="13"/>
      <c r="B573" s="13"/>
      <c r="C573" s="13"/>
      <c r="D573" s="11"/>
      <c r="E573" s="13"/>
      <c r="F573" s="13"/>
      <c r="G573" s="10"/>
      <c r="H573" s="12"/>
      <c r="I573" s="12"/>
      <c r="J573" s="47"/>
      <c r="K573" s="47"/>
    </row>
    <row r="574" spans="1:11">
      <c r="A574" s="63" t="s">
        <v>32</v>
      </c>
      <c r="B574" s="63"/>
      <c r="C574" s="63"/>
      <c r="D574" s="11" t="s">
        <v>4</v>
      </c>
      <c r="E574" s="41">
        <f>E569-E572</f>
        <v>100000</v>
      </c>
      <c r="F574" s="41"/>
      <c r="G574" s="10"/>
      <c r="H574" s="12"/>
      <c r="I574" s="12"/>
      <c r="J574" s="47"/>
      <c r="K574" s="47"/>
    </row>
    <row r="575" spans="1:11" ht="15.75">
      <c r="A575" s="13"/>
      <c r="B575" s="13"/>
      <c r="C575" s="10"/>
      <c r="D575" s="10"/>
      <c r="E575" s="16" t="str">
        <f>PROPER(IF(E574=0,"nol",IF(E574&lt;0,"minus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574),"000000000000000"),1,3)=0,"",MID(TEXT(ABS(E574),"000000000000000"),1,1)&amp;" ratus "&amp;MID(TEXT(ABS(E574),"000000000000000"),2,1)&amp;" puluh "&amp;MID(TEXT(ABS(E574),"000000000000000"),3,1)&amp;" trilyun ")&amp;IF(--MID(TEXT(ABS(E574),"000000000000000"),4,3)=0,"",MID(TEXT(ABS(E574),"000000000000000"),4,1)&amp;" ratus "&amp;MID(TEXT(ABS(E574),"000000000000000"),5,1)&amp;" puluh "&amp;MID(TEXT(ABS(E574),"000000000000000"),6,1)&amp;" milyar ")&amp;IF(--MID(TEXT(ABS(E574),"000000000000000"),7,3)=0,"",MID(TEXT(ABS(E574),"000000000000000"),7,1)&amp;" ratus "&amp;MID(TEXT(ABS(E574),"000000000000000"),8,1)&amp;" puluh "&amp;MID(TEXT(ABS(E574),"000000000000000"),9,1)&amp;" juta ")&amp;IF(--MID(TEXT(ABS(E574),"000000000000000"),10,3)=0,"",IF(--MID(TEXT(ABS(E574),"000000000000000"),10,3)=1,"*",MID(TEXT(ABS(E574),"000000000000000"),10,1)&amp;" ratus "&amp;MID(TEXT(ABS(E574),"000000000000000"),11,1)&amp;" puluh ")&amp;MID(TEXT(ABS(E574),"000000000000000"),12,1)&amp;" ribu ")&amp;IF(--MID(TEXT(ABS(E574),"000000000000000"),13,3)=0,"",MID(TEXT(ABS(E574),"000000000000000"),13,1)&amp;" ratus "&amp;MID(TEXT(ABS(E574),"000000000000000"),14,1)&amp;" puluh "&amp;MID(TEXT(ABS(E574),"000000000000000"),15,1)),1,"satu"),2,"dua"),3,"tiga"),4,"empat"),5,"lima"),6,"enam"),7,"tujuh"),8,"delapan"),9,"sembilan"),"0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Seratus Ribu Rupiah</v>
      </c>
      <c r="F575" s="10"/>
      <c r="G575" s="10"/>
      <c r="H575" s="10"/>
      <c r="I575" s="10"/>
      <c r="J575" s="47"/>
      <c r="K575" s="47"/>
    </row>
    <row r="576" spans="1:11">
      <c r="A576" s="46"/>
      <c r="B576" s="46"/>
      <c r="C576" s="46"/>
      <c r="D576" s="46"/>
      <c r="E576" s="46"/>
      <c r="F576" s="46"/>
      <c r="G576" s="29"/>
      <c r="H576" s="47"/>
      <c r="I576" s="47"/>
      <c r="J576" s="47"/>
      <c r="K576" s="47"/>
    </row>
    <row r="577" spans="1:11">
      <c r="A577" s="29"/>
      <c r="B577" s="29"/>
      <c r="C577" s="29"/>
      <c r="D577" s="29"/>
      <c r="E577" s="29"/>
      <c r="F577" s="29"/>
      <c r="G577" s="29"/>
      <c r="H577"/>
      <c r="I577"/>
      <c r="J577" s="47"/>
      <c r="K577" s="47"/>
    </row>
    <row r="578" spans="1:11">
      <c r="A578" s="13"/>
      <c r="B578" s="13"/>
      <c r="C578" s="10"/>
      <c r="D578" s="10"/>
      <c r="E578" s="10"/>
      <c r="F578" s="10"/>
      <c r="G578" s="10"/>
      <c r="I578" s="48"/>
      <c r="J578" s="48" t="s">
        <v>47</v>
      </c>
      <c r="K578" s="47"/>
    </row>
    <row r="579" spans="1:11">
      <c r="A579" s="12" t="s">
        <v>33</v>
      </c>
      <c r="B579" s="10"/>
      <c r="C579" s="10"/>
      <c r="D579" s="10"/>
      <c r="E579" s="10"/>
      <c r="F579" s="10"/>
      <c r="G579" s="10"/>
      <c r="I579" s="12"/>
      <c r="J579" s="12" t="s">
        <v>34</v>
      </c>
      <c r="K579" s="47"/>
    </row>
    <row r="580" spans="1:11">
      <c r="A580" s="10"/>
      <c r="B580" s="10"/>
      <c r="C580" s="10"/>
      <c r="D580" s="10"/>
      <c r="E580" s="10"/>
      <c r="F580" s="10"/>
      <c r="G580" s="10"/>
      <c r="I580" s="12"/>
      <c r="J580" s="12"/>
      <c r="K580" s="47"/>
    </row>
    <row r="581" spans="1:11">
      <c r="A581" s="10"/>
      <c r="B581" s="10"/>
      <c r="C581" s="10"/>
      <c r="D581" s="10"/>
      <c r="E581" s="10"/>
      <c r="F581" s="10"/>
      <c r="G581" s="10"/>
      <c r="I581" s="12"/>
      <c r="J581" s="12"/>
      <c r="K581" s="47"/>
    </row>
    <row r="582" spans="1:11">
      <c r="A582" s="10"/>
      <c r="B582" s="10"/>
      <c r="C582" s="10"/>
      <c r="D582" s="10"/>
      <c r="E582" s="10"/>
      <c r="F582" s="10"/>
      <c r="G582" s="10"/>
      <c r="I582" s="12"/>
      <c r="J582" s="12"/>
      <c r="K582" s="47"/>
    </row>
    <row r="583" spans="1:11">
      <c r="A583" s="10"/>
      <c r="B583" s="10"/>
      <c r="C583" s="10"/>
      <c r="D583" s="10"/>
      <c r="E583" s="10"/>
      <c r="F583" s="10"/>
      <c r="G583" s="10"/>
      <c r="I583" s="12"/>
      <c r="J583" s="12"/>
      <c r="K583" s="47"/>
    </row>
    <row r="584" spans="1:11">
      <c r="A584" s="49" t="s">
        <v>38</v>
      </c>
      <c r="B584" s="49"/>
      <c r="C584" s="50"/>
      <c r="D584" s="50"/>
      <c r="E584" s="50"/>
      <c r="F584" s="50"/>
      <c r="G584" s="10" t="s">
        <v>35</v>
      </c>
      <c r="I584" s="49"/>
      <c r="J584" s="49" t="s">
        <v>36</v>
      </c>
      <c r="K584" s="47"/>
    </row>
    <row r="589" spans="1:11" ht="15.75">
      <c r="C589" s="2"/>
      <c r="D589" s="2"/>
      <c r="E589" s="2"/>
      <c r="F589" s="2"/>
    </row>
    <row r="590" spans="1:11" ht="15.75">
      <c r="A590" s="3"/>
      <c r="B590" s="3"/>
      <c r="C590" s="2"/>
      <c r="D590" s="2"/>
      <c r="E590" s="2"/>
      <c r="F590" s="2"/>
      <c r="G590" s="3"/>
      <c r="H590" s="4"/>
      <c r="I590" s="4"/>
      <c r="J590" s="4"/>
      <c r="K590" s="5"/>
    </row>
    <row r="591" spans="1:11">
      <c r="H591" s="5"/>
      <c r="I591" s="5"/>
      <c r="J591" s="5"/>
      <c r="K591" s="5"/>
    </row>
    <row r="592" spans="1:11">
      <c r="H592" s="5"/>
      <c r="I592" s="5"/>
      <c r="J592" s="5"/>
      <c r="K592" s="5"/>
    </row>
    <row r="593" spans="1:11">
      <c r="A593" s="64" t="s">
        <v>0</v>
      </c>
      <c r="B593" s="64"/>
      <c r="C593" s="58"/>
      <c r="D593" s="58"/>
      <c r="E593" s="58"/>
      <c r="F593" s="58"/>
      <c r="G593" s="58"/>
      <c r="H593" s="58"/>
      <c r="I593" s="58"/>
      <c r="J593" s="58"/>
      <c r="K593" s="58"/>
    </row>
    <row r="594" spans="1:11">
      <c r="A594" s="58" t="s">
        <v>58</v>
      </c>
      <c r="B594" s="58"/>
      <c r="C594" s="58"/>
      <c r="D594" s="58"/>
      <c r="E594" s="58"/>
      <c r="F594" s="58"/>
      <c r="G594" s="58"/>
      <c r="H594" s="58"/>
      <c r="I594" s="58"/>
      <c r="J594" s="58"/>
      <c r="K594" s="58"/>
    </row>
    <row r="595" spans="1:11">
      <c r="A595" s="58" t="s">
        <v>1</v>
      </c>
      <c r="B595" s="58"/>
      <c r="C595" s="58"/>
      <c r="D595" s="58"/>
      <c r="E595" s="58"/>
      <c r="F595" s="58"/>
      <c r="G595" s="58"/>
      <c r="H595" s="58"/>
      <c r="I595" s="58"/>
      <c r="J595" s="58"/>
      <c r="K595" s="58"/>
    </row>
    <row r="596" spans="1:11">
      <c r="A596" s="58" t="s">
        <v>39</v>
      </c>
      <c r="B596" s="58"/>
      <c r="C596" s="58"/>
      <c r="D596" s="58"/>
      <c r="E596" s="58"/>
      <c r="F596" s="58"/>
      <c r="G596" s="58"/>
      <c r="H596" s="58"/>
      <c r="I596" s="58"/>
      <c r="J596" s="58"/>
      <c r="K596" s="58"/>
    </row>
    <row r="597" spans="1:11">
      <c r="A597" s="58" t="s">
        <v>2</v>
      </c>
      <c r="B597" s="58"/>
      <c r="C597" s="58"/>
      <c r="D597" s="58"/>
      <c r="E597" s="58"/>
      <c r="F597" s="58"/>
      <c r="G597" s="58"/>
      <c r="H597" s="58"/>
      <c r="I597" s="58"/>
      <c r="J597" s="58"/>
      <c r="K597" s="58"/>
    </row>
    <row r="598" spans="1:11">
      <c r="A598" s="6"/>
      <c r="B598" s="6"/>
      <c r="C598" s="7"/>
      <c r="D598" s="7"/>
      <c r="E598" s="7"/>
      <c r="F598" s="7"/>
      <c r="G598" s="8"/>
      <c r="H598" s="9"/>
      <c r="I598" s="9"/>
      <c r="J598" s="9"/>
      <c r="K598" s="9"/>
    </row>
    <row r="599" spans="1:11">
      <c r="A599" s="53" t="s">
        <v>3</v>
      </c>
      <c r="B599" s="10"/>
      <c r="C599" s="10"/>
      <c r="D599" s="54" t="s">
        <v>4</v>
      </c>
      <c r="E599" s="10" t="s">
        <v>5</v>
      </c>
      <c r="F599" s="11"/>
      <c r="G599" s="10"/>
      <c r="H599" s="12"/>
      <c r="I599" s="12"/>
      <c r="J599" s="12"/>
      <c r="K599" s="9"/>
    </row>
    <row r="600" spans="1:11">
      <c r="A600" s="53" t="s">
        <v>6</v>
      </c>
      <c r="B600" s="10"/>
      <c r="C600" s="10"/>
      <c r="D600" s="54" t="s">
        <v>4</v>
      </c>
      <c r="E600" s="10" t="s">
        <v>7</v>
      </c>
      <c r="F600" s="11"/>
      <c r="G600" s="10"/>
      <c r="H600" s="12"/>
      <c r="I600" s="12"/>
      <c r="J600" s="12"/>
      <c r="K600" s="9"/>
    </row>
    <row r="601" spans="1:11">
      <c r="A601" s="53" t="s">
        <v>8</v>
      </c>
      <c r="B601" s="10"/>
      <c r="C601" s="10"/>
      <c r="D601" s="54" t="s">
        <v>4</v>
      </c>
      <c r="E601" s="13">
        <v>2026</v>
      </c>
      <c r="F601" s="11"/>
      <c r="G601" s="13"/>
      <c r="H601" s="12"/>
      <c r="I601" s="12"/>
      <c r="J601" s="12"/>
      <c r="K601" s="9"/>
    </row>
    <row r="602" spans="1:11">
      <c r="A602" s="53" t="s">
        <v>9</v>
      </c>
      <c r="B602" s="10"/>
      <c r="C602" s="10"/>
      <c r="D602" s="54" t="s">
        <v>4</v>
      </c>
      <c r="E602" s="14">
        <f>J612</f>
        <v>292500</v>
      </c>
      <c r="F602" s="11"/>
      <c r="G602" s="14"/>
      <c r="H602" s="12"/>
      <c r="I602" s="12"/>
      <c r="J602" s="12"/>
      <c r="K602" s="9"/>
    </row>
    <row r="603" spans="1:11" ht="15.75">
      <c r="A603" s="10"/>
      <c r="B603" s="10"/>
      <c r="C603" s="15" t="s">
        <v>10</v>
      </c>
      <c r="D603" s="54" t="s">
        <v>4</v>
      </c>
      <c r="E603" s="16" t="str">
        <f>PROPER(IF(E602=0,"nol",IF(E602&lt;0,"minus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602),"000000000000000"),1,3)=0,"",MID(TEXT(ABS(E602),"000000000000000"),1,1)&amp;" ratus "&amp;MID(TEXT(ABS(E602),"000000000000000"),2,1)&amp;" puluh "&amp;MID(TEXT(ABS(E602),"000000000000000"),3,1)&amp;" trilyun ")&amp;IF(--MID(TEXT(ABS(E602),"000000000000000"),4,3)=0,"",MID(TEXT(ABS(E602),"000000000000000"),4,1)&amp;" ratus "&amp;MID(TEXT(ABS(E602),"000000000000000"),5,1)&amp;" puluh "&amp;MID(TEXT(ABS(E602),"000000000000000"),6,1)&amp;" milyar ")&amp;IF(--MID(TEXT(ABS(E602),"000000000000000"),7,3)=0,"",MID(TEXT(ABS(E602),"000000000000000"),7,1)&amp;" ratus "&amp;MID(TEXT(ABS(E602),"000000000000000"),8,1)&amp;" puluh "&amp;MID(TEXT(ABS(E602),"000000000000000"),9,1)&amp;" juta ")&amp;IF(--MID(TEXT(ABS(E602),"000000000000000"),10,3)=0,"",IF(--MID(TEXT(ABS(E602),"000000000000000"),10,3)=1,"*",MID(TEXT(ABS(E602),"000000000000000"),10,1)&amp;" ratus "&amp;MID(TEXT(ABS(E602),"000000000000000"),11,1)&amp;" puluh ")&amp;MID(TEXT(ABS(E602),"000000000000000"),12,1)&amp;" ribu ")&amp;IF(--MID(TEXT(ABS(E602),"000000000000000"),13,3)=0,"",MID(TEXT(ABS(E602),"000000000000000"),13,1)&amp;" ratus "&amp;MID(TEXT(ABS(E602),"000000000000000"),14,1)&amp;" puluh "&amp;MID(TEXT(ABS(E602),"000000000000000"),15,1)),1,"satu"),2,"dua"),3,"tiga"),4,"empat"),5,"lima"),6,"enam"),7,"tujuh"),8,"delapan"),9,"sembilan"),"0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Dua Ratus Sembilan Puluh Dua Ribu Lima Ratus Rupiah</v>
      </c>
      <c r="F603" s="11"/>
      <c r="G603" s="16"/>
      <c r="H603" s="12"/>
      <c r="I603" s="12"/>
      <c r="J603" s="12"/>
      <c r="K603" s="9"/>
    </row>
    <row r="604" spans="1:11" ht="15.75">
      <c r="A604" s="10"/>
      <c r="B604" s="10"/>
      <c r="C604" s="15"/>
      <c r="D604" s="15"/>
      <c r="E604" s="15"/>
      <c r="F604" s="11"/>
      <c r="G604" s="16"/>
      <c r="H604" s="12"/>
      <c r="I604" s="12"/>
      <c r="J604" s="12"/>
      <c r="K604" s="9"/>
    </row>
    <row r="605" spans="1:11">
      <c r="A605" s="10" t="s">
        <v>11</v>
      </c>
      <c r="B605" s="10"/>
      <c r="C605" s="10"/>
      <c r="D605" s="10"/>
      <c r="E605" s="10"/>
      <c r="F605" s="10"/>
      <c r="G605" s="10"/>
      <c r="H605" s="12"/>
      <c r="I605" s="12"/>
      <c r="J605" s="12"/>
      <c r="K605" s="9"/>
    </row>
    <row r="606" spans="1:11">
      <c r="A606" s="59" t="s">
        <v>12</v>
      </c>
      <c r="B606" s="59"/>
      <c r="C606" s="59"/>
      <c r="D606" s="59"/>
      <c r="E606" s="59"/>
      <c r="F606" s="59"/>
      <c r="G606" s="59"/>
      <c r="H606" s="59"/>
      <c r="I606" s="59"/>
      <c r="J606" s="59"/>
      <c r="K606" s="59"/>
    </row>
    <row r="607" spans="1:11" ht="60">
      <c r="A607" s="17" t="s">
        <v>13</v>
      </c>
      <c r="B607" s="18" t="s">
        <v>14</v>
      </c>
      <c r="C607" s="60" t="s">
        <v>15</v>
      </c>
      <c r="D607" s="61"/>
      <c r="E607" s="62"/>
      <c r="F607" s="19"/>
      <c r="G607" s="20" t="s">
        <v>16</v>
      </c>
      <c r="H607" s="21" t="s">
        <v>37</v>
      </c>
      <c r="I607" s="21"/>
      <c r="J607" s="31" t="s">
        <v>17</v>
      </c>
      <c r="K607" s="32" t="s">
        <v>18</v>
      </c>
    </row>
    <row r="608" spans="1:11">
      <c r="A608" s="27">
        <v>1</v>
      </c>
      <c r="B608" s="24"/>
      <c r="C608" s="28" t="s">
        <v>23</v>
      </c>
      <c r="D608" s="57"/>
      <c r="E608" s="26"/>
      <c r="F608" s="25"/>
      <c r="G608" s="55" t="s">
        <v>19</v>
      </c>
      <c r="H608" s="55" t="s">
        <v>19</v>
      </c>
      <c r="I608" s="55"/>
      <c r="J608" s="55" t="s">
        <v>19</v>
      </c>
      <c r="K608" s="55" t="s">
        <v>19</v>
      </c>
    </row>
    <row r="609" spans="1:11">
      <c r="A609" s="24"/>
      <c r="B609" s="56" t="s">
        <v>20</v>
      </c>
      <c r="C609" s="25" t="s">
        <v>24</v>
      </c>
      <c r="D609" s="10"/>
      <c r="E609" s="26"/>
      <c r="F609" s="25"/>
      <c r="G609" s="22">
        <v>75000000</v>
      </c>
      <c r="H609" s="23">
        <f>H564+J564</f>
        <v>13878874</v>
      </c>
      <c r="I609" s="23"/>
      <c r="J609" s="33">
        <v>292500</v>
      </c>
      <c r="K609" s="34">
        <f>G609-H609-J609</f>
        <v>60828626</v>
      </c>
    </row>
    <row r="610" spans="1:11">
      <c r="A610" s="24"/>
      <c r="B610" s="56" t="s">
        <v>21</v>
      </c>
      <c r="C610" s="25" t="s">
        <v>25</v>
      </c>
      <c r="D610" s="10"/>
      <c r="E610" s="26"/>
      <c r="F610" s="25"/>
      <c r="G610" s="22">
        <v>30000000</v>
      </c>
      <c r="H610" s="23">
        <f t="shared" ref="H610:H611" si="24">H565+J565</f>
        <v>0</v>
      </c>
      <c r="I610" s="23"/>
      <c r="J610" s="33">
        <v>0</v>
      </c>
      <c r="K610" s="34">
        <f t="shared" ref="K610:K611" si="25">G610-H610-J610</f>
        <v>30000000</v>
      </c>
    </row>
    <row r="611" spans="1:11">
      <c r="A611" s="24"/>
      <c r="B611" s="56" t="s">
        <v>22</v>
      </c>
      <c r="C611" s="25" t="s">
        <v>26</v>
      </c>
      <c r="D611" s="10"/>
      <c r="E611" s="26"/>
      <c r="F611" s="25"/>
      <c r="G611" s="22">
        <v>50000000</v>
      </c>
      <c r="H611" s="23">
        <f t="shared" si="24"/>
        <v>0</v>
      </c>
      <c r="I611" s="23"/>
      <c r="J611" s="33">
        <v>0</v>
      </c>
      <c r="K611" s="34">
        <f t="shared" si="25"/>
        <v>50000000</v>
      </c>
    </row>
    <row r="612" spans="1:11">
      <c r="A612" s="35"/>
      <c r="B612" s="35"/>
      <c r="C612" s="35" t="s">
        <v>27</v>
      </c>
      <c r="D612" s="35"/>
      <c r="E612" s="35"/>
      <c r="F612" s="36"/>
      <c r="G612" s="37">
        <f>SUM(G608:G611)</f>
        <v>155000000</v>
      </c>
      <c r="H612" s="38">
        <f>SUM(H608:H611)</f>
        <v>13878874</v>
      </c>
      <c r="I612" s="38"/>
      <c r="J612" s="38">
        <f>SUM(J608:J611)</f>
        <v>292500</v>
      </c>
      <c r="K612" s="38">
        <f>SUM(K608:K611)</f>
        <v>140828626</v>
      </c>
    </row>
    <row r="613" spans="1:11">
      <c r="A613" s="39"/>
      <c r="B613" s="8"/>
      <c r="C613" s="8"/>
      <c r="D613" s="8"/>
      <c r="E613" s="8"/>
      <c r="F613" s="8"/>
      <c r="G613" s="40"/>
      <c r="H613" s="40"/>
      <c r="I613" s="40"/>
      <c r="J613" s="40"/>
      <c r="K613" s="40"/>
    </row>
    <row r="614" spans="1:11">
      <c r="A614" s="63" t="s">
        <v>28</v>
      </c>
      <c r="B614" s="63"/>
      <c r="C614" s="63"/>
      <c r="D614" s="11" t="s">
        <v>4</v>
      </c>
      <c r="E614" s="14">
        <f>J612</f>
        <v>292500</v>
      </c>
      <c r="F614" s="41"/>
      <c r="G614" s="42"/>
      <c r="H614" s="42"/>
      <c r="I614" s="42"/>
      <c r="J614" s="9"/>
      <c r="K614" s="9"/>
    </row>
    <row r="615" spans="1:11">
      <c r="A615" s="10" t="s">
        <v>29</v>
      </c>
      <c r="B615" s="10"/>
      <c r="C615" s="10"/>
      <c r="D615" s="11" t="s">
        <v>4</v>
      </c>
      <c r="E615" s="43"/>
      <c r="F615" s="43"/>
      <c r="G615" s="44"/>
      <c r="H615" s="12"/>
      <c r="I615" s="12"/>
      <c r="J615" s="9"/>
      <c r="K615" s="9"/>
    </row>
    <row r="616" spans="1:11">
      <c r="A616" s="10" t="s">
        <v>30</v>
      </c>
      <c r="B616" s="10"/>
      <c r="C616" s="10"/>
      <c r="D616" s="11" t="s">
        <v>4</v>
      </c>
      <c r="E616" s="45"/>
      <c r="F616" s="45"/>
      <c r="G616" s="44"/>
      <c r="H616" s="12"/>
      <c r="I616" s="12"/>
      <c r="J616" s="9"/>
      <c r="K616" s="9"/>
    </row>
    <row r="617" spans="1:11">
      <c r="A617" s="10" t="s">
        <v>31</v>
      </c>
      <c r="B617" s="10"/>
      <c r="C617" s="10"/>
      <c r="D617" s="11" t="s">
        <v>4</v>
      </c>
      <c r="E617" s="45">
        <f>E615+E616</f>
        <v>0</v>
      </c>
      <c r="F617" s="45"/>
      <c r="G617" s="10"/>
      <c r="H617" s="12"/>
      <c r="I617" s="12"/>
      <c r="J617" s="47"/>
      <c r="K617" s="47"/>
    </row>
    <row r="618" spans="1:11">
      <c r="A618" s="13"/>
      <c r="B618" s="13"/>
      <c r="C618" s="13"/>
      <c r="D618" s="11"/>
      <c r="E618" s="13"/>
      <c r="F618" s="13"/>
      <c r="G618" s="10"/>
      <c r="H618" s="12"/>
      <c r="I618" s="12"/>
      <c r="J618" s="47"/>
      <c r="K618" s="47"/>
    </row>
    <row r="619" spans="1:11">
      <c r="A619" s="63" t="s">
        <v>32</v>
      </c>
      <c r="B619" s="63"/>
      <c r="C619" s="63"/>
      <c r="D619" s="11" t="s">
        <v>4</v>
      </c>
      <c r="E619" s="41">
        <f>E614-E617</f>
        <v>292500</v>
      </c>
      <c r="F619" s="41"/>
      <c r="G619" s="10"/>
      <c r="H619" s="12"/>
      <c r="I619" s="12"/>
      <c r="J619" s="47"/>
      <c r="K619" s="47"/>
    </row>
    <row r="620" spans="1:11" ht="15.75">
      <c r="A620" s="13"/>
      <c r="B620" s="13"/>
      <c r="C620" s="10"/>
      <c r="D620" s="10"/>
      <c r="E620" s="16" t="str">
        <f>PROPER(IF(E619=0,"nol",IF(E619&lt;0,"minus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619),"000000000000000"),1,3)=0,"",MID(TEXT(ABS(E619),"000000000000000"),1,1)&amp;" ratus "&amp;MID(TEXT(ABS(E619),"000000000000000"),2,1)&amp;" puluh "&amp;MID(TEXT(ABS(E619),"000000000000000"),3,1)&amp;" trilyun ")&amp;IF(--MID(TEXT(ABS(E619),"000000000000000"),4,3)=0,"",MID(TEXT(ABS(E619),"000000000000000"),4,1)&amp;" ratus "&amp;MID(TEXT(ABS(E619),"000000000000000"),5,1)&amp;" puluh "&amp;MID(TEXT(ABS(E619),"000000000000000"),6,1)&amp;" milyar ")&amp;IF(--MID(TEXT(ABS(E619),"000000000000000"),7,3)=0,"",MID(TEXT(ABS(E619),"000000000000000"),7,1)&amp;" ratus "&amp;MID(TEXT(ABS(E619),"000000000000000"),8,1)&amp;" puluh "&amp;MID(TEXT(ABS(E619),"000000000000000"),9,1)&amp;" juta ")&amp;IF(--MID(TEXT(ABS(E619),"000000000000000"),10,3)=0,"",IF(--MID(TEXT(ABS(E619),"000000000000000"),10,3)=1,"*",MID(TEXT(ABS(E619),"000000000000000"),10,1)&amp;" ratus "&amp;MID(TEXT(ABS(E619),"000000000000000"),11,1)&amp;" puluh ")&amp;MID(TEXT(ABS(E619),"000000000000000"),12,1)&amp;" ribu ")&amp;IF(--MID(TEXT(ABS(E619),"000000000000000"),13,3)=0,"",MID(TEXT(ABS(E619),"000000000000000"),13,1)&amp;" ratus "&amp;MID(TEXT(ABS(E619),"000000000000000"),14,1)&amp;" puluh "&amp;MID(TEXT(ABS(E619),"000000000000000"),15,1)),1,"satu"),2,"dua"),3,"tiga"),4,"empat"),5,"lima"),6,"enam"),7,"tujuh"),8,"delapan"),9,"sembilan"),"0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Dua Ratus Sembilan Puluh Dua Ribu Lima Ratus Rupiah</v>
      </c>
      <c r="F620" s="10"/>
      <c r="G620" s="10"/>
      <c r="H620" s="10"/>
      <c r="I620" s="10"/>
      <c r="J620" s="47"/>
      <c r="K620" s="47"/>
    </row>
    <row r="621" spans="1:11">
      <c r="A621" s="46"/>
      <c r="B621" s="46"/>
      <c r="C621" s="46"/>
      <c r="D621" s="46"/>
      <c r="E621" s="46"/>
      <c r="F621" s="46"/>
      <c r="G621" s="29"/>
      <c r="H621" s="47"/>
      <c r="I621" s="47"/>
      <c r="J621" s="47"/>
      <c r="K621" s="47"/>
    </row>
    <row r="622" spans="1:11">
      <c r="A622" s="29"/>
      <c r="B622" s="29"/>
      <c r="C622" s="29"/>
      <c r="D622" s="29"/>
      <c r="E622" s="29"/>
      <c r="F622" s="29"/>
      <c r="G622" s="29"/>
      <c r="H622"/>
      <c r="I622"/>
      <c r="J622" s="47"/>
      <c r="K622" s="47"/>
    </row>
    <row r="623" spans="1:11">
      <c r="A623" s="13"/>
      <c r="B623" s="13"/>
      <c r="C623" s="10"/>
      <c r="D623" s="10"/>
      <c r="E623" s="10"/>
      <c r="F623" s="10"/>
      <c r="G623" s="10"/>
      <c r="I623" s="48"/>
      <c r="J623" s="48" t="s">
        <v>59</v>
      </c>
      <c r="K623" s="47"/>
    </row>
    <row r="624" spans="1:11">
      <c r="A624" s="12" t="s">
        <v>33</v>
      </c>
      <c r="B624" s="10"/>
      <c r="C624" s="10"/>
      <c r="D624" s="10"/>
      <c r="E624" s="10"/>
      <c r="F624" s="10"/>
      <c r="G624" s="10"/>
      <c r="I624" s="12"/>
      <c r="J624" s="12" t="s">
        <v>34</v>
      </c>
      <c r="K624" s="47"/>
    </row>
    <row r="625" spans="1:11">
      <c r="A625" s="10"/>
      <c r="B625" s="10"/>
      <c r="C625" s="10"/>
      <c r="D625" s="10"/>
      <c r="E625" s="10"/>
      <c r="F625" s="10"/>
      <c r="G625" s="10"/>
      <c r="I625" s="12"/>
      <c r="J625" s="12"/>
      <c r="K625" s="47"/>
    </row>
    <row r="626" spans="1:11">
      <c r="A626" s="10"/>
      <c r="B626" s="10"/>
      <c r="C626" s="10"/>
      <c r="D626" s="10"/>
      <c r="E626" s="10"/>
      <c r="F626" s="10"/>
      <c r="G626" s="10"/>
      <c r="I626" s="12"/>
      <c r="J626" s="12"/>
      <c r="K626" s="47"/>
    </row>
    <row r="627" spans="1:11">
      <c r="A627" s="10"/>
      <c r="B627" s="10"/>
      <c r="C627" s="10"/>
      <c r="D627" s="10"/>
      <c r="E627" s="10"/>
      <c r="F627" s="10"/>
      <c r="G627" s="10"/>
      <c r="I627" s="12"/>
      <c r="J627" s="12"/>
      <c r="K627" s="47"/>
    </row>
    <row r="628" spans="1:11">
      <c r="A628" s="10"/>
      <c r="B628" s="10"/>
      <c r="C628" s="10"/>
      <c r="D628" s="10"/>
      <c r="E628" s="10"/>
      <c r="F628" s="10"/>
      <c r="G628" s="10"/>
      <c r="I628" s="12"/>
      <c r="J628" s="12"/>
      <c r="K628" s="47"/>
    </row>
    <row r="629" spans="1:11">
      <c r="A629" s="49" t="s">
        <v>38</v>
      </c>
      <c r="B629" s="49"/>
      <c r="C629" s="50"/>
      <c r="D629" s="50"/>
      <c r="E629" s="50"/>
      <c r="F629" s="50"/>
      <c r="G629" s="10" t="s">
        <v>35</v>
      </c>
      <c r="I629" s="49"/>
      <c r="J629" s="49" t="s">
        <v>36</v>
      </c>
      <c r="K629" s="47"/>
    </row>
    <row r="634" spans="1:11" ht="15.75">
      <c r="C634" s="2"/>
      <c r="D634" s="2"/>
      <c r="E634" s="2"/>
      <c r="F634" s="2"/>
    </row>
    <row r="635" spans="1:11" ht="15.75">
      <c r="A635" s="3"/>
      <c r="B635" s="3"/>
      <c r="C635" s="2"/>
      <c r="D635" s="2"/>
      <c r="E635" s="2"/>
      <c r="F635" s="2"/>
      <c r="G635" s="3"/>
      <c r="H635" s="4"/>
      <c r="I635" s="4"/>
      <c r="J635" s="4"/>
      <c r="K635" s="5"/>
    </row>
    <row r="636" spans="1:11">
      <c r="H636" s="5"/>
      <c r="I636" s="5"/>
      <c r="J636" s="5"/>
      <c r="K636" s="5"/>
    </row>
    <row r="637" spans="1:11">
      <c r="H637" s="5"/>
      <c r="I637" s="5"/>
      <c r="J637" s="5"/>
      <c r="K637" s="5"/>
    </row>
    <row r="638" spans="1:11">
      <c r="A638" s="64" t="s">
        <v>0</v>
      </c>
      <c r="B638" s="64"/>
      <c r="C638" s="58"/>
      <c r="D638" s="58"/>
      <c r="E638" s="58"/>
      <c r="F638" s="58"/>
      <c r="G638" s="58"/>
      <c r="H638" s="58"/>
      <c r="I638" s="58"/>
      <c r="J638" s="58"/>
      <c r="K638" s="58"/>
    </row>
    <row r="639" spans="1:11">
      <c r="A639" s="58" t="s">
        <v>60</v>
      </c>
      <c r="B639" s="58"/>
      <c r="C639" s="58"/>
      <c r="D639" s="58"/>
      <c r="E639" s="58"/>
      <c r="F639" s="58"/>
      <c r="G639" s="58"/>
      <c r="H639" s="58"/>
      <c r="I639" s="58"/>
      <c r="J639" s="58"/>
      <c r="K639" s="58"/>
    </row>
    <row r="640" spans="1:11">
      <c r="A640" s="58" t="s">
        <v>1</v>
      </c>
      <c r="B640" s="58"/>
      <c r="C640" s="58"/>
      <c r="D640" s="58"/>
      <c r="E640" s="58"/>
      <c r="F640" s="58"/>
      <c r="G640" s="58"/>
      <c r="H640" s="58"/>
      <c r="I640" s="58"/>
      <c r="J640" s="58"/>
      <c r="K640" s="58"/>
    </row>
    <row r="641" spans="1:11">
      <c r="A641" s="58" t="s">
        <v>39</v>
      </c>
      <c r="B641" s="58"/>
      <c r="C641" s="58"/>
      <c r="D641" s="58"/>
      <c r="E641" s="58"/>
      <c r="F641" s="58"/>
      <c r="G641" s="58"/>
      <c r="H641" s="58"/>
      <c r="I641" s="58"/>
      <c r="J641" s="58"/>
      <c r="K641" s="58"/>
    </row>
    <row r="642" spans="1:11">
      <c r="A642" s="58" t="s">
        <v>2</v>
      </c>
      <c r="B642" s="58"/>
      <c r="C642" s="58"/>
      <c r="D642" s="58"/>
      <c r="E642" s="58"/>
      <c r="F642" s="58"/>
      <c r="G642" s="58"/>
      <c r="H642" s="58"/>
      <c r="I642" s="58"/>
      <c r="J642" s="58"/>
      <c r="K642" s="58"/>
    </row>
    <row r="643" spans="1:11">
      <c r="A643" s="6"/>
      <c r="B643" s="6"/>
      <c r="C643" s="7"/>
      <c r="D643" s="7"/>
      <c r="E643" s="7"/>
      <c r="F643" s="7"/>
      <c r="G643" s="8"/>
      <c r="H643" s="9"/>
      <c r="I643" s="9"/>
      <c r="J643" s="9"/>
      <c r="K643" s="9"/>
    </row>
    <row r="644" spans="1:11">
      <c r="A644" s="53" t="s">
        <v>3</v>
      </c>
      <c r="B644" s="10"/>
      <c r="C644" s="10"/>
      <c r="D644" s="54" t="s">
        <v>4</v>
      </c>
      <c r="E644" s="10" t="s">
        <v>5</v>
      </c>
      <c r="F644" s="11"/>
      <c r="G644" s="10"/>
      <c r="H644" s="12"/>
      <c r="I644" s="12"/>
      <c r="J644" s="12"/>
      <c r="K644" s="9"/>
    </row>
    <row r="645" spans="1:11">
      <c r="A645" s="53" t="s">
        <v>6</v>
      </c>
      <c r="B645" s="10"/>
      <c r="C645" s="10"/>
      <c r="D645" s="54" t="s">
        <v>4</v>
      </c>
      <c r="E645" s="10" t="s">
        <v>7</v>
      </c>
      <c r="F645" s="11"/>
      <c r="G645" s="10"/>
      <c r="H645" s="12"/>
      <c r="I645" s="12"/>
      <c r="J645" s="12"/>
      <c r="K645" s="9"/>
    </row>
    <row r="646" spans="1:11">
      <c r="A646" s="53" t="s">
        <v>8</v>
      </c>
      <c r="B646" s="10"/>
      <c r="C646" s="10"/>
      <c r="D646" s="54" t="s">
        <v>4</v>
      </c>
      <c r="E646" s="13">
        <v>2026</v>
      </c>
      <c r="F646" s="11"/>
      <c r="G646" s="13"/>
      <c r="H646" s="12"/>
      <c r="I646" s="12"/>
      <c r="J646" s="12"/>
      <c r="K646" s="9"/>
    </row>
    <row r="647" spans="1:11">
      <c r="A647" s="53" t="s">
        <v>9</v>
      </c>
      <c r="B647" s="10"/>
      <c r="C647" s="10"/>
      <c r="D647" s="54" t="s">
        <v>4</v>
      </c>
      <c r="E647" s="14">
        <f>J657</f>
        <v>240970</v>
      </c>
      <c r="F647" s="11"/>
      <c r="G647" s="14"/>
      <c r="H647" s="12"/>
      <c r="I647" s="12"/>
      <c r="J647" s="12"/>
      <c r="K647" s="9"/>
    </row>
    <row r="648" spans="1:11" ht="15.75">
      <c r="A648" s="10"/>
      <c r="B648" s="10"/>
      <c r="C648" s="15" t="s">
        <v>10</v>
      </c>
      <c r="D648" s="54" t="s">
        <v>4</v>
      </c>
      <c r="E648" s="16" t="str">
        <f>PROPER(IF(E647=0,"nol",IF(E647&lt;0,"minus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647),"000000000000000"),1,3)=0,"",MID(TEXT(ABS(E647),"000000000000000"),1,1)&amp;" ratus "&amp;MID(TEXT(ABS(E647),"000000000000000"),2,1)&amp;" puluh "&amp;MID(TEXT(ABS(E647),"000000000000000"),3,1)&amp;" trilyun ")&amp;IF(--MID(TEXT(ABS(E647),"000000000000000"),4,3)=0,"",MID(TEXT(ABS(E647),"000000000000000"),4,1)&amp;" ratus "&amp;MID(TEXT(ABS(E647),"000000000000000"),5,1)&amp;" puluh "&amp;MID(TEXT(ABS(E647),"000000000000000"),6,1)&amp;" milyar ")&amp;IF(--MID(TEXT(ABS(E647),"000000000000000"),7,3)=0,"",MID(TEXT(ABS(E647),"000000000000000"),7,1)&amp;" ratus "&amp;MID(TEXT(ABS(E647),"000000000000000"),8,1)&amp;" puluh "&amp;MID(TEXT(ABS(E647),"000000000000000"),9,1)&amp;" juta ")&amp;IF(--MID(TEXT(ABS(E647),"000000000000000"),10,3)=0,"",IF(--MID(TEXT(ABS(E647),"000000000000000"),10,3)=1,"*",MID(TEXT(ABS(E647),"000000000000000"),10,1)&amp;" ratus "&amp;MID(TEXT(ABS(E647),"000000000000000"),11,1)&amp;" puluh ")&amp;MID(TEXT(ABS(E647),"000000000000000"),12,1)&amp;" ribu ")&amp;IF(--MID(TEXT(ABS(E647),"000000000000000"),13,3)=0,"",MID(TEXT(ABS(E647),"000000000000000"),13,1)&amp;" ratus "&amp;MID(TEXT(ABS(E647),"000000000000000"),14,1)&amp;" puluh "&amp;MID(TEXT(ABS(E647),"000000000000000"),15,1)),1,"satu"),2,"dua"),3,"tiga"),4,"empat"),5,"lima"),6,"enam"),7,"tujuh"),8,"delapan"),9,"sembilan"),"0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Dua Ratus Empat Puluh Ribu Sembilan Ratus Tujuh Puluh Rupiah</v>
      </c>
      <c r="F648" s="11"/>
      <c r="G648" s="16"/>
      <c r="H648" s="12"/>
      <c r="I648" s="12"/>
      <c r="J648" s="12"/>
      <c r="K648" s="9"/>
    </row>
    <row r="649" spans="1:11" ht="15.75">
      <c r="A649" s="10"/>
      <c r="B649" s="10"/>
      <c r="C649" s="15"/>
      <c r="D649" s="15"/>
      <c r="E649" s="15"/>
      <c r="F649" s="11"/>
      <c r="G649" s="16"/>
      <c r="H649" s="12"/>
      <c r="I649" s="12"/>
      <c r="J649" s="12"/>
      <c r="K649" s="9"/>
    </row>
    <row r="650" spans="1:11">
      <c r="A650" s="10" t="s">
        <v>11</v>
      </c>
      <c r="B650" s="10"/>
      <c r="C650" s="10"/>
      <c r="D650" s="10"/>
      <c r="E650" s="10"/>
      <c r="F650" s="10"/>
      <c r="G650" s="10"/>
      <c r="H650" s="12"/>
      <c r="I650" s="12"/>
      <c r="J650" s="12"/>
      <c r="K650" s="9"/>
    </row>
    <row r="651" spans="1:11">
      <c r="A651" s="59" t="s">
        <v>12</v>
      </c>
      <c r="B651" s="59"/>
      <c r="C651" s="59"/>
      <c r="D651" s="59"/>
      <c r="E651" s="59"/>
      <c r="F651" s="59"/>
      <c r="G651" s="59"/>
      <c r="H651" s="59"/>
      <c r="I651" s="59"/>
      <c r="J651" s="59"/>
      <c r="K651" s="59"/>
    </row>
    <row r="652" spans="1:11" ht="60">
      <c r="A652" s="17" t="s">
        <v>13</v>
      </c>
      <c r="B652" s="18" t="s">
        <v>14</v>
      </c>
      <c r="C652" s="60" t="s">
        <v>15</v>
      </c>
      <c r="D652" s="61"/>
      <c r="E652" s="62"/>
      <c r="F652" s="19"/>
      <c r="G652" s="20" t="s">
        <v>16</v>
      </c>
      <c r="H652" s="21" t="s">
        <v>37</v>
      </c>
      <c r="I652" s="21"/>
      <c r="J652" s="31" t="s">
        <v>17</v>
      </c>
      <c r="K652" s="32" t="s">
        <v>18</v>
      </c>
    </row>
    <row r="653" spans="1:11">
      <c r="A653" s="27">
        <v>1</v>
      </c>
      <c r="B653" s="24"/>
      <c r="C653" s="28" t="s">
        <v>23</v>
      </c>
      <c r="D653" s="57"/>
      <c r="E653" s="26"/>
      <c r="F653" s="25"/>
      <c r="G653" s="55" t="s">
        <v>19</v>
      </c>
      <c r="H653" s="55" t="s">
        <v>19</v>
      </c>
      <c r="I653" s="55"/>
      <c r="J653" s="55" t="s">
        <v>19</v>
      </c>
      <c r="K653" s="55" t="s">
        <v>19</v>
      </c>
    </row>
    <row r="654" spans="1:11">
      <c r="A654" s="24"/>
      <c r="B654" s="56" t="s">
        <v>20</v>
      </c>
      <c r="C654" s="25" t="s">
        <v>24</v>
      </c>
      <c r="D654" s="10"/>
      <c r="E654" s="26"/>
      <c r="F654" s="25"/>
      <c r="G654" s="22">
        <v>75000000</v>
      </c>
      <c r="H654" s="23">
        <f>H609+J609</f>
        <v>14171374</v>
      </c>
      <c r="I654" s="23"/>
      <c r="J654" s="33">
        <v>240970</v>
      </c>
      <c r="K654" s="34">
        <f>G654-H654-J654</f>
        <v>60587656</v>
      </c>
    </row>
    <row r="655" spans="1:11">
      <c r="A655" s="24"/>
      <c r="B655" s="56" t="s">
        <v>21</v>
      </c>
      <c r="C655" s="25" t="s">
        <v>25</v>
      </c>
      <c r="D655" s="10"/>
      <c r="E655" s="26"/>
      <c r="F655" s="25"/>
      <c r="G655" s="22">
        <v>30000000</v>
      </c>
      <c r="H655" s="23">
        <f t="shared" ref="H655:H656" si="26">H610+J610</f>
        <v>0</v>
      </c>
      <c r="I655" s="23"/>
      <c r="J655" s="33">
        <v>0</v>
      </c>
      <c r="K655" s="34">
        <f t="shared" ref="K655:K656" si="27">G655-H655-J655</f>
        <v>30000000</v>
      </c>
    </row>
    <row r="656" spans="1:11">
      <c r="A656" s="24"/>
      <c r="B656" s="56" t="s">
        <v>22</v>
      </c>
      <c r="C656" s="25" t="s">
        <v>26</v>
      </c>
      <c r="D656" s="10"/>
      <c r="E656" s="26"/>
      <c r="F656" s="25"/>
      <c r="G656" s="22">
        <v>50000000</v>
      </c>
      <c r="H656" s="23">
        <f t="shared" si="26"/>
        <v>0</v>
      </c>
      <c r="I656" s="23"/>
      <c r="J656" s="33">
        <v>0</v>
      </c>
      <c r="K656" s="34">
        <f t="shared" si="27"/>
        <v>50000000</v>
      </c>
    </row>
    <row r="657" spans="1:11">
      <c r="A657" s="35"/>
      <c r="B657" s="35"/>
      <c r="C657" s="35" t="s">
        <v>27</v>
      </c>
      <c r="D657" s="35"/>
      <c r="E657" s="35"/>
      <c r="F657" s="36"/>
      <c r="G657" s="37">
        <f>SUM(G653:G656)</f>
        <v>155000000</v>
      </c>
      <c r="H657" s="38">
        <f>SUM(H653:H656)</f>
        <v>14171374</v>
      </c>
      <c r="I657" s="38"/>
      <c r="J657" s="38">
        <f>SUM(J653:J656)</f>
        <v>240970</v>
      </c>
      <c r="K657" s="38">
        <f>SUM(K653:K656)</f>
        <v>140587656</v>
      </c>
    </row>
    <row r="658" spans="1:11">
      <c r="A658" s="39"/>
      <c r="B658" s="8"/>
      <c r="C658" s="8"/>
      <c r="D658" s="8"/>
      <c r="E658" s="8"/>
      <c r="F658" s="8"/>
      <c r="G658" s="40"/>
      <c r="H658" s="40"/>
      <c r="I658" s="40"/>
      <c r="J658" s="40"/>
      <c r="K658" s="40"/>
    </row>
    <row r="659" spans="1:11">
      <c r="A659" s="63" t="s">
        <v>28</v>
      </c>
      <c r="B659" s="63"/>
      <c r="C659" s="63"/>
      <c r="D659" s="11" t="s">
        <v>4</v>
      </c>
      <c r="E659" s="14">
        <f>J657</f>
        <v>240970</v>
      </c>
      <c r="F659" s="41"/>
      <c r="G659" s="42"/>
      <c r="H659" s="42"/>
      <c r="I659" s="42"/>
      <c r="J659" s="9"/>
      <c r="K659" s="9"/>
    </row>
    <row r="660" spans="1:11">
      <c r="A660" s="10" t="s">
        <v>29</v>
      </c>
      <c r="B660" s="10"/>
      <c r="C660" s="10"/>
      <c r="D660" s="11" t="s">
        <v>4</v>
      </c>
      <c r="E660" s="43"/>
      <c r="F660" s="43"/>
      <c r="G660" s="44"/>
      <c r="H660" s="12"/>
      <c r="I660" s="12"/>
      <c r="J660" s="9"/>
      <c r="K660" s="9"/>
    </row>
    <row r="661" spans="1:11">
      <c r="A661" s="10" t="s">
        <v>30</v>
      </c>
      <c r="B661" s="10"/>
      <c r="C661" s="10"/>
      <c r="D661" s="11" t="s">
        <v>4</v>
      </c>
      <c r="E661" s="45"/>
      <c r="F661" s="45"/>
      <c r="G661" s="44"/>
      <c r="H661" s="12"/>
      <c r="I661" s="12"/>
      <c r="J661" s="9"/>
      <c r="K661" s="9"/>
    </row>
    <row r="662" spans="1:11">
      <c r="A662" s="10" t="s">
        <v>31</v>
      </c>
      <c r="B662" s="10"/>
      <c r="C662" s="10"/>
      <c r="D662" s="11" t="s">
        <v>4</v>
      </c>
      <c r="E662" s="45">
        <f>E660+E661</f>
        <v>0</v>
      </c>
      <c r="F662" s="45"/>
      <c r="G662" s="10"/>
      <c r="H662" s="12"/>
      <c r="I662" s="12"/>
      <c r="J662" s="47"/>
      <c r="K662" s="47"/>
    </row>
    <row r="663" spans="1:11">
      <c r="A663" s="13"/>
      <c r="B663" s="13"/>
      <c r="C663" s="13"/>
      <c r="D663" s="11"/>
      <c r="E663" s="13"/>
      <c r="F663" s="13"/>
      <c r="G663" s="10"/>
      <c r="H663" s="12"/>
      <c r="I663" s="12"/>
      <c r="J663" s="47"/>
      <c r="K663" s="47"/>
    </row>
    <row r="664" spans="1:11">
      <c r="A664" s="63" t="s">
        <v>32</v>
      </c>
      <c r="B664" s="63"/>
      <c r="C664" s="63"/>
      <c r="D664" s="11" t="s">
        <v>4</v>
      </c>
      <c r="E664" s="41">
        <f>E659-E662</f>
        <v>240970</v>
      </c>
      <c r="F664" s="41"/>
      <c r="G664" s="10"/>
      <c r="H664" s="12"/>
      <c r="I664" s="12"/>
      <c r="J664" s="47"/>
      <c r="K664" s="47"/>
    </row>
    <row r="665" spans="1:11" ht="15.75">
      <c r="A665" s="13"/>
      <c r="B665" s="13"/>
      <c r="C665" s="10"/>
      <c r="D665" s="10"/>
      <c r="E665" s="16" t="str">
        <f>PROPER(IF(E664=0,"nol",IF(E664&lt;0,"minus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664),"000000000000000"),1,3)=0,"",MID(TEXT(ABS(E664),"000000000000000"),1,1)&amp;" ratus "&amp;MID(TEXT(ABS(E664),"000000000000000"),2,1)&amp;" puluh "&amp;MID(TEXT(ABS(E664),"000000000000000"),3,1)&amp;" trilyun ")&amp;IF(--MID(TEXT(ABS(E664),"000000000000000"),4,3)=0,"",MID(TEXT(ABS(E664),"000000000000000"),4,1)&amp;" ratus "&amp;MID(TEXT(ABS(E664),"000000000000000"),5,1)&amp;" puluh "&amp;MID(TEXT(ABS(E664),"000000000000000"),6,1)&amp;" milyar ")&amp;IF(--MID(TEXT(ABS(E664),"000000000000000"),7,3)=0,"",MID(TEXT(ABS(E664),"000000000000000"),7,1)&amp;" ratus "&amp;MID(TEXT(ABS(E664),"000000000000000"),8,1)&amp;" puluh "&amp;MID(TEXT(ABS(E664),"000000000000000"),9,1)&amp;" juta ")&amp;IF(--MID(TEXT(ABS(E664),"000000000000000"),10,3)=0,"",IF(--MID(TEXT(ABS(E664),"000000000000000"),10,3)=1,"*",MID(TEXT(ABS(E664),"000000000000000"),10,1)&amp;" ratus "&amp;MID(TEXT(ABS(E664),"000000000000000"),11,1)&amp;" puluh ")&amp;MID(TEXT(ABS(E664),"000000000000000"),12,1)&amp;" ribu ")&amp;IF(--MID(TEXT(ABS(E664),"000000000000000"),13,3)=0,"",MID(TEXT(ABS(E664),"000000000000000"),13,1)&amp;" ratus "&amp;MID(TEXT(ABS(E664),"000000000000000"),14,1)&amp;" puluh "&amp;MID(TEXT(ABS(E664),"000000000000000"),15,1)),1,"satu"),2,"dua"),3,"tiga"),4,"empat"),5,"lima"),6,"enam"),7,"tujuh"),8,"delapan"),9,"sembilan"),"0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Dua Ratus Empat Puluh Ribu Sembilan Ratus Tujuh Puluh Rupiah</v>
      </c>
      <c r="F665" s="10"/>
      <c r="G665" s="10"/>
      <c r="H665" s="10"/>
      <c r="I665" s="10"/>
      <c r="J665" s="47"/>
      <c r="K665" s="47"/>
    </row>
    <row r="666" spans="1:11">
      <c r="A666" s="46"/>
      <c r="B666" s="46"/>
      <c r="C666" s="46"/>
      <c r="D666" s="46"/>
      <c r="E666" s="46"/>
      <c r="F666" s="46"/>
      <c r="G666" s="29"/>
      <c r="H666" s="47"/>
      <c r="I666" s="47"/>
      <c r="J666" s="47"/>
      <c r="K666" s="47"/>
    </row>
    <row r="667" spans="1:11">
      <c r="A667" s="29"/>
      <c r="B667" s="29"/>
      <c r="C667" s="29"/>
      <c r="D667" s="29"/>
      <c r="E667" s="29"/>
      <c r="F667" s="29"/>
      <c r="G667" s="29"/>
      <c r="H667"/>
      <c r="I667"/>
      <c r="J667" s="47"/>
      <c r="K667" s="47"/>
    </row>
    <row r="668" spans="1:11">
      <c r="A668" s="13"/>
      <c r="B668" s="13"/>
      <c r="C668" s="10"/>
      <c r="D668" s="10"/>
      <c r="E668" s="10"/>
      <c r="F668" s="10"/>
      <c r="G668" s="10"/>
      <c r="I668" s="48"/>
      <c r="J668" s="48" t="s">
        <v>59</v>
      </c>
      <c r="K668" s="47"/>
    </row>
    <row r="669" spans="1:11">
      <c r="A669" s="12" t="s">
        <v>33</v>
      </c>
      <c r="B669" s="10"/>
      <c r="C669" s="10"/>
      <c r="D669" s="10"/>
      <c r="E669" s="10"/>
      <c r="F669" s="10"/>
      <c r="G669" s="10"/>
      <c r="I669" s="12"/>
      <c r="J669" s="12" t="s">
        <v>34</v>
      </c>
      <c r="K669" s="47"/>
    </row>
    <row r="670" spans="1:11">
      <c r="A670" s="10"/>
      <c r="B670" s="10"/>
      <c r="C670" s="10"/>
      <c r="D670" s="10"/>
      <c r="E670" s="10"/>
      <c r="F670" s="10"/>
      <c r="G670" s="10"/>
      <c r="I670" s="12"/>
      <c r="J670" s="12"/>
      <c r="K670" s="47"/>
    </row>
    <row r="671" spans="1:11">
      <c r="A671" s="10"/>
      <c r="B671" s="10"/>
      <c r="C671" s="10"/>
      <c r="D671" s="10"/>
      <c r="E671" s="10"/>
      <c r="F671" s="10"/>
      <c r="G671" s="10"/>
      <c r="I671" s="12"/>
      <c r="J671" s="12"/>
      <c r="K671" s="47"/>
    </row>
    <row r="672" spans="1:11">
      <c r="A672" s="10"/>
      <c r="B672" s="10"/>
      <c r="C672" s="10"/>
      <c r="D672" s="10"/>
      <c r="E672" s="10"/>
      <c r="F672" s="10"/>
      <c r="G672" s="10"/>
      <c r="I672" s="12"/>
      <c r="J672" s="12"/>
      <c r="K672" s="47"/>
    </row>
    <row r="673" spans="1:11">
      <c r="A673" s="10"/>
      <c r="B673" s="10"/>
      <c r="C673" s="10"/>
      <c r="D673" s="10"/>
      <c r="E673" s="10"/>
      <c r="F673" s="10"/>
      <c r="G673" s="10"/>
      <c r="I673" s="12"/>
      <c r="J673" s="12"/>
      <c r="K673" s="47"/>
    </row>
    <row r="674" spans="1:11">
      <c r="A674" s="49" t="s">
        <v>38</v>
      </c>
      <c r="B674" s="49"/>
      <c r="C674" s="50"/>
      <c r="D674" s="50"/>
      <c r="E674" s="50"/>
      <c r="F674" s="50"/>
      <c r="G674" s="10" t="s">
        <v>35</v>
      </c>
      <c r="I674" s="49"/>
      <c r="J674" s="49" t="s">
        <v>36</v>
      </c>
      <c r="K674" s="47"/>
    </row>
    <row r="679" spans="1:11" ht="15.75">
      <c r="C679" s="2"/>
      <c r="D679" s="2"/>
      <c r="E679" s="2"/>
      <c r="F679" s="2"/>
    </row>
    <row r="680" spans="1:11" ht="15.75">
      <c r="A680" s="3"/>
      <c r="B680" s="3"/>
      <c r="C680" s="2"/>
      <c r="D680" s="2"/>
      <c r="E680" s="2"/>
      <c r="F680" s="2"/>
      <c r="G680" s="3"/>
      <c r="H680" s="4"/>
      <c r="I680" s="4"/>
      <c r="J680" s="4"/>
      <c r="K680" s="5"/>
    </row>
    <row r="681" spans="1:11">
      <c r="H681" s="5"/>
      <c r="I681" s="5"/>
      <c r="J681" s="5"/>
      <c r="K681" s="5"/>
    </row>
    <row r="682" spans="1:11">
      <c r="H682" s="5"/>
      <c r="I682" s="5"/>
      <c r="J682" s="5"/>
      <c r="K682" s="5"/>
    </row>
    <row r="683" spans="1:11">
      <c r="A683" s="64" t="s">
        <v>0</v>
      </c>
      <c r="B683" s="64"/>
      <c r="C683" s="58"/>
      <c r="D683" s="58"/>
      <c r="E683" s="58"/>
      <c r="F683" s="58"/>
      <c r="G683" s="58"/>
      <c r="H683" s="58"/>
      <c r="I683" s="58"/>
      <c r="J683" s="58"/>
      <c r="K683" s="58"/>
    </row>
    <row r="684" spans="1:11">
      <c r="A684" s="58" t="s">
        <v>61</v>
      </c>
      <c r="B684" s="58"/>
      <c r="C684" s="58"/>
      <c r="D684" s="58"/>
      <c r="E684" s="58"/>
      <c r="F684" s="58"/>
      <c r="G684" s="58"/>
      <c r="H684" s="58"/>
      <c r="I684" s="58"/>
      <c r="J684" s="58"/>
      <c r="K684" s="58"/>
    </row>
    <row r="685" spans="1:11">
      <c r="A685" s="58" t="s">
        <v>1</v>
      </c>
      <c r="B685" s="58"/>
      <c r="C685" s="58"/>
      <c r="D685" s="58"/>
      <c r="E685" s="58"/>
      <c r="F685" s="58"/>
      <c r="G685" s="58"/>
      <c r="H685" s="58"/>
      <c r="I685" s="58"/>
      <c r="J685" s="58"/>
      <c r="K685" s="58"/>
    </row>
    <row r="686" spans="1:11">
      <c r="A686" s="58" t="s">
        <v>39</v>
      </c>
      <c r="B686" s="58"/>
      <c r="C686" s="58"/>
      <c r="D686" s="58"/>
      <c r="E686" s="58"/>
      <c r="F686" s="58"/>
      <c r="G686" s="58"/>
      <c r="H686" s="58"/>
      <c r="I686" s="58"/>
      <c r="J686" s="58"/>
      <c r="K686" s="58"/>
    </row>
    <row r="687" spans="1:11">
      <c r="A687" s="58" t="s">
        <v>2</v>
      </c>
      <c r="B687" s="58"/>
      <c r="C687" s="58"/>
      <c r="D687" s="58"/>
      <c r="E687" s="58"/>
      <c r="F687" s="58"/>
      <c r="G687" s="58"/>
      <c r="H687" s="58"/>
      <c r="I687" s="58"/>
      <c r="J687" s="58"/>
      <c r="K687" s="58"/>
    </row>
    <row r="688" spans="1:11">
      <c r="A688" s="6"/>
      <c r="B688" s="6"/>
      <c r="C688" s="7"/>
      <c r="D688" s="7"/>
      <c r="E688" s="7"/>
      <c r="F688" s="7"/>
      <c r="G688" s="8"/>
      <c r="H688" s="9"/>
      <c r="I688" s="9"/>
      <c r="J688" s="9"/>
      <c r="K688" s="9"/>
    </row>
    <row r="689" spans="1:11">
      <c r="A689" s="53" t="s">
        <v>3</v>
      </c>
      <c r="B689" s="10"/>
      <c r="C689" s="10"/>
      <c r="D689" s="54" t="s">
        <v>4</v>
      </c>
      <c r="E689" s="10" t="s">
        <v>5</v>
      </c>
      <c r="F689" s="11"/>
      <c r="G689" s="10"/>
      <c r="H689" s="12"/>
      <c r="I689" s="12"/>
      <c r="J689" s="12"/>
      <c r="K689" s="9"/>
    </row>
    <row r="690" spans="1:11">
      <c r="A690" s="53" t="s">
        <v>6</v>
      </c>
      <c r="B690" s="10"/>
      <c r="C690" s="10"/>
      <c r="D690" s="54" t="s">
        <v>4</v>
      </c>
      <c r="E690" s="10" t="s">
        <v>7</v>
      </c>
      <c r="F690" s="11"/>
      <c r="G690" s="10"/>
      <c r="H690" s="12"/>
      <c r="I690" s="12"/>
      <c r="J690" s="12"/>
      <c r="K690" s="9"/>
    </row>
    <row r="691" spans="1:11">
      <c r="A691" s="53" t="s">
        <v>8</v>
      </c>
      <c r="B691" s="10"/>
      <c r="C691" s="10"/>
      <c r="D691" s="54" t="s">
        <v>4</v>
      </c>
      <c r="E691" s="13">
        <v>2026</v>
      </c>
      <c r="F691" s="11"/>
      <c r="G691" s="13"/>
      <c r="H691" s="12"/>
      <c r="I691" s="12"/>
      <c r="J691" s="12"/>
      <c r="K691" s="9"/>
    </row>
    <row r="692" spans="1:11">
      <c r="A692" s="53" t="s">
        <v>9</v>
      </c>
      <c r="B692" s="10"/>
      <c r="C692" s="10"/>
      <c r="D692" s="54" t="s">
        <v>4</v>
      </c>
      <c r="E692" s="14">
        <f>J702</f>
        <v>75000</v>
      </c>
      <c r="F692" s="11"/>
      <c r="G692" s="14"/>
      <c r="H692" s="12"/>
      <c r="I692" s="12"/>
      <c r="J692" s="12"/>
      <c r="K692" s="9"/>
    </row>
    <row r="693" spans="1:11" ht="15.75">
      <c r="A693" s="10"/>
      <c r="B693" s="10"/>
      <c r="C693" s="15" t="s">
        <v>10</v>
      </c>
      <c r="D693" s="54" t="s">
        <v>4</v>
      </c>
      <c r="E693" s="16" t="str">
        <f>PROPER(IF(E692=0,"nol",IF(E692&lt;0,"minus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692),"000000000000000"),1,3)=0,"",MID(TEXT(ABS(E692),"000000000000000"),1,1)&amp;" ratus "&amp;MID(TEXT(ABS(E692),"000000000000000"),2,1)&amp;" puluh "&amp;MID(TEXT(ABS(E692),"000000000000000"),3,1)&amp;" trilyun ")&amp;IF(--MID(TEXT(ABS(E692),"000000000000000"),4,3)=0,"",MID(TEXT(ABS(E692),"000000000000000"),4,1)&amp;" ratus "&amp;MID(TEXT(ABS(E692),"000000000000000"),5,1)&amp;" puluh "&amp;MID(TEXT(ABS(E692),"000000000000000"),6,1)&amp;" milyar ")&amp;IF(--MID(TEXT(ABS(E692),"000000000000000"),7,3)=0,"",MID(TEXT(ABS(E692),"000000000000000"),7,1)&amp;" ratus "&amp;MID(TEXT(ABS(E692),"000000000000000"),8,1)&amp;" puluh "&amp;MID(TEXT(ABS(E692),"000000000000000"),9,1)&amp;" juta ")&amp;IF(--MID(TEXT(ABS(E692),"000000000000000"),10,3)=0,"",IF(--MID(TEXT(ABS(E692),"000000000000000"),10,3)=1,"*",MID(TEXT(ABS(E692),"000000000000000"),10,1)&amp;" ratus "&amp;MID(TEXT(ABS(E692),"000000000000000"),11,1)&amp;" puluh ")&amp;MID(TEXT(ABS(E692),"000000000000000"),12,1)&amp;" ribu ")&amp;IF(--MID(TEXT(ABS(E692),"000000000000000"),13,3)=0,"",MID(TEXT(ABS(E692),"000000000000000"),13,1)&amp;" ratus "&amp;MID(TEXT(ABS(E692),"000000000000000"),14,1)&amp;" puluh "&amp;MID(TEXT(ABS(E692),"000000000000000"),15,1)),1,"satu"),2,"dua"),3,"tiga"),4,"empat"),5,"lima"),6,"enam"),7,"tujuh"),8,"delapan"),9,"sembilan"),"0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Tujuh Puluh Lima Ribu Rupiah</v>
      </c>
      <c r="F693" s="11"/>
      <c r="G693" s="16"/>
      <c r="H693" s="12"/>
      <c r="I693" s="12"/>
      <c r="J693" s="12"/>
      <c r="K693" s="9"/>
    </row>
    <row r="694" spans="1:11" ht="15.75">
      <c r="A694" s="10"/>
      <c r="B694" s="10"/>
      <c r="C694" s="15"/>
      <c r="D694" s="15"/>
      <c r="E694" s="15"/>
      <c r="F694" s="11"/>
      <c r="G694" s="16"/>
      <c r="H694" s="12"/>
      <c r="I694" s="12"/>
      <c r="J694" s="12"/>
      <c r="K694" s="9"/>
    </row>
    <row r="695" spans="1:11">
      <c r="A695" s="10" t="s">
        <v>11</v>
      </c>
      <c r="B695" s="10"/>
      <c r="C695" s="10"/>
      <c r="D695" s="10"/>
      <c r="E695" s="10"/>
      <c r="F695" s="10"/>
      <c r="G695" s="10"/>
      <c r="H695" s="12"/>
      <c r="I695" s="12"/>
      <c r="J695" s="12"/>
      <c r="K695" s="9"/>
    </row>
    <row r="696" spans="1:11">
      <c r="A696" s="59" t="s">
        <v>12</v>
      </c>
      <c r="B696" s="59"/>
      <c r="C696" s="59"/>
      <c r="D696" s="59"/>
      <c r="E696" s="59"/>
      <c r="F696" s="59"/>
      <c r="G696" s="59"/>
      <c r="H696" s="59"/>
      <c r="I696" s="59"/>
      <c r="J696" s="59"/>
      <c r="K696" s="59"/>
    </row>
    <row r="697" spans="1:11" ht="60">
      <c r="A697" s="17" t="s">
        <v>13</v>
      </c>
      <c r="B697" s="18" t="s">
        <v>14</v>
      </c>
      <c r="C697" s="60" t="s">
        <v>15</v>
      </c>
      <c r="D697" s="61"/>
      <c r="E697" s="62"/>
      <c r="F697" s="19"/>
      <c r="G697" s="20" t="s">
        <v>16</v>
      </c>
      <c r="H697" s="21" t="s">
        <v>37</v>
      </c>
      <c r="I697" s="21"/>
      <c r="J697" s="31" t="s">
        <v>17</v>
      </c>
      <c r="K697" s="32" t="s">
        <v>18</v>
      </c>
    </row>
    <row r="698" spans="1:11">
      <c r="A698" s="27">
        <v>1</v>
      </c>
      <c r="B698" s="24"/>
      <c r="C698" s="28" t="s">
        <v>23</v>
      </c>
      <c r="D698" s="57"/>
      <c r="E698" s="26"/>
      <c r="F698" s="25"/>
      <c r="G698" s="55" t="s">
        <v>19</v>
      </c>
      <c r="H698" s="55" t="s">
        <v>19</v>
      </c>
      <c r="I698" s="55"/>
      <c r="J698" s="55" t="s">
        <v>19</v>
      </c>
      <c r="K698" s="55" t="s">
        <v>19</v>
      </c>
    </row>
    <row r="699" spans="1:11">
      <c r="A699" s="24"/>
      <c r="B699" s="56" t="s">
        <v>20</v>
      </c>
      <c r="C699" s="25" t="s">
        <v>24</v>
      </c>
      <c r="D699" s="10"/>
      <c r="E699" s="26"/>
      <c r="F699" s="25"/>
      <c r="G699" s="22">
        <v>75000000</v>
      </c>
      <c r="H699" s="23">
        <f>H654+J654</f>
        <v>14412344</v>
      </c>
      <c r="I699" s="23"/>
      <c r="J699" s="33">
        <v>75000</v>
      </c>
      <c r="K699" s="34">
        <f>G699-H699-J699</f>
        <v>60512656</v>
      </c>
    </row>
    <row r="700" spans="1:11">
      <c r="A700" s="24"/>
      <c r="B700" s="56" t="s">
        <v>21</v>
      </c>
      <c r="C700" s="25" t="s">
        <v>25</v>
      </c>
      <c r="D700" s="10"/>
      <c r="E700" s="26"/>
      <c r="F700" s="25"/>
      <c r="G700" s="22">
        <v>30000000</v>
      </c>
      <c r="H700" s="23">
        <f t="shared" ref="H700:H701" si="28">H655+J655</f>
        <v>0</v>
      </c>
      <c r="I700" s="23"/>
      <c r="J700" s="33">
        <v>0</v>
      </c>
      <c r="K700" s="34">
        <f t="shared" ref="K700:K701" si="29">G700-H700-J700</f>
        <v>30000000</v>
      </c>
    </row>
    <row r="701" spans="1:11">
      <c r="A701" s="24"/>
      <c r="B701" s="56" t="s">
        <v>22</v>
      </c>
      <c r="C701" s="25" t="s">
        <v>26</v>
      </c>
      <c r="D701" s="10"/>
      <c r="E701" s="26"/>
      <c r="F701" s="25"/>
      <c r="G701" s="22">
        <v>50000000</v>
      </c>
      <c r="H701" s="23">
        <f t="shared" si="28"/>
        <v>0</v>
      </c>
      <c r="I701" s="23"/>
      <c r="J701" s="33">
        <v>0</v>
      </c>
      <c r="K701" s="34">
        <f t="shared" si="29"/>
        <v>50000000</v>
      </c>
    </row>
    <row r="702" spans="1:11">
      <c r="A702" s="35"/>
      <c r="B702" s="35"/>
      <c r="C702" s="35" t="s">
        <v>27</v>
      </c>
      <c r="D702" s="35"/>
      <c r="E702" s="35"/>
      <c r="F702" s="36"/>
      <c r="G702" s="37">
        <f>SUM(G698:G701)</f>
        <v>155000000</v>
      </c>
      <c r="H702" s="38">
        <f>SUM(H698:H701)</f>
        <v>14412344</v>
      </c>
      <c r="I702" s="38"/>
      <c r="J702" s="38">
        <f>SUM(J698:J701)</f>
        <v>75000</v>
      </c>
      <c r="K702" s="38">
        <f>SUM(K698:K701)</f>
        <v>140512656</v>
      </c>
    </row>
    <row r="703" spans="1:11">
      <c r="A703" s="39"/>
      <c r="B703" s="8"/>
      <c r="C703" s="8"/>
      <c r="D703" s="8"/>
      <c r="E703" s="8"/>
      <c r="F703" s="8"/>
      <c r="G703" s="40"/>
      <c r="H703" s="40"/>
      <c r="I703" s="40"/>
      <c r="J703" s="40"/>
      <c r="K703" s="40"/>
    </row>
    <row r="704" spans="1:11">
      <c r="A704" s="63" t="s">
        <v>28</v>
      </c>
      <c r="B704" s="63"/>
      <c r="C704" s="63"/>
      <c r="D704" s="11" t="s">
        <v>4</v>
      </c>
      <c r="E704" s="14">
        <f>J702</f>
        <v>75000</v>
      </c>
      <c r="F704" s="41"/>
      <c r="G704" s="42"/>
      <c r="H704" s="42"/>
      <c r="I704" s="42"/>
      <c r="J704" s="9"/>
      <c r="K704" s="9"/>
    </row>
    <row r="705" spans="1:11">
      <c r="A705" s="10" t="s">
        <v>29</v>
      </c>
      <c r="B705" s="10"/>
      <c r="C705" s="10"/>
      <c r="D705" s="11" t="s">
        <v>4</v>
      </c>
      <c r="E705" s="43"/>
      <c r="F705" s="43"/>
      <c r="G705" s="44"/>
      <c r="H705" s="12"/>
      <c r="I705" s="12"/>
      <c r="J705" s="9"/>
      <c r="K705" s="9"/>
    </row>
    <row r="706" spans="1:11">
      <c r="A706" s="10" t="s">
        <v>30</v>
      </c>
      <c r="B706" s="10"/>
      <c r="C706" s="10"/>
      <c r="D706" s="11" t="s">
        <v>4</v>
      </c>
      <c r="E706" s="45"/>
      <c r="F706" s="45"/>
      <c r="G706" s="44"/>
      <c r="H706" s="12"/>
      <c r="I706" s="12"/>
      <c r="J706" s="9"/>
      <c r="K706" s="9"/>
    </row>
    <row r="707" spans="1:11">
      <c r="A707" s="10" t="s">
        <v>31</v>
      </c>
      <c r="B707" s="10"/>
      <c r="C707" s="10"/>
      <c r="D707" s="11" t="s">
        <v>4</v>
      </c>
      <c r="E707" s="45">
        <f>E705+E706</f>
        <v>0</v>
      </c>
      <c r="F707" s="45"/>
      <c r="G707" s="10"/>
      <c r="H707" s="12"/>
      <c r="I707" s="12"/>
      <c r="J707" s="47"/>
      <c r="K707" s="47"/>
    </row>
    <row r="708" spans="1:11">
      <c r="A708" s="13"/>
      <c r="B708" s="13"/>
      <c r="C708" s="13"/>
      <c r="D708" s="11"/>
      <c r="E708" s="13"/>
      <c r="F708" s="13"/>
      <c r="G708" s="10"/>
      <c r="H708" s="12"/>
      <c r="I708" s="12"/>
      <c r="J708" s="47"/>
      <c r="K708" s="47"/>
    </row>
    <row r="709" spans="1:11">
      <c r="A709" s="63" t="s">
        <v>32</v>
      </c>
      <c r="B709" s="63"/>
      <c r="C709" s="63"/>
      <c r="D709" s="11" t="s">
        <v>4</v>
      </c>
      <c r="E709" s="41">
        <f>E704-E707</f>
        <v>75000</v>
      </c>
      <c r="F709" s="41"/>
      <c r="G709" s="10"/>
      <c r="H709" s="12"/>
      <c r="I709" s="12"/>
      <c r="J709" s="47"/>
      <c r="K709" s="47"/>
    </row>
    <row r="710" spans="1:11" ht="15.75">
      <c r="A710" s="13"/>
      <c r="B710" s="13"/>
      <c r="C710" s="10"/>
      <c r="D710" s="10"/>
      <c r="E710" s="16" t="str">
        <f>PROPER(IF(E709=0,"nol",IF(E709&lt;0,"minus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709),"000000000000000"),1,3)=0,"",MID(TEXT(ABS(E709),"000000000000000"),1,1)&amp;" ratus "&amp;MID(TEXT(ABS(E709),"000000000000000"),2,1)&amp;" puluh "&amp;MID(TEXT(ABS(E709),"000000000000000"),3,1)&amp;" trilyun ")&amp;IF(--MID(TEXT(ABS(E709),"000000000000000"),4,3)=0,"",MID(TEXT(ABS(E709),"000000000000000"),4,1)&amp;" ratus "&amp;MID(TEXT(ABS(E709),"000000000000000"),5,1)&amp;" puluh "&amp;MID(TEXT(ABS(E709),"000000000000000"),6,1)&amp;" milyar ")&amp;IF(--MID(TEXT(ABS(E709),"000000000000000"),7,3)=0,"",MID(TEXT(ABS(E709),"000000000000000"),7,1)&amp;" ratus "&amp;MID(TEXT(ABS(E709),"000000000000000"),8,1)&amp;" puluh "&amp;MID(TEXT(ABS(E709),"000000000000000"),9,1)&amp;" juta ")&amp;IF(--MID(TEXT(ABS(E709),"000000000000000"),10,3)=0,"",IF(--MID(TEXT(ABS(E709),"000000000000000"),10,3)=1,"*",MID(TEXT(ABS(E709),"000000000000000"),10,1)&amp;" ratus "&amp;MID(TEXT(ABS(E709),"000000000000000"),11,1)&amp;" puluh ")&amp;MID(TEXT(ABS(E709),"000000000000000"),12,1)&amp;" ribu ")&amp;IF(--MID(TEXT(ABS(E709),"000000000000000"),13,3)=0,"",MID(TEXT(ABS(E709),"000000000000000"),13,1)&amp;" ratus "&amp;MID(TEXT(ABS(E709),"000000000000000"),14,1)&amp;" puluh "&amp;MID(TEXT(ABS(E709),"000000000000000"),15,1)),1,"satu"),2,"dua"),3,"tiga"),4,"empat"),5,"lima"),6,"enam"),7,"tujuh"),8,"delapan"),9,"sembilan"),"0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Tujuh Puluh Lima Ribu Rupiah</v>
      </c>
      <c r="F710" s="10"/>
      <c r="G710" s="10"/>
      <c r="H710" s="10"/>
      <c r="I710" s="10"/>
      <c r="J710" s="47"/>
      <c r="K710" s="47"/>
    </row>
    <row r="711" spans="1:11">
      <c r="A711" s="46"/>
      <c r="B711" s="46"/>
      <c r="C711" s="46"/>
      <c r="D711" s="46"/>
      <c r="E711" s="46"/>
      <c r="F711" s="46"/>
      <c r="G711" s="29"/>
      <c r="H711" s="47"/>
      <c r="I711" s="47"/>
      <c r="J711" s="47"/>
      <c r="K711" s="47"/>
    </row>
    <row r="712" spans="1:11">
      <c r="A712" s="29"/>
      <c r="B712" s="29"/>
      <c r="C712" s="29"/>
      <c r="D712" s="29"/>
      <c r="E712" s="29"/>
      <c r="F712" s="29"/>
      <c r="G712" s="29"/>
      <c r="H712"/>
      <c r="I712"/>
      <c r="J712" s="47"/>
      <c r="K712" s="47"/>
    </row>
    <row r="713" spans="1:11">
      <c r="A713" s="13"/>
      <c r="B713" s="13"/>
      <c r="C713" s="10"/>
      <c r="D713" s="10"/>
      <c r="E713" s="10"/>
      <c r="F713" s="10"/>
      <c r="G713" s="10"/>
      <c r="I713" s="48"/>
      <c r="J713" s="48" t="s">
        <v>62</v>
      </c>
      <c r="K713" s="47"/>
    </row>
    <row r="714" spans="1:11">
      <c r="A714" s="12" t="s">
        <v>33</v>
      </c>
      <c r="B714" s="10"/>
      <c r="C714" s="10"/>
      <c r="D714" s="10"/>
      <c r="E714" s="10"/>
      <c r="F714" s="10"/>
      <c r="G714" s="10"/>
      <c r="I714" s="12"/>
      <c r="J714" s="12" t="s">
        <v>34</v>
      </c>
      <c r="K714" s="47"/>
    </row>
    <row r="715" spans="1:11">
      <c r="A715" s="10"/>
      <c r="B715" s="10"/>
      <c r="C715" s="10"/>
      <c r="D715" s="10"/>
      <c r="E715" s="10"/>
      <c r="F715" s="10"/>
      <c r="G715" s="10"/>
      <c r="I715" s="12"/>
      <c r="J715" s="12"/>
      <c r="K715" s="47"/>
    </row>
    <row r="716" spans="1:11">
      <c r="A716" s="10"/>
      <c r="B716" s="10"/>
      <c r="C716" s="10"/>
      <c r="D716" s="10"/>
      <c r="E716" s="10"/>
      <c r="F716" s="10"/>
      <c r="G716" s="10"/>
      <c r="I716" s="12"/>
      <c r="J716" s="12"/>
      <c r="K716" s="47"/>
    </row>
    <row r="717" spans="1:11">
      <c r="A717" s="10"/>
      <c r="B717" s="10"/>
      <c r="C717" s="10"/>
      <c r="D717" s="10"/>
      <c r="E717" s="10"/>
      <c r="F717" s="10"/>
      <c r="G717" s="10"/>
      <c r="I717" s="12"/>
      <c r="J717" s="12"/>
      <c r="K717" s="47"/>
    </row>
    <row r="718" spans="1:11">
      <c r="A718" s="10"/>
      <c r="B718" s="10"/>
      <c r="C718" s="10"/>
      <c r="D718" s="10"/>
      <c r="E718" s="10"/>
      <c r="F718" s="10"/>
      <c r="G718" s="10"/>
      <c r="I718" s="12"/>
      <c r="J718" s="12"/>
      <c r="K718" s="47"/>
    </row>
    <row r="719" spans="1:11">
      <c r="A719" s="49" t="s">
        <v>38</v>
      </c>
      <c r="B719" s="49"/>
      <c r="C719" s="50"/>
      <c r="D719" s="50"/>
      <c r="E719" s="50"/>
      <c r="F719" s="50"/>
      <c r="G719" s="10" t="s">
        <v>35</v>
      </c>
      <c r="I719" s="49"/>
      <c r="J719" s="49" t="s">
        <v>36</v>
      </c>
      <c r="K719" s="47"/>
    </row>
    <row r="724" spans="1:11" ht="15.75">
      <c r="C724" s="2"/>
      <c r="D724" s="2"/>
      <c r="E724" s="2"/>
      <c r="F724" s="2"/>
    </row>
    <row r="725" spans="1:11" ht="15.75">
      <c r="A725" s="3"/>
      <c r="B725" s="3"/>
      <c r="C725" s="2"/>
      <c r="D725" s="2"/>
      <c r="E725" s="2"/>
      <c r="F725" s="2"/>
      <c r="G725" s="3"/>
      <c r="H725" s="4"/>
      <c r="I725" s="4"/>
      <c r="J725" s="4"/>
      <c r="K725" s="5"/>
    </row>
    <row r="726" spans="1:11">
      <c r="H726" s="5"/>
      <c r="I726" s="5"/>
      <c r="J726" s="5"/>
      <c r="K726" s="5"/>
    </row>
    <row r="727" spans="1:11">
      <c r="H727" s="5"/>
      <c r="I727" s="5"/>
      <c r="J727" s="5"/>
      <c r="K727" s="5"/>
    </row>
    <row r="728" spans="1:11">
      <c r="A728" s="64" t="s">
        <v>0</v>
      </c>
      <c r="B728" s="64"/>
      <c r="C728" s="58"/>
      <c r="D728" s="58"/>
      <c r="E728" s="58"/>
      <c r="F728" s="58"/>
      <c r="G728" s="58"/>
      <c r="H728" s="58"/>
      <c r="I728" s="58"/>
      <c r="J728" s="58"/>
      <c r="K728" s="58"/>
    </row>
    <row r="729" spans="1:11">
      <c r="A729" s="58" t="s">
        <v>63</v>
      </c>
      <c r="B729" s="58"/>
      <c r="C729" s="58"/>
      <c r="D729" s="58"/>
      <c r="E729" s="58"/>
      <c r="F729" s="58"/>
      <c r="G729" s="58"/>
      <c r="H729" s="58"/>
      <c r="I729" s="58"/>
      <c r="J729" s="58"/>
      <c r="K729" s="58"/>
    </row>
    <row r="730" spans="1:11">
      <c r="A730" s="58" t="s">
        <v>1</v>
      </c>
      <c r="B730" s="58"/>
      <c r="C730" s="58"/>
      <c r="D730" s="58"/>
      <c r="E730" s="58"/>
      <c r="F730" s="58"/>
      <c r="G730" s="58"/>
      <c r="H730" s="58"/>
      <c r="I730" s="58"/>
      <c r="J730" s="58"/>
      <c r="K730" s="58"/>
    </row>
    <row r="731" spans="1:11">
      <c r="A731" s="58" t="s">
        <v>39</v>
      </c>
      <c r="B731" s="58"/>
      <c r="C731" s="58"/>
      <c r="D731" s="58"/>
      <c r="E731" s="58"/>
      <c r="F731" s="58"/>
      <c r="G731" s="58"/>
      <c r="H731" s="58"/>
      <c r="I731" s="58"/>
      <c r="J731" s="58"/>
      <c r="K731" s="58"/>
    </row>
    <row r="732" spans="1:11">
      <c r="A732" s="58" t="s">
        <v>2</v>
      </c>
      <c r="B732" s="58"/>
      <c r="C732" s="58"/>
      <c r="D732" s="58"/>
      <c r="E732" s="58"/>
      <c r="F732" s="58"/>
      <c r="G732" s="58"/>
      <c r="H732" s="58"/>
      <c r="I732" s="58"/>
      <c r="J732" s="58"/>
      <c r="K732" s="58"/>
    </row>
    <row r="733" spans="1:11">
      <c r="A733" s="6"/>
      <c r="B733" s="6"/>
      <c r="C733" s="7"/>
      <c r="D733" s="7"/>
      <c r="E733" s="7"/>
      <c r="F733" s="7"/>
      <c r="G733" s="8"/>
      <c r="H733" s="9"/>
      <c r="I733" s="9"/>
      <c r="J733" s="9"/>
      <c r="K733" s="9"/>
    </row>
    <row r="734" spans="1:11">
      <c r="A734" s="53" t="s">
        <v>3</v>
      </c>
      <c r="B734" s="10"/>
      <c r="C734" s="10"/>
      <c r="D734" s="54" t="s">
        <v>4</v>
      </c>
      <c r="E734" s="10" t="s">
        <v>5</v>
      </c>
      <c r="F734" s="11"/>
      <c r="G734" s="10"/>
      <c r="H734" s="12"/>
      <c r="I734" s="12"/>
      <c r="J734" s="12"/>
      <c r="K734" s="9"/>
    </row>
    <row r="735" spans="1:11">
      <c r="A735" s="53" t="s">
        <v>6</v>
      </c>
      <c r="B735" s="10"/>
      <c r="C735" s="10"/>
      <c r="D735" s="54" t="s">
        <v>4</v>
      </c>
      <c r="E735" s="10" t="s">
        <v>7</v>
      </c>
      <c r="F735" s="11"/>
      <c r="G735" s="10"/>
      <c r="H735" s="12"/>
      <c r="I735" s="12"/>
      <c r="J735" s="12"/>
      <c r="K735" s="9"/>
    </row>
    <row r="736" spans="1:11">
      <c r="A736" s="53" t="s">
        <v>8</v>
      </c>
      <c r="B736" s="10"/>
      <c r="C736" s="10"/>
      <c r="D736" s="54" t="s">
        <v>4</v>
      </c>
      <c r="E736" s="13">
        <v>2026</v>
      </c>
      <c r="F736" s="11"/>
      <c r="G736" s="13"/>
      <c r="H736" s="12"/>
      <c r="I736" s="12"/>
      <c r="J736" s="12"/>
      <c r="K736" s="9"/>
    </row>
    <row r="737" spans="1:11">
      <c r="A737" s="53" t="s">
        <v>9</v>
      </c>
      <c r="B737" s="10"/>
      <c r="C737" s="10"/>
      <c r="D737" s="54" t="s">
        <v>4</v>
      </c>
      <c r="E737" s="14">
        <f>J747</f>
        <v>362500</v>
      </c>
      <c r="F737" s="11"/>
      <c r="G737" s="14"/>
      <c r="H737" s="12"/>
      <c r="I737" s="12"/>
      <c r="J737" s="12"/>
      <c r="K737" s="9"/>
    </row>
    <row r="738" spans="1:11" ht="15.75">
      <c r="A738" s="10"/>
      <c r="B738" s="10"/>
      <c r="C738" s="15" t="s">
        <v>10</v>
      </c>
      <c r="D738" s="54" t="s">
        <v>4</v>
      </c>
      <c r="E738" s="16" t="str">
        <f>PROPER(IF(E737=0,"nol",IF(E737&lt;0,"minus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737),"000000000000000"),1,3)=0,"",MID(TEXT(ABS(E737),"000000000000000"),1,1)&amp;" ratus "&amp;MID(TEXT(ABS(E737),"000000000000000"),2,1)&amp;" puluh "&amp;MID(TEXT(ABS(E737),"000000000000000"),3,1)&amp;" trilyun ")&amp;IF(--MID(TEXT(ABS(E737),"000000000000000"),4,3)=0,"",MID(TEXT(ABS(E737),"000000000000000"),4,1)&amp;" ratus "&amp;MID(TEXT(ABS(E737),"000000000000000"),5,1)&amp;" puluh "&amp;MID(TEXT(ABS(E737),"000000000000000"),6,1)&amp;" milyar ")&amp;IF(--MID(TEXT(ABS(E737),"000000000000000"),7,3)=0,"",MID(TEXT(ABS(E737),"000000000000000"),7,1)&amp;" ratus "&amp;MID(TEXT(ABS(E737),"000000000000000"),8,1)&amp;" puluh "&amp;MID(TEXT(ABS(E737),"000000000000000"),9,1)&amp;" juta ")&amp;IF(--MID(TEXT(ABS(E737),"000000000000000"),10,3)=0,"",IF(--MID(TEXT(ABS(E737),"000000000000000"),10,3)=1,"*",MID(TEXT(ABS(E737),"000000000000000"),10,1)&amp;" ratus "&amp;MID(TEXT(ABS(E737),"000000000000000"),11,1)&amp;" puluh ")&amp;MID(TEXT(ABS(E737),"000000000000000"),12,1)&amp;" ribu ")&amp;IF(--MID(TEXT(ABS(E737),"000000000000000"),13,3)=0,"",MID(TEXT(ABS(E737),"000000000000000"),13,1)&amp;" ratus "&amp;MID(TEXT(ABS(E737),"000000000000000"),14,1)&amp;" puluh "&amp;MID(TEXT(ABS(E737),"000000000000000"),15,1)),1,"satu"),2,"dua"),3,"tiga"),4,"empat"),5,"lima"),6,"enam"),7,"tujuh"),8,"delapan"),9,"sembilan"),"0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Tiga Ratus Enam Puluh Dua Ribu Lima Ratus Rupiah</v>
      </c>
      <c r="F738" s="11"/>
      <c r="G738" s="16"/>
      <c r="H738" s="12"/>
      <c r="I738" s="12"/>
      <c r="J738" s="12"/>
      <c r="K738" s="9"/>
    </row>
    <row r="739" spans="1:11" ht="15.75">
      <c r="A739" s="10"/>
      <c r="B739" s="10"/>
      <c r="C739" s="15"/>
      <c r="D739" s="15"/>
      <c r="E739" s="15"/>
      <c r="F739" s="11"/>
      <c r="G739" s="16"/>
      <c r="H739" s="12"/>
      <c r="I739" s="12"/>
      <c r="J739" s="12"/>
      <c r="K739" s="9"/>
    </row>
    <row r="740" spans="1:11">
      <c r="A740" s="10" t="s">
        <v>11</v>
      </c>
      <c r="B740" s="10"/>
      <c r="C740" s="10"/>
      <c r="D740" s="10"/>
      <c r="E740" s="10"/>
      <c r="F740" s="10"/>
      <c r="G740" s="10"/>
      <c r="H740" s="12"/>
      <c r="I740" s="12"/>
      <c r="J740" s="12"/>
      <c r="K740" s="9"/>
    </row>
    <row r="741" spans="1:11">
      <c r="A741" s="59" t="s">
        <v>12</v>
      </c>
      <c r="B741" s="59"/>
      <c r="C741" s="59"/>
      <c r="D741" s="59"/>
      <c r="E741" s="59"/>
      <c r="F741" s="59"/>
      <c r="G741" s="59"/>
      <c r="H741" s="59"/>
      <c r="I741" s="59"/>
      <c r="J741" s="59"/>
      <c r="K741" s="59"/>
    </row>
    <row r="742" spans="1:11" ht="60">
      <c r="A742" s="17" t="s">
        <v>13</v>
      </c>
      <c r="B742" s="18" t="s">
        <v>14</v>
      </c>
      <c r="C742" s="60" t="s">
        <v>15</v>
      </c>
      <c r="D742" s="61"/>
      <c r="E742" s="62"/>
      <c r="F742" s="19"/>
      <c r="G742" s="20" t="s">
        <v>16</v>
      </c>
      <c r="H742" s="21" t="s">
        <v>37</v>
      </c>
      <c r="I742" s="21"/>
      <c r="J742" s="31" t="s">
        <v>17</v>
      </c>
      <c r="K742" s="32" t="s">
        <v>18</v>
      </c>
    </row>
    <row r="743" spans="1:11">
      <c r="A743" s="27">
        <v>1</v>
      </c>
      <c r="B743" s="24"/>
      <c r="C743" s="28" t="s">
        <v>23</v>
      </c>
      <c r="D743" s="57"/>
      <c r="E743" s="26"/>
      <c r="F743" s="25"/>
      <c r="G743" s="55" t="s">
        <v>19</v>
      </c>
      <c r="H743" s="55" t="s">
        <v>19</v>
      </c>
      <c r="I743" s="55"/>
      <c r="J743" s="55" t="s">
        <v>19</v>
      </c>
      <c r="K743" s="55" t="s">
        <v>19</v>
      </c>
    </row>
    <row r="744" spans="1:11">
      <c r="A744" s="24"/>
      <c r="B744" s="56" t="s">
        <v>20</v>
      </c>
      <c r="C744" s="25" t="s">
        <v>24</v>
      </c>
      <c r="D744" s="10"/>
      <c r="E744" s="26"/>
      <c r="F744" s="25"/>
      <c r="G744" s="22">
        <v>75000000</v>
      </c>
      <c r="H744" s="23">
        <f>H699+J699</f>
        <v>14487344</v>
      </c>
      <c r="I744" s="23"/>
      <c r="J744" s="33">
        <v>362500</v>
      </c>
      <c r="K744" s="34">
        <f>G744-H744-J744</f>
        <v>60150156</v>
      </c>
    </row>
    <row r="745" spans="1:11">
      <c r="A745" s="24"/>
      <c r="B745" s="56" t="s">
        <v>21</v>
      </c>
      <c r="C745" s="25" t="s">
        <v>25</v>
      </c>
      <c r="D745" s="10"/>
      <c r="E745" s="26"/>
      <c r="F745" s="25"/>
      <c r="G745" s="22">
        <v>30000000</v>
      </c>
      <c r="H745" s="23">
        <f t="shared" ref="H745:H746" si="30">H700+J700</f>
        <v>0</v>
      </c>
      <c r="I745" s="23"/>
      <c r="J745" s="33">
        <v>0</v>
      </c>
      <c r="K745" s="34">
        <f t="shared" ref="K745:K746" si="31">G745-H745-J745</f>
        <v>30000000</v>
      </c>
    </row>
    <row r="746" spans="1:11">
      <c r="A746" s="24"/>
      <c r="B746" s="56" t="s">
        <v>22</v>
      </c>
      <c r="C746" s="25" t="s">
        <v>26</v>
      </c>
      <c r="D746" s="10"/>
      <c r="E746" s="26"/>
      <c r="F746" s="25"/>
      <c r="G746" s="22">
        <v>50000000</v>
      </c>
      <c r="H746" s="23">
        <f t="shared" si="30"/>
        <v>0</v>
      </c>
      <c r="I746" s="23"/>
      <c r="J746" s="33">
        <v>0</v>
      </c>
      <c r="K746" s="34">
        <f t="shared" si="31"/>
        <v>50000000</v>
      </c>
    </row>
    <row r="747" spans="1:11">
      <c r="A747" s="35"/>
      <c r="B747" s="35"/>
      <c r="C747" s="35" t="s">
        <v>27</v>
      </c>
      <c r="D747" s="35"/>
      <c r="E747" s="35"/>
      <c r="F747" s="36"/>
      <c r="G747" s="37">
        <f>SUM(G743:G746)</f>
        <v>155000000</v>
      </c>
      <c r="H747" s="38">
        <f>SUM(H743:H746)</f>
        <v>14487344</v>
      </c>
      <c r="I747" s="38"/>
      <c r="J747" s="38">
        <f>SUM(J743:J746)</f>
        <v>362500</v>
      </c>
      <c r="K747" s="38">
        <f>SUM(K743:K746)</f>
        <v>140150156</v>
      </c>
    </row>
    <row r="748" spans="1:11">
      <c r="A748" s="39"/>
      <c r="B748" s="8"/>
      <c r="C748" s="8"/>
      <c r="D748" s="8"/>
      <c r="E748" s="8"/>
      <c r="F748" s="8"/>
      <c r="G748" s="40"/>
      <c r="H748" s="40"/>
      <c r="I748" s="40"/>
      <c r="J748" s="40"/>
      <c r="K748" s="40"/>
    </row>
    <row r="749" spans="1:11">
      <c r="A749" s="63" t="s">
        <v>28</v>
      </c>
      <c r="B749" s="63"/>
      <c r="C749" s="63"/>
      <c r="D749" s="11" t="s">
        <v>4</v>
      </c>
      <c r="E749" s="14">
        <f>J747</f>
        <v>362500</v>
      </c>
      <c r="F749" s="41"/>
      <c r="G749" s="42"/>
      <c r="H749" s="42"/>
      <c r="I749" s="42"/>
      <c r="J749" s="9"/>
      <c r="K749" s="9"/>
    </row>
    <row r="750" spans="1:11">
      <c r="A750" s="10" t="s">
        <v>29</v>
      </c>
      <c r="B750" s="10"/>
      <c r="C750" s="10"/>
      <c r="D750" s="11" t="s">
        <v>4</v>
      </c>
      <c r="E750" s="43"/>
      <c r="F750" s="43"/>
      <c r="G750" s="44"/>
      <c r="H750" s="12"/>
      <c r="I750" s="12"/>
      <c r="J750" s="9"/>
      <c r="K750" s="9"/>
    </row>
    <row r="751" spans="1:11">
      <c r="A751" s="10" t="s">
        <v>30</v>
      </c>
      <c r="B751" s="10"/>
      <c r="C751" s="10"/>
      <c r="D751" s="11" t="s">
        <v>4</v>
      </c>
      <c r="E751" s="45"/>
      <c r="F751" s="45"/>
      <c r="G751" s="44"/>
      <c r="H751" s="12"/>
      <c r="I751" s="12"/>
      <c r="J751" s="9"/>
      <c r="K751" s="9"/>
    </row>
    <row r="752" spans="1:11">
      <c r="A752" s="10" t="s">
        <v>31</v>
      </c>
      <c r="B752" s="10"/>
      <c r="C752" s="10"/>
      <c r="D752" s="11" t="s">
        <v>4</v>
      </c>
      <c r="E752" s="45">
        <f>E750+E751</f>
        <v>0</v>
      </c>
      <c r="F752" s="45"/>
      <c r="G752" s="10"/>
      <c r="H752" s="12"/>
      <c r="I752" s="12"/>
      <c r="J752" s="47"/>
      <c r="K752" s="47"/>
    </row>
    <row r="753" spans="1:11">
      <c r="A753" s="13"/>
      <c r="B753" s="13"/>
      <c r="C753" s="13"/>
      <c r="D753" s="11"/>
      <c r="E753" s="13"/>
      <c r="F753" s="13"/>
      <c r="G753" s="10"/>
      <c r="H753" s="12"/>
      <c r="I753" s="12"/>
      <c r="J753" s="47"/>
      <c r="K753" s="47"/>
    </row>
    <row r="754" spans="1:11">
      <c r="A754" s="63" t="s">
        <v>32</v>
      </c>
      <c r="B754" s="63"/>
      <c r="C754" s="63"/>
      <c r="D754" s="11" t="s">
        <v>4</v>
      </c>
      <c r="E754" s="41">
        <f>E749-E752</f>
        <v>362500</v>
      </c>
      <c r="F754" s="41"/>
      <c r="G754" s="10"/>
      <c r="H754" s="12"/>
      <c r="I754" s="12"/>
      <c r="J754" s="47"/>
      <c r="K754" s="47"/>
    </row>
    <row r="755" spans="1:11" ht="15.75">
      <c r="A755" s="13"/>
      <c r="B755" s="13"/>
      <c r="C755" s="10"/>
      <c r="D755" s="10"/>
      <c r="E755" s="16" t="str">
        <f>PROPER(IF(E754=0,"nol",IF(E754&lt;0,"minus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754),"000000000000000"),1,3)=0,"",MID(TEXT(ABS(E754),"000000000000000"),1,1)&amp;" ratus "&amp;MID(TEXT(ABS(E754),"000000000000000"),2,1)&amp;" puluh "&amp;MID(TEXT(ABS(E754),"000000000000000"),3,1)&amp;" trilyun ")&amp;IF(--MID(TEXT(ABS(E754),"000000000000000"),4,3)=0,"",MID(TEXT(ABS(E754),"000000000000000"),4,1)&amp;" ratus "&amp;MID(TEXT(ABS(E754),"000000000000000"),5,1)&amp;" puluh "&amp;MID(TEXT(ABS(E754),"000000000000000"),6,1)&amp;" milyar ")&amp;IF(--MID(TEXT(ABS(E754),"000000000000000"),7,3)=0,"",MID(TEXT(ABS(E754),"000000000000000"),7,1)&amp;" ratus "&amp;MID(TEXT(ABS(E754),"000000000000000"),8,1)&amp;" puluh "&amp;MID(TEXT(ABS(E754),"000000000000000"),9,1)&amp;" juta ")&amp;IF(--MID(TEXT(ABS(E754),"000000000000000"),10,3)=0,"",IF(--MID(TEXT(ABS(E754),"000000000000000"),10,3)=1,"*",MID(TEXT(ABS(E754),"000000000000000"),10,1)&amp;" ratus "&amp;MID(TEXT(ABS(E754),"000000000000000"),11,1)&amp;" puluh ")&amp;MID(TEXT(ABS(E754),"000000000000000"),12,1)&amp;" ribu ")&amp;IF(--MID(TEXT(ABS(E754),"000000000000000"),13,3)=0,"",MID(TEXT(ABS(E754),"000000000000000"),13,1)&amp;" ratus "&amp;MID(TEXT(ABS(E754),"000000000000000"),14,1)&amp;" puluh "&amp;MID(TEXT(ABS(E754),"000000000000000"),15,1)),1,"satu"),2,"dua"),3,"tiga"),4,"empat"),5,"lima"),6,"enam"),7,"tujuh"),8,"delapan"),9,"sembilan"),"0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Tiga Ratus Enam Puluh Dua Ribu Lima Ratus Rupiah</v>
      </c>
      <c r="F755" s="10"/>
      <c r="G755" s="10"/>
      <c r="H755" s="10"/>
      <c r="I755" s="10"/>
      <c r="J755" s="47"/>
      <c r="K755" s="47"/>
    </row>
    <row r="756" spans="1:11">
      <c r="A756" s="46"/>
      <c r="B756" s="46"/>
      <c r="C756" s="46"/>
      <c r="D756" s="46"/>
      <c r="E756" s="46"/>
      <c r="F756" s="46"/>
      <c r="G756" s="29"/>
      <c r="H756" s="47"/>
      <c r="I756" s="47"/>
      <c r="J756" s="47"/>
      <c r="K756" s="47"/>
    </row>
    <row r="757" spans="1:11">
      <c r="A757" s="29"/>
      <c r="B757" s="29"/>
      <c r="C757" s="29"/>
      <c r="D757" s="29"/>
      <c r="E757" s="29"/>
      <c r="F757" s="29"/>
      <c r="G757" s="29"/>
      <c r="H757"/>
      <c r="I757"/>
      <c r="J757" s="47"/>
      <c r="K757" s="47"/>
    </row>
    <row r="758" spans="1:11">
      <c r="A758" s="13"/>
      <c r="B758" s="13"/>
      <c r="C758" s="10"/>
      <c r="D758" s="10"/>
      <c r="E758" s="10"/>
      <c r="F758" s="10"/>
      <c r="G758" s="10"/>
      <c r="I758" s="48"/>
      <c r="J758" s="48" t="s">
        <v>64</v>
      </c>
      <c r="K758" s="47"/>
    </row>
    <row r="759" spans="1:11">
      <c r="A759" s="12" t="s">
        <v>33</v>
      </c>
      <c r="B759" s="10"/>
      <c r="C759" s="10"/>
      <c r="D759" s="10"/>
      <c r="E759" s="10"/>
      <c r="F759" s="10"/>
      <c r="G759" s="10"/>
      <c r="I759" s="12"/>
      <c r="J759" s="12" t="s">
        <v>34</v>
      </c>
      <c r="K759" s="47"/>
    </row>
    <row r="760" spans="1:11">
      <c r="A760" s="10"/>
      <c r="B760" s="10"/>
      <c r="C760" s="10"/>
      <c r="D760" s="10"/>
      <c r="E760" s="10"/>
      <c r="F760" s="10"/>
      <c r="G760" s="10"/>
      <c r="I760" s="12"/>
      <c r="J760" s="12"/>
      <c r="K760" s="47"/>
    </row>
    <row r="761" spans="1:11">
      <c r="A761" s="10"/>
      <c r="B761" s="10"/>
      <c r="C761" s="10"/>
      <c r="D761" s="10"/>
      <c r="E761" s="10"/>
      <c r="F761" s="10"/>
      <c r="G761" s="10"/>
      <c r="I761" s="12"/>
      <c r="J761" s="12"/>
      <c r="K761" s="47"/>
    </row>
    <row r="762" spans="1:11">
      <c r="A762" s="10"/>
      <c r="B762" s="10"/>
      <c r="C762" s="10"/>
      <c r="D762" s="10"/>
      <c r="E762" s="10"/>
      <c r="F762" s="10"/>
      <c r="G762" s="10"/>
      <c r="I762" s="12"/>
      <c r="J762" s="12"/>
      <c r="K762" s="47"/>
    </row>
    <row r="763" spans="1:11">
      <c r="A763" s="10"/>
      <c r="B763" s="10"/>
      <c r="C763" s="10"/>
      <c r="D763" s="10"/>
      <c r="E763" s="10"/>
      <c r="F763" s="10"/>
      <c r="G763" s="10"/>
      <c r="I763" s="12"/>
      <c r="J763" s="12"/>
      <c r="K763" s="47"/>
    </row>
    <row r="764" spans="1:11">
      <c r="A764" s="49" t="s">
        <v>38</v>
      </c>
      <c r="B764" s="49"/>
      <c r="C764" s="50"/>
      <c r="D764" s="50"/>
      <c r="E764" s="50"/>
      <c r="F764" s="50"/>
      <c r="G764" s="10" t="s">
        <v>35</v>
      </c>
      <c r="I764" s="49"/>
      <c r="J764" s="49" t="s">
        <v>36</v>
      </c>
      <c r="K764" s="47"/>
    </row>
    <row r="769" spans="1:11" ht="15.75">
      <c r="C769" s="2"/>
      <c r="D769" s="2"/>
      <c r="E769" s="2"/>
      <c r="F769" s="2"/>
    </row>
    <row r="770" spans="1:11" ht="15.75">
      <c r="A770" s="3"/>
      <c r="B770" s="3"/>
      <c r="C770" s="2"/>
      <c r="D770" s="2"/>
      <c r="E770" s="2"/>
      <c r="F770" s="2"/>
      <c r="G770" s="3"/>
      <c r="H770" s="4"/>
      <c r="I770" s="4"/>
      <c r="J770" s="4"/>
      <c r="K770" s="5"/>
    </row>
    <row r="771" spans="1:11">
      <c r="H771" s="5"/>
      <c r="I771" s="5"/>
      <c r="J771" s="5"/>
      <c r="K771" s="5"/>
    </row>
    <row r="772" spans="1:11">
      <c r="H772" s="5"/>
      <c r="I772" s="5"/>
      <c r="J772" s="5"/>
      <c r="K772" s="5"/>
    </row>
    <row r="773" spans="1:11">
      <c r="A773" s="64" t="s">
        <v>0</v>
      </c>
      <c r="B773" s="64"/>
      <c r="C773" s="58"/>
      <c r="D773" s="58"/>
      <c r="E773" s="58"/>
      <c r="F773" s="58"/>
      <c r="G773" s="58"/>
      <c r="H773" s="58"/>
      <c r="I773" s="58"/>
      <c r="J773" s="58"/>
      <c r="K773" s="58"/>
    </row>
    <row r="774" spans="1:11">
      <c r="A774" s="58" t="s">
        <v>65</v>
      </c>
      <c r="B774" s="58"/>
      <c r="C774" s="58"/>
      <c r="D774" s="58"/>
      <c r="E774" s="58"/>
      <c r="F774" s="58"/>
      <c r="G774" s="58"/>
      <c r="H774" s="58"/>
      <c r="I774" s="58"/>
      <c r="J774" s="58"/>
      <c r="K774" s="58"/>
    </row>
    <row r="775" spans="1:11">
      <c r="A775" s="58" t="s">
        <v>1</v>
      </c>
      <c r="B775" s="58"/>
      <c r="C775" s="58"/>
      <c r="D775" s="58"/>
      <c r="E775" s="58"/>
      <c r="F775" s="58"/>
      <c r="G775" s="58"/>
      <c r="H775" s="58"/>
      <c r="I775" s="58"/>
      <c r="J775" s="58"/>
      <c r="K775" s="58"/>
    </row>
    <row r="776" spans="1:11">
      <c r="A776" s="58" t="s">
        <v>39</v>
      </c>
      <c r="B776" s="58"/>
      <c r="C776" s="58"/>
      <c r="D776" s="58"/>
      <c r="E776" s="58"/>
      <c r="F776" s="58"/>
      <c r="G776" s="58"/>
      <c r="H776" s="58"/>
      <c r="I776" s="58"/>
      <c r="J776" s="58"/>
      <c r="K776" s="58"/>
    </row>
    <row r="777" spans="1:11">
      <c r="A777" s="58" t="s">
        <v>2</v>
      </c>
      <c r="B777" s="58"/>
      <c r="C777" s="58"/>
      <c r="D777" s="58"/>
      <c r="E777" s="58"/>
      <c r="F777" s="58"/>
      <c r="G777" s="58"/>
      <c r="H777" s="58"/>
      <c r="I777" s="58"/>
      <c r="J777" s="58"/>
      <c r="K777" s="58"/>
    </row>
    <row r="778" spans="1:11">
      <c r="A778" s="6"/>
      <c r="B778" s="6"/>
      <c r="C778" s="7"/>
      <c r="D778" s="7"/>
      <c r="E778" s="7"/>
      <c r="F778" s="7"/>
      <c r="G778" s="8"/>
      <c r="H778" s="9"/>
      <c r="I778" s="9"/>
      <c r="J778" s="9"/>
      <c r="K778" s="9"/>
    </row>
    <row r="779" spans="1:11">
      <c r="A779" s="53" t="s">
        <v>3</v>
      </c>
      <c r="B779" s="10"/>
      <c r="C779" s="10"/>
      <c r="D779" s="54" t="s">
        <v>4</v>
      </c>
      <c r="E779" s="10" t="s">
        <v>5</v>
      </c>
      <c r="F779" s="11"/>
      <c r="G779" s="10"/>
      <c r="H779" s="12"/>
      <c r="I779" s="12"/>
      <c r="J779" s="12"/>
      <c r="K779" s="9"/>
    </row>
    <row r="780" spans="1:11">
      <c r="A780" s="53" t="s">
        <v>6</v>
      </c>
      <c r="B780" s="10"/>
      <c r="C780" s="10"/>
      <c r="D780" s="54" t="s">
        <v>4</v>
      </c>
      <c r="E780" s="10" t="s">
        <v>7</v>
      </c>
      <c r="F780" s="11"/>
      <c r="G780" s="10"/>
      <c r="H780" s="12"/>
      <c r="I780" s="12"/>
      <c r="J780" s="12"/>
      <c r="K780" s="9"/>
    </row>
    <row r="781" spans="1:11">
      <c r="A781" s="53" t="s">
        <v>8</v>
      </c>
      <c r="B781" s="10"/>
      <c r="C781" s="10"/>
      <c r="D781" s="54" t="s">
        <v>4</v>
      </c>
      <c r="E781" s="13">
        <v>2026</v>
      </c>
      <c r="F781" s="11"/>
      <c r="G781" s="13"/>
      <c r="H781" s="12"/>
      <c r="I781" s="12"/>
      <c r="J781" s="12"/>
      <c r="K781" s="9"/>
    </row>
    <row r="782" spans="1:11">
      <c r="A782" s="53" t="s">
        <v>9</v>
      </c>
      <c r="B782" s="10"/>
      <c r="C782" s="10"/>
      <c r="D782" s="54" t="s">
        <v>4</v>
      </c>
      <c r="E782" s="14">
        <f>J792</f>
        <v>20000</v>
      </c>
      <c r="F782" s="11"/>
      <c r="G782" s="14"/>
      <c r="H782" s="12"/>
      <c r="I782" s="12"/>
      <c r="J782" s="12"/>
      <c r="K782" s="9"/>
    </row>
    <row r="783" spans="1:11" ht="15.75">
      <c r="A783" s="10"/>
      <c r="B783" s="10"/>
      <c r="C783" s="15" t="s">
        <v>10</v>
      </c>
      <c r="D783" s="54" t="s">
        <v>4</v>
      </c>
      <c r="E783" s="16" t="str">
        <f>PROPER(IF(E782=0,"nol",IF(E782&lt;0,"minus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782),"000000000000000"),1,3)=0,"",MID(TEXT(ABS(E782),"000000000000000"),1,1)&amp;" ratus "&amp;MID(TEXT(ABS(E782),"000000000000000"),2,1)&amp;" puluh "&amp;MID(TEXT(ABS(E782),"000000000000000"),3,1)&amp;" trilyun ")&amp;IF(--MID(TEXT(ABS(E782),"000000000000000"),4,3)=0,"",MID(TEXT(ABS(E782),"000000000000000"),4,1)&amp;" ratus "&amp;MID(TEXT(ABS(E782),"000000000000000"),5,1)&amp;" puluh "&amp;MID(TEXT(ABS(E782),"000000000000000"),6,1)&amp;" milyar ")&amp;IF(--MID(TEXT(ABS(E782),"000000000000000"),7,3)=0,"",MID(TEXT(ABS(E782),"000000000000000"),7,1)&amp;" ratus "&amp;MID(TEXT(ABS(E782),"000000000000000"),8,1)&amp;" puluh "&amp;MID(TEXT(ABS(E782),"000000000000000"),9,1)&amp;" juta ")&amp;IF(--MID(TEXT(ABS(E782),"000000000000000"),10,3)=0,"",IF(--MID(TEXT(ABS(E782),"000000000000000"),10,3)=1,"*",MID(TEXT(ABS(E782),"000000000000000"),10,1)&amp;" ratus "&amp;MID(TEXT(ABS(E782),"000000000000000"),11,1)&amp;" puluh ")&amp;MID(TEXT(ABS(E782),"000000000000000"),12,1)&amp;" ribu ")&amp;IF(--MID(TEXT(ABS(E782),"000000000000000"),13,3)=0,"",MID(TEXT(ABS(E782),"000000000000000"),13,1)&amp;" ratus "&amp;MID(TEXT(ABS(E782),"000000000000000"),14,1)&amp;" puluh "&amp;MID(TEXT(ABS(E782),"000000000000000"),15,1)),1,"satu"),2,"dua"),3,"tiga"),4,"empat"),5,"lima"),6,"enam"),7,"tujuh"),8,"delapan"),9,"sembilan"),"0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Dua Puluh Ribu Rupiah</v>
      </c>
      <c r="F783" s="11"/>
      <c r="G783" s="16"/>
      <c r="H783" s="12"/>
      <c r="I783" s="12"/>
      <c r="J783" s="12"/>
      <c r="K783" s="9"/>
    </row>
    <row r="784" spans="1:11" ht="15.75">
      <c r="A784" s="10"/>
      <c r="B784" s="10"/>
      <c r="C784" s="15"/>
      <c r="D784" s="15"/>
      <c r="E784" s="15"/>
      <c r="F784" s="11"/>
      <c r="G784" s="16"/>
      <c r="H784" s="12"/>
      <c r="I784" s="12"/>
      <c r="J784" s="12"/>
      <c r="K784" s="9"/>
    </row>
    <row r="785" spans="1:11">
      <c r="A785" s="10" t="s">
        <v>11</v>
      </c>
      <c r="B785" s="10"/>
      <c r="C785" s="10"/>
      <c r="D785" s="10"/>
      <c r="E785" s="10"/>
      <c r="F785" s="10"/>
      <c r="G785" s="10"/>
      <c r="H785" s="12"/>
      <c r="I785" s="12"/>
      <c r="J785" s="12"/>
      <c r="K785" s="9"/>
    </row>
    <row r="786" spans="1:11">
      <c r="A786" s="59" t="s">
        <v>12</v>
      </c>
      <c r="B786" s="59"/>
      <c r="C786" s="59"/>
      <c r="D786" s="59"/>
      <c r="E786" s="59"/>
      <c r="F786" s="59"/>
      <c r="G786" s="59"/>
      <c r="H786" s="59"/>
      <c r="I786" s="59"/>
      <c r="J786" s="59"/>
      <c r="K786" s="59"/>
    </row>
    <row r="787" spans="1:11" ht="60">
      <c r="A787" s="17" t="s">
        <v>13</v>
      </c>
      <c r="B787" s="18" t="s">
        <v>14</v>
      </c>
      <c r="C787" s="60" t="s">
        <v>15</v>
      </c>
      <c r="D787" s="61"/>
      <c r="E787" s="62"/>
      <c r="F787" s="19"/>
      <c r="G787" s="20" t="s">
        <v>16</v>
      </c>
      <c r="H787" s="21" t="s">
        <v>37</v>
      </c>
      <c r="I787" s="21"/>
      <c r="J787" s="31" t="s">
        <v>17</v>
      </c>
      <c r="K787" s="32" t="s">
        <v>18</v>
      </c>
    </row>
    <row r="788" spans="1:11">
      <c r="A788" s="27">
        <v>1</v>
      </c>
      <c r="B788" s="24"/>
      <c r="C788" s="28" t="s">
        <v>23</v>
      </c>
      <c r="D788" s="57"/>
      <c r="E788" s="26"/>
      <c r="F788" s="25"/>
      <c r="G788" s="55" t="s">
        <v>19</v>
      </c>
      <c r="H788" s="55" t="s">
        <v>19</v>
      </c>
      <c r="I788" s="55"/>
      <c r="J788" s="55" t="s">
        <v>19</v>
      </c>
      <c r="K788" s="55" t="s">
        <v>19</v>
      </c>
    </row>
    <row r="789" spans="1:11">
      <c r="A789" s="24"/>
      <c r="B789" s="56" t="s">
        <v>20</v>
      </c>
      <c r="C789" s="25" t="s">
        <v>24</v>
      </c>
      <c r="D789" s="10"/>
      <c r="E789" s="26"/>
      <c r="F789" s="25"/>
      <c r="G789" s="22">
        <v>75000000</v>
      </c>
      <c r="H789" s="23">
        <f>H744+J744</f>
        <v>14849844</v>
      </c>
      <c r="I789" s="23"/>
      <c r="J789" s="33">
        <v>20000</v>
      </c>
      <c r="K789" s="34">
        <f>G789-H789-J789</f>
        <v>60130156</v>
      </c>
    </row>
    <row r="790" spans="1:11">
      <c r="A790" s="24"/>
      <c r="B790" s="56" t="s">
        <v>21</v>
      </c>
      <c r="C790" s="25" t="s">
        <v>25</v>
      </c>
      <c r="D790" s="10"/>
      <c r="E790" s="26"/>
      <c r="F790" s="25"/>
      <c r="G790" s="22">
        <v>30000000</v>
      </c>
      <c r="H790" s="23">
        <f t="shared" ref="H790:H791" si="32">H745+J745</f>
        <v>0</v>
      </c>
      <c r="I790" s="23"/>
      <c r="J790" s="33">
        <v>0</v>
      </c>
      <c r="K790" s="34">
        <f t="shared" ref="K790:K791" si="33">G790-H790-J790</f>
        <v>30000000</v>
      </c>
    </row>
    <row r="791" spans="1:11">
      <c r="A791" s="24"/>
      <c r="B791" s="56" t="s">
        <v>22</v>
      </c>
      <c r="C791" s="25" t="s">
        <v>26</v>
      </c>
      <c r="D791" s="10"/>
      <c r="E791" s="26"/>
      <c r="F791" s="25"/>
      <c r="G791" s="22">
        <v>50000000</v>
      </c>
      <c r="H791" s="23">
        <f t="shared" si="32"/>
        <v>0</v>
      </c>
      <c r="I791" s="23"/>
      <c r="J791" s="33">
        <v>0</v>
      </c>
      <c r="K791" s="34">
        <f t="shared" si="33"/>
        <v>50000000</v>
      </c>
    </row>
    <row r="792" spans="1:11">
      <c r="A792" s="35"/>
      <c r="B792" s="35"/>
      <c r="C792" s="35" t="s">
        <v>27</v>
      </c>
      <c r="D792" s="35"/>
      <c r="E792" s="35"/>
      <c r="F792" s="36"/>
      <c r="G792" s="37">
        <f>SUM(G788:G791)</f>
        <v>155000000</v>
      </c>
      <c r="H792" s="38">
        <f>SUM(H788:H791)</f>
        <v>14849844</v>
      </c>
      <c r="I792" s="38"/>
      <c r="J792" s="38">
        <f>SUM(J788:J791)</f>
        <v>20000</v>
      </c>
      <c r="K792" s="38">
        <f>SUM(K788:K791)</f>
        <v>140130156</v>
      </c>
    </row>
    <row r="793" spans="1:11">
      <c r="A793" s="39"/>
      <c r="B793" s="8"/>
      <c r="C793" s="8"/>
      <c r="D793" s="8"/>
      <c r="E793" s="8"/>
      <c r="F793" s="8"/>
      <c r="G793" s="40"/>
      <c r="H793" s="40"/>
      <c r="I793" s="40"/>
      <c r="J793" s="40"/>
      <c r="K793" s="40"/>
    </row>
    <row r="794" spans="1:11">
      <c r="A794" s="63" t="s">
        <v>28</v>
      </c>
      <c r="B794" s="63"/>
      <c r="C794" s="63"/>
      <c r="D794" s="11" t="s">
        <v>4</v>
      </c>
      <c r="E794" s="14">
        <f>J792</f>
        <v>20000</v>
      </c>
      <c r="F794" s="41"/>
      <c r="G794" s="42"/>
      <c r="H794" s="42"/>
      <c r="I794" s="42"/>
      <c r="J794" s="9"/>
      <c r="K794" s="9"/>
    </row>
    <row r="795" spans="1:11">
      <c r="A795" s="10" t="s">
        <v>29</v>
      </c>
      <c r="B795" s="10"/>
      <c r="C795" s="10"/>
      <c r="D795" s="11" t="s">
        <v>4</v>
      </c>
      <c r="E795" s="43"/>
      <c r="F795" s="43"/>
      <c r="G795" s="44"/>
      <c r="H795" s="12"/>
      <c r="I795" s="12"/>
      <c r="J795" s="9"/>
      <c r="K795" s="9"/>
    </row>
    <row r="796" spans="1:11">
      <c r="A796" s="10" t="s">
        <v>30</v>
      </c>
      <c r="B796" s="10"/>
      <c r="C796" s="10"/>
      <c r="D796" s="11" t="s">
        <v>4</v>
      </c>
      <c r="E796" s="45"/>
      <c r="F796" s="45"/>
      <c r="G796" s="44"/>
      <c r="H796" s="12"/>
      <c r="I796" s="12"/>
      <c r="J796" s="9"/>
      <c r="K796" s="9"/>
    </row>
    <row r="797" spans="1:11">
      <c r="A797" s="10" t="s">
        <v>31</v>
      </c>
      <c r="B797" s="10"/>
      <c r="C797" s="10"/>
      <c r="D797" s="11" t="s">
        <v>4</v>
      </c>
      <c r="E797" s="45">
        <f>E795+E796</f>
        <v>0</v>
      </c>
      <c r="F797" s="45"/>
      <c r="G797" s="10"/>
      <c r="H797" s="12"/>
      <c r="I797" s="12"/>
      <c r="J797" s="47"/>
      <c r="K797" s="47"/>
    </row>
    <row r="798" spans="1:11">
      <c r="A798" s="13"/>
      <c r="B798" s="13"/>
      <c r="C798" s="13"/>
      <c r="D798" s="11"/>
      <c r="E798" s="13"/>
      <c r="F798" s="13"/>
      <c r="G798" s="10"/>
      <c r="H798" s="12"/>
      <c r="I798" s="12"/>
      <c r="J798" s="47"/>
      <c r="K798" s="47"/>
    </row>
    <row r="799" spans="1:11">
      <c r="A799" s="63" t="s">
        <v>32</v>
      </c>
      <c r="B799" s="63"/>
      <c r="C799" s="63"/>
      <c r="D799" s="11" t="s">
        <v>4</v>
      </c>
      <c r="E799" s="41">
        <f>E794-E797</f>
        <v>20000</v>
      </c>
      <c r="F799" s="41"/>
      <c r="G799" s="10"/>
      <c r="H799" s="12"/>
      <c r="I799" s="12"/>
      <c r="J799" s="47"/>
      <c r="K799" s="47"/>
    </row>
    <row r="800" spans="1:11" ht="15.75">
      <c r="A800" s="13"/>
      <c r="B800" s="13"/>
      <c r="C800" s="10"/>
      <c r="D800" s="10"/>
      <c r="E800" s="16" t="str">
        <f>PROPER(IF(E799=0,"nol",IF(E799&lt;0,"minus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799),"000000000000000"),1,3)=0,"",MID(TEXT(ABS(E799),"000000000000000"),1,1)&amp;" ratus "&amp;MID(TEXT(ABS(E799),"000000000000000"),2,1)&amp;" puluh "&amp;MID(TEXT(ABS(E799),"000000000000000"),3,1)&amp;" trilyun ")&amp;IF(--MID(TEXT(ABS(E799),"000000000000000"),4,3)=0,"",MID(TEXT(ABS(E799),"000000000000000"),4,1)&amp;" ratus "&amp;MID(TEXT(ABS(E799),"000000000000000"),5,1)&amp;" puluh "&amp;MID(TEXT(ABS(E799),"000000000000000"),6,1)&amp;" milyar ")&amp;IF(--MID(TEXT(ABS(E799),"000000000000000"),7,3)=0,"",MID(TEXT(ABS(E799),"000000000000000"),7,1)&amp;" ratus "&amp;MID(TEXT(ABS(E799),"000000000000000"),8,1)&amp;" puluh "&amp;MID(TEXT(ABS(E799),"000000000000000"),9,1)&amp;" juta ")&amp;IF(--MID(TEXT(ABS(E799),"000000000000000"),10,3)=0,"",IF(--MID(TEXT(ABS(E799),"000000000000000"),10,3)=1,"*",MID(TEXT(ABS(E799),"000000000000000"),10,1)&amp;" ratus "&amp;MID(TEXT(ABS(E799),"000000000000000"),11,1)&amp;" puluh ")&amp;MID(TEXT(ABS(E799),"000000000000000"),12,1)&amp;" ribu ")&amp;IF(--MID(TEXT(ABS(E799),"000000000000000"),13,3)=0,"",MID(TEXT(ABS(E799),"000000000000000"),13,1)&amp;" ratus "&amp;MID(TEXT(ABS(E799),"000000000000000"),14,1)&amp;" puluh "&amp;MID(TEXT(ABS(E799),"000000000000000"),15,1)),1,"satu"),2,"dua"),3,"tiga"),4,"empat"),5,"lima"),6,"enam"),7,"tujuh"),8,"delapan"),9,"sembilan"),"0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Dua Puluh Ribu Rupiah</v>
      </c>
      <c r="F800" s="10"/>
      <c r="G800" s="10"/>
      <c r="H800" s="10"/>
      <c r="I800" s="10"/>
      <c r="J800" s="47"/>
      <c r="K800" s="47"/>
    </row>
    <row r="801" spans="1:11">
      <c r="A801" s="46"/>
      <c r="B801" s="46"/>
      <c r="C801" s="46"/>
      <c r="D801" s="46"/>
      <c r="E801" s="46"/>
      <c r="F801" s="46"/>
      <c r="G801" s="29"/>
      <c r="H801" s="47"/>
      <c r="I801" s="47"/>
      <c r="J801" s="47"/>
      <c r="K801" s="47"/>
    </row>
    <row r="802" spans="1:11">
      <c r="A802" s="29"/>
      <c r="B802" s="29"/>
      <c r="C802" s="29"/>
      <c r="D802" s="29"/>
      <c r="E802" s="29"/>
      <c r="F802" s="29"/>
      <c r="G802" s="29"/>
      <c r="H802"/>
      <c r="I802"/>
      <c r="J802" s="47"/>
      <c r="K802" s="47"/>
    </row>
    <row r="803" spans="1:11">
      <c r="A803" s="13"/>
      <c r="B803" s="13"/>
      <c r="C803" s="10"/>
      <c r="D803" s="10"/>
      <c r="E803" s="10"/>
      <c r="F803" s="10"/>
      <c r="G803" s="10"/>
      <c r="I803" s="48"/>
      <c r="J803" s="48" t="s">
        <v>66</v>
      </c>
      <c r="K803" s="47"/>
    </row>
    <row r="804" spans="1:11">
      <c r="A804" s="12" t="s">
        <v>33</v>
      </c>
      <c r="B804" s="10"/>
      <c r="C804" s="10"/>
      <c r="D804" s="10"/>
      <c r="E804" s="10"/>
      <c r="F804" s="10"/>
      <c r="G804" s="10"/>
      <c r="I804" s="12"/>
      <c r="J804" s="12" t="s">
        <v>34</v>
      </c>
      <c r="K804" s="47"/>
    </row>
    <row r="805" spans="1:11">
      <c r="A805" s="10"/>
      <c r="B805" s="10"/>
      <c r="C805" s="10"/>
      <c r="D805" s="10"/>
      <c r="E805" s="10"/>
      <c r="F805" s="10"/>
      <c r="G805" s="10"/>
      <c r="I805" s="12"/>
      <c r="J805" s="12"/>
      <c r="K805" s="47"/>
    </row>
    <row r="806" spans="1:11">
      <c r="A806" s="10"/>
      <c r="B806" s="10"/>
      <c r="C806" s="10"/>
      <c r="D806" s="10"/>
      <c r="E806" s="10"/>
      <c r="F806" s="10"/>
      <c r="G806" s="10"/>
      <c r="I806" s="12"/>
      <c r="J806" s="12"/>
      <c r="K806" s="47"/>
    </row>
    <row r="807" spans="1:11">
      <c r="A807" s="10"/>
      <c r="B807" s="10"/>
      <c r="C807" s="10"/>
      <c r="D807" s="10"/>
      <c r="E807" s="10"/>
      <c r="F807" s="10"/>
      <c r="G807" s="10"/>
      <c r="I807" s="12"/>
      <c r="J807" s="12"/>
      <c r="K807" s="47"/>
    </row>
    <row r="808" spans="1:11">
      <c r="A808" s="10"/>
      <c r="B808" s="10"/>
      <c r="C808" s="10"/>
      <c r="D808" s="10"/>
      <c r="E808" s="10"/>
      <c r="F808" s="10"/>
      <c r="G808" s="10"/>
      <c r="I808" s="12"/>
      <c r="J808" s="12"/>
      <c r="K808" s="47"/>
    </row>
    <row r="809" spans="1:11">
      <c r="A809" s="49" t="s">
        <v>38</v>
      </c>
      <c r="B809" s="49"/>
      <c r="C809" s="50"/>
      <c r="D809" s="50"/>
      <c r="E809" s="50"/>
      <c r="F809" s="50"/>
      <c r="G809" s="10" t="s">
        <v>35</v>
      </c>
      <c r="I809" s="49"/>
      <c r="J809" s="49" t="s">
        <v>36</v>
      </c>
      <c r="K809" s="47"/>
    </row>
  </sheetData>
  <mergeCells count="162">
    <mergeCell ref="A548:K548"/>
    <mergeCell ref="A549:K549"/>
    <mergeCell ref="A550:K550"/>
    <mergeCell ref="A551:K551"/>
    <mergeCell ref="A552:K552"/>
    <mergeCell ref="A561:K561"/>
    <mergeCell ref="C562:E562"/>
    <mergeCell ref="A569:C569"/>
    <mergeCell ref="A574:C574"/>
    <mergeCell ref="A471:K471"/>
    <mergeCell ref="C472:E472"/>
    <mergeCell ref="A479:C479"/>
    <mergeCell ref="A484:C484"/>
    <mergeCell ref="A458:K458"/>
    <mergeCell ref="A459:K459"/>
    <mergeCell ref="A460:K460"/>
    <mergeCell ref="A461:K461"/>
    <mergeCell ref="A462:K462"/>
    <mergeCell ref="C202:E202"/>
    <mergeCell ref="A209:C209"/>
    <mergeCell ref="A214:C214"/>
    <mergeCell ref="A233:K233"/>
    <mergeCell ref="A234:K234"/>
    <mergeCell ref="A254:C254"/>
    <mergeCell ref="A259:C259"/>
    <mergeCell ref="A235:K235"/>
    <mergeCell ref="A236:K236"/>
    <mergeCell ref="A237:K237"/>
    <mergeCell ref="A246:K246"/>
    <mergeCell ref="C247:E247"/>
    <mergeCell ref="A98:K98"/>
    <mergeCell ref="A99:K99"/>
    <mergeCell ref="A100:K100"/>
    <mergeCell ref="A101:K101"/>
    <mergeCell ref="A102:K102"/>
    <mergeCell ref="A21:K21"/>
    <mergeCell ref="A8:K8"/>
    <mergeCell ref="A9:K9"/>
    <mergeCell ref="A10:K10"/>
    <mergeCell ref="A11:K11"/>
    <mergeCell ref="A12:K12"/>
    <mergeCell ref="C22:E22"/>
    <mergeCell ref="A29:C29"/>
    <mergeCell ref="A34:C34"/>
    <mergeCell ref="A53:K53"/>
    <mergeCell ref="A54:K54"/>
    <mergeCell ref="A74:C74"/>
    <mergeCell ref="A79:C79"/>
    <mergeCell ref="A55:K55"/>
    <mergeCell ref="A56:K56"/>
    <mergeCell ref="A57:K57"/>
    <mergeCell ref="A66:K66"/>
    <mergeCell ref="C67:E67"/>
    <mergeCell ref="A278:K278"/>
    <mergeCell ref="A279:K279"/>
    <mergeCell ref="A280:K280"/>
    <mergeCell ref="A281:K281"/>
    <mergeCell ref="A282:K282"/>
    <mergeCell ref="A111:K111"/>
    <mergeCell ref="C112:E112"/>
    <mergeCell ref="A119:C119"/>
    <mergeCell ref="A124:C124"/>
    <mergeCell ref="A143:K143"/>
    <mergeCell ref="A144:K144"/>
    <mergeCell ref="A145:K145"/>
    <mergeCell ref="A146:K146"/>
    <mergeCell ref="A147:K147"/>
    <mergeCell ref="A156:K156"/>
    <mergeCell ref="C157:E157"/>
    <mergeCell ref="A164:C164"/>
    <mergeCell ref="A169:C169"/>
    <mergeCell ref="A188:K188"/>
    <mergeCell ref="A189:K189"/>
    <mergeCell ref="A190:K190"/>
    <mergeCell ref="A191:K191"/>
    <mergeCell ref="A192:K192"/>
    <mergeCell ref="A201:K201"/>
    <mergeCell ref="A325:K325"/>
    <mergeCell ref="A326:K326"/>
    <mergeCell ref="A327:K327"/>
    <mergeCell ref="A336:K336"/>
    <mergeCell ref="C337:E337"/>
    <mergeCell ref="A323:K323"/>
    <mergeCell ref="A324:K324"/>
    <mergeCell ref="A291:K291"/>
    <mergeCell ref="C292:E292"/>
    <mergeCell ref="A299:C299"/>
    <mergeCell ref="A304:C304"/>
    <mergeCell ref="A371:K371"/>
    <mergeCell ref="A372:K372"/>
    <mergeCell ref="A381:K381"/>
    <mergeCell ref="C382:E382"/>
    <mergeCell ref="A389:C389"/>
    <mergeCell ref="A344:C344"/>
    <mergeCell ref="A349:C349"/>
    <mergeCell ref="A368:K368"/>
    <mergeCell ref="A369:K369"/>
    <mergeCell ref="A370:K370"/>
    <mergeCell ref="A417:K417"/>
    <mergeCell ref="A426:K426"/>
    <mergeCell ref="C427:E427"/>
    <mergeCell ref="A434:C434"/>
    <mergeCell ref="A439:C439"/>
    <mergeCell ref="A394:C394"/>
    <mergeCell ref="A413:K413"/>
    <mergeCell ref="A414:K414"/>
    <mergeCell ref="A415:K415"/>
    <mergeCell ref="A416:K416"/>
    <mergeCell ref="A516:K516"/>
    <mergeCell ref="C517:E517"/>
    <mergeCell ref="A524:C524"/>
    <mergeCell ref="A529:C529"/>
    <mergeCell ref="A503:K503"/>
    <mergeCell ref="A504:K504"/>
    <mergeCell ref="A505:K505"/>
    <mergeCell ref="A506:K506"/>
    <mergeCell ref="A507:K507"/>
    <mergeCell ref="A593:K593"/>
    <mergeCell ref="A594:K594"/>
    <mergeCell ref="A595:K595"/>
    <mergeCell ref="A596:K596"/>
    <mergeCell ref="A597:K597"/>
    <mergeCell ref="A606:K606"/>
    <mergeCell ref="C607:E607"/>
    <mergeCell ref="A614:C614"/>
    <mergeCell ref="A619:C619"/>
    <mergeCell ref="A638:K638"/>
    <mergeCell ref="A639:K639"/>
    <mergeCell ref="A640:K640"/>
    <mergeCell ref="A641:K641"/>
    <mergeCell ref="A642:K642"/>
    <mergeCell ref="A651:K651"/>
    <mergeCell ref="C652:E652"/>
    <mergeCell ref="A659:C659"/>
    <mergeCell ref="A664:C664"/>
    <mergeCell ref="A683:K683"/>
    <mergeCell ref="A684:K684"/>
    <mergeCell ref="A685:K685"/>
    <mergeCell ref="A686:K686"/>
    <mergeCell ref="A687:K687"/>
    <mergeCell ref="A696:K696"/>
    <mergeCell ref="C697:E697"/>
    <mergeCell ref="A704:C704"/>
    <mergeCell ref="A709:C709"/>
    <mergeCell ref="A728:K728"/>
    <mergeCell ref="A729:K729"/>
    <mergeCell ref="A730:K730"/>
    <mergeCell ref="A731:K731"/>
    <mergeCell ref="A732:K732"/>
    <mergeCell ref="A741:K741"/>
    <mergeCell ref="C742:E742"/>
    <mergeCell ref="A749:C749"/>
    <mergeCell ref="A754:C754"/>
    <mergeCell ref="A773:K773"/>
    <mergeCell ref="A774:K774"/>
    <mergeCell ref="A775:K775"/>
    <mergeCell ref="A776:K776"/>
    <mergeCell ref="A777:K777"/>
    <mergeCell ref="A786:K786"/>
    <mergeCell ref="C787:E787"/>
    <mergeCell ref="A794:C794"/>
    <mergeCell ref="A799:C799"/>
  </mergeCells>
  <pageMargins left="0.23622047244094491" right="0.23622047244094491" top="0.15748031496062992" bottom="0.74803149606299213" header="0.31496062992125984" footer="0.31496062992125984"/>
  <pageSetup paperSize="9" scale="76" orientation="portrait" horizontalDpi="4294967293" r:id="rId1"/>
  <rowBreaks count="17" manualBreakCount="17">
    <brk id="45" max="10" man="1"/>
    <brk id="90" max="10" man="1"/>
    <brk id="135" max="10" man="1"/>
    <brk id="180" max="10" man="1"/>
    <brk id="225" max="10" man="1"/>
    <brk id="270" max="10" man="1"/>
    <brk id="315" max="10" man="1"/>
    <brk id="360" max="10" man="1"/>
    <brk id="405" max="10" man="1"/>
    <brk id="450" max="10" man="1"/>
    <brk id="495" max="10" man="1"/>
    <brk id="540" max="10" man="1"/>
    <brk id="585" max="10" man="1"/>
    <brk id="630" max="10" man="1"/>
    <brk id="675" max="10" man="1"/>
    <brk id="720" max="10" man="1"/>
    <brk id="765" max="1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977FA-7964-439C-88F6-1D2BC361406C}">
  <dimension ref="A1:W674"/>
  <sheetViews>
    <sheetView view="pageBreakPreview" topLeftCell="A643" zoomScaleNormal="100" workbookViewId="0">
      <selection activeCell="G685" sqref="G685"/>
    </sheetView>
  </sheetViews>
  <sheetFormatPr defaultColWidth="9" defaultRowHeight="15"/>
  <cols>
    <col min="1" max="1" width="3.5703125" customWidth="1"/>
    <col min="2" max="2" width="5.5703125" customWidth="1"/>
    <col min="3" max="3" width="12.28515625" customWidth="1"/>
    <col min="4" max="4" width="1.85546875" customWidth="1"/>
    <col min="5" max="5" width="38.28515625" customWidth="1"/>
    <col min="6" max="6" width="1.140625" customWidth="1"/>
    <col min="7" max="7" width="16" customWidth="1"/>
    <col min="8" max="8" width="16.5703125" style="1" customWidth="1"/>
    <col min="9" max="9" width="16.5703125" style="1" hidden="1" customWidth="1"/>
    <col min="10" max="10" width="15.5703125" style="1" customWidth="1"/>
    <col min="11" max="11" width="18" style="1" customWidth="1"/>
    <col min="12" max="12" width="0.28515625" hidden="1" customWidth="1"/>
    <col min="13" max="13" width="2.85546875" customWidth="1"/>
    <col min="14" max="14" width="2.5703125" customWidth="1"/>
    <col min="15" max="15" width="2.7109375" customWidth="1"/>
    <col min="16" max="16" width="2.5703125" customWidth="1"/>
    <col min="17" max="17" width="2.7109375" customWidth="1"/>
    <col min="18" max="18" width="2.85546875" customWidth="1"/>
    <col min="19" max="19" width="44.7109375" customWidth="1"/>
    <col min="20" max="20" width="12.28515625" customWidth="1"/>
    <col min="21" max="21" width="11.7109375" customWidth="1"/>
    <col min="22" max="22" width="10.85546875" customWidth="1"/>
    <col min="23" max="23" width="11.5703125" customWidth="1"/>
    <col min="24" max="24" width="11.7109375" customWidth="1"/>
  </cols>
  <sheetData>
    <row r="1" spans="1:23">
      <c r="L1" s="29"/>
      <c r="M1" s="30"/>
      <c r="N1" s="30"/>
      <c r="O1" s="30"/>
      <c r="P1" s="30"/>
      <c r="Q1" s="30"/>
      <c r="R1" s="30"/>
      <c r="S1" s="30"/>
      <c r="T1" s="30"/>
      <c r="U1" s="30"/>
      <c r="V1" s="30"/>
      <c r="W1" s="29"/>
    </row>
    <row r="2" spans="1:23">
      <c r="L2" s="29"/>
      <c r="M2" s="30"/>
      <c r="N2" s="30"/>
      <c r="O2" s="30"/>
      <c r="P2" s="30"/>
      <c r="Q2" s="30"/>
      <c r="R2" s="30"/>
      <c r="S2" s="30"/>
      <c r="T2" s="30"/>
      <c r="U2" s="30"/>
      <c r="V2" s="30"/>
      <c r="W2" s="29"/>
    </row>
    <row r="3" spans="1:23">
      <c r="L3" s="29"/>
      <c r="M3" s="30"/>
      <c r="N3" s="30"/>
      <c r="O3" s="30"/>
      <c r="P3" s="30"/>
      <c r="Q3" s="30"/>
      <c r="R3" s="30"/>
      <c r="S3" s="30"/>
      <c r="T3" s="30"/>
      <c r="U3" s="30"/>
      <c r="V3" s="30"/>
      <c r="W3" s="29"/>
    </row>
    <row r="4" spans="1:23" ht="15.75">
      <c r="C4" s="2"/>
      <c r="D4" s="2"/>
      <c r="E4" s="2"/>
      <c r="F4" s="2"/>
      <c r="L4" s="29"/>
      <c r="M4" s="30"/>
      <c r="N4" s="30"/>
      <c r="O4" s="30"/>
      <c r="P4" s="30"/>
      <c r="Q4" s="30"/>
      <c r="R4" s="30"/>
      <c r="S4" s="30"/>
      <c r="T4" s="30"/>
      <c r="U4" s="30"/>
      <c r="V4" s="30"/>
      <c r="W4" s="29"/>
    </row>
    <row r="5" spans="1:23" ht="15.75">
      <c r="A5" s="3"/>
      <c r="B5" s="3"/>
      <c r="C5" s="2"/>
      <c r="D5" s="2"/>
      <c r="E5" s="2"/>
      <c r="F5" s="2"/>
      <c r="G5" s="3"/>
      <c r="H5" s="4"/>
      <c r="I5" s="4"/>
      <c r="J5" s="4"/>
      <c r="K5" s="5"/>
      <c r="L5" s="29"/>
      <c r="M5" s="30"/>
      <c r="N5" s="30"/>
      <c r="O5" s="30"/>
      <c r="P5" s="30"/>
      <c r="Q5" s="30"/>
      <c r="R5" s="30"/>
      <c r="S5" s="30"/>
      <c r="T5" s="30"/>
      <c r="U5" s="30"/>
      <c r="V5" s="30"/>
      <c r="W5" s="29"/>
    </row>
    <row r="6" spans="1:23">
      <c r="H6" s="5"/>
      <c r="I6" s="5"/>
      <c r="J6" s="5"/>
      <c r="K6" s="5"/>
      <c r="L6" s="29"/>
      <c r="M6" s="30"/>
      <c r="N6" s="30"/>
      <c r="O6" s="30"/>
      <c r="P6" s="30"/>
      <c r="Q6" s="30"/>
      <c r="R6" s="30"/>
      <c r="S6" s="30"/>
      <c r="T6" s="30"/>
      <c r="U6" s="30"/>
      <c r="V6" s="30"/>
      <c r="W6" s="29"/>
    </row>
    <row r="7" spans="1:23">
      <c r="H7" s="5"/>
      <c r="I7" s="5"/>
      <c r="J7" s="5"/>
      <c r="K7" s="5"/>
      <c r="L7" s="29"/>
      <c r="M7" s="30"/>
      <c r="N7" s="30"/>
      <c r="O7" s="30"/>
      <c r="P7" s="30"/>
      <c r="Q7" s="30"/>
      <c r="R7" s="30"/>
      <c r="S7" s="30"/>
      <c r="T7" s="30"/>
      <c r="U7" s="30"/>
      <c r="V7" s="30"/>
      <c r="W7" s="29"/>
    </row>
    <row r="8" spans="1:23" ht="15" customHeight="1">
      <c r="A8" s="64" t="s">
        <v>0</v>
      </c>
      <c r="B8" s="64"/>
      <c r="C8" s="58"/>
      <c r="D8" s="58"/>
      <c r="E8" s="58"/>
      <c r="F8" s="58"/>
      <c r="G8" s="58"/>
      <c r="H8" s="58"/>
      <c r="I8" s="58"/>
      <c r="J8" s="58"/>
      <c r="K8" s="58"/>
      <c r="L8" s="29"/>
      <c r="M8" s="30"/>
      <c r="N8" s="30"/>
      <c r="O8" s="30"/>
      <c r="P8" s="30"/>
      <c r="Q8" s="30"/>
      <c r="R8" s="30"/>
      <c r="S8" s="30"/>
      <c r="T8" s="30"/>
      <c r="U8" s="30"/>
      <c r="V8" s="30"/>
      <c r="W8" s="29"/>
    </row>
    <row r="9" spans="1:23" ht="15" customHeight="1">
      <c r="A9" s="58" t="s">
        <v>67</v>
      </c>
      <c r="B9" s="58"/>
      <c r="C9" s="58"/>
      <c r="D9" s="58"/>
      <c r="E9" s="58"/>
      <c r="F9" s="58"/>
      <c r="G9" s="58"/>
      <c r="H9" s="58"/>
      <c r="I9" s="58"/>
      <c r="J9" s="58"/>
      <c r="K9" s="58"/>
      <c r="L9" s="29"/>
      <c r="M9" s="30"/>
      <c r="N9" s="30"/>
      <c r="O9" s="30"/>
      <c r="P9" s="30"/>
      <c r="Q9" s="30"/>
      <c r="R9" s="30"/>
      <c r="S9" s="30"/>
      <c r="T9" s="30"/>
      <c r="U9" s="30"/>
      <c r="V9" s="30"/>
      <c r="W9" s="29"/>
    </row>
    <row r="10" spans="1:23" ht="15" customHeight="1">
      <c r="A10" s="58" t="s">
        <v>1</v>
      </c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29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29"/>
    </row>
    <row r="11" spans="1:23" ht="15" customHeight="1">
      <c r="A11" s="58" t="s">
        <v>39</v>
      </c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29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29"/>
    </row>
    <row r="12" spans="1:23" ht="15" customHeight="1">
      <c r="A12" s="58" t="s">
        <v>2</v>
      </c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29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29"/>
    </row>
    <row r="13" spans="1:23">
      <c r="A13" s="6"/>
      <c r="B13" s="6"/>
      <c r="C13" s="7"/>
      <c r="D13" s="7"/>
      <c r="E13" s="7"/>
      <c r="F13" s="7"/>
      <c r="G13" s="8"/>
      <c r="H13" s="9"/>
      <c r="I13" s="9"/>
      <c r="J13" s="9"/>
      <c r="K13" s="9"/>
      <c r="L13" s="29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29"/>
    </row>
    <row r="14" spans="1:23">
      <c r="A14" s="53" t="s">
        <v>3</v>
      </c>
      <c r="B14" s="10"/>
      <c r="C14" s="10"/>
      <c r="D14" s="54" t="s">
        <v>4</v>
      </c>
      <c r="E14" s="10" t="s">
        <v>5</v>
      </c>
      <c r="F14" s="11"/>
      <c r="G14" s="10"/>
      <c r="H14" s="12"/>
      <c r="I14" s="12"/>
      <c r="J14" s="12"/>
      <c r="K14" s="9"/>
      <c r="L14" s="29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29"/>
    </row>
    <row r="15" spans="1:23">
      <c r="A15" s="53" t="s">
        <v>6</v>
      </c>
      <c r="B15" s="10"/>
      <c r="C15" s="10"/>
      <c r="D15" s="54" t="s">
        <v>4</v>
      </c>
      <c r="E15" s="10" t="s">
        <v>7</v>
      </c>
      <c r="F15" s="11"/>
      <c r="G15" s="10"/>
      <c r="H15" s="12"/>
      <c r="I15" s="12"/>
      <c r="J15" s="12"/>
      <c r="K15" s="9"/>
      <c r="L15" s="29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29"/>
    </row>
    <row r="16" spans="1:23">
      <c r="A16" s="53" t="s">
        <v>8</v>
      </c>
      <c r="B16" s="10"/>
      <c r="C16" s="10"/>
      <c r="D16" s="54" t="s">
        <v>4</v>
      </c>
      <c r="E16" s="13">
        <v>2026</v>
      </c>
      <c r="F16" s="11"/>
      <c r="G16" s="13"/>
      <c r="H16" s="12"/>
      <c r="I16" s="12"/>
      <c r="J16" s="12"/>
      <c r="K16" s="9"/>
      <c r="L16" s="29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29"/>
    </row>
    <row r="17" spans="1:23">
      <c r="A17" s="53" t="s">
        <v>9</v>
      </c>
      <c r="B17" s="10"/>
      <c r="C17" s="10"/>
      <c r="D17" s="54" t="s">
        <v>4</v>
      </c>
      <c r="E17" s="14">
        <f>J27</f>
        <v>3171110</v>
      </c>
      <c r="F17" s="11"/>
      <c r="G17" s="14"/>
      <c r="H17" s="12"/>
      <c r="I17" s="12"/>
      <c r="J17" s="12"/>
      <c r="K17" s="9"/>
      <c r="L17" s="29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29"/>
    </row>
    <row r="18" spans="1:23" ht="15.75">
      <c r="A18" s="10"/>
      <c r="B18" s="10"/>
      <c r="C18" s="15" t="s">
        <v>10</v>
      </c>
      <c r="D18" s="54" t="s">
        <v>4</v>
      </c>
      <c r="E18" s="16" t="str">
        <f>PROPER(IF(E17=0,"nol",IF(E17&lt;0,"minus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17),"000000000000000"),1,3)=0,"",MID(TEXT(ABS(E17),"000000000000000"),1,1)&amp;" ratus "&amp;MID(TEXT(ABS(E17),"000000000000000"),2,1)&amp;" puluh "&amp;MID(TEXT(ABS(E17),"000000000000000"),3,1)&amp;" trilyun ")&amp;IF(--MID(TEXT(ABS(E17),"000000000000000"),4,3)=0,"",MID(TEXT(ABS(E17),"000000000000000"),4,1)&amp;" ratus "&amp;MID(TEXT(ABS(E17),"000000000000000"),5,1)&amp;" puluh "&amp;MID(TEXT(ABS(E17),"000000000000000"),6,1)&amp;" milyar ")&amp;IF(--MID(TEXT(ABS(E17),"000000000000000"),7,3)=0,"",MID(TEXT(ABS(E17),"000000000000000"),7,1)&amp;" ratus "&amp;MID(TEXT(ABS(E17),"000000000000000"),8,1)&amp;" puluh "&amp;MID(TEXT(ABS(E17),"000000000000000"),9,1)&amp;" juta ")&amp;IF(--MID(TEXT(ABS(E17),"000000000000000"),10,3)=0,"",IF(--MID(TEXT(ABS(E17),"000000000000000"),10,3)=1,"*",MID(TEXT(ABS(E17),"000000000000000"),10,1)&amp;" ratus "&amp;MID(TEXT(ABS(E17),"000000000000000"),11,1)&amp;" puluh ")&amp;MID(TEXT(ABS(E17),"000000000000000"),12,1)&amp;" ribu ")&amp;IF(--MID(TEXT(ABS(E17),"000000000000000"),13,3)=0,"",MID(TEXT(ABS(E17),"000000000000000"),13,1)&amp;" ratus "&amp;MID(TEXT(ABS(E17),"000000000000000"),14,1)&amp;" puluh "&amp;MID(TEXT(ABS(E17),"000000000000000"),15,1)),1,"satu"),2,"dua"),3,"tiga"),4,"empat"),5,"lima"),6,"enam"),7,"tujuh"),8,"delapan"),9,"sembilan"),"0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Tiga Juta Seratus Tujuh Puluh Satu Ribu Seratus Sepuluh Rupiah</v>
      </c>
      <c r="F18" s="11"/>
      <c r="G18" s="16"/>
      <c r="H18" s="12"/>
      <c r="I18" s="12"/>
      <c r="J18" s="12"/>
      <c r="K18" s="9"/>
      <c r="L18" s="29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29"/>
    </row>
    <row r="19" spans="1:23" ht="15.75">
      <c r="A19" s="10"/>
      <c r="B19" s="10"/>
      <c r="C19" s="15"/>
      <c r="D19" s="15"/>
      <c r="E19" s="15"/>
      <c r="F19" s="11"/>
      <c r="G19" s="16"/>
      <c r="H19" s="12"/>
      <c r="I19" s="12"/>
      <c r="J19" s="12"/>
      <c r="K19" s="9"/>
      <c r="L19" s="29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29"/>
    </row>
    <row r="20" spans="1:23">
      <c r="A20" s="10" t="s">
        <v>11</v>
      </c>
      <c r="B20" s="10"/>
      <c r="C20" s="10"/>
      <c r="D20" s="10"/>
      <c r="E20" s="10"/>
      <c r="F20" s="10"/>
      <c r="G20" s="10"/>
      <c r="H20" s="12"/>
      <c r="I20" s="12"/>
      <c r="J20" s="12"/>
      <c r="K20" s="9"/>
      <c r="L20" s="29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29"/>
    </row>
    <row r="21" spans="1:23">
      <c r="A21" s="59" t="s">
        <v>12</v>
      </c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29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29"/>
    </row>
    <row r="22" spans="1:23" ht="61.5" customHeight="1">
      <c r="A22" s="17" t="s">
        <v>13</v>
      </c>
      <c r="B22" s="18" t="s">
        <v>14</v>
      </c>
      <c r="C22" s="60" t="s">
        <v>15</v>
      </c>
      <c r="D22" s="61"/>
      <c r="E22" s="62"/>
      <c r="F22" s="19"/>
      <c r="G22" s="20" t="s">
        <v>16</v>
      </c>
      <c r="H22" s="21" t="s">
        <v>37</v>
      </c>
      <c r="I22" s="21"/>
      <c r="J22" s="31" t="s">
        <v>17</v>
      </c>
      <c r="K22" s="32" t="s">
        <v>18</v>
      </c>
      <c r="L22" s="29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29"/>
    </row>
    <row r="23" spans="1:23">
      <c r="A23" s="27">
        <v>1</v>
      </c>
      <c r="B23" s="24"/>
      <c r="C23" s="28" t="s">
        <v>23</v>
      </c>
      <c r="D23" s="57"/>
      <c r="E23" s="26"/>
      <c r="F23" s="25"/>
      <c r="G23" s="55" t="s">
        <v>19</v>
      </c>
      <c r="H23" s="55" t="s">
        <v>19</v>
      </c>
      <c r="I23" s="55"/>
      <c r="J23" s="55" t="s">
        <v>19</v>
      </c>
      <c r="K23" s="55" t="s">
        <v>19</v>
      </c>
      <c r="L23" s="29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29"/>
    </row>
    <row r="24" spans="1:23">
      <c r="A24" s="24"/>
      <c r="B24" s="56" t="s">
        <v>20</v>
      </c>
      <c r="C24" s="25" t="s">
        <v>24</v>
      </c>
      <c r="D24" s="10"/>
      <c r="E24" s="26"/>
      <c r="F24" s="25"/>
      <c r="G24" s="22">
        <v>75000000</v>
      </c>
      <c r="H24" s="23">
        <f>JANUARI!H789+JANUARI!J789</f>
        <v>14869844</v>
      </c>
      <c r="I24" s="23"/>
      <c r="J24" s="33">
        <v>0</v>
      </c>
      <c r="K24" s="34">
        <f t="shared" ref="K24:K26" si="0">G24-H24-J24</f>
        <v>60130156</v>
      </c>
      <c r="L24" s="29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29"/>
    </row>
    <row r="25" spans="1:23">
      <c r="A25" s="24"/>
      <c r="B25" s="56" t="s">
        <v>21</v>
      </c>
      <c r="C25" s="25" t="s">
        <v>25</v>
      </c>
      <c r="D25" s="10"/>
      <c r="E25" s="26"/>
      <c r="F25" s="25"/>
      <c r="G25" s="22">
        <v>30000000</v>
      </c>
      <c r="H25" s="23">
        <f>JANUARI!H790+JANUARI!J790</f>
        <v>0</v>
      </c>
      <c r="I25" s="23"/>
      <c r="J25" s="33">
        <v>3171110</v>
      </c>
      <c r="K25" s="34">
        <f t="shared" si="0"/>
        <v>26828890</v>
      </c>
      <c r="L25" s="29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29"/>
    </row>
    <row r="26" spans="1:23">
      <c r="A26" s="24"/>
      <c r="B26" s="56" t="s">
        <v>22</v>
      </c>
      <c r="C26" s="25" t="s">
        <v>26</v>
      </c>
      <c r="D26" s="10"/>
      <c r="E26" s="26"/>
      <c r="F26" s="25"/>
      <c r="G26" s="22">
        <v>50000000</v>
      </c>
      <c r="H26" s="23">
        <f>JANUARI!H791+JANUARI!J791</f>
        <v>0</v>
      </c>
      <c r="I26" s="23"/>
      <c r="J26" s="33">
        <v>0</v>
      </c>
      <c r="K26" s="34">
        <f t="shared" si="0"/>
        <v>50000000</v>
      </c>
      <c r="L26" s="29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29"/>
    </row>
    <row r="27" spans="1:23">
      <c r="A27" s="35"/>
      <c r="B27" s="35"/>
      <c r="C27" s="35" t="s">
        <v>27</v>
      </c>
      <c r="D27" s="35"/>
      <c r="E27" s="35"/>
      <c r="F27" s="36"/>
      <c r="G27" s="37">
        <f>SUM(G23:G26)</f>
        <v>155000000</v>
      </c>
      <c r="H27" s="38">
        <f>SUM(H23:H26)</f>
        <v>14869844</v>
      </c>
      <c r="I27" s="38"/>
      <c r="J27" s="38">
        <f>SUM(J23:J26)</f>
        <v>3171110</v>
      </c>
      <c r="K27" s="38">
        <f>SUM(K23:K26)</f>
        <v>136959046</v>
      </c>
      <c r="L27" s="29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29"/>
    </row>
    <row r="28" spans="1:23">
      <c r="A28" s="39"/>
      <c r="B28" s="8"/>
      <c r="C28" s="8"/>
      <c r="D28" s="8"/>
      <c r="E28" s="8"/>
      <c r="F28" s="8"/>
      <c r="G28" s="40"/>
      <c r="H28" s="40"/>
      <c r="I28" s="40"/>
      <c r="J28" s="40"/>
      <c r="K28" s="40"/>
      <c r="L28" s="29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29"/>
    </row>
    <row r="29" spans="1:23">
      <c r="A29" s="63" t="s">
        <v>28</v>
      </c>
      <c r="B29" s="63"/>
      <c r="C29" s="63"/>
      <c r="D29" s="11" t="s">
        <v>4</v>
      </c>
      <c r="E29" s="14">
        <f>J27</f>
        <v>3171110</v>
      </c>
      <c r="F29" s="41"/>
      <c r="G29" s="42"/>
      <c r="H29" s="42"/>
      <c r="I29" s="42"/>
      <c r="J29" s="9"/>
      <c r="K29" s="9"/>
      <c r="L29" s="29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29"/>
    </row>
    <row r="30" spans="1:23">
      <c r="A30" s="10" t="s">
        <v>29</v>
      </c>
      <c r="B30" s="10"/>
      <c r="C30" s="10"/>
      <c r="D30" s="11" t="s">
        <v>4</v>
      </c>
      <c r="E30" s="43"/>
      <c r="F30" s="43"/>
      <c r="G30" s="44"/>
      <c r="H30" s="12"/>
      <c r="I30" s="12"/>
      <c r="J30" s="9"/>
      <c r="K30" s="9"/>
      <c r="L30" s="29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29"/>
    </row>
    <row r="31" spans="1:23">
      <c r="A31" s="10" t="s">
        <v>30</v>
      </c>
      <c r="B31" s="10"/>
      <c r="C31" s="10"/>
      <c r="D31" s="11" t="s">
        <v>4</v>
      </c>
      <c r="E31" s="45"/>
      <c r="F31" s="45"/>
      <c r="G31" s="44"/>
      <c r="H31" s="12"/>
      <c r="I31" s="12"/>
      <c r="J31" s="9"/>
      <c r="K31" s="9"/>
      <c r="L31" s="29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29"/>
    </row>
    <row r="32" spans="1:23">
      <c r="A32" s="10" t="s">
        <v>31</v>
      </c>
      <c r="B32" s="10"/>
      <c r="C32" s="10"/>
      <c r="D32" s="11" t="s">
        <v>4</v>
      </c>
      <c r="E32" s="45">
        <f>E30+E31</f>
        <v>0</v>
      </c>
      <c r="F32" s="45"/>
      <c r="G32" s="10"/>
      <c r="H32" s="12"/>
      <c r="I32" s="12"/>
      <c r="J32" s="47"/>
      <c r="K32" s="47"/>
      <c r="L32" s="29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29"/>
    </row>
    <row r="33" spans="1:23">
      <c r="A33" s="13"/>
      <c r="B33" s="13"/>
      <c r="C33" s="13"/>
      <c r="D33" s="11"/>
      <c r="E33" s="13"/>
      <c r="F33" s="13"/>
      <c r="G33" s="10"/>
      <c r="H33" s="12"/>
      <c r="I33" s="12"/>
      <c r="J33" s="47"/>
      <c r="K33" s="47"/>
      <c r="L33" s="29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29"/>
    </row>
    <row r="34" spans="1:23">
      <c r="A34" s="63" t="s">
        <v>32</v>
      </c>
      <c r="B34" s="63"/>
      <c r="C34" s="63"/>
      <c r="D34" s="11" t="s">
        <v>4</v>
      </c>
      <c r="E34" s="41">
        <f>E29-E32</f>
        <v>3171110</v>
      </c>
      <c r="F34" s="41"/>
      <c r="G34" s="10"/>
      <c r="H34" s="12"/>
      <c r="I34" s="12"/>
      <c r="J34" s="47"/>
      <c r="K34" s="47"/>
      <c r="L34" s="29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29"/>
    </row>
    <row r="35" spans="1:23" ht="15.75">
      <c r="A35" s="13"/>
      <c r="B35" s="13"/>
      <c r="C35" s="10"/>
      <c r="D35" s="10"/>
      <c r="E35" s="16" t="str">
        <f>PROPER(IF(E34=0,"nol",IF(E34&lt;0,"minus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34),"000000000000000"),1,3)=0,"",MID(TEXT(ABS(E34),"000000000000000"),1,1)&amp;" ratus "&amp;MID(TEXT(ABS(E34),"000000000000000"),2,1)&amp;" puluh "&amp;MID(TEXT(ABS(E34),"000000000000000"),3,1)&amp;" trilyun ")&amp;IF(--MID(TEXT(ABS(E34),"000000000000000"),4,3)=0,"",MID(TEXT(ABS(E34),"000000000000000"),4,1)&amp;" ratus "&amp;MID(TEXT(ABS(E34),"000000000000000"),5,1)&amp;" puluh "&amp;MID(TEXT(ABS(E34),"000000000000000"),6,1)&amp;" milyar ")&amp;IF(--MID(TEXT(ABS(E34),"000000000000000"),7,3)=0,"",MID(TEXT(ABS(E34),"000000000000000"),7,1)&amp;" ratus "&amp;MID(TEXT(ABS(E34),"000000000000000"),8,1)&amp;" puluh "&amp;MID(TEXT(ABS(E34),"000000000000000"),9,1)&amp;" juta ")&amp;IF(--MID(TEXT(ABS(E34),"000000000000000"),10,3)=0,"",IF(--MID(TEXT(ABS(E34),"000000000000000"),10,3)=1,"*",MID(TEXT(ABS(E34),"000000000000000"),10,1)&amp;" ratus "&amp;MID(TEXT(ABS(E34),"000000000000000"),11,1)&amp;" puluh ")&amp;MID(TEXT(ABS(E34),"000000000000000"),12,1)&amp;" ribu ")&amp;IF(--MID(TEXT(ABS(E34),"000000000000000"),13,3)=0,"",MID(TEXT(ABS(E34),"000000000000000"),13,1)&amp;" ratus "&amp;MID(TEXT(ABS(E34),"000000000000000"),14,1)&amp;" puluh "&amp;MID(TEXT(ABS(E34),"000000000000000"),15,1)),1,"satu"),2,"dua"),3,"tiga"),4,"empat"),5,"lima"),6,"enam"),7,"tujuh"),8,"delapan"),9,"sembilan"),"0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Tiga Juta Seratus Tujuh Puluh Satu Ribu Seratus Sepuluh Rupiah</v>
      </c>
      <c r="F35" s="10"/>
      <c r="G35" s="10"/>
      <c r="H35" s="10"/>
      <c r="I35" s="10"/>
      <c r="J35" s="47"/>
      <c r="K35" s="47"/>
      <c r="L35" s="29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29"/>
    </row>
    <row r="36" spans="1:23">
      <c r="A36" s="46"/>
      <c r="B36" s="46"/>
      <c r="C36" s="46"/>
      <c r="D36" s="46"/>
      <c r="E36" s="46"/>
      <c r="F36" s="46"/>
      <c r="G36" s="29"/>
      <c r="H36" s="47"/>
      <c r="I36" s="47"/>
      <c r="J36" s="47"/>
      <c r="K36" s="47"/>
      <c r="L36" s="29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29"/>
    </row>
    <row r="37" spans="1:23">
      <c r="A37" s="29"/>
      <c r="B37" s="29"/>
      <c r="C37" s="29"/>
      <c r="D37" s="29"/>
      <c r="E37" s="29"/>
      <c r="F37" s="29"/>
      <c r="G37" s="29"/>
      <c r="H37"/>
      <c r="I37"/>
      <c r="J37" s="47"/>
      <c r="K37" s="47"/>
      <c r="L37" s="29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29"/>
    </row>
    <row r="38" spans="1:23">
      <c r="A38" s="13"/>
      <c r="B38" s="13"/>
      <c r="C38" s="10"/>
      <c r="D38" s="10"/>
      <c r="E38" s="10"/>
      <c r="F38" s="10"/>
      <c r="G38" s="10"/>
      <c r="I38" s="48"/>
      <c r="J38" s="48" t="s">
        <v>68</v>
      </c>
      <c r="K38" s="47"/>
      <c r="L38" s="29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29"/>
    </row>
    <row r="39" spans="1:23">
      <c r="A39" s="12" t="s">
        <v>33</v>
      </c>
      <c r="B39" s="10"/>
      <c r="C39" s="10"/>
      <c r="D39" s="10"/>
      <c r="E39" s="10"/>
      <c r="F39" s="10"/>
      <c r="G39" s="10"/>
      <c r="I39" s="12"/>
      <c r="J39" s="12" t="s">
        <v>34</v>
      </c>
      <c r="K39" s="47"/>
      <c r="L39" s="29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29"/>
    </row>
    <row r="40" spans="1:23">
      <c r="A40" s="10"/>
      <c r="B40" s="10"/>
      <c r="C40" s="10"/>
      <c r="D40" s="10"/>
      <c r="E40" s="10"/>
      <c r="F40" s="10"/>
      <c r="G40" s="10"/>
      <c r="I40" s="12"/>
      <c r="J40" s="12"/>
      <c r="K40" s="47"/>
      <c r="L40" s="29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29"/>
    </row>
    <row r="41" spans="1:23">
      <c r="A41" s="10"/>
      <c r="B41" s="10"/>
      <c r="C41" s="10"/>
      <c r="D41" s="10"/>
      <c r="E41" s="10"/>
      <c r="F41" s="10"/>
      <c r="G41" s="10"/>
      <c r="I41" s="12"/>
      <c r="J41" s="12"/>
      <c r="K41" s="47"/>
      <c r="L41" s="29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29"/>
    </row>
    <row r="42" spans="1:23">
      <c r="A42" s="10"/>
      <c r="B42" s="10"/>
      <c r="C42" s="10"/>
      <c r="D42" s="10"/>
      <c r="E42" s="10"/>
      <c r="F42" s="10"/>
      <c r="G42" s="10"/>
      <c r="I42" s="12"/>
      <c r="J42" s="12"/>
      <c r="K42" s="47"/>
      <c r="L42" s="29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29"/>
    </row>
    <row r="43" spans="1:23">
      <c r="A43" s="10"/>
      <c r="B43" s="10"/>
      <c r="C43" s="10"/>
      <c r="D43" s="10"/>
      <c r="E43" s="10"/>
      <c r="F43" s="10"/>
      <c r="G43" s="10"/>
      <c r="I43" s="12"/>
      <c r="J43" s="12"/>
      <c r="K43" s="47"/>
      <c r="L43" s="29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29"/>
    </row>
    <row r="44" spans="1:23">
      <c r="A44" s="49" t="s">
        <v>38</v>
      </c>
      <c r="B44" s="49"/>
      <c r="C44" s="50"/>
      <c r="D44" s="50"/>
      <c r="E44" s="50"/>
      <c r="F44" s="50"/>
      <c r="G44" s="10" t="s">
        <v>35</v>
      </c>
      <c r="I44" s="49"/>
      <c r="J44" s="49" t="s">
        <v>36</v>
      </c>
      <c r="K44" s="47"/>
      <c r="L44" s="29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29"/>
    </row>
    <row r="45" spans="1:23">
      <c r="A45" s="51"/>
      <c r="B45" s="51"/>
      <c r="C45" s="52"/>
      <c r="D45" s="52"/>
      <c r="E45" s="52"/>
      <c r="F45" s="52"/>
      <c r="G45" s="52"/>
      <c r="H45" s="51"/>
      <c r="I45" s="51"/>
      <c r="J45" s="51"/>
      <c r="K45" s="47"/>
      <c r="L45" s="29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29"/>
    </row>
    <row r="49" spans="1:11" ht="15.75">
      <c r="C49" s="2"/>
      <c r="D49" s="2"/>
      <c r="E49" s="2"/>
      <c r="F49" s="2"/>
    </row>
    <row r="50" spans="1:11" ht="15.75">
      <c r="A50" s="3"/>
      <c r="B50" s="3"/>
      <c r="C50" s="2"/>
      <c r="D50" s="2"/>
      <c r="E50" s="2"/>
      <c r="F50" s="2"/>
      <c r="G50" s="3"/>
      <c r="H50" s="4"/>
      <c r="I50" s="4"/>
      <c r="J50" s="4"/>
      <c r="K50" s="5"/>
    </row>
    <row r="51" spans="1:11">
      <c r="H51" s="5"/>
      <c r="I51" s="5"/>
      <c r="J51" s="5"/>
      <c r="K51" s="5"/>
    </row>
    <row r="52" spans="1:11">
      <c r="H52" s="5"/>
      <c r="I52" s="5"/>
      <c r="J52" s="5"/>
      <c r="K52" s="5"/>
    </row>
    <row r="53" spans="1:11">
      <c r="A53" s="64" t="s">
        <v>0</v>
      </c>
      <c r="B53" s="64"/>
      <c r="C53" s="58"/>
      <c r="D53" s="58"/>
      <c r="E53" s="58"/>
      <c r="F53" s="58"/>
      <c r="G53" s="58"/>
      <c r="H53" s="58"/>
      <c r="I53" s="58"/>
      <c r="J53" s="58"/>
      <c r="K53" s="58"/>
    </row>
    <row r="54" spans="1:11">
      <c r="A54" s="58" t="s">
        <v>69</v>
      </c>
      <c r="B54" s="58"/>
      <c r="C54" s="58"/>
      <c r="D54" s="58"/>
      <c r="E54" s="58"/>
      <c r="F54" s="58"/>
      <c r="G54" s="58"/>
      <c r="H54" s="58"/>
      <c r="I54" s="58"/>
      <c r="J54" s="58"/>
      <c r="K54" s="58"/>
    </row>
    <row r="55" spans="1:11">
      <c r="A55" s="58" t="s">
        <v>1</v>
      </c>
      <c r="B55" s="58"/>
      <c r="C55" s="58"/>
      <c r="D55" s="58"/>
      <c r="E55" s="58"/>
      <c r="F55" s="58"/>
      <c r="G55" s="58"/>
      <c r="H55" s="58"/>
      <c r="I55" s="58"/>
      <c r="J55" s="58"/>
      <c r="K55" s="58"/>
    </row>
    <row r="56" spans="1:11">
      <c r="A56" s="58" t="s">
        <v>39</v>
      </c>
      <c r="B56" s="58"/>
      <c r="C56" s="58"/>
      <c r="D56" s="58"/>
      <c r="E56" s="58"/>
      <c r="F56" s="58"/>
      <c r="G56" s="58"/>
      <c r="H56" s="58"/>
      <c r="I56" s="58"/>
      <c r="J56" s="58"/>
      <c r="K56" s="58"/>
    </row>
    <row r="57" spans="1:11">
      <c r="A57" s="58" t="s">
        <v>2</v>
      </c>
      <c r="B57" s="58"/>
      <c r="C57" s="58"/>
      <c r="D57" s="58"/>
      <c r="E57" s="58"/>
      <c r="F57" s="58"/>
      <c r="G57" s="58"/>
      <c r="H57" s="58"/>
      <c r="I57" s="58"/>
      <c r="J57" s="58"/>
      <c r="K57" s="58"/>
    </row>
    <row r="58" spans="1:11">
      <c r="A58" s="6"/>
      <c r="B58" s="6"/>
      <c r="C58" s="7"/>
      <c r="D58" s="7"/>
      <c r="E58" s="7"/>
      <c r="F58" s="7"/>
      <c r="G58" s="8"/>
      <c r="H58" s="9"/>
      <c r="I58" s="9"/>
      <c r="J58" s="9"/>
      <c r="K58" s="9"/>
    </row>
    <row r="59" spans="1:11">
      <c r="A59" s="53" t="s">
        <v>3</v>
      </c>
      <c r="B59" s="10"/>
      <c r="C59" s="10"/>
      <c r="D59" s="54" t="s">
        <v>4</v>
      </c>
      <c r="E59" s="10" t="s">
        <v>5</v>
      </c>
      <c r="F59" s="11"/>
      <c r="G59" s="10"/>
      <c r="H59" s="12"/>
      <c r="I59" s="12"/>
      <c r="J59" s="12"/>
      <c r="K59" s="9"/>
    </row>
    <row r="60" spans="1:11">
      <c r="A60" s="53" t="s">
        <v>6</v>
      </c>
      <c r="B60" s="10"/>
      <c r="C60" s="10"/>
      <c r="D60" s="54" t="s">
        <v>4</v>
      </c>
      <c r="E60" s="10" t="s">
        <v>7</v>
      </c>
      <c r="F60" s="11"/>
      <c r="G60" s="10"/>
      <c r="H60" s="12"/>
      <c r="I60" s="12"/>
      <c r="J60" s="12"/>
      <c r="K60" s="9"/>
    </row>
    <row r="61" spans="1:11">
      <c r="A61" s="53" t="s">
        <v>8</v>
      </c>
      <c r="B61" s="10"/>
      <c r="C61" s="10"/>
      <c r="D61" s="54" t="s">
        <v>4</v>
      </c>
      <c r="E61" s="13">
        <v>2026</v>
      </c>
      <c r="F61" s="11"/>
      <c r="G61" s="13"/>
      <c r="H61" s="12"/>
      <c r="I61" s="12"/>
      <c r="J61" s="12"/>
      <c r="K61" s="9"/>
    </row>
    <row r="62" spans="1:11">
      <c r="A62" s="53" t="s">
        <v>9</v>
      </c>
      <c r="B62" s="10"/>
      <c r="C62" s="10"/>
      <c r="D62" s="54" t="s">
        <v>4</v>
      </c>
      <c r="E62" s="14">
        <f>J72</f>
        <v>42354</v>
      </c>
      <c r="F62" s="11"/>
      <c r="G62" s="14"/>
      <c r="H62" s="12"/>
      <c r="I62" s="12"/>
      <c r="J62" s="12"/>
      <c r="K62" s="9"/>
    </row>
    <row r="63" spans="1:11" ht="15.75">
      <c r="A63" s="10"/>
      <c r="B63" s="10"/>
      <c r="C63" s="15" t="s">
        <v>10</v>
      </c>
      <c r="D63" s="54" t="s">
        <v>4</v>
      </c>
      <c r="E63" s="16" t="str">
        <f>PROPER(IF(E62=0,"nol",IF(E62&lt;0,"minus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62),"000000000000000"),1,3)=0,"",MID(TEXT(ABS(E62),"000000000000000"),1,1)&amp;" ratus "&amp;MID(TEXT(ABS(E62),"000000000000000"),2,1)&amp;" puluh "&amp;MID(TEXT(ABS(E62),"000000000000000"),3,1)&amp;" trilyun ")&amp;IF(--MID(TEXT(ABS(E62),"000000000000000"),4,3)=0,"",MID(TEXT(ABS(E62),"000000000000000"),4,1)&amp;" ratus "&amp;MID(TEXT(ABS(E62),"000000000000000"),5,1)&amp;" puluh "&amp;MID(TEXT(ABS(E62),"000000000000000"),6,1)&amp;" milyar ")&amp;IF(--MID(TEXT(ABS(E62),"000000000000000"),7,3)=0,"",MID(TEXT(ABS(E62),"000000000000000"),7,1)&amp;" ratus "&amp;MID(TEXT(ABS(E62),"000000000000000"),8,1)&amp;" puluh "&amp;MID(TEXT(ABS(E62),"000000000000000"),9,1)&amp;" juta ")&amp;IF(--MID(TEXT(ABS(E62),"000000000000000"),10,3)=0,"",IF(--MID(TEXT(ABS(E62),"000000000000000"),10,3)=1,"*",MID(TEXT(ABS(E62),"000000000000000"),10,1)&amp;" ratus "&amp;MID(TEXT(ABS(E62),"000000000000000"),11,1)&amp;" puluh ")&amp;MID(TEXT(ABS(E62),"000000000000000"),12,1)&amp;" ribu ")&amp;IF(--MID(TEXT(ABS(E62),"000000000000000"),13,3)=0,"",MID(TEXT(ABS(E62),"000000000000000"),13,1)&amp;" ratus "&amp;MID(TEXT(ABS(E62),"000000000000000"),14,1)&amp;" puluh "&amp;MID(TEXT(ABS(E62),"000000000000000"),15,1)),1,"satu"),2,"dua"),3,"tiga"),4,"empat"),5,"lima"),6,"enam"),7,"tujuh"),8,"delapan"),9,"sembilan"),"0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Empat Puluh Dua Ribu Tiga Ratus Lima Puluh Empat Rupiah</v>
      </c>
      <c r="F63" s="11"/>
      <c r="G63" s="16"/>
      <c r="H63" s="12"/>
      <c r="I63" s="12"/>
      <c r="J63" s="12"/>
      <c r="K63" s="9"/>
    </row>
    <row r="64" spans="1:11" ht="15.75">
      <c r="A64" s="10"/>
      <c r="B64" s="10"/>
      <c r="C64" s="15"/>
      <c r="D64" s="15"/>
      <c r="E64" s="15"/>
      <c r="F64" s="11"/>
      <c r="G64" s="16"/>
      <c r="H64" s="12"/>
      <c r="I64" s="12"/>
      <c r="J64" s="12"/>
      <c r="K64" s="9"/>
    </row>
    <row r="65" spans="1:11">
      <c r="A65" s="10" t="s">
        <v>11</v>
      </c>
      <c r="B65" s="10"/>
      <c r="C65" s="10"/>
      <c r="D65" s="10"/>
      <c r="E65" s="10"/>
      <c r="F65" s="10"/>
      <c r="G65" s="10"/>
      <c r="H65" s="12"/>
      <c r="I65" s="12"/>
      <c r="J65" s="12"/>
      <c r="K65" s="9"/>
    </row>
    <row r="66" spans="1:11">
      <c r="A66" s="59" t="s">
        <v>12</v>
      </c>
      <c r="B66" s="59"/>
      <c r="C66" s="59"/>
      <c r="D66" s="59"/>
      <c r="E66" s="59"/>
      <c r="F66" s="59"/>
      <c r="G66" s="59"/>
      <c r="H66" s="59"/>
      <c r="I66" s="59"/>
      <c r="J66" s="59"/>
      <c r="K66" s="59"/>
    </row>
    <row r="67" spans="1:11" ht="60">
      <c r="A67" s="17" t="s">
        <v>13</v>
      </c>
      <c r="B67" s="18" t="s">
        <v>14</v>
      </c>
      <c r="C67" s="60" t="s">
        <v>15</v>
      </c>
      <c r="D67" s="61"/>
      <c r="E67" s="62"/>
      <c r="F67" s="19"/>
      <c r="G67" s="20" t="s">
        <v>16</v>
      </c>
      <c r="H67" s="21" t="s">
        <v>37</v>
      </c>
      <c r="I67" s="21"/>
      <c r="J67" s="31" t="s">
        <v>17</v>
      </c>
      <c r="K67" s="32" t="s">
        <v>18</v>
      </c>
    </row>
    <row r="68" spans="1:11">
      <c r="A68" s="27">
        <v>1</v>
      </c>
      <c r="B68" s="24"/>
      <c r="C68" s="28" t="s">
        <v>23</v>
      </c>
      <c r="D68" s="57"/>
      <c r="E68" s="26"/>
      <c r="F68" s="25"/>
      <c r="G68" s="55" t="s">
        <v>19</v>
      </c>
      <c r="H68" s="55" t="s">
        <v>19</v>
      </c>
      <c r="I68" s="55"/>
      <c r="J68" s="55" t="s">
        <v>19</v>
      </c>
      <c r="K68" s="55" t="s">
        <v>19</v>
      </c>
    </row>
    <row r="69" spans="1:11">
      <c r="A69" s="24"/>
      <c r="B69" s="56" t="s">
        <v>20</v>
      </c>
      <c r="C69" s="25" t="s">
        <v>24</v>
      </c>
      <c r="D69" s="10"/>
      <c r="E69" s="26"/>
      <c r="F69" s="25"/>
      <c r="G69" s="22">
        <v>75000000</v>
      </c>
      <c r="H69" s="23">
        <f>H24+J24</f>
        <v>14869844</v>
      </c>
      <c r="I69" s="23"/>
      <c r="J69" s="33">
        <v>0</v>
      </c>
      <c r="K69" s="34">
        <f>G69-H69-J69</f>
        <v>60130156</v>
      </c>
    </row>
    <row r="70" spans="1:11">
      <c r="A70" s="24"/>
      <c r="B70" s="56" t="s">
        <v>21</v>
      </c>
      <c r="C70" s="25" t="s">
        <v>25</v>
      </c>
      <c r="D70" s="10"/>
      <c r="E70" s="26"/>
      <c r="F70" s="25"/>
      <c r="G70" s="22">
        <v>30000000</v>
      </c>
      <c r="H70" s="23">
        <f t="shared" ref="H70:H71" si="1">H25+J25</f>
        <v>3171110</v>
      </c>
      <c r="I70" s="23"/>
      <c r="J70" s="33">
        <v>42354</v>
      </c>
      <c r="K70" s="34">
        <f t="shared" ref="K70:K71" si="2">G70-H70-J70</f>
        <v>26786536</v>
      </c>
    </row>
    <row r="71" spans="1:11">
      <c r="A71" s="24"/>
      <c r="B71" s="56" t="s">
        <v>22</v>
      </c>
      <c r="C71" s="25" t="s">
        <v>26</v>
      </c>
      <c r="D71" s="10"/>
      <c r="E71" s="26"/>
      <c r="F71" s="25"/>
      <c r="G71" s="22">
        <v>50000000</v>
      </c>
      <c r="H71" s="23">
        <f t="shared" si="1"/>
        <v>0</v>
      </c>
      <c r="I71" s="23"/>
      <c r="J71" s="33">
        <v>0</v>
      </c>
      <c r="K71" s="34">
        <f t="shared" si="2"/>
        <v>50000000</v>
      </c>
    </row>
    <row r="72" spans="1:11">
      <c r="A72" s="35"/>
      <c r="B72" s="35"/>
      <c r="C72" s="35" t="s">
        <v>27</v>
      </c>
      <c r="D72" s="35"/>
      <c r="E72" s="35"/>
      <c r="F72" s="36"/>
      <c r="G72" s="37">
        <f>SUM(G68:G71)</f>
        <v>155000000</v>
      </c>
      <c r="H72" s="38">
        <f>SUM(H68:H71)</f>
        <v>18040954</v>
      </c>
      <c r="I72" s="38"/>
      <c r="J72" s="38">
        <f>SUM(J68:J71)</f>
        <v>42354</v>
      </c>
      <c r="K72" s="38">
        <f>SUM(K68:K71)</f>
        <v>136916692</v>
      </c>
    </row>
    <row r="73" spans="1:11">
      <c r="A73" s="39"/>
      <c r="B73" s="8"/>
      <c r="C73" s="8"/>
      <c r="D73" s="8"/>
      <c r="E73" s="8"/>
      <c r="F73" s="8"/>
      <c r="G73" s="40"/>
      <c r="H73" s="40"/>
      <c r="I73" s="40"/>
      <c r="J73" s="40"/>
      <c r="K73" s="40"/>
    </row>
    <row r="74" spans="1:11">
      <c r="A74" s="63" t="s">
        <v>28</v>
      </c>
      <c r="B74" s="63"/>
      <c r="C74" s="63"/>
      <c r="D74" s="11" t="s">
        <v>4</v>
      </c>
      <c r="E74" s="14">
        <f>J72</f>
        <v>42354</v>
      </c>
      <c r="F74" s="41"/>
      <c r="G74" s="42"/>
      <c r="H74" s="42"/>
      <c r="I74" s="42"/>
      <c r="J74" s="9"/>
      <c r="K74" s="9"/>
    </row>
    <row r="75" spans="1:11">
      <c r="A75" s="10" t="s">
        <v>29</v>
      </c>
      <c r="B75" s="10"/>
      <c r="C75" s="10"/>
      <c r="D75" s="11" t="s">
        <v>4</v>
      </c>
      <c r="E75" s="43"/>
      <c r="F75" s="43"/>
      <c r="G75" s="44"/>
      <c r="H75" s="12"/>
      <c r="I75" s="12"/>
      <c r="J75" s="9"/>
      <c r="K75" s="9"/>
    </row>
    <row r="76" spans="1:11">
      <c r="A76" s="10" t="s">
        <v>30</v>
      </c>
      <c r="B76" s="10"/>
      <c r="C76" s="10"/>
      <c r="D76" s="11" t="s">
        <v>4</v>
      </c>
      <c r="E76" s="45"/>
      <c r="F76" s="45"/>
      <c r="G76" s="44"/>
      <c r="H76" s="12"/>
      <c r="I76" s="12"/>
      <c r="J76" s="9"/>
      <c r="K76" s="9"/>
    </row>
    <row r="77" spans="1:11">
      <c r="A77" s="10" t="s">
        <v>31</v>
      </c>
      <c r="B77" s="10"/>
      <c r="C77" s="10"/>
      <c r="D77" s="11" t="s">
        <v>4</v>
      </c>
      <c r="E77" s="45">
        <f>E75+E76</f>
        <v>0</v>
      </c>
      <c r="F77" s="45"/>
      <c r="G77" s="10"/>
      <c r="H77" s="12"/>
      <c r="I77" s="12"/>
      <c r="J77" s="47"/>
      <c r="K77" s="47"/>
    </row>
    <row r="78" spans="1:11">
      <c r="A78" s="13"/>
      <c r="B78" s="13"/>
      <c r="C78" s="13"/>
      <c r="D78" s="11"/>
      <c r="E78" s="13"/>
      <c r="F78" s="13"/>
      <c r="G78" s="10"/>
      <c r="H78" s="12"/>
      <c r="I78" s="12"/>
      <c r="J78" s="47"/>
      <c r="K78" s="47"/>
    </row>
    <row r="79" spans="1:11">
      <c r="A79" s="63" t="s">
        <v>32</v>
      </c>
      <c r="B79" s="63"/>
      <c r="C79" s="63"/>
      <c r="D79" s="11" t="s">
        <v>4</v>
      </c>
      <c r="E79" s="41">
        <f>E74-E77</f>
        <v>42354</v>
      </c>
      <c r="F79" s="41"/>
      <c r="G79" s="10"/>
      <c r="H79" s="12"/>
      <c r="I79" s="12"/>
      <c r="J79" s="47"/>
      <c r="K79" s="47"/>
    </row>
    <row r="80" spans="1:11" ht="15.75">
      <c r="A80" s="13"/>
      <c r="B80" s="13"/>
      <c r="C80" s="10"/>
      <c r="D80" s="10"/>
      <c r="E80" s="16" t="str">
        <f>PROPER(IF(E79=0,"nol",IF(E79&lt;0,"minus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79),"000000000000000"),1,3)=0,"",MID(TEXT(ABS(E79),"000000000000000"),1,1)&amp;" ratus "&amp;MID(TEXT(ABS(E79),"000000000000000"),2,1)&amp;" puluh "&amp;MID(TEXT(ABS(E79),"000000000000000"),3,1)&amp;" trilyun ")&amp;IF(--MID(TEXT(ABS(E79),"000000000000000"),4,3)=0,"",MID(TEXT(ABS(E79),"000000000000000"),4,1)&amp;" ratus "&amp;MID(TEXT(ABS(E79),"000000000000000"),5,1)&amp;" puluh "&amp;MID(TEXT(ABS(E79),"000000000000000"),6,1)&amp;" milyar ")&amp;IF(--MID(TEXT(ABS(E79),"000000000000000"),7,3)=0,"",MID(TEXT(ABS(E79),"000000000000000"),7,1)&amp;" ratus "&amp;MID(TEXT(ABS(E79),"000000000000000"),8,1)&amp;" puluh "&amp;MID(TEXT(ABS(E79),"000000000000000"),9,1)&amp;" juta ")&amp;IF(--MID(TEXT(ABS(E79),"000000000000000"),10,3)=0,"",IF(--MID(TEXT(ABS(E79),"000000000000000"),10,3)=1,"*",MID(TEXT(ABS(E79),"000000000000000"),10,1)&amp;" ratus "&amp;MID(TEXT(ABS(E79),"000000000000000"),11,1)&amp;" puluh ")&amp;MID(TEXT(ABS(E79),"000000000000000"),12,1)&amp;" ribu ")&amp;IF(--MID(TEXT(ABS(E79),"000000000000000"),13,3)=0,"",MID(TEXT(ABS(E79),"000000000000000"),13,1)&amp;" ratus "&amp;MID(TEXT(ABS(E79),"000000000000000"),14,1)&amp;" puluh "&amp;MID(TEXT(ABS(E79),"000000000000000"),15,1)),1,"satu"),2,"dua"),3,"tiga"),4,"empat"),5,"lima"),6,"enam"),7,"tujuh"),8,"delapan"),9,"sembilan"),"0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Empat Puluh Dua Ribu Tiga Ratus Lima Puluh Empat Rupiah</v>
      </c>
      <c r="F80" s="10"/>
      <c r="G80" s="10"/>
      <c r="H80" s="10"/>
      <c r="I80" s="10"/>
      <c r="J80" s="47"/>
      <c r="K80" s="47"/>
    </row>
    <row r="81" spans="1:11">
      <c r="A81" s="46"/>
      <c r="B81" s="46"/>
      <c r="C81" s="46"/>
      <c r="D81" s="46"/>
      <c r="E81" s="46"/>
      <c r="F81" s="46"/>
      <c r="G81" s="29"/>
      <c r="H81" s="47"/>
      <c r="I81" s="47"/>
      <c r="J81" s="47"/>
      <c r="K81" s="47"/>
    </row>
    <row r="82" spans="1:11">
      <c r="A82" s="29"/>
      <c r="B82" s="29"/>
      <c r="C82" s="29"/>
      <c r="D82" s="29"/>
      <c r="E82" s="29"/>
      <c r="F82" s="29"/>
      <c r="G82" s="29"/>
      <c r="H82"/>
      <c r="I82"/>
      <c r="J82" s="47"/>
      <c r="K82" s="47"/>
    </row>
    <row r="83" spans="1:11">
      <c r="A83" s="13"/>
      <c r="B83" s="13"/>
      <c r="C83" s="10"/>
      <c r="D83" s="10"/>
      <c r="E83" s="10"/>
      <c r="F83" s="10"/>
      <c r="G83" s="10"/>
      <c r="I83" s="48"/>
      <c r="J83" s="48" t="s">
        <v>68</v>
      </c>
      <c r="K83" s="47"/>
    </row>
    <row r="84" spans="1:11">
      <c r="A84" s="12" t="s">
        <v>33</v>
      </c>
      <c r="B84" s="10"/>
      <c r="C84" s="10"/>
      <c r="D84" s="10"/>
      <c r="E84" s="10"/>
      <c r="F84" s="10"/>
      <c r="G84" s="10"/>
      <c r="I84" s="12"/>
      <c r="J84" s="12" t="s">
        <v>34</v>
      </c>
      <c r="K84" s="47"/>
    </row>
    <row r="85" spans="1:11">
      <c r="A85" s="10"/>
      <c r="B85" s="10"/>
      <c r="C85" s="10"/>
      <c r="D85" s="10"/>
      <c r="E85" s="10"/>
      <c r="F85" s="10"/>
      <c r="G85" s="10"/>
      <c r="I85" s="12"/>
      <c r="J85" s="12"/>
      <c r="K85" s="47"/>
    </row>
    <row r="86" spans="1:11">
      <c r="A86" s="10"/>
      <c r="B86" s="10"/>
      <c r="C86" s="10"/>
      <c r="D86" s="10"/>
      <c r="E86" s="10"/>
      <c r="F86" s="10"/>
      <c r="G86" s="10"/>
      <c r="I86" s="12"/>
      <c r="J86" s="12"/>
      <c r="K86" s="47"/>
    </row>
    <row r="87" spans="1:11">
      <c r="A87" s="10"/>
      <c r="B87" s="10"/>
      <c r="C87" s="10"/>
      <c r="D87" s="10"/>
      <c r="E87" s="10"/>
      <c r="F87" s="10"/>
      <c r="G87" s="10"/>
      <c r="I87" s="12"/>
      <c r="J87" s="12"/>
      <c r="K87" s="47"/>
    </row>
    <row r="88" spans="1:11">
      <c r="A88" s="10"/>
      <c r="B88" s="10"/>
      <c r="C88" s="10"/>
      <c r="D88" s="10"/>
      <c r="E88" s="10"/>
      <c r="F88" s="10"/>
      <c r="G88" s="10"/>
      <c r="I88" s="12"/>
      <c r="J88" s="12"/>
      <c r="K88" s="47"/>
    </row>
    <row r="89" spans="1:11">
      <c r="A89" s="49" t="s">
        <v>38</v>
      </c>
      <c r="B89" s="49"/>
      <c r="C89" s="50"/>
      <c r="D89" s="50"/>
      <c r="E89" s="50"/>
      <c r="F89" s="50"/>
      <c r="G89" s="10" t="s">
        <v>35</v>
      </c>
      <c r="I89" s="49"/>
      <c r="J89" s="49" t="s">
        <v>36</v>
      </c>
      <c r="K89" s="47"/>
    </row>
    <row r="94" spans="1:11" ht="15.75">
      <c r="C94" s="2"/>
      <c r="D94" s="2"/>
      <c r="E94" s="2"/>
      <c r="F94" s="2"/>
    </row>
    <row r="95" spans="1:11" ht="15.75">
      <c r="A95" s="3"/>
      <c r="B95" s="3"/>
      <c r="C95" s="2"/>
      <c r="D95" s="2"/>
      <c r="E95" s="2"/>
      <c r="F95" s="2"/>
      <c r="G95" s="3"/>
      <c r="H95" s="4"/>
      <c r="I95" s="4"/>
      <c r="J95" s="4"/>
      <c r="K95" s="5"/>
    </row>
    <row r="96" spans="1:11">
      <c r="H96" s="5"/>
      <c r="I96" s="5"/>
      <c r="J96" s="5"/>
      <c r="K96" s="5"/>
    </row>
    <row r="97" spans="1:11">
      <c r="H97" s="5"/>
      <c r="I97" s="5"/>
      <c r="J97" s="5"/>
      <c r="K97" s="5"/>
    </row>
    <row r="98" spans="1:11">
      <c r="A98" s="64" t="s">
        <v>0</v>
      </c>
      <c r="B98" s="64"/>
      <c r="C98" s="58"/>
      <c r="D98" s="58"/>
      <c r="E98" s="58"/>
      <c r="F98" s="58"/>
      <c r="G98" s="58"/>
      <c r="H98" s="58"/>
      <c r="I98" s="58"/>
      <c r="J98" s="58"/>
      <c r="K98" s="58"/>
    </row>
    <row r="99" spans="1:11">
      <c r="A99" s="58" t="s">
        <v>71</v>
      </c>
      <c r="B99" s="58"/>
      <c r="C99" s="58"/>
      <c r="D99" s="58"/>
      <c r="E99" s="58"/>
      <c r="F99" s="58"/>
      <c r="G99" s="58"/>
      <c r="H99" s="58"/>
      <c r="I99" s="58"/>
      <c r="J99" s="58"/>
      <c r="K99" s="58"/>
    </row>
    <row r="100" spans="1:11">
      <c r="A100" s="58" t="s">
        <v>1</v>
      </c>
      <c r="B100" s="58"/>
      <c r="C100" s="58"/>
      <c r="D100" s="58"/>
      <c r="E100" s="58"/>
      <c r="F100" s="58"/>
      <c r="G100" s="58"/>
      <c r="H100" s="58"/>
      <c r="I100" s="58"/>
      <c r="J100" s="58"/>
      <c r="K100" s="58"/>
    </row>
    <row r="101" spans="1:11">
      <c r="A101" s="58" t="s">
        <v>39</v>
      </c>
      <c r="B101" s="58"/>
      <c r="C101" s="58"/>
      <c r="D101" s="58"/>
      <c r="E101" s="58"/>
      <c r="F101" s="58"/>
      <c r="G101" s="58"/>
      <c r="H101" s="58"/>
      <c r="I101" s="58"/>
      <c r="J101" s="58"/>
      <c r="K101" s="58"/>
    </row>
    <row r="102" spans="1:11">
      <c r="A102" s="58" t="s">
        <v>2</v>
      </c>
      <c r="B102" s="58"/>
      <c r="C102" s="58"/>
      <c r="D102" s="58"/>
      <c r="E102" s="58"/>
      <c r="F102" s="58"/>
      <c r="G102" s="58"/>
      <c r="H102" s="58"/>
      <c r="I102" s="58"/>
      <c r="J102" s="58"/>
      <c r="K102" s="58"/>
    </row>
    <row r="103" spans="1:11">
      <c r="A103" s="6"/>
      <c r="B103" s="6"/>
      <c r="C103" s="7"/>
      <c r="D103" s="7"/>
      <c r="E103" s="7"/>
      <c r="F103" s="7"/>
      <c r="G103" s="8"/>
      <c r="H103" s="9"/>
      <c r="I103" s="9"/>
      <c r="J103" s="9"/>
      <c r="K103" s="9"/>
    </row>
    <row r="104" spans="1:11">
      <c r="A104" s="53" t="s">
        <v>3</v>
      </c>
      <c r="B104" s="10"/>
      <c r="C104" s="10"/>
      <c r="D104" s="54" t="s">
        <v>4</v>
      </c>
      <c r="E104" s="10" t="s">
        <v>5</v>
      </c>
      <c r="F104" s="11"/>
      <c r="G104" s="10"/>
      <c r="H104" s="12"/>
      <c r="I104" s="12"/>
      <c r="J104" s="12"/>
      <c r="K104" s="9"/>
    </row>
    <row r="105" spans="1:11">
      <c r="A105" s="53" t="s">
        <v>6</v>
      </c>
      <c r="B105" s="10"/>
      <c r="C105" s="10"/>
      <c r="D105" s="54" t="s">
        <v>4</v>
      </c>
      <c r="E105" s="10" t="s">
        <v>7</v>
      </c>
      <c r="F105" s="11"/>
      <c r="G105" s="10"/>
      <c r="H105" s="12"/>
      <c r="I105" s="12"/>
      <c r="J105" s="12"/>
      <c r="K105" s="9"/>
    </row>
    <row r="106" spans="1:11">
      <c r="A106" s="53" t="s">
        <v>8</v>
      </c>
      <c r="B106" s="10"/>
      <c r="C106" s="10"/>
      <c r="D106" s="54" t="s">
        <v>4</v>
      </c>
      <c r="E106" s="13">
        <v>2026</v>
      </c>
      <c r="F106" s="11"/>
      <c r="G106" s="13"/>
      <c r="H106" s="12"/>
      <c r="I106" s="12"/>
      <c r="J106" s="12"/>
      <c r="K106" s="9"/>
    </row>
    <row r="107" spans="1:11">
      <c r="A107" s="53" t="s">
        <v>9</v>
      </c>
      <c r="B107" s="10"/>
      <c r="C107" s="10"/>
      <c r="D107" s="54" t="s">
        <v>4</v>
      </c>
      <c r="E107" s="14">
        <f>J117</f>
        <v>133330</v>
      </c>
      <c r="F107" s="11"/>
      <c r="G107" s="14"/>
      <c r="H107" s="12"/>
      <c r="I107" s="12"/>
      <c r="J107" s="12"/>
      <c r="K107" s="9"/>
    </row>
    <row r="108" spans="1:11" ht="15.75">
      <c r="A108" s="10"/>
      <c r="B108" s="10"/>
      <c r="C108" s="15" t="s">
        <v>10</v>
      </c>
      <c r="D108" s="54" t="s">
        <v>4</v>
      </c>
      <c r="E108" s="16" t="str">
        <f>PROPER(IF(E107=0,"nol",IF(E107&lt;0,"minus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107),"000000000000000"),1,3)=0,"",MID(TEXT(ABS(E107),"000000000000000"),1,1)&amp;" ratus "&amp;MID(TEXT(ABS(E107),"000000000000000"),2,1)&amp;" puluh "&amp;MID(TEXT(ABS(E107),"000000000000000"),3,1)&amp;" trilyun ")&amp;IF(--MID(TEXT(ABS(E107),"000000000000000"),4,3)=0,"",MID(TEXT(ABS(E107),"000000000000000"),4,1)&amp;" ratus "&amp;MID(TEXT(ABS(E107),"000000000000000"),5,1)&amp;" puluh "&amp;MID(TEXT(ABS(E107),"000000000000000"),6,1)&amp;" milyar ")&amp;IF(--MID(TEXT(ABS(E107),"000000000000000"),7,3)=0,"",MID(TEXT(ABS(E107),"000000000000000"),7,1)&amp;" ratus "&amp;MID(TEXT(ABS(E107),"000000000000000"),8,1)&amp;" puluh "&amp;MID(TEXT(ABS(E107),"000000000000000"),9,1)&amp;" juta ")&amp;IF(--MID(TEXT(ABS(E107),"000000000000000"),10,3)=0,"",IF(--MID(TEXT(ABS(E107),"000000000000000"),10,3)=1,"*",MID(TEXT(ABS(E107),"000000000000000"),10,1)&amp;" ratus "&amp;MID(TEXT(ABS(E107),"000000000000000"),11,1)&amp;" puluh ")&amp;MID(TEXT(ABS(E107),"000000000000000"),12,1)&amp;" ribu ")&amp;IF(--MID(TEXT(ABS(E107),"000000000000000"),13,3)=0,"",MID(TEXT(ABS(E107),"000000000000000"),13,1)&amp;" ratus "&amp;MID(TEXT(ABS(E107),"000000000000000"),14,1)&amp;" puluh "&amp;MID(TEXT(ABS(E107),"000000000000000"),15,1)),1,"satu"),2,"dua"),3,"tiga"),4,"empat"),5,"lima"),6,"enam"),7,"tujuh"),8,"delapan"),9,"sembilan"),"0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Seratus Tiga Puluh Tiga Ribu Tiga Ratus Tiga Puluh Rupiah</v>
      </c>
      <c r="F108" s="11"/>
      <c r="G108" s="16"/>
      <c r="H108" s="12"/>
      <c r="I108" s="12"/>
      <c r="J108" s="12"/>
      <c r="K108" s="9"/>
    </row>
    <row r="109" spans="1:11" ht="15.75">
      <c r="A109" s="10"/>
      <c r="B109" s="10"/>
      <c r="C109" s="15"/>
      <c r="D109" s="15"/>
      <c r="E109" s="15"/>
      <c r="F109" s="11"/>
      <c r="G109" s="16"/>
      <c r="H109" s="12"/>
      <c r="I109" s="12"/>
      <c r="J109" s="12"/>
      <c r="K109" s="9"/>
    </row>
    <row r="110" spans="1:11">
      <c r="A110" s="10" t="s">
        <v>11</v>
      </c>
      <c r="B110" s="10"/>
      <c r="C110" s="10"/>
      <c r="D110" s="10"/>
      <c r="E110" s="10"/>
      <c r="F110" s="10"/>
      <c r="G110" s="10"/>
      <c r="H110" s="12"/>
      <c r="I110" s="12"/>
      <c r="J110" s="12"/>
      <c r="K110" s="9"/>
    </row>
    <row r="111" spans="1:11">
      <c r="A111" s="59" t="s">
        <v>12</v>
      </c>
      <c r="B111" s="59"/>
      <c r="C111" s="59"/>
      <c r="D111" s="59"/>
      <c r="E111" s="59"/>
      <c r="F111" s="59"/>
      <c r="G111" s="59"/>
      <c r="H111" s="59"/>
      <c r="I111" s="59"/>
      <c r="J111" s="59"/>
      <c r="K111" s="59"/>
    </row>
    <row r="112" spans="1:11" ht="60">
      <c r="A112" s="17" t="s">
        <v>13</v>
      </c>
      <c r="B112" s="18" t="s">
        <v>14</v>
      </c>
      <c r="C112" s="60" t="s">
        <v>15</v>
      </c>
      <c r="D112" s="61"/>
      <c r="E112" s="62"/>
      <c r="F112" s="19"/>
      <c r="G112" s="20" t="s">
        <v>16</v>
      </c>
      <c r="H112" s="21" t="s">
        <v>37</v>
      </c>
      <c r="I112" s="21"/>
      <c r="J112" s="31" t="s">
        <v>17</v>
      </c>
      <c r="K112" s="32" t="s">
        <v>18</v>
      </c>
    </row>
    <row r="113" spans="1:11">
      <c r="A113" s="27">
        <v>1</v>
      </c>
      <c r="B113" s="24"/>
      <c r="C113" s="28" t="s">
        <v>23</v>
      </c>
      <c r="D113" s="57"/>
      <c r="E113" s="26"/>
      <c r="F113" s="25"/>
      <c r="G113" s="55" t="s">
        <v>19</v>
      </c>
      <c r="H113" s="55" t="s">
        <v>19</v>
      </c>
      <c r="I113" s="55"/>
      <c r="J113" s="55" t="s">
        <v>19</v>
      </c>
      <c r="K113" s="55" t="s">
        <v>19</v>
      </c>
    </row>
    <row r="114" spans="1:11">
      <c r="A114" s="24"/>
      <c r="B114" s="56" t="s">
        <v>20</v>
      </c>
      <c r="C114" s="25" t="s">
        <v>24</v>
      </c>
      <c r="D114" s="10"/>
      <c r="E114" s="26"/>
      <c r="F114" s="25"/>
      <c r="G114" s="22">
        <v>75000000</v>
      </c>
      <c r="H114" s="23">
        <f>H69+J69</f>
        <v>14869844</v>
      </c>
      <c r="I114" s="23"/>
      <c r="J114" s="33">
        <v>0</v>
      </c>
      <c r="K114" s="34">
        <f>G114-H114-J114</f>
        <v>60130156</v>
      </c>
    </row>
    <row r="115" spans="1:11">
      <c r="A115" s="24"/>
      <c r="B115" s="56" t="s">
        <v>21</v>
      </c>
      <c r="C115" s="25" t="s">
        <v>25</v>
      </c>
      <c r="D115" s="10"/>
      <c r="E115" s="26"/>
      <c r="F115" s="25"/>
      <c r="G115" s="22">
        <v>30000000</v>
      </c>
      <c r="H115" s="23">
        <f t="shared" ref="H115:H116" si="3">H70+J70</f>
        <v>3213464</v>
      </c>
      <c r="I115" s="23"/>
      <c r="J115" s="33">
        <v>133330</v>
      </c>
      <c r="K115" s="34">
        <f t="shared" ref="K115:K116" si="4">G115-H115-J115</f>
        <v>26653206</v>
      </c>
    </row>
    <row r="116" spans="1:11">
      <c r="A116" s="24"/>
      <c r="B116" s="56" t="s">
        <v>22</v>
      </c>
      <c r="C116" s="25" t="s">
        <v>26</v>
      </c>
      <c r="D116" s="10"/>
      <c r="E116" s="26"/>
      <c r="F116" s="25"/>
      <c r="G116" s="22">
        <v>50000000</v>
      </c>
      <c r="H116" s="23">
        <f t="shared" si="3"/>
        <v>0</v>
      </c>
      <c r="I116" s="23"/>
      <c r="J116" s="33">
        <v>0</v>
      </c>
      <c r="K116" s="34">
        <f t="shared" si="4"/>
        <v>50000000</v>
      </c>
    </row>
    <row r="117" spans="1:11">
      <c r="A117" s="35"/>
      <c r="B117" s="35"/>
      <c r="C117" s="35" t="s">
        <v>27</v>
      </c>
      <c r="D117" s="35"/>
      <c r="E117" s="35"/>
      <c r="F117" s="36"/>
      <c r="G117" s="37">
        <f>SUM(G113:G116)</f>
        <v>155000000</v>
      </c>
      <c r="H117" s="38">
        <f>SUM(H113:H116)</f>
        <v>18083308</v>
      </c>
      <c r="I117" s="38"/>
      <c r="J117" s="38">
        <f>SUM(J113:J116)</f>
        <v>133330</v>
      </c>
      <c r="K117" s="38">
        <f>SUM(K113:K116)</f>
        <v>136783362</v>
      </c>
    </row>
    <row r="118" spans="1:11">
      <c r="A118" s="39"/>
      <c r="B118" s="8"/>
      <c r="C118" s="8"/>
      <c r="D118" s="8"/>
      <c r="E118" s="8"/>
      <c r="F118" s="8"/>
      <c r="G118" s="40"/>
      <c r="H118" s="40"/>
      <c r="I118" s="40"/>
      <c r="J118" s="40"/>
      <c r="K118" s="40"/>
    </row>
    <row r="119" spans="1:11">
      <c r="A119" s="63" t="s">
        <v>28</v>
      </c>
      <c r="B119" s="63"/>
      <c r="C119" s="63"/>
      <c r="D119" s="11" t="s">
        <v>4</v>
      </c>
      <c r="E119" s="14">
        <f>J117</f>
        <v>133330</v>
      </c>
      <c r="F119" s="41"/>
      <c r="G119" s="42"/>
      <c r="H119" s="42"/>
      <c r="I119" s="42"/>
      <c r="J119" s="9"/>
      <c r="K119" s="9"/>
    </row>
    <row r="120" spans="1:11">
      <c r="A120" s="10" t="s">
        <v>29</v>
      </c>
      <c r="B120" s="10"/>
      <c r="C120" s="10"/>
      <c r="D120" s="11" t="s">
        <v>4</v>
      </c>
      <c r="E120" s="43"/>
      <c r="F120" s="43"/>
      <c r="G120" s="44"/>
      <c r="H120" s="12"/>
      <c r="I120" s="12"/>
      <c r="J120" s="9"/>
      <c r="K120" s="9"/>
    </row>
    <row r="121" spans="1:11">
      <c r="A121" s="10" t="s">
        <v>30</v>
      </c>
      <c r="B121" s="10"/>
      <c r="C121" s="10"/>
      <c r="D121" s="11" t="s">
        <v>4</v>
      </c>
      <c r="E121" s="45"/>
      <c r="F121" s="45"/>
      <c r="G121" s="44"/>
      <c r="H121" s="12"/>
      <c r="I121" s="12"/>
      <c r="J121" s="9"/>
      <c r="K121" s="9"/>
    </row>
    <row r="122" spans="1:11">
      <c r="A122" s="10" t="s">
        <v>31</v>
      </c>
      <c r="B122" s="10"/>
      <c r="C122" s="10"/>
      <c r="D122" s="11" t="s">
        <v>4</v>
      </c>
      <c r="E122" s="45">
        <f>E120+E121</f>
        <v>0</v>
      </c>
      <c r="F122" s="45"/>
      <c r="G122" s="10"/>
      <c r="H122" s="12"/>
      <c r="I122" s="12"/>
      <c r="J122" s="47"/>
      <c r="K122" s="47"/>
    </row>
    <row r="123" spans="1:11">
      <c r="A123" s="13"/>
      <c r="B123" s="13"/>
      <c r="C123" s="13"/>
      <c r="D123" s="11"/>
      <c r="E123" s="13"/>
      <c r="F123" s="13"/>
      <c r="G123" s="10"/>
      <c r="H123" s="12"/>
      <c r="I123" s="12"/>
      <c r="J123" s="47"/>
      <c r="K123" s="47"/>
    </row>
    <row r="124" spans="1:11">
      <c r="A124" s="63" t="s">
        <v>32</v>
      </c>
      <c r="B124" s="63"/>
      <c r="C124" s="63"/>
      <c r="D124" s="11" t="s">
        <v>4</v>
      </c>
      <c r="E124" s="41">
        <f>E119-E122</f>
        <v>133330</v>
      </c>
      <c r="F124" s="41"/>
      <c r="G124" s="10"/>
      <c r="H124" s="12"/>
      <c r="I124" s="12"/>
      <c r="J124" s="47"/>
      <c r="K124" s="47"/>
    </row>
    <row r="125" spans="1:11" ht="15.75">
      <c r="A125" s="13"/>
      <c r="B125" s="13"/>
      <c r="C125" s="10"/>
      <c r="D125" s="10"/>
      <c r="E125" s="16" t="str">
        <f>PROPER(IF(E124=0,"nol",IF(E124&lt;0,"minus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124),"000000000000000"),1,3)=0,"",MID(TEXT(ABS(E124),"000000000000000"),1,1)&amp;" ratus "&amp;MID(TEXT(ABS(E124),"000000000000000"),2,1)&amp;" puluh "&amp;MID(TEXT(ABS(E124),"000000000000000"),3,1)&amp;" trilyun ")&amp;IF(--MID(TEXT(ABS(E124),"000000000000000"),4,3)=0,"",MID(TEXT(ABS(E124),"000000000000000"),4,1)&amp;" ratus "&amp;MID(TEXT(ABS(E124),"000000000000000"),5,1)&amp;" puluh "&amp;MID(TEXT(ABS(E124),"000000000000000"),6,1)&amp;" milyar ")&amp;IF(--MID(TEXT(ABS(E124),"000000000000000"),7,3)=0,"",MID(TEXT(ABS(E124),"000000000000000"),7,1)&amp;" ratus "&amp;MID(TEXT(ABS(E124),"000000000000000"),8,1)&amp;" puluh "&amp;MID(TEXT(ABS(E124),"000000000000000"),9,1)&amp;" juta ")&amp;IF(--MID(TEXT(ABS(E124),"000000000000000"),10,3)=0,"",IF(--MID(TEXT(ABS(E124),"000000000000000"),10,3)=1,"*",MID(TEXT(ABS(E124),"000000000000000"),10,1)&amp;" ratus "&amp;MID(TEXT(ABS(E124),"000000000000000"),11,1)&amp;" puluh ")&amp;MID(TEXT(ABS(E124),"000000000000000"),12,1)&amp;" ribu ")&amp;IF(--MID(TEXT(ABS(E124),"000000000000000"),13,3)=0,"",MID(TEXT(ABS(E124),"000000000000000"),13,1)&amp;" ratus "&amp;MID(TEXT(ABS(E124),"000000000000000"),14,1)&amp;" puluh "&amp;MID(TEXT(ABS(E124),"000000000000000"),15,1)),1,"satu"),2,"dua"),3,"tiga"),4,"empat"),5,"lima"),6,"enam"),7,"tujuh"),8,"delapan"),9,"sembilan"),"0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Seratus Tiga Puluh Tiga Ribu Tiga Ratus Tiga Puluh Rupiah</v>
      </c>
      <c r="F125" s="10"/>
      <c r="G125" s="10"/>
      <c r="H125" s="10"/>
      <c r="I125" s="10"/>
      <c r="J125" s="47"/>
      <c r="K125" s="47"/>
    </row>
    <row r="126" spans="1:11">
      <c r="A126" s="46"/>
      <c r="B126" s="46"/>
      <c r="C126" s="46"/>
      <c r="D126" s="46"/>
      <c r="E126" s="46"/>
      <c r="F126" s="46"/>
      <c r="G126" s="29"/>
      <c r="H126" s="47"/>
      <c r="I126" s="47"/>
      <c r="J126" s="47"/>
      <c r="K126" s="47"/>
    </row>
    <row r="127" spans="1:11">
      <c r="A127" s="29"/>
      <c r="B127" s="29"/>
      <c r="C127" s="29"/>
      <c r="D127" s="29"/>
      <c r="E127" s="29"/>
      <c r="F127" s="29"/>
      <c r="G127" s="29"/>
      <c r="H127"/>
      <c r="I127"/>
      <c r="J127" s="47"/>
      <c r="K127" s="47"/>
    </row>
    <row r="128" spans="1:11">
      <c r="A128" s="13"/>
      <c r="B128" s="13"/>
      <c r="C128" s="10"/>
      <c r="D128" s="10"/>
      <c r="E128" s="10"/>
      <c r="F128" s="10"/>
      <c r="G128" s="10"/>
      <c r="I128" s="48"/>
      <c r="J128" s="48" t="s">
        <v>70</v>
      </c>
      <c r="K128" s="47"/>
    </row>
    <row r="129" spans="1:11">
      <c r="A129" s="12" t="s">
        <v>33</v>
      </c>
      <c r="B129" s="10"/>
      <c r="C129" s="10"/>
      <c r="D129" s="10"/>
      <c r="E129" s="10"/>
      <c r="F129" s="10"/>
      <c r="G129" s="10"/>
      <c r="I129" s="12"/>
      <c r="J129" s="12" t="s">
        <v>34</v>
      </c>
      <c r="K129" s="47"/>
    </row>
    <row r="130" spans="1:11">
      <c r="A130" s="10"/>
      <c r="B130" s="10"/>
      <c r="C130" s="10"/>
      <c r="D130" s="10"/>
      <c r="E130" s="10"/>
      <c r="F130" s="10"/>
      <c r="G130" s="10"/>
      <c r="I130" s="12"/>
      <c r="J130" s="12"/>
      <c r="K130" s="47"/>
    </row>
    <row r="131" spans="1:11">
      <c r="A131" s="10"/>
      <c r="B131" s="10"/>
      <c r="C131" s="10"/>
      <c r="D131" s="10"/>
      <c r="E131" s="10"/>
      <c r="F131" s="10"/>
      <c r="G131" s="10"/>
      <c r="I131" s="12"/>
      <c r="J131" s="12"/>
      <c r="K131" s="47"/>
    </row>
    <row r="132" spans="1:11">
      <c r="A132" s="10"/>
      <c r="B132" s="10"/>
      <c r="C132" s="10"/>
      <c r="D132" s="10"/>
      <c r="E132" s="10"/>
      <c r="F132" s="10"/>
      <c r="G132" s="10"/>
      <c r="I132" s="12"/>
      <c r="J132" s="12"/>
      <c r="K132" s="47"/>
    </row>
    <row r="133" spans="1:11">
      <c r="A133" s="10"/>
      <c r="B133" s="10"/>
      <c r="C133" s="10"/>
      <c r="D133" s="10"/>
      <c r="E133" s="10"/>
      <c r="F133" s="10"/>
      <c r="G133" s="10"/>
      <c r="I133" s="12"/>
      <c r="J133" s="12"/>
      <c r="K133" s="47"/>
    </row>
    <row r="134" spans="1:11">
      <c r="A134" s="49" t="s">
        <v>38</v>
      </c>
      <c r="B134" s="49"/>
      <c r="C134" s="50"/>
      <c r="D134" s="50"/>
      <c r="E134" s="50"/>
      <c r="F134" s="50"/>
      <c r="G134" s="10" t="s">
        <v>35</v>
      </c>
      <c r="I134" s="49"/>
      <c r="J134" s="49" t="s">
        <v>36</v>
      </c>
      <c r="K134" s="47"/>
    </row>
    <row r="139" spans="1:11" ht="15.75">
      <c r="C139" s="2"/>
      <c r="D139" s="2"/>
      <c r="E139" s="2"/>
      <c r="F139" s="2"/>
    </row>
    <row r="140" spans="1:11" ht="15.75">
      <c r="A140" s="3"/>
      <c r="B140" s="3"/>
      <c r="C140" s="2"/>
      <c r="D140" s="2"/>
      <c r="E140" s="2"/>
      <c r="F140" s="2"/>
      <c r="G140" s="3"/>
      <c r="H140" s="4"/>
      <c r="I140" s="4"/>
      <c r="J140" s="4"/>
      <c r="K140" s="5"/>
    </row>
    <row r="141" spans="1:11">
      <c r="H141" s="5"/>
      <c r="I141" s="5"/>
      <c r="J141" s="5"/>
      <c r="K141" s="5"/>
    </row>
    <row r="142" spans="1:11">
      <c r="H142" s="5"/>
      <c r="I142" s="5"/>
      <c r="J142" s="5"/>
      <c r="K142" s="5"/>
    </row>
    <row r="143" spans="1:11">
      <c r="A143" s="64" t="s">
        <v>0</v>
      </c>
      <c r="B143" s="64"/>
      <c r="C143" s="58"/>
      <c r="D143" s="58"/>
      <c r="E143" s="58"/>
      <c r="F143" s="58"/>
      <c r="G143" s="58"/>
      <c r="H143" s="58"/>
      <c r="I143" s="58"/>
      <c r="J143" s="58"/>
      <c r="K143" s="58"/>
    </row>
    <row r="144" spans="1:11">
      <c r="A144" s="58" t="s">
        <v>73</v>
      </c>
      <c r="B144" s="58"/>
      <c r="C144" s="58"/>
      <c r="D144" s="58"/>
      <c r="E144" s="58"/>
      <c r="F144" s="58"/>
      <c r="G144" s="58"/>
      <c r="H144" s="58"/>
      <c r="I144" s="58"/>
      <c r="J144" s="58"/>
      <c r="K144" s="58"/>
    </row>
    <row r="145" spans="1:11">
      <c r="A145" s="58" t="s">
        <v>1</v>
      </c>
      <c r="B145" s="58"/>
      <c r="C145" s="58"/>
      <c r="D145" s="58"/>
      <c r="E145" s="58"/>
      <c r="F145" s="58"/>
      <c r="G145" s="58"/>
      <c r="H145" s="58"/>
      <c r="I145" s="58"/>
      <c r="J145" s="58"/>
      <c r="K145" s="58"/>
    </row>
    <row r="146" spans="1:11">
      <c r="A146" s="58" t="s">
        <v>39</v>
      </c>
      <c r="B146" s="58"/>
      <c r="C146" s="58"/>
      <c r="D146" s="58"/>
      <c r="E146" s="58"/>
      <c r="F146" s="58"/>
      <c r="G146" s="58"/>
      <c r="H146" s="58"/>
      <c r="I146" s="58"/>
      <c r="J146" s="58"/>
      <c r="K146" s="58"/>
    </row>
    <row r="147" spans="1:11">
      <c r="A147" s="58" t="s">
        <v>2</v>
      </c>
      <c r="B147" s="58"/>
      <c r="C147" s="58"/>
      <c r="D147" s="58"/>
      <c r="E147" s="58"/>
      <c r="F147" s="58"/>
      <c r="G147" s="58"/>
      <c r="H147" s="58"/>
      <c r="I147" s="58"/>
      <c r="J147" s="58"/>
      <c r="K147" s="58"/>
    </row>
    <row r="148" spans="1:11">
      <c r="A148" s="6"/>
      <c r="B148" s="6"/>
      <c r="C148" s="7"/>
      <c r="D148" s="7"/>
      <c r="E148" s="7"/>
      <c r="F148" s="7"/>
      <c r="G148" s="8"/>
      <c r="H148" s="9"/>
      <c r="I148" s="9"/>
      <c r="J148" s="9"/>
      <c r="K148" s="9"/>
    </row>
    <row r="149" spans="1:11">
      <c r="A149" s="53" t="s">
        <v>3</v>
      </c>
      <c r="B149" s="10"/>
      <c r="C149" s="10"/>
      <c r="D149" s="54" t="s">
        <v>4</v>
      </c>
      <c r="E149" s="10" t="s">
        <v>5</v>
      </c>
      <c r="F149" s="11"/>
      <c r="G149" s="10"/>
      <c r="H149" s="12"/>
      <c r="I149" s="12"/>
      <c r="J149" s="12"/>
      <c r="K149" s="9"/>
    </row>
    <row r="150" spans="1:11">
      <c r="A150" s="53" t="s">
        <v>6</v>
      </c>
      <c r="B150" s="10"/>
      <c r="C150" s="10"/>
      <c r="D150" s="54" t="s">
        <v>4</v>
      </c>
      <c r="E150" s="10" t="s">
        <v>7</v>
      </c>
      <c r="F150" s="11"/>
      <c r="G150" s="10"/>
      <c r="H150" s="12"/>
      <c r="I150" s="12"/>
      <c r="J150" s="12"/>
      <c r="K150" s="9"/>
    </row>
    <row r="151" spans="1:11">
      <c r="A151" s="53" t="s">
        <v>8</v>
      </c>
      <c r="B151" s="10"/>
      <c r="C151" s="10"/>
      <c r="D151" s="54" t="s">
        <v>4</v>
      </c>
      <c r="E151" s="13">
        <v>2026</v>
      </c>
      <c r="F151" s="11"/>
      <c r="G151" s="13"/>
      <c r="H151" s="12"/>
      <c r="I151" s="12"/>
      <c r="J151" s="12"/>
      <c r="K151" s="9"/>
    </row>
    <row r="152" spans="1:11">
      <c r="A152" s="53" t="s">
        <v>9</v>
      </c>
      <c r="B152" s="10"/>
      <c r="C152" s="10"/>
      <c r="D152" s="54" t="s">
        <v>4</v>
      </c>
      <c r="E152" s="14">
        <f>J162</f>
        <v>1500000</v>
      </c>
      <c r="F152" s="11"/>
      <c r="G152" s="14"/>
      <c r="H152" s="12"/>
      <c r="I152" s="12"/>
      <c r="J152" s="12"/>
      <c r="K152" s="9"/>
    </row>
    <row r="153" spans="1:11" ht="15.75">
      <c r="A153" s="10"/>
      <c r="B153" s="10"/>
      <c r="C153" s="15" t="s">
        <v>10</v>
      </c>
      <c r="D153" s="54" t="s">
        <v>4</v>
      </c>
      <c r="E153" s="16" t="str">
        <f>PROPER(IF(E152=0,"nol",IF(E152&lt;0,"minus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152),"000000000000000"),1,3)=0,"",MID(TEXT(ABS(E152),"000000000000000"),1,1)&amp;" ratus "&amp;MID(TEXT(ABS(E152),"000000000000000"),2,1)&amp;" puluh "&amp;MID(TEXT(ABS(E152),"000000000000000"),3,1)&amp;" trilyun ")&amp;IF(--MID(TEXT(ABS(E152),"000000000000000"),4,3)=0,"",MID(TEXT(ABS(E152),"000000000000000"),4,1)&amp;" ratus "&amp;MID(TEXT(ABS(E152),"000000000000000"),5,1)&amp;" puluh "&amp;MID(TEXT(ABS(E152),"000000000000000"),6,1)&amp;" milyar ")&amp;IF(--MID(TEXT(ABS(E152),"000000000000000"),7,3)=0,"",MID(TEXT(ABS(E152),"000000000000000"),7,1)&amp;" ratus "&amp;MID(TEXT(ABS(E152),"000000000000000"),8,1)&amp;" puluh "&amp;MID(TEXT(ABS(E152),"000000000000000"),9,1)&amp;" juta ")&amp;IF(--MID(TEXT(ABS(E152),"000000000000000"),10,3)=0,"",IF(--MID(TEXT(ABS(E152),"000000000000000"),10,3)=1,"*",MID(TEXT(ABS(E152),"000000000000000"),10,1)&amp;" ratus "&amp;MID(TEXT(ABS(E152),"000000000000000"),11,1)&amp;" puluh ")&amp;MID(TEXT(ABS(E152),"000000000000000"),12,1)&amp;" ribu ")&amp;IF(--MID(TEXT(ABS(E152),"000000000000000"),13,3)=0,"",MID(TEXT(ABS(E152),"000000000000000"),13,1)&amp;" ratus "&amp;MID(TEXT(ABS(E152),"000000000000000"),14,1)&amp;" puluh "&amp;MID(TEXT(ABS(E152),"000000000000000"),15,1)),1,"satu"),2,"dua"),3,"tiga"),4,"empat"),5,"lima"),6,"enam"),7,"tujuh"),8,"delapan"),9,"sembilan"),"0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Satu Juta Lima Ratus Ribu Rupiah</v>
      </c>
      <c r="F153" s="11"/>
      <c r="G153" s="16"/>
      <c r="H153" s="12"/>
      <c r="I153" s="12"/>
      <c r="J153" s="12"/>
      <c r="K153" s="9"/>
    </row>
    <row r="154" spans="1:11" ht="15.75">
      <c r="A154" s="10"/>
      <c r="B154" s="10"/>
      <c r="C154" s="15"/>
      <c r="D154" s="15"/>
      <c r="E154" s="15"/>
      <c r="F154" s="11"/>
      <c r="G154" s="16"/>
      <c r="H154" s="12"/>
      <c r="I154" s="12"/>
      <c r="J154" s="12"/>
      <c r="K154" s="9"/>
    </row>
    <row r="155" spans="1:11">
      <c r="A155" s="10" t="s">
        <v>11</v>
      </c>
      <c r="B155" s="10"/>
      <c r="C155" s="10"/>
      <c r="D155" s="10"/>
      <c r="E155" s="10"/>
      <c r="F155" s="10"/>
      <c r="G155" s="10"/>
      <c r="H155" s="12"/>
      <c r="I155" s="12"/>
      <c r="J155" s="12"/>
      <c r="K155" s="9"/>
    </row>
    <row r="156" spans="1:11">
      <c r="A156" s="59" t="s">
        <v>12</v>
      </c>
      <c r="B156" s="59"/>
      <c r="C156" s="59"/>
      <c r="D156" s="59"/>
      <c r="E156" s="59"/>
      <c r="F156" s="59"/>
      <c r="G156" s="59"/>
      <c r="H156" s="59"/>
      <c r="I156" s="59"/>
      <c r="J156" s="59"/>
      <c r="K156" s="59"/>
    </row>
    <row r="157" spans="1:11" ht="60">
      <c r="A157" s="17" t="s">
        <v>13</v>
      </c>
      <c r="B157" s="18" t="s">
        <v>14</v>
      </c>
      <c r="C157" s="60" t="s">
        <v>15</v>
      </c>
      <c r="D157" s="61"/>
      <c r="E157" s="62"/>
      <c r="F157" s="19"/>
      <c r="G157" s="20" t="s">
        <v>16</v>
      </c>
      <c r="H157" s="21" t="s">
        <v>37</v>
      </c>
      <c r="I157" s="21"/>
      <c r="J157" s="31" t="s">
        <v>17</v>
      </c>
      <c r="K157" s="32" t="s">
        <v>18</v>
      </c>
    </row>
    <row r="158" spans="1:11">
      <c r="A158" s="27">
        <v>1</v>
      </c>
      <c r="B158" s="24"/>
      <c r="C158" s="28" t="s">
        <v>23</v>
      </c>
      <c r="D158" s="57"/>
      <c r="E158" s="26"/>
      <c r="F158" s="25"/>
      <c r="G158" s="55" t="s">
        <v>19</v>
      </c>
      <c r="H158" s="55" t="s">
        <v>19</v>
      </c>
      <c r="I158" s="55"/>
      <c r="J158" s="55" t="s">
        <v>19</v>
      </c>
      <c r="K158" s="55" t="s">
        <v>19</v>
      </c>
    </row>
    <row r="159" spans="1:11">
      <c r="A159" s="24"/>
      <c r="B159" s="56" t="s">
        <v>20</v>
      </c>
      <c r="C159" s="25" t="s">
        <v>24</v>
      </c>
      <c r="D159" s="10"/>
      <c r="E159" s="26"/>
      <c r="F159" s="25"/>
      <c r="G159" s="22">
        <v>75000000</v>
      </c>
      <c r="H159" s="23">
        <f>H114+J114</f>
        <v>14869844</v>
      </c>
      <c r="I159" s="23"/>
      <c r="J159" s="33">
        <v>0</v>
      </c>
      <c r="K159" s="34">
        <f>G159-H159-J159</f>
        <v>60130156</v>
      </c>
    </row>
    <row r="160" spans="1:11">
      <c r="A160" s="24"/>
      <c r="B160" s="56" t="s">
        <v>21</v>
      </c>
      <c r="C160" s="25" t="s">
        <v>25</v>
      </c>
      <c r="D160" s="10"/>
      <c r="E160" s="26"/>
      <c r="F160" s="25"/>
      <c r="G160" s="22">
        <v>30000000</v>
      </c>
      <c r="H160" s="23">
        <f t="shared" ref="H160:H161" si="5">H115+J115</f>
        <v>3346794</v>
      </c>
      <c r="I160" s="23"/>
      <c r="J160" s="33">
        <v>1500000</v>
      </c>
      <c r="K160" s="34">
        <f t="shared" ref="K160:K161" si="6">G160-H160-J160</f>
        <v>25153206</v>
      </c>
    </row>
    <row r="161" spans="1:11">
      <c r="A161" s="24"/>
      <c r="B161" s="56" t="s">
        <v>22</v>
      </c>
      <c r="C161" s="25" t="s">
        <v>26</v>
      </c>
      <c r="D161" s="10"/>
      <c r="E161" s="26"/>
      <c r="F161" s="25"/>
      <c r="G161" s="22">
        <v>50000000</v>
      </c>
      <c r="H161" s="23">
        <f t="shared" si="5"/>
        <v>0</v>
      </c>
      <c r="I161" s="23"/>
      <c r="J161" s="33">
        <v>0</v>
      </c>
      <c r="K161" s="34">
        <f t="shared" si="6"/>
        <v>50000000</v>
      </c>
    </row>
    <row r="162" spans="1:11">
      <c r="A162" s="35"/>
      <c r="B162" s="35"/>
      <c r="C162" s="35" t="s">
        <v>27</v>
      </c>
      <c r="D162" s="35"/>
      <c r="E162" s="35"/>
      <c r="F162" s="36"/>
      <c r="G162" s="37">
        <f>SUM(G158:G161)</f>
        <v>155000000</v>
      </c>
      <c r="H162" s="38">
        <f>SUM(H158:H161)</f>
        <v>18216638</v>
      </c>
      <c r="I162" s="38"/>
      <c r="J162" s="38">
        <f>SUM(J158:J161)</f>
        <v>1500000</v>
      </c>
      <c r="K162" s="38">
        <f>SUM(K158:K161)</f>
        <v>135283362</v>
      </c>
    </row>
    <row r="163" spans="1:11">
      <c r="A163" s="39"/>
      <c r="B163" s="8"/>
      <c r="C163" s="8"/>
      <c r="D163" s="8"/>
      <c r="E163" s="8"/>
      <c r="F163" s="8"/>
      <c r="G163" s="40"/>
      <c r="H163" s="40"/>
      <c r="I163" s="40"/>
      <c r="J163" s="40"/>
      <c r="K163" s="40"/>
    </row>
    <row r="164" spans="1:11">
      <c r="A164" s="63" t="s">
        <v>28</v>
      </c>
      <c r="B164" s="63"/>
      <c r="C164" s="63"/>
      <c r="D164" s="11" t="s">
        <v>4</v>
      </c>
      <c r="E164" s="14">
        <f>J162</f>
        <v>1500000</v>
      </c>
      <c r="F164" s="41"/>
      <c r="G164" s="42"/>
      <c r="H164" s="42"/>
      <c r="I164" s="42"/>
      <c r="J164" s="9"/>
      <c r="K164" s="9"/>
    </row>
    <row r="165" spans="1:11">
      <c r="A165" s="10" t="s">
        <v>29</v>
      </c>
      <c r="B165" s="10"/>
      <c r="C165" s="10"/>
      <c r="D165" s="11" t="s">
        <v>4</v>
      </c>
      <c r="E165" s="43"/>
      <c r="F165" s="43"/>
      <c r="G165" s="44"/>
      <c r="H165" s="12"/>
      <c r="I165" s="12"/>
      <c r="J165" s="9"/>
      <c r="K165" s="9"/>
    </row>
    <row r="166" spans="1:11">
      <c r="A166" s="10" t="s">
        <v>30</v>
      </c>
      <c r="B166" s="10"/>
      <c r="C166" s="10"/>
      <c r="D166" s="11" t="s">
        <v>4</v>
      </c>
      <c r="E166" s="45"/>
      <c r="F166" s="45"/>
      <c r="G166" s="44"/>
      <c r="H166" s="12"/>
      <c r="I166" s="12"/>
      <c r="J166" s="9"/>
      <c r="K166" s="9"/>
    </row>
    <row r="167" spans="1:11">
      <c r="A167" s="10" t="s">
        <v>31</v>
      </c>
      <c r="B167" s="10"/>
      <c r="C167" s="10"/>
      <c r="D167" s="11" t="s">
        <v>4</v>
      </c>
      <c r="E167" s="45">
        <f>E165+E166</f>
        <v>0</v>
      </c>
      <c r="F167" s="45"/>
      <c r="G167" s="10"/>
      <c r="H167" s="12"/>
      <c r="I167" s="12"/>
      <c r="J167" s="47"/>
      <c r="K167" s="47"/>
    </row>
    <row r="168" spans="1:11">
      <c r="A168" s="13"/>
      <c r="B168" s="13"/>
      <c r="C168" s="13"/>
      <c r="D168" s="11"/>
      <c r="E168" s="13"/>
      <c r="F168" s="13"/>
      <c r="G168" s="10"/>
      <c r="H168" s="12"/>
      <c r="I168" s="12"/>
      <c r="J168" s="47"/>
      <c r="K168" s="47"/>
    </row>
    <row r="169" spans="1:11">
      <c r="A169" s="63" t="s">
        <v>32</v>
      </c>
      <c r="B169" s="63"/>
      <c r="C169" s="63"/>
      <c r="D169" s="11" t="s">
        <v>4</v>
      </c>
      <c r="E169" s="41">
        <f>E164-E167</f>
        <v>1500000</v>
      </c>
      <c r="F169" s="41"/>
      <c r="G169" s="10"/>
      <c r="H169" s="12"/>
      <c r="I169" s="12"/>
      <c r="J169" s="47"/>
      <c r="K169" s="47"/>
    </row>
    <row r="170" spans="1:11" ht="15.75">
      <c r="A170" s="13"/>
      <c r="B170" s="13"/>
      <c r="C170" s="10"/>
      <c r="D170" s="10"/>
      <c r="E170" s="16" t="str">
        <f>PROPER(IF(E169=0,"nol",IF(E169&lt;0,"minus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169),"000000000000000"),1,3)=0,"",MID(TEXT(ABS(E169),"000000000000000"),1,1)&amp;" ratus "&amp;MID(TEXT(ABS(E169),"000000000000000"),2,1)&amp;" puluh "&amp;MID(TEXT(ABS(E169),"000000000000000"),3,1)&amp;" trilyun ")&amp;IF(--MID(TEXT(ABS(E169),"000000000000000"),4,3)=0,"",MID(TEXT(ABS(E169),"000000000000000"),4,1)&amp;" ratus "&amp;MID(TEXT(ABS(E169),"000000000000000"),5,1)&amp;" puluh "&amp;MID(TEXT(ABS(E169),"000000000000000"),6,1)&amp;" milyar ")&amp;IF(--MID(TEXT(ABS(E169),"000000000000000"),7,3)=0,"",MID(TEXT(ABS(E169),"000000000000000"),7,1)&amp;" ratus "&amp;MID(TEXT(ABS(E169),"000000000000000"),8,1)&amp;" puluh "&amp;MID(TEXT(ABS(E169),"000000000000000"),9,1)&amp;" juta ")&amp;IF(--MID(TEXT(ABS(E169),"000000000000000"),10,3)=0,"",IF(--MID(TEXT(ABS(E169),"000000000000000"),10,3)=1,"*",MID(TEXT(ABS(E169),"000000000000000"),10,1)&amp;" ratus "&amp;MID(TEXT(ABS(E169),"000000000000000"),11,1)&amp;" puluh ")&amp;MID(TEXT(ABS(E169),"000000000000000"),12,1)&amp;" ribu ")&amp;IF(--MID(TEXT(ABS(E169),"000000000000000"),13,3)=0,"",MID(TEXT(ABS(E169),"000000000000000"),13,1)&amp;" ratus "&amp;MID(TEXT(ABS(E169),"000000000000000"),14,1)&amp;" puluh "&amp;MID(TEXT(ABS(E169),"000000000000000"),15,1)),1,"satu"),2,"dua"),3,"tiga"),4,"empat"),5,"lima"),6,"enam"),7,"tujuh"),8,"delapan"),9,"sembilan"),"0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Satu Juta Lima Ratus Ribu Rupiah</v>
      </c>
      <c r="F170" s="10"/>
      <c r="G170" s="10"/>
      <c r="H170" s="10"/>
      <c r="I170" s="10"/>
      <c r="J170" s="47"/>
      <c r="K170" s="47"/>
    </row>
    <row r="171" spans="1:11">
      <c r="A171" s="46"/>
      <c r="B171" s="46"/>
      <c r="C171" s="46"/>
      <c r="D171" s="46"/>
      <c r="E171" s="46"/>
      <c r="F171" s="46"/>
      <c r="G171" s="29"/>
      <c r="H171" s="47"/>
      <c r="I171" s="47"/>
      <c r="J171" s="47"/>
      <c r="K171" s="47"/>
    </row>
    <row r="172" spans="1:11">
      <c r="A172" s="29"/>
      <c r="B172" s="29"/>
      <c r="C172" s="29"/>
      <c r="D172" s="29"/>
      <c r="E172" s="29"/>
      <c r="F172" s="29"/>
      <c r="G172" s="29"/>
      <c r="H172"/>
      <c r="I172"/>
      <c r="J172" s="47"/>
      <c r="K172" s="47"/>
    </row>
    <row r="173" spans="1:11">
      <c r="A173" s="13"/>
      <c r="B173" s="13"/>
      <c r="C173" s="10"/>
      <c r="D173" s="10"/>
      <c r="E173" s="10"/>
      <c r="F173" s="10"/>
      <c r="G173" s="10"/>
      <c r="I173" s="48"/>
      <c r="J173" s="48" t="s">
        <v>72</v>
      </c>
      <c r="K173" s="47"/>
    </row>
    <row r="174" spans="1:11">
      <c r="A174" s="12" t="s">
        <v>33</v>
      </c>
      <c r="B174" s="10"/>
      <c r="C174" s="10"/>
      <c r="D174" s="10"/>
      <c r="E174" s="10"/>
      <c r="F174" s="10"/>
      <c r="G174" s="10"/>
      <c r="I174" s="12"/>
      <c r="J174" s="12" t="s">
        <v>34</v>
      </c>
      <c r="K174" s="47"/>
    </row>
    <row r="175" spans="1:11">
      <c r="A175" s="10"/>
      <c r="B175" s="10"/>
      <c r="C175" s="10"/>
      <c r="D175" s="10"/>
      <c r="E175" s="10"/>
      <c r="F175" s="10"/>
      <c r="G175" s="10"/>
      <c r="I175" s="12"/>
      <c r="J175" s="12"/>
      <c r="K175" s="47"/>
    </row>
    <row r="176" spans="1:11">
      <c r="A176" s="10"/>
      <c r="B176" s="10"/>
      <c r="C176" s="10"/>
      <c r="D176" s="10"/>
      <c r="E176" s="10"/>
      <c r="F176" s="10"/>
      <c r="G176" s="10"/>
      <c r="I176" s="12"/>
      <c r="J176" s="12"/>
      <c r="K176" s="47"/>
    </row>
    <row r="177" spans="1:11">
      <c r="A177" s="10"/>
      <c r="B177" s="10"/>
      <c r="C177" s="10"/>
      <c r="D177" s="10"/>
      <c r="E177" s="10"/>
      <c r="F177" s="10"/>
      <c r="G177" s="10"/>
      <c r="I177" s="12"/>
      <c r="J177" s="12"/>
      <c r="K177" s="47"/>
    </row>
    <row r="178" spans="1:11">
      <c r="A178" s="10"/>
      <c r="B178" s="10"/>
      <c r="C178" s="10"/>
      <c r="D178" s="10"/>
      <c r="E178" s="10"/>
      <c r="F178" s="10"/>
      <c r="G178" s="10"/>
      <c r="I178" s="12"/>
      <c r="J178" s="12"/>
      <c r="K178" s="47"/>
    </row>
    <row r="179" spans="1:11">
      <c r="A179" s="49" t="s">
        <v>38</v>
      </c>
      <c r="B179" s="49"/>
      <c r="C179" s="50"/>
      <c r="D179" s="50"/>
      <c r="E179" s="50"/>
      <c r="F179" s="50"/>
      <c r="G179" s="10" t="s">
        <v>35</v>
      </c>
      <c r="I179" s="49"/>
      <c r="J179" s="49" t="s">
        <v>36</v>
      </c>
      <c r="K179" s="47"/>
    </row>
    <row r="184" spans="1:11" ht="15.75">
      <c r="C184" s="2"/>
      <c r="D184" s="2"/>
      <c r="E184" s="2"/>
      <c r="F184" s="2"/>
    </row>
    <row r="185" spans="1:11" ht="15.75">
      <c r="A185" s="3"/>
      <c r="B185" s="3"/>
      <c r="C185" s="2"/>
      <c r="D185" s="2"/>
      <c r="E185" s="2"/>
      <c r="F185" s="2"/>
      <c r="G185" s="3"/>
      <c r="H185" s="4"/>
      <c r="I185" s="4"/>
      <c r="J185" s="4"/>
      <c r="K185" s="5"/>
    </row>
    <row r="186" spans="1:11">
      <c r="H186" s="5"/>
      <c r="I186" s="5"/>
      <c r="J186" s="5"/>
      <c r="K186" s="5"/>
    </row>
    <row r="187" spans="1:11">
      <c r="H187" s="5"/>
      <c r="I187" s="5"/>
      <c r="J187" s="5"/>
      <c r="K187" s="5"/>
    </row>
    <row r="188" spans="1:11">
      <c r="A188" s="64" t="s">
        <v>0</v>
      </c>
      <c r="B188" s="64"/>
      <c r="C188" s="58"/>
      <c r="D188" s="58"/>
      <c r="E188" s="58"/>
      <c r="F188" s="58"/>
      <c r="G188" s="58"/>
      <c r="H188" s="58"/>
      <c r="I188" s="58"/>
      <c r="J188" s="58"/>
      <c r="K188" s="58"/>
    </row>
    <row r="189" spans="1:11">
      <c r="A189" s="58" t="s">
        <v>74</v>
      </c>
      <c r="B189" s="58"/>
      <c r="C189" s="58"/>
      <c r="D189" s="58"/>
      <c r="E189" s="58"/>
      <c r="F189" s="58"/>
      <c r="G189" s="58"/>
      <c r="H189" s="58"/>
      <c r="I189" s="58"/>
      <c r="J189" s="58"/>
      <c r="K189" s="58"/>
    </row>
    <row r="190" spans="1:11">
      <c r="A190" s="58" t="s">
        <v>1</v>
      </c>
      <c r="B190" s="58"/>
      <c r="C190" s="58"/>
      <c r="D190" s="58"/>
      <c r="E190" s="58"/>
      <c r="F190" s="58"/>
      <c r="G190" s="58"/>
      <c r="H190" s="58"/>
      <c r="I190" s="58"/>
      <c r="J190" s="58"/>
      <c r="K190" s="58"/>
    </row>
    <row r="191" spans="1:11">
      <c r="A191" s="58" t="s">
        <v>39</v>
      </c>
      <c r="B191" s="58"/>
      <c r="C191" s="58"/>
      <c r="D191" s="58"/>
      <c r="E191" s="58"/>
      <c r="F191" s="58"/>
      <c r="G191" s="58"/>
      <c r="H191" s="58"/>
      <c r="I191" s="58"/>
      <c r="J191" s="58"/>
      <c r="K191" s="58"/>
    </row>
    <row r="192" spans="1:11">
      <c r="A192" s="58" t="s">
        <v>2</v>
      </c>
      <c r="B192" s="58"/>
      <c r="C192" s="58"/>
      <c r="D192" s="58"/>
      <c r="E192" s="58"/>
      <c r="F192" s="58"/>
      <c r="G192" s="58"/>
      <c r="H192" s="58"/>
      <c r="I192" s="58"/>
      <c r="J192" s="58"/>
      <c r="K192" s="58"/>
    </row>
    <row r="193" spans="1:11">
      <c r="A193" s="6"/>
      <c r="B193" s="6"/>
      <c r="C193" s="7"/>
      <c r="D193" s="7"/>
      <c r="E193" s="7"/>
      <c r="F193" s="7"/>
      <c r="G193" s="8"/>
      <c r="H193" s="9"/>
      <c r="I193" s="9"/>
      <c r="J193" s="9"/>
      <c r="K193" s="9"/>
    </row>
    <row r="194" spans="1:11">
      <c r="A194" s="53" t="s">
        <v>3</v>
      </c>
      <c r="B194" s="10"/>
      <c r="C194" s="10"/>
      <c r="D194" s="54" t="s">
        <v>4</v>
      </c>
      <c r="E194" s="10" t="s">
        <v>5</v>
      </c>
      <c r="F194" s="11"/>
      <c r="G194" s="10"/>
      <c r="H194" s="12"/>
      <c r="I194" s="12"/>
      <c r="J194" s="12"/>
      <c r="K194" s="9"/>
    </row>
    <row r="195" spans="1:11">
      <c r="A195" s="53" t="s">
        <v>6</v>
      </c>
      <c r="B195" s="10"/>
      <c r="C195" s="10"/>
      <c r="D195" s="54" t="s">
        <v>4</v>
      </c>
      <c r="E195" s="10" t="s">
        <v>7</v>
      </c>
      <c r="F195" s="11"/>
      <c r="G195" s="10"/>
      <c r="H195" s="12"/>
      <c r="I195" s="12"/>
      <c r="J195" s="12"/>
      <c r="K195" s="9"/>
    </row>
    <row r="196" spans="1:11">
      <c r="A196" s="53" t="s">
        <v>8</v>
      </c>
      <c r="B196" s="10"/>
      <c r="C196" s="10"/>
      <c r="D196" s="54" t="s">
        <v>4</v>
      </c>
      <c r="E196" s="13">
        <v>2026</v>
      </c>
      <c r="F196" s="11"/>
      <c r="G196" s="13"/>
      <c r="H196" s="12"/>
      <c r="I196" s="12"/>
      <c r="J196" s="12"/>
      <c r="K196" s="9"/>
    </row>
    <row r="197" spans="1:11">
      <c r="A197" s="53" t="s">
        <v>9</v>
      </c>
      <c r="B197" s="10"/>
      <c r="C197" s="10"/>
      <c r="D197" s="54" t="s">
        <v>4</v>
      </c>
      <c r="E197" s="14">
        <f>J207</f>
        <v>80000</v>
      </c>
      <c r="F197" s="11"/>
      <c r="G197" s="14"/>
      <c r="H197" s="12"/>
      <c r="I197" s="12"/>
      <c r="J197" s="12"/>
      <c r="K197" s="9"/>
    </row>
    <row r="198" spans="1:11" ht="15.75">
      <c r="A198" s="10"/>
      <c r="B198" s="10"/>
      <c r="C198" s="15" t="s">
        <v>10</v>
      </c>
      <c r="D198" s="54" t="s">
        <v>4</v>
      </c>
      <c r="E198" s="16" t="str">
        <f>PROPER(IF(E197=0,"nol",IF(E197&lt;0,"minus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197),"000000000000000"),1,3)=0,"",MID(TEXT(ABS(E197),"000000000000000"),1,1)&amp;" ratus "&amp;MID(TEXT(ABS(E197),"000000000000000"),2,1)&amp;" puluh "&amp;MID(TEXT(ABS(E197),"000000000000000"),3,1)&amp;" trilyun ")&amp;IF(--MID(TEXT(ABS(E197),"000000000000000"),4,3)=0,"",MID(TEXT(ABS(E197),"000000000000000"),4,1)&amp;" ratus "&amp;MID(TEXT(ABS(E197),"000000000000000"),5,1)&amp;" puluh "&amp;MID(TEXT(ABS(E197),"000000000000000"),6,1)&amp;" milyar ")&amp;IF(--MID(TEXT(ABS(E197),"000000000000000"),7,3)=0,"",MID(TEXT(ABS(E197),"000000000000000"),7,1)&amp;" ratus "&amp;MID(TEXT(ABS(E197),"000000000000000"),8,1)&amp;" puluh "&amp;MID(TEXT(ABS(E197),"000000000000000"),9,1)&amp;" juta ")&amp;IF(--MID(TEXT(ABS(E197),"000000000000000"),10,3)=0,"",IF(--MID(TEXT(ABS(E197),"000000000000000"),10,3)=1,"*",MID(TEXT(ABS(E197),"000000000000000"),10,1)&amp;" ratus "&amp;MID(TEXT(ABS(E197),"000000000000000"),11,1)&amp;" puluh ")&amp;MID(TEXT(ABS(E197),"000000000000000"),12,1)&amp;" ribu ")&amp;IF(--MID(TEXT(ABS(E197),"000000000000000"),13,3)=0,"",MID(TEXT(ABS(E197),"000000000000000"),13,1)&amp;" ratus "&amp;MID(TEXT(ABS(E197),"000000000000000"),14,1)&amp;" puluh "&amp;MID(TEXT(ABS(E197),"000000000000000"),15,1)),1,"satu"),2,"dua"),3,"tiga"),4,"empat"),5,"lima"),6,"enam"),7,"tujuh"),8,"delapan"),9,"sembilan"),"0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Delapan Puluh Ribu Rupiah</v>
      </c>
      <c r="F198" s="11"/>
      <c r="G198" s="16"/>
      <c r="H198" s="12"/>
      <c r="I198" s="12"/>
      <c r="J198" s="12"/>
      <c r="K198" s="9"/>
    </row>
    <row r="199" spans="1:11" ht="15.75">
      <c r="A199" s="10"/>
      <c r="B199" s="10"/>
      <c r="C199" s="15"/>
      <c r="D199" s="15"/>
      <c r="E199" s="15"/>
      <c r="F199" s="11"/>
      <c r="G199" s="16"/>
      <c r="H199" s="12"/>
      <c r="I199" s="12"/>
      <c r="J199" s="12"/>
      <c r="K199" s="9"/>
    </row>
    <row r="200" spans="1:11">
      <c r="A200" s="10" t="s">
        <v>11</v>
      </c>
      <c r="B200" s="10"/>
      <c r="C200" s="10"/>
      <c r="D200" s="10"/>
      <c r="E200" s="10"/>
      <c r="F200" s="10"/>
      <c r="G200" s="10"/>
      <c r="H200" s="12"/>
      <c r="I200" s="12"/>
      <c r="J200" s="12"/>
      <c r="K200" s="9"/>
    </row>
    <row r="201" spans="1:11">
      <c r="A201" s="59" t="s">
        <v>12</v>
      </c>
      <c r="B201" s="59"/>
      <c r="C201" s="59"/>
      <c r="D201" s="59"/>
      <c r="E201" s="59"/>
      <c r="F201" s="59"/>
      <c r="G201" s="59"/>
      <c r="H201" s="59"/>
      <c r="I201" s="59"/>
      <c r="J201" s="59"/>
      <c r="K201" s="59"/>
    </row>
    <row r="202" spans="1:11" ht="60">
      <c r="A202" s="17" t="s">
        <v>13</v>
      </c>
      <c r="B202" s="18" t="s">
        <v>14</v>
      </c>
      <c r="C202" s="60" t="s">
        <v>15</v>
      </c>
      <c r="D202" s="61"/>
      <c r="E202" s="62"/>
      <c r="F202" s="19"/>
      <c r="G202" s="20" t="s">
        <v>16</v>
      </c>
      <c r="H202" s="21" t="s">
        <v>37</v>
      </c>
      <c r="I202" s="21"/>
      <c r="J202" s="31" t="s">
        <v>17</v>
      </c>
      <c r="K202" s="32" t="s">
        <v>18</v>
      </c>
    </row>
    <row r="203" spans="1:11">
      <c r="A203" s="27">
        <v>1</v>
      </c>
      <c r="B203" s="24"/>
      <c r="C203" s="28" t="s">
        <v>23</v>
      </c>
      <c r="D203" s="57"/>
      <c r="E203" s="26"/>
      <c r="F203" s="25"/>
      <c r="G203" s="55" t="s">
        <v>19</v>
      </c>
      <c r="H203" s="55" t="s">
        <v>19</v>
      </c>
      <c r="I203" s="55"/>
      <c r="J203" s="55" t="s">
        <v>19</v>
      </c>
      <c r="K203" s="55" t="s">
        <v>19</v>
      </c>
    </row>
    <row r="204" spans="1:11">
      <c r="A204" s="24"/>
      <c r="B204" s="56" t="s">
        <v>20</v>
      </c>
      <c r="C204" s="25" t="s">
        <v>24</v>
      </c>
      <c r="D204" s="10"/>
      <c r="E204" s="26"/>
      <c r="F204" s="25"/>
      <c r="G204" s="22">
        <v>75000000</v>
      </c>
      <c r="H204" s="23">
        <f>H159+J159</f>
        <v>14869844</v>
      </c>
      <c r="I204" s="23"/>
      <c r="J204" s="33">
        <v>0</v>
      </c>
      <c r="K204" s="34">
        <f>G204-H204-J204</f>
        <v>60130156</v>
      </c>
    </row>
    <row r="205" spans="1:11">
      <c r="A205" s="24"/>
      <c r="B205" s="56" t="s">
        <v>21</v>
      </c>
      <c r="C205" s="25" t="s">
        <v>25</v>
      </c>
      <c r="D205" s="10"/>
      <c r="E205" s="26"/>
      <c r="F205" s="25"/>
      <c r="G205" s="22">
        <v>30000000</v>
      </c>
      <c r="H205" s="23">
        <f t="shared" ref="H205:H206" si="7">H160+J160</f>
        <v>4846794</v>
      </c>
      <c r="I205" s="23"/>
      <c r="J205" s="33">
        <v>80000</v>
      </c>
      <c r="K205" s="34">
        <f t="shared" ref="K205:K206" si="8">G205-H205-J205</f>
        <v>25073206</v>
      </c>
    </row>
    <row r="206" spans="1:11">
      <c r="A206" s="24"/>
      <c r="B206" s="56" t="s">
        <v>22</v>
      </c>
      <c r="C206" s="25" t="s">
        <v>26</v>
      </c>
      <c r="D206" s="10"/>
      <c r="E206" s="26"/>
      <c r="F206" s="25"/>
      <c r="G206" s="22">
        <v>50000000</v>
      </c>
      <c r="H206" s="23">
        <f t="shared" si="7"/>
        <v>0</v>
      </c>
      <c r="I206" s="23"/>
      <c r="J206" s="33">
        <v>0</v>
      </c>
      <c r="K206" s="34">
        <f t="shared" si="8"/>
        <v>50000000</v>
      </c>
    </row>
    <row r="207" spans="1:11">
      <c r="A207" s="35"/>
      <c r="B207" s="35"/>
      <c r="C207" s="35" t="s">
        <v>27</v>
      </c>
      <c r="D207" s="35"/>
      <c r="E207" s="35"/>
      <c r="F207" s="36"/>
      <c r="G207" s="37">
        <f>SUM(G203:G206)</f>
        <v>155000000</v>
      </c>
      <c r="H207" s="38">
        <f>SUM(H203:H206)</f>
        <v>19716638</v>
      </c>
      <c r="I207" s="38"/>
      <c r="J207" s="38">
        <f>SUM(J203:J206)</f>
        <v>80000</v>
      </c>
      <c r="K207" s="38">
        <f>SUM(K203:K206)</f>
        <v>135203362</v>
      </c>
    </row>
    <row r="208" spans="1:11">
      <c r="A208" s="39"/>
      <c r="B208" s="8"/>
      <c r="C208" s="8"/>
      <c r="D208" s="8"/>
      <c r="E208" s="8"/>
      <c r="F208" s="8"/>
      <c r="G208" s="40"/>
      <c r="H208" s="40"/>
      <c r="I208" s="40"/>
      <c r="J208" s="40"/>
      <c r="K208" s="40"/>
    </row>
    <row r="209" spans="1:11">
      <c r="A209" s="63" t="s">
        <v>28</v>
      </c>
      <c r="B209" s="63"/>
      <c r="C209" s="63"/>
      <c r="D209" s="11" t="s">
        <v>4</v>
      </c>
      <c r="E209" s="14">
        <f>J207</f>
        <v>80000</v>
      </c>
      <c r="F209" s="41"/>
      <c r="G209" s="42"/>
      <c r="H209" s="42"/>
      <c r="I209" s="42"/>
      <c r="J209" s="9"/>
      <c r="K209" s="9"/>
    </row>
    <row r="210" spans="1:11">
      <c r="A210" s="10" t="s">
        <v>29</v>
      </c>
      <c r="B210" s="10"/>
      <c r="C210" s="10"/>
      <c r="D210" s="11" t="s">
        <v>4</v>
      </c>
      <c r="E210" s="43"/>
      <c r="F210" s="43"/>
      <c r="G210" s="44"/>
      <c r="H210" s="12"/>
      <c r="I210" s="12"/>
      <c r="J210" s="9"/>
      <c r="K210" s="9"/>
    </row>
    <row r="211" spans="1:11">
      <c r="A211" s="10" t="s">
        <v>30</v>
      </c>
      <c r="B211" s="10"/>
      <c r="C211" s="10"/>
      <c r="D211" s="11" t="s">
        <v>4</v>
      </c>
      <c r="E211" s="45"/>
      <c r="F211" s="45"/>
      <c r="G211" s="44"/>
      <c r="H211" s="12"/>
      <c r="I211" s="12"/>
      <c r="J211" s="9"/>
      <c r="K211" s="9"/>
    </row>
    <row r="212" spans="1:11">
      <c r="A212" s="10" t="s">
        <v>31</v>
      </c>
      <c r="B212" s="10"/>
      <c r="C212" s="10"/>
      <c r="D212" s="11" t="s">
        <v>4</v>
      </c>
      <c r="E212" s="45">
        <f>E210+E211</f>
        <v>0</v>
      </c>
      <c r="F212" s="45"/>
      <c r="G212" s="10"/>
      <c r="H212" s="12"/>
      <c r="I212" s="12"/>
      <c r="J212" s="47"/>
      <c r="K212" s="47"/>
    </row>
    <row r="213" spans="1:11">
      <c r="A213" s="13"/>
      <c r="B213" s="13"/>
      <c r="C213" s="13"/>
      <c r="D213" s="11"/>
      <c r="E213" s="13"/>
      <c r="F213" s="13"/>
      <c r="G213" s="10"/>
      <c r="H213" s="12"/>
      <c r="I213" s="12"/>
      <c r="J213" s="47"/>
      <c r="K213" s="47"/>
    </row>
    <row r="214" spans="1:11">
      <c r="A214" s="63" t="s">
        <v>32</v>
      </c>
      <c r="B214" s="63"/>
      <c r="C214" s="63"/>
      <c r="D214" s="11" t="s">
        <v>4</v>
      </c>
      <c r="E214" s="41">
        <f>E209-E212</f>
        <v>80000</v>
      </c>
      <c r="F214" s="41"/>
      <c r="G214" s="10"/>
      <c r="H214" s="12"/>
      <c r="I214" s="12"/>
      <c r="J214" s="47"/>
      <c r="K214" s="47"/>
    </row>
    <row r="215" spans="1:11" ht="15.75">
      <c r="A215" s="13"/>
      <c r="B215" s="13"/>
      <c r="C215" s="10"/>
      <c r="D215" s="10"/>
      <c r="E215" s="16" t="str">
        <f>PROPER(IF(E214=0,"nol",IF(E214&lt;0,"minus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214),"000000000000000"),1,3)=0,"",MID(TEXT(ABS(E214),"000000000000000"),1,1)&amp;" ratus "&amp;MID(TEXT(ABS(E214),"000000000000000"),2,1)&amp;" puluh "&amp;MID(TEXT(ABS(E214),"000000000000000"),3,1)&amp;" trilyun ")&amp;IF(--MID(TEXT(ABS(E214),"000000000000000"),4,3)=0,"",MID(TEXT(ABS(E214),"000000000000000"),4,1)&amp;" ratus "&amp;MID(TEXT(ABS(E214),"000000000000000"),5,1)&amp;" puluh "&amp;MID(TEXT(ABS(E214),"000000000000000"),6,1)&amp;" milyar ")&amp;IF(--MID(TEXT(ABS(E214),"000000000000000"),7,3)=0,"",MID(TEXT(ABS(E214),"000000000000000"),7,1)&amp;" ratus "&amp;MID(TEXT(ABS(E214),"000000000000000"),8,1)&amp;" puluh "&amp;MID(TEXT(ABS(E214),"000000000000000"),9,1)&amp;" juta ")&amp;IF(--MID(TEXT(ABS(E214),"000000000000000"),10,3)=0,"",IF(--MID(TEXT(ABS(E214),"000000000000000"),10,3)=1,"*",MID(TEXT(ABS(E214),"000000000000000"),10,1)&amp;" ratus "&amp;MID(TEXT(ABS(E214),"000000000000000"),11,1)&amp;" puluh ")&amp;MID(TEXT(ABS(E214),"000000000000000"),12,1)&amp;" ribu ")&amp;IF(--MID(TEXT(ABS(E214),"000000000000000"),13,3)=0,"",MID(TEXT(ABS(E214),"000000000000000"),13,1)&amp;" ratus "&amp;MID(TEXT(ABS(E214),"000000000000000"),14,1)&amp;" puluh "&amp;MID(TEXT(ABS(E214),"000000000000000"),15,1)),1,"satu"),2,"dua"),3,"tiga"),4,"empat"),5,"lima"),6,"enam"),7,"tujuh"),8,"delapan"),9,"sembilan"),"0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Delapan Puluh Ribu Rupiah</v>
      </c>
      <c r="F215" s="10"/>
      <c r="G215" s="10"/>
      <c r="H215" s="10"/>
      <c r="I215" s="10"/>
      <c r="J215" s="47"/>
      <c r="K215" s="47"/>
    </row>
    <row r="216" spans="1:11">
      <c r="A216" s="46"/>
      <c r="B216" s="46"/>
      <c r="C216" s="46"/>
      <c r="D216" s="46"/>
      <c r="E216" s="46"/>
      <c r="F216" s="46"/>
      <c r="G216" s="29"/>
      <c r="H216" s="47"/>
      <c r="I216" s="47"/>
      <c r="J216" s="47"/>
      <c r="K216" s="47"/>
    </row>
    <row r="217" spans="1:11">
      <c r="A217" s="29"/>
      <c r="B217" s="29"/>
      <c r="C217" s="29"/>
      <c r="D217" s="29"/>
      <c r="E217" s="29"/>
      <c r="F217" s="29"/>
      <c r="G217" s="29"/>
      <c r="H217"/>
      <c r="I217"/>
      <c r="J217" s="47"/>
      <c r="K217" s="47"/>
    </row>
    <row r="218" spans="1:11">
      <c r="A218" s="13"/>
      <c r="B218" s="13"/>
      <c r="C218" s="10"/>
      <c r="D218" s="10"/>
      <c r="E218" s="10"/>
      <c r="F218" s="10"/>
      <c r="G218" s="10"/>
      <c r="I218" s="48"/>
      <c r="J218" s="48" t="s">
        <v>75</v>
      </c>
      <c r="K218" s="47"/>
    </row>
    <row r="219" spans="1:11">
      <c r="A219" s="12" t="s">
        <v>33</v>
      </c>
      <c r="B219" s="10"/>
      <c r="C219" s="10"/>
      <c r="D219" s="10"/>
      <c r="E219" s="10"/>
      <c r="F219" s="10"/>
      <c r="G219" s="10"/>
      <c r="I219" s="12"/>
      <c r="J219" s="12" t="s">
        <v>34</v>
      </c>
      <c r="K219" s="47"/>
    </row>
    <row r="220" spans="1:11">
      <c r="A220" s="10"/>
      <c r="B220" s="10"/>
      <c r="C220" s="10"/>
      <c r="D220" s="10"/>
      <c r="E220" s="10"/>
      <c r="F220" s="10"/>
      <c r="G220" s="10"/>
      <c r="I220" s="12"/>
      <c r="J220" s="12"/>
      <c r="K220" s="47"/>
    </row>
    <row r="221" spans="1:11">
      <c r="A221" s="10"/>
      <c r="B221" s="10"/>
      <c r="C221" s="10"/>
      <c r="D221" s="10"/>
      <c r="E221" s="10"/>
      <c r="F221" s="10"/>
      <c r="G221" s="10"/>
      <c r="I221" s="12"/>
      <c r="J221" s="12"/>
      <c r="K221" s="47"/>
    </row>
    <row r="222" spans="1:11">
      <c r="A222" s="10"/>
      <c r="B222" s="10"/>
      <c r="C222" s="10"/>
      <c r="D222" s="10"/>
      <c r="E222" s="10"/>
      <c r="F222" s="10"/>
      <c r="G222" s="10"/>
      <c r="I222" s="12"/>
      <c r="J222" s="12"/>
      <c r="K222" s="47"/>
    </row>
    <row r="223" spans="1:11">
      <c r="A223" s="10"/>
      <c r="B223" s="10"/>
      <c r="C223" s="10"/>
      <c r="D223" s="10"/>
      <c r="E223" s="10"/>
      <c r="F223" s="10"/>
      <c r="G223" s="10"/>
      <c r="I223" s="12"/>
      <c r="J223" s="12"/>
      <c r="K223" s="47"/>
    </row>
    <row r="224" spans="1:11">
      <c r="A224" s="49" t="s">
        <v>38</v>
      </c>
      <c r="B224" s="49"/>
      <c r="C224" s="50"/>
      <c r="D224" s="50"/>
      <c r="E224" s="50"/>
      <c r="F224" s="50"/>
      <c r="G224" s="10" t="s">
        <v>35</v>
      </c>
      <c r="I224" s="49"/>
      <c r="J224" s="49" t="s">
        <v>36</v>
      </c>
      <c r="K224" s="47"/>
    </row>
    <row r="229" spans="1:11" ht="15.75">
      <c r="C229" s="2"/>
      <c r="D229" s="2"/>
      <c r="E229" s="2"/>
      <c r="F229" s="2"/>
    </row>
    <row r="230" spans="1:11" ht="15.75">
      <c r="A230" s="3"/>
      <c r="B230" s="3"/>
      <c r="C230" s="2"/>
      <c r="D230" s="2"/>
      <c r="E230" s="2"/>
      <c r="F230" s="2"/>
      <c r="G230" s="3"/>
      <c r="H230" s="4"/>
      <c r="I230" s="4"/>
      <c r="J230" s="4"/>
      <c r="K230" s="5"/>
    </row>
    <row r="231" spans="1:11">
      <c r="H231" s="5"/>
      <c r="I231" s="5"/>
      <c r="J231" s="5"/>
      <c r="K231" s="5"/>
    </row>
    <row r="232" spans="1:11">
      <c r="H232" s="5"/>
      <c r="I232" s="5"/>
      <c r="J232" s="5"/>
      <c r="K232" s="5"/>
    </row>
    <row r="233" spans="1:11">
      <c r="A233" s="64" t="s">
        <v>0</v>
      </c>
      <c r="B233" s="64"/>
      <c r="C233" s="58"/>
      <c r="D233" s="58"/>
      <c r="E233" s="58"/>
      <c r="F233" s="58"/>
      <c r="G233" s="58"/>
      <c r="H233" s="58"/>
      <c r="I233" s="58"/>
      <c r="J233" s="58"/>
      <c r="K233" s="58"/>
    </row>
    <row r="234" spans="1:11">
      <c r="A234" s="58" t="s">
        <v>76</v>
      </c>
      <c r="B234" s="58"/>
      <c r="C234" s="58"/>
      <c r="D234" s="58"/>
      <c r="E234" s="58"/>
      <c r="F234" s="58"/>
      <c r="G234" s="58"/>
      <c r="H234" s="58"/>
      <c r="I234" s="58"/>
      <c r="J234" s="58"/>
      <c r="K234" s="58"/>
    </row>
    <row r="235" spans="1:11">
      <c r="A235" s="58" t="s">
        <v>1</v>
      </c>
      <c r="B235" s="58"/>
      <c r="C235" s="58"/>
      <c r="D235" s="58"/>
      <c r="E235" s="58"/>
      <c r="F235" s="58"/>
      <c r="G235" s="58"/>
      <c r="H235" s="58"/>
      <c r="I235" s="58"/>
      <c r="J235" s="58"/>
      <c r="K235" s="58"/>
    </row>
    <row r="236" spans="1:11">
      <c r="A236" s="58" t="s">
        <v>39</v>
      </c>
      <c r="B236" s="58"/>
      <c r="C236" s="58"/>
      <c r="D236" s="58"/>
      <c r="E236" s="58"/>
      <c r="F236" s="58"/>
      <c r="G236" s="58"/>
      <c r="H236" s="58"/>
      <c r="I236" s="58"/>
      <c r="J236" s="58"/>
      <c r="K236" s="58"/>
    </row>
    <row r="237" spans="1:11">
      <c r="A237" s="58" t="s">
        <v>2</v>
      </c>
      <c r="B237" s="58"/>
      <c r="C237" s="58"/>
      <c r="D237" s="58"/>
      <c r="E237" s="58"/>
      <c r="F237" s="58"/>
      <c r="G237" s="58"/>
      <c r="H237" s="58"/>
      <c r="I237" s="58"/>
      <c r="J237" s="58"/>
      <c r="K237" s="58"/>
    </row>
    <row r="238" spans="1:11">
      <c r="A238" s="6"/>
      <c r="B238" s="6"/>
      <c r="C238" s="7"/>
      <c r="D238" s="7"/>
      <c r="E238" s="7"/>
      <c r="F238" s="7"/>
      <c r="G238" s="8"/>
      <c r="H238" s="9"/>
      <c r="I238" s="9"/>
      <c r="J238" s="9"/>
      <c r="K238" s="9"/>
    </row>
    <row r="239" spans="1:11">
      <c r="A239" s="53" t="s">
        <v>3</v>
      </c>
      <c r="B239" s="10"/>
      <c r="C239" s="10"/>
      <c r="D239" s="54" t="s">
        <v>4</v>
      </c>
      <c r="E239" s="10" t="s">
        <v>5</v>
      </c>
      <c r="F239" s="11"/>
      <c r="G239" s="10"/>
      <c r="H239" s="12"/>
      <c r="I239" s="12"/>
      <c r="J239" s="12"/>
      <c r="K239" s="9"/>
    </row>
    <row r="240" spans="1:11">
      <c r="A240" s="53" t="s">
        <v>6</v>
      </c>
      <c r="B240" s="10"/>
      <c r="C240" s="10"/>
      <c r="D240" s="54" t="s">
        <v>4</v>
      </c>
      <c r="E240" s="10" t="s">
        <v>7</v>
      </c>
      <c r="F240" s="11"/>
      <c r="G240" s="10"/>
      <c r="H240" s="12"/>
      <c r="I240" s="12"/>
      <c r="J240" s="12"/>
      <c r="K240" s="9"/>
    </row>
    <row r="241" spans="1:11">
      <c r="A241" s="53" t="s">
        <v>8</v>
      </c>
      <c r="B241" s="10"/>
      <c r="C241" s="10"/>
      <c r="D241" s="54" t="s">
        <v>4</v>
      </c>
      <c r="E241" s="13">
        <v>2026</v>
      </c>
      <c r="F241" s="11"/>
      <c r="G241" s="13"/>
      <c r="H241" s="12"/>
      <c r="I241" s="12"/>
      <c r="J241" s="12"/>
      <c r="K241" s="9"/>
    </row>
    <row r="242" spans="1:11">
      <c r="A242" s="53" t="s">
        <v>9</v>
      </c>
      <c r="B242" s="10"/>
      <c r="C242" s="10"/>
      <c r="D242" s="54" t="s">
        <v>4</v>
      </c>
      <c r="E242" s="14">
        <f>J252</f>
        <v>1100000</v>
      </c>
      <c r="F242" s="11"/>
      <c r="G242" s="14"/>
      <c r="H242" s="12"/>
      <c r="I242" s="12"/>
      <c r="J242" s="12"/>
      <c r="K242" s="9"/>
    </row>
    <row r="243" spans="1:11" ht="15.75">
      <c r="A243" s="10"/>
      <c r="B243" s="10"/>
      <c r="C243" s="15" t="s">
        <v>10</v>
      </c>
      <c r="D243" s="54" t="s">
        <v>4</v>
      </c>
      <c r="E243" s="16" t="str">
        <f>PROPER(IF(E242=0,"nol",IF(E242&lt;0,"minus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242),"000000000000000"),1,3)=0,"",MID(TEXT(ABS(E242),"000000000000000"),1,1)&amp;" ratus "&amp;MID(TEXT(ABS(E242),"000000000000000"),2,1)&amp;" puluh "&amp;MID(TEXT(ABS(E242),"000000000000000"),3,1)&amp;" trilyun ")&amp;IF(--MID(TEXT(ABS(E242),"000000000000000"),4,3)=0,"",MID(TEXT(ABS(E242),"000000000000000"),4,1)&amp;" ratus "&amp;MID(TEXT(ABS(E242),"000000000000000"),5,1)&amp;" puluh "&amp;MID(TEXT(ABS(E242),"000000000000000"),6,1)&amp;" milyar ")&amp;IF(--MID(TEXT(ABS(E242),"000000000000000"),7,3)=0,"",MID(TEXT(ABS(E242),"000000000000000"),7,1)&amp;" ratus "&amp;MID(TEXT(ABS(E242),"000000000000000"),8,1)&amp;" puluh "&amp;MID(TEXT(ABS(E242),"000000000000000"),9,1)&amp;" juta ")&amp;IF(--MID(TEXT(ABS(E242),"000000000000000"),10,3)=0,"",IF(--MID(TEXT(ABS(E242),"000000000000000"),10,3)=1,"*",MID(TEXT(ABS(E242),"000000000000000"),10,1)&amp;" ratus "&amp;MID(TEXT(ABS(E242),"000000000000000"),11,1)&amp;" puluh ")&amp;MID(TEXT(ABS(E242),"000000000000000"),12,1)&amp;" ribu ")&amp;IF(--MID(TEXT(ABS(E242),"000000000000000"),13,3)=0,"",MID(TEXT(ABS(E242),"000000000000000"),13,1)&amp;" ratus "&amp;MID(TEXT(ABS(E242),"000000000000000"),14,1)&amp;" puluh "&amp;MID(TEXT(ABS(E242),"000000000000000"),15,1)),1,"satu"),2,"dua"),3,"tiga"),4,"empat"),5,"lima"),6,"enam"),7,"tujuh"),8,"delapan"),9,"sembilan"),"0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Satu Juta Seratus Ribu Rupiah</v>
      </c>
      <c r="F243" s="11"/>
      <c r="G243" s="16"/>
      <c r="H243" s="12"/>
      <c r="I243" s="12"/>
      <c r="J243" s="12"/>
      <c r="K243" s="9"/>
    </row>
    <row r="244" spans="1:11" ht="15.75">
      <c r="A244" s="10"/>
      <c r="B244" s="10"/>
      <c r="C244" s="15"/>
      <c r="D244" s="15"/>
      <c r="E244" s="15"/>
      <c r="F244" s="11"/>
      <c r="G244" s="16"/>
      <c r="H244" s="12"/>
      <c r="I244" s="12"/>
      <c r="J244" s="12"/>
      <c r="K244" s="9"/>
    </row>
    <row r="245" spans="1:11">
      <c r="A245" s="10" t="s">
        <v>11</v>
      </c>
      <c r="B245" s="10"/>
      <c r="C245" s="10"/>
      <c r="D245" s="10"/>
      <c r="E245" s="10"/>
      <c r="F245" s="10"/>
      <c r="G245" s="10"/>
      <c r="H245" s="12"/>
      <c r="I245" s="12"/>
      <c r="J245" s="12"/>
      <c r="K245" s="9"/>
    </row>
    <row r="246" spans="1:11">
      <c r="A246" s="59" t="s">
        <v>12</v>
      </c>
      <c r="B246" s="59"/>
      <c r="C246" s="59"/>
      <c r="D246" s="59"/>
      <c r="E246" s="59"/>
      <c r="F246" s="59"/>
      <c r="G246" s="59"/>
      <c r="H246" s="59"/>
      <c r="I246" s="59"/>
      <c r="J246" s="59"/>
      <c r="K246" s="59"/>
    </row>
    <row r="247" spans="1:11" ht="60">
      <c r="A247" s="17" t="s">
        <v>13</v>
      </c>
      <c r="B247" s="18" t="s">
        <v>14</v>
      </c>
      <c r="C247" s="60" t="s">
        <v>15</v>
      </c>
      <c r="D247" s="61"/>
      <c r="E247" s="62"/>
      <c r="F247" s="19"/>
      <c r="G247" s="20" t="s">
        <v>16</v>
      </c>
      <c r="H247" s="21" t="s">
        <v>37</v>
      </c>
      <c r="I247" s="21"/>
      <c r="J247" s="31" t="s">
        <v>17</v>
      </c>
      <c r="K247" s="32" t="s">
        <v>18</v>
      </c>
    </row>
    <row r="248" spans="1:11">
      <c r="A248" s="27">
        <v>1</v>
      </c>
      <c r="B248" s="24"/>
      <c r="C248" s="28" t="s">
        <v>23</v>
      </c>
      <c r="D248" s="57"/>
      <c r="E248" s="26"/>
      <c r="F248" s="25"/>
      <c r="G248" s="55" t="s">
        <v>19</v>
      </c>
      <c r="H248" s="55" t="s">
        <v>19</v>
      </c>
      <c r="I248" s="55"/>
      <c r="J248" s="55" t="s">
        <v>19</v>
      </c>
      <c r="K248" s="55" t="s">
        <v>19</v>
      </c>
    </row>
    <row r="249" spans="1:11">
      <c r="A249" s="24"/>
      <c r="B249" s="56" t="s">
        <v>20</v>
      </c>
      <c r="C249" s="25" t="s">
        <v>24</v>
      </c>
      <c r="D249" s="10"/>
      <c r="E249" s="26"/>
      <c r="F249" s="25"/>
      <c r="G249" s="22">
        <v>75000000</v>
      </c>
      <c r="H249" s="23">
        <f>H204+J204</f>
        <v>14869844</v>
      </c>
      <c r="I249" s="23"/>
      <c r="J249" s="33">
        <v>1100000</v>
      </c>
      <c r="K249" s="34">
        <f>G249-H249-J249</f>
        <v>59030156</v>
      </c>
    </row>
    <row r="250" spans="1:11">
      <c r="A250" s="24"/>
      <c r="B250" s="56" t="s">
        <v>21</v>
      </c>
      <c r="C250" s="25" t="s">
        <v>25</v>
      </c>
      <c r="D250" s="10"/>
      <c r="E250" s="26"/>
      <c r="F250" s="25"/>
      <c r="G250" s="22">
        <v>30000000</v>
      </c>
      <c r="H250" s="23">
        <f>H205+J205</f>
        <v>4926794</v>
      </c>
      <c r="I250" s="23"/>
      <c r="J250" s="33">
        <v>0</v>
      </c>
      <c r="K250" s="34">
        <f t="shared" ref="K250:K251" si="9">G250-H250-J250</f>
        <v>25073206</v>
      </c>
    </row>
    <row r="251" spans="1:11">
      <c r="A251" s="24"/>
      <c r="B251" s="56" t="s">
        <v>22</v>
      </c>
      <c r="C251" s="25" t="s">
        <v>26</v>
      </c>
      <c r="D251" s="10"/>
      <c r="E251" s="26"/>
      <c r="F251" s="25"/>
      <c r="G251" s="22">
        <v>50000000</v>
      </c>
      <c r="H251" s="23">
        <f t="shared" ref="H251" si="10">H206+J206</f>
        <v>0</v>
      </c>
      <c r="I251" s="23"/>
      <c r="J251" s="33">
        <v>0</v>
      </c>
      <c r="K251" s="34">
        <f t="shared" si="9"/>
        <v>50000000</v>
      </c>
    </row>
    <row r="252" spans="1:11">
      <c r="A252" s="35"/>
      <c r="B252" s="35"/>
      <c r="C252" s="35" t="s">
        <v>27</v>
      </c>
      <c r="D252" s="35"/>
      <c r="E252" s="35"/>
      <c r="F252" s="36"/>
      <c r="G252" s="37">
        <f>SUM(G248:G251)</f>
        <v>155000000</v>
      </c>
      <c r="H252" s="38">
        <f>SUM(H248:H251)</f>
        <v>19796638</v>
      </c>
      <c r="I252" s="38"/>
      <c r="J252" s="38">
        <f>SUM(J248:J251)</f>
        <v>1100000</v>
      </c>
      <c r="K252" s="38">
        <f>SUM(K248:K251)</f>
        <v>134103362</v>
      </c>
    </row>
    <row r="253" spans="1:11">
      <c r="A253" s="39"/>
      <c r="B253" s="8"/>
      <c r="C253" s="8"/>
      <c r="D253" s="8"/>
      <c r="E253" s="8"/>
      <c r="F253" s="8"/>
      <c r="G253" s="40"/>
      <c r="H253" s="40"/>
      <c r="I253" s="40"/>
      <c r="J253" s="40"/>
      <c r="K253" s="40"/>
    </row>
    <row r="254" spans="1:11">
      <c r="A254" s="63" t="s">
        <v>28</v>
      </c>
      <c r="B254" s="63"/>
      <c r="C254" s="63"/>
      <c r="D254" s="11" t="s">
        <v>4</v>
      </c>
      <c r="E254" s="14">
        <f>J252</f>
        <v>1100000</v>
      </c>
      <c r="F254" s="41"/>
      <c r="G254" s="42"/>
      <c r="H254" s="42"/>
      <c r="I254" s="42"/>
      <c r="J254" s="9"/>
      <c r="K254" s="9"/>
    </row>
    <row r="255" spans="1:11">
      <c r="A255" s="10" t="s">
        <v>29</v>
      </c>
      <c r="B255" s="10"/>
      <c r="C255" s="10"/>
      <c r="D255" s="11" t="s">
        <v>4</v>
      </c>
      <c r="E255" s="43"/>
      <c r="F255" s="43"/>
      <c r="G255" s="44"/>
      <c r="H255" s="12"/>
      <c r="I255" s="12"/>
      <c r="J255" s="9"/>
      <c r="K255" s="9"/>
    </row>
    <row r="256" spans="1:11">
      <c r="A256" s="10" t="s">
        <v>30</v>
      </c>
      <c r="B256" s="10"/>
      <c r="C256" s="10"/>
      <c r="D256" s="11" t="s">
        <v>4</v>
      </c>
      <c r="E256" s="45"/>
      <c r="F256" s="45"/>
      <c r="G256" s="44"/>
      <c r="H256" s="12"/>
      <c r="I256" s="12"/>
      <c r="J256" s="9"/>
      <c r="K256" s="9"/>
    </row>
    <row r="257" spans="1:11">
      <c r="A257" s="10" t="s">
        <v>31</v>
      </c>
      <c r="B257" s="10"/>
      <c r="C257" s="10"/>
      <c r="D257" s="11" t="s">
        <v>4</v>
      </c>
      <c r="E257" s="45">
        <f>E255+E256</f>
        <v>0</v>
      </c>
      <c r="F257" s="45"/>
      <c r="G257" s="10"/>
      <c r="H257" s="12"/>
      <c r="I257" s="12"/>
      <c r="J257" s="47"/>
      <c r="K257" s="47"/>
    </row>
    <row r="258" spans="1:11">
      <c r="A258" s="13"/>
      <c r="B258" s="13"/>
      <c r="C258" s="13"/>
      <c r="D258" s="11"/>
      <c r="E258" s="13"/>
      <c r="F258" s="13"/>
      <c r="G258" s="10"/>
      <c r="H258" s="12"/>
      <c r="I258" s="12"/>
      <c r="J258" s="47"/>
      <c r="K258" s="47"/>
    </row>
    <row r="259" spans="1:11">
      <c r="A259" s="63" t="s">
        <v>32</v>
      </c>
      <c r="B259" s="63"/>
      <c r="C259" s="63"/>
      <c r="D259" s="11" t="s">
        <v>4</v>
      </c>
      <c r="E259" s="41">
        <f>E254-E257</f>
        <v>1100000</v>
      </c>
      <c r="F259" s="41"/>
      <c r="G259" s="10"/>
      <c r="H259" s="12"/>
      <c r="I259" s="12"/>
      <c r="J259" s="47"/>
      <c r="K259" s="47"/>
    </row>
    <row r="260" spans="1:11" ht="15.75">
      <c r="A260" s="13"/>
      <c r="B260" s="13"/>
      <c r="C260" s="10"/>
      <c r="D260" s="10"/>
      <c r="E260" s="16" t="str">
        <f>PROPER(IF(E259=0,"nol",IF(E259&lt;0,"minus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259),"000000000000000"),1,3)=0,"",MID(TEXT(ABS(E259),"000000000000000"),1,1)&amp;" ratus "&amp;MID(TEXT(ABS(E259),"000000000000000"),2,1)&amp;" puluh "&amp;MID(TEXT(ABS(E259),"000000000000000"),3,1)&amp;" trilyun ")&amp;IF(--MID(TEXT(ABS(E259),"000000000000000"),4,3)=0,"",MID(TEXT(ABS(E259),"000000000000000"),4,1)&amp;" ratus "&amp;MID(TEXT(ABS(E259),"000000000000000"),5,1)&amp;" puluh "&amp;MID(TEXT(ABS(E259),"000000000000000"),6,1)&amp;" milyar ")&amp;IF(--MID(TEXT(ABS(E259),"000000000000000"),7,3)=0,"",MID(TEXT(ABS(E259),"000000000000000"),7,1)&amp;" ratus "&amp;MID(TEXT(ABS(E259),"000000000000000"),8,1)&amp;" puluh "&amp;MID(TEXT(ABS(E259),"000000000000000"),9,1)&amp;" juta ")&amp;IF(--MID(TEXT(ABS(E259),"000000000000000"),10,3)=0,"",IF(--MID(TEXT(ABS(E259),"000000000000000"),10,3)=1,"*",MID(TEXT(ABS(E259),"000000000000000"),10,1)&amp;" ratus "&amp;MID(TEXT(ABS(E259),"000000000000000"),11,1)&amp;" puluh ")&amp;MID(TEXT(ABS(E259),"000000000000000"),12,1)&amp;" ribu ")&amp;IF(--MID(TEXT(ABS(E259),"000000000000000"),13,3)=0,"",MID(TEXT(ABS(E259),"000000000000000"),13,1)&amp;" ratus "&amp;MID(TEXT(ABS(E259),"000000000000000"),14,1)&amp;" puluh "&amp;MID(TEXT(ABS(E259),"000000000000000"),15,1)),1,"satu"),2,"dua"),3,"tiga"),4,"empat"),5,"lima"),6,"enam"),7,"tujuh"),8,"delapan"),9,"sembilan"),"0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Satu Juta Seratus Ribu Rupiah</v>
      </c>
      <c r="F260" s="10"/>
      <c r="G260" s="10"/>
      <c r="H260" s="10"/>
      <c r="I260" s="10"/>
      <c r="J260" s="47"/>
      <c r="K260" s="47"/>
    </row>
    <row r="261" spans="1:11">
      <c r="A261" s="46"/>
      <c r="B261" s="46"/>
      <c r="C261" s="46"/>
      <c r="D261" s="46"/>
      <c r="E261" s="46"/>
      <c r="F261" s="46"/>
      <c r="G261" s="29"/>
      <c r="H261" s="47"/>
      <c r="I261" s="47"/>
      <c r="J261" s="47"/>
      <c r="K261" s="47"/>
    </row>
    <row r="262" spans="1:11">
      <c r="A262" s="29"/>
      <c r="B262" s="29"/>
      <c r="C262" s="29"/>
      <c r="D262" s="29"/>
      <c r="E262" s="29"/>
      <c r="F262" s="29"/>
      <c r="G262" s="29"/>
      <c r="H262"/>
      <c r="I262"/>
      <c r="J262" s="47"/>
      <c r="K262" s="47"/>
    </row>
    <row r="263" spans="1:11">
      <c r="A263" s="13"/>
      <c r="B263" s="13"/>
      <c r="C263" s="10"/>
      <c r="D263" s="10"/>
      <c r="E263" s="10"/>
      <c r="F263" s="10"/>
      <c r="G263" s="10"/>
      <c r="I263" s="48"/>
      <c r="J263" s="48" t="s">
        <v>75</v>
      </c>
      <c r="K263" s="47"/>
    </row>
    <row r="264" spans="1:11">
      <c r="A264" s="12" t="s">
        <v>33</v>
      </c>
      <c r="B264" s="10"/>
      <c r="C264" s="10"/>
      <c r="D264" s="10"/>
      <c r="E264" s="10"/>
      <c r="F264" s="10"/>
      <c r="G264" s="10"/>
      <c r="I264" s="12"/>
      <c r="J264" s="12" t="s">
        <v>34</v>
      </c>
      <c r="K264" s="47"/>
    </row>
    <row r="265" spans="1:11">
      <c r="A265" s="10"/>
      <c r="B265" s="10"/>
      <c r="C265" s="10"/>
      <c r="D265" s="10"/>
      <c r="E265" s="10"/>
      <c r="F265" s="10"/>
      <c r="G265" s="10"/>
      <c r="I265" s="12"/>
      <c r="J265" s="12"/>
      <c r="K265" s="47"/>
    </row>
    <row r="266" spans="1:11">
      <c r="A266" s="10"/>
      <c r="B266" s="10"/>
      <c r="C266" s="10"/>
      <c r="D266" s="10"/>
      <c r="E266" s="10"/>
      <c r="F266" s="10"/>
      <c r="G266" s="10"/>
      <c r="I266" s="12"/>
      <c r="J266" s="12"/>
      <c r="K266" s="47"/>
    </row>
    <row r="267" spans="1:11">
      <c r="A267" s="10"/>
      <c r="B267" s="10"/>
      <c r="C267" s="10"/>
      <c r="D267" s="10"/>
      <c r="E267" s="10"/>
      <c r="F267" s="10"/>
      <c r="G267" s="10"/>
      <c r="I267" s="12"/>
      <c r="J267" s="12"/>
      <c r="K267" s="47"/>
    </row>
    <row r="268" spans="1:11">
      <c r="A268" s="10"/>
      <c r="B268" s="10"/>
      <c r="C268" s="10"/>
      <c r="D268" s="10"/>
      <c r="E268" s="10"/>
      <c r="F268" s="10"/>
      <c r="G268" s="10"/>
      <c r="I268" s="12"/>
      <c r="J268" s="12"/>
      <c r="K268" s="47"/>
    </row>
    <row r="269" spans="1:11">
      <c r="A269" s="49" t="s">
        <v>38</v>
      </c>
      <c r="B269" s="49"/>
      <c r="C269" s="50"/>
      <c r="D269" s="50"/>
      <c r="E269" s="50"/>
      <c r="F269" s="50"/>
      <c r="G269" s="10" t="s">
        <v>35</v>
      </c>
      <c r="I269" s="49"/>
      <c r="J269" s="49" t="s">
        <v>36</v>
      </c>
      <c r="K269" s="47"/>
    </row>
    <row r="274" spans="1:11" ht="15.75">
      <c r="C274" s="2"/>
      <c r="D274" s="2"/>
      <c r="E274" s="2"/>
      <c r="F274" s="2"/>
    </row>
    <row r="275" spans="1:11" ht="15.75">
      <c r="A275" s="3"/>
      <c r="B275" s="3"/>
      <c r="C275" s="2"/>
      <c r="D275" s="2"/>
      <c r="E275" s="2"/>
      <c r="F275" s="2"/>
      <c r="G275" s="3"/>
      <c r="H275" s="4"/>
      <c r="I275" s="4"/>
      <c r="J275" s="4"/>
      <c r="K275" s="5"/>
    </row>
    <row r="276" spans="1:11">
      <c r="H276" s="5"/>
      <c r="I276" s="5"/>
      <c r="J276" s="5"/>
      <c r="K276" s="5"/>
    </row>
    <row r="277" spans="1:11">
      <c r="H277" s="5"/>
      <c r="I277" s="5"/>
      <c r="J277" s="5"/>
      <c r="K277" s="5"/>
    </row>
    <row r="278" spans="1:11">
      <c r="A278" s="64" t="s">
        <v>0</v>
      </c>
      <c r="B278" s="64"/>
      <c r="C278" s="58"/>
      <c r="D278" s="58"/>
      <c r="E278" s="58"/>
      <c r="F278" s="58"/>
      <c r="G278" s="58"/>
      <c r="H278" s="58"/>
      <c r="I278" s="58"/>
      <c r="J278" s="58"/>
      <c r="K278" s="58"/>
    </row>
    <row r="279" spans="1:11">
      <c r="A279" s="58" t="s">
        <v>77</v>
      </c>
      <c r="B279" s="58"/>
      <c r="C279" s="58"/>
      <c r="D279" s="58"/>
      <c r="E279" s="58"/>
      <c r="F279" s="58"/>
      <c r="G279" s="58"/>
      <c r="H279" s="58"/>
      <c r="I279" s="58"/>
      <c r="J279" s="58"/>
      <c r="K279" s="58"/>
    </row>
    <row r="280" spans="1:11">
      <c r="A280" s="58" t="s">
        <v>1</v>
      </c>
      <c r="B280" s="58"/>
      <c r="C280" s="58"/>
      <c r="D280" s="58"/>
      <c r="E280" s="58"/>
      <c r="F280" s="58"/>
      <c r="G280" s="58"/>
      <c r="H280" s="58"/>
      <c r="I280" s="58"/>
      <c r="J280" s="58"/>
      <c r="K280" s="58"/>
    </row>
    <row r="281" spans="1:11">
      <c r="A281" s="58" t="s">
        <v>39</v>
      </c>
      <c r="B281" s="58"/>
      <c r="C281" s="58"/>
      <c r="D281" s="58"/>
      <c r="E281" s="58"/>
      <c r="F281" s="58"/>
      <c r="G281" s="58"/>
      <c r="H281" s="58"/>
      <c r="I281" s="58"/>
      <c r="J281" s="58"/>
      <c r="K281" s="58"/>
    </row>
    <row r="282" spans="1:11">
      <c r="A282" s="58" t="s">
        <v>2</v>
      </c>
      <c r="B282" s="58"/>
      <c r="C282" s="58"/>
      <c r="D282" s="58"/>
      <c r="E282" s="58"/>
      <c r="F282" s="58"/>
      <c r="G282" s="58"/>
      <c r="H282" s="58"/>
      <c r="I282" s="58"/>
      <c r="J282" s="58"/>
      <c r="K282" s="58"/>
    </row>
    <row r="283" spans="1:11">
      <c r="A283" s="6"/>
      <c r="B283" s="6"/>
      <c r="C283" s="7"/>
      <c r="D283" s="7"/>
      <c r="E283" s="7"/>
      <c r="F283" s="7"/>
      <c r="G283" s="8"/>
      <c r="H283" s="9"/>
      <c r="I283" s="9"/>
      <c r="J283" s="9"/>
      <c r="K283" s="9"/>
    </row>
    <row r="284" spans="1:11">
      <c r="A284" s="53" t="s">
        <v>3</v>
      </c>
      <c r="B284" s="10"/>
      <c r="C284" s="10"/>
      <c r="D284" s="54" t="s">
        <v>4</v>
      </c>
      <c r="E284" s="10" t="s">
        <v>5</v>
      </c>
      <c r="F284" s="11"/>
      <c r="G284" s="10"/>
      <c r="H284" s="12"/>
      <c r="I284" s="12"/>
      <c r="J284" s="12"/>
      <c r="K284" s="9"/>
    </row>
    <row r="285" spans="1:11">
      <c r="A285" s="53" t="s">
        <v>6</v>
      </c>
      <c r="B285" s="10"/>
      <c r="C285" s="10"/>
      <c r="D285" s="54" t="s">
        <v>4</v>
      </c>
      <c r="E285" s="10" t="s">
        <v>7</v>
      </c>
      <c r="F285" s="11"/>
      <c r="G285" s="10"/>
      <c r="H285" s="12"/>
      <c r="I285" s="12"/>
      <c r="J285" s="12"/>
      <c r="K285" s="9"/>
    </row>
    <row r="286" spans="1:11">
      <c r="A286" s="53" t="s">
        <v>8</v>
      </c>
      <c r="B286" s="10"/>
      <c r="C286" s="10"/>
      <c r="D286" s="54" t="s">
        <v>4</v>
      </c>
      <c r="E286" s="13">
        <v>2026</v>
      </c>
      <c r="F286" s="11"/>
      <c r="G286" s="13"/>
      <c r="H286" s="12"/>
      <c r="I286" s="12"/>
      <c r="J286" s="12"/>
      <c r="K286" s="9"/>
    </row>
    <row r="287" spans="1:11">
      <c r="A287" s="53" t="s">
        <v>9</v>
      </c>
      <c r="B287" s="10"/>
      <c r="C287" s="10"/>
      <c r="D287" s="54" t="s">
        <v>4</v>
      </c>
      <c r="E287" s="14">
        <f>J297</f>
        <v>3500000</v>
      </c>
      <c r="F287" s="11"/>
      <c r="G287" s="14"/>
      <c r="H287" s="12"/>
      <c r="I287" s="12"/>
      <c r="J287" s="12"/>
      <c r="K287" s="9"/>
    </row>
    <row r="288" spans="1:11" ht="15.75">
      <c r="A288" s="10"/>
      <c r="B288" s="10"/>
      <c r="C288" s="15" t="s">
        <v>10</v>
      </c>
      <c r="D288" s="54" t="s">
        <v>4</v>
      </c>
      <c r="E288" s="16" t="str">
        <f>PROPER(IF(E287=0,"nol",IF(E287&lt;0,"minus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287),"000000000000000"),1,3)=0,"",MID(TEXT(ABS(E287),"000000000000000"),1,1)&amp;" ratus "&amp;MID(TEXT(ABS(E287),"000000000000000"),2,1)&amp;" puluh "&amp;MID(TEXT(ABS(E287),"000000000000000"),3,1)&amp;" trilyun ")&amp;IF(--MID(TEXT(ABS(E287),"000000000000000"),4,3)=0,"",MID(TEXT(ABS(E287),"000000000000000"),4,1)&amp;" ratus "&amp;MID(TEXT(ABS(E287),"000000000000000"),5,1)&amp;" puluh "&amp;MID(TEXT(ABS(E287),"000000000000000"),6,1)&amp;" milyar ")&amp;IF(--MID(TEXT(ABS(E287),"000000000000000"),7,3)=0,"",MID(TEXT(ABS(E287),"000000000000000"),7,1)&amp;" ratus "&amp;MID(TEXT(ABS(E287),"000000000000000"),8,1)&amp;" puluh "&amp;MID(TEXT(ABS(E287),"000000000000000"),9,1)&amp;" juta ")&amp;IF(--MID(TEXT(ABS(E287),"000000000000000"),10,3)=0,"",IF(--MID(TEXT(ABS(E287),"000000000000000"),10,3)=1,"*",MID(TEXT(ABS(E287),"000000000000000"),10,1)&amp;" ratus "&amp;MID(TEXT(ABS(E287),"000000000000000"),11,1)&amp;" puluh ")&amp;MID(TEXT(ABS(E287),"000000000000000"),12,1)&amp;" ribu ")&amp;IF(--MID(TEXT(ABS(E287),"000000000000000"),13,3)=0,"",MID(TEXT(ABS(E287),"000000000000000"),13,1)&amp;" ratus "&amp;MID(TEXT(ABS(E287),"000000000000000"),14,1)&amp;" puluh "&amp;MID(TEXT(ABS(E287),"000000000000000"),15,1)),1,"satu"),2,"dua"),3,"tiga"),4,"empat"),5,"lima"),6,"enam"),7,"tujuh"),8,"delapan"),9,"sembilan"),"0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Tiga Juta Lima Ratus Ribu Rupiah</v>
      </c>
      <c r="F288" s="11"/>
      <c r="G288" s="16"/>
      <c r="H288" s="12"/>
      <c r="I288" s="12"/>
      <c r="J288" s="12"/>
      <c r="K288" s="9"/>
    </row>
    <row r="289" spans="1:11" ht="15.75">
      <c r="A289" s="10"/>
      <c r="B289" s="10"/>
      <c r="C289" s="15"/>
      <c r="D289" s="15"/>
      <c r="E289" s="15"/>
      <c r="F289" s="11"/>
      <c r="G289" s="16"/>
      <c r="H289" s="12"/>
      <c r="I289" s="12"/>
      <c r="J289" s="12"/>
      <c r="K289" s="9"/>
    </row>
    <row r="290" spans="1:11">
      <c r="A290" s="10" t="s">
        <v>11</v>
      </c>
      <c r="B290" s="10"/>
      <c r="C290" s="10"/>
      <c r="D290" s="10"/>
      <c r="E290" s="10"/>
      <c r="F290" s="10"/>
      <c r="G290" s="10"/>
      <c r="H290" s="12"/>
      <c r="I290" s="12"/>
      <c r="J290" s="12"/>
      <c r="K290" s="9"/>
    </row>
    <row r="291" spans="1:11">
      <c r="A291" s="59" t="s">
        <v>12</v>
      </c>
      <c r="B291" s="59"/>
      <c r="C291" s="59"/>
      <c r="D291" s="59"/>
      <c r="E291" s="59"/>
      <c r="F291" s="59"/>
      <c r="G291" s="59"/>
      <c r="H291" s="59"/>
      <c r="I291" s="59"/>
      <c r="J291" s="59"/>
      <c r="K291" s="59"/>
    </row>
    <row r="292" spans="1:11" ht="60">
      <c r="A292" s="17" t="s">
        <v>13</v>
      </c>
      <c r="B292" s="18" t="s">
        <v>14</v>
      </c>
      <c r="C292" s="60" t="s">
        <v>15</v>
      </c>
      <c r="D292" s="61"/>
      <c r="E292" s="62"/>
      <c r="F292" s="19"/>
      <c r="G292" s="20" t="s">
        <v>16</v>
      </c>
      <c r="H292" s="21" t="s">
        <v>37</v>
      </c>
      <c r="I292" s="21"/>
      <c r="J292" s="31" t="s">
        <v>17</v>
      </c>
      <c r="K292" s="32" t="s">
        <v>18</v>
      </c>
    </row>
    <row r="293" spans="1:11">
      <c r="A293" s="27">
        <v>1</v>
      </c>
      <c r="B293" s="24"/>
      <c r="C293" s="28" t="s">
        <v>23</v>
      </c>
      <c r="D293" s="57"/>
      <c r="E293" s="26"/>
      <c r="F293" s="25"/>
      <c r="G293" s="55" t="s">
        <v>19</v>
      </c>
      <c r="H293" s="55" t="s">
        <v>19</v>
      </c>
      <c r="I293" s="55"/>
      <c r="J293" s="55" t="s">
        <v>19</v>
      </c>
      <c r="K293" s="55" t="s">
        <v>19</v>
      </c>
    </row>
    <row r="294" spans="1:11">
      <c r="A294" s="24"/>
      <c r="B294" s="56" t="s">
        <v>20</v>
      </c>
      <c r="C294" s="25" t="s">
        <v>24</v>
      </c>
      <c r="D294" s="10"/>
      <c r="E294" s="26"/>
      <c r="F294" s="25"/>
      <c r="G294" s="22">
        <v>75000000</v>
      </c>
      <c r="H294" s="23">
        <f>H249+J249</f>
        <v>15969844</v>
      </c>
      <c r="I294" s="23"/>
      <c r="J294" s="33">
        <v>0</v>
      </c>
      <c r="K294" s="34">
        <f>G294-H294-J294</f>
        <v>59030156</v>
      </c>
    </row>
    <row r="295" spans="1:11">
      <c r="A295" s="24"/>
      <c r="B295" s="56" t="s">
        <v>21</v>
      </c>
      <c r="C295" s="25" t="s">
        <v>25</v>
      </c>
      <c r="D295" s="10"/>
      <c r="E295" s="26"/>
      <c r="F295" s="25"/>
      <c r="G295" s="22">
        <v>30000000</v>
      </c>
      <c r="H295" s="23">
        <f t="shared" ref="H295:H296" si="11">H250+J250</f>
        <v>4926794</v>
      </c>
      <c r="I295" s="23"/>
      <c r="J295" s="33">
        <v>0</v>
      </c>
      <c r="K295" s="34">
        <f t="shared" ref="K295:K296" si="12">G295-H295-J295</f>
        <v>25073206</v>
      </c>
    </row>
    <row r="296" spans="1:11">
      <c r="A296" s="24"/>
      <c r="B296" s="56" t="s">
        <v>22</v>
      </c>
      <c r="C296" s="25" t="s">
        <v>26</v>
      </c>
      <c r="D296" s="10"/>
      <c r="E296" s="26"/>
      <c r="F296" s="25"/>
      <c r="G296" s="22">
        <v>50000000</v>
      </c>
      <c r="H296" s="23">
        <f t="shared" si="11"/>
        <v>0</v>
      </c>
      <c r="I296" s="23"/>
      <c r="J296" s="33">
        <v>3500000</v>
      </c>
      <c r="K296" s="34">
        <f t="shared" si="12"/>
        <v>46500000</v>
      </c>
    </row>
    <row r="297" spans="1:11">
      <c r="A297" s="35"/>
      <c r="B297" s="35"/>
      <c r="C297" s="35" t="s">
        <v>27</v>
      </c>
      <c r="D297" s="35"/>
      <c r="E297" s="35"/>
      <c r="F297" s="36"/>
      <c r="G297" s="37">
        <f>SUM(G293:G296)</f>
        <v>155000000</v>
      </c>
      <c r="H297" s="38">
        <f>SUM(H293:H296)</f>
        <v>20896638</v>
      </c>
      <c r="I297" s="38"/>
      <c r="J297" s="38">
        <f>SUM(J293:J296)</f>
        <v>3500000</v>
      </c>
      <c r="K297" s="38">
        <f>SUM(K293:K296)</f>
        <v>130603362</v>
      </c>
    </row>
    <row r="298" spans="1:11">
      <c r="A298" s="39"/>
      <c r="B298" s="8"/>
      <c r="C298" s="8"/>
      <c r="D298" s="8"/>
      <c r="E298" s="8"/>
      <c r="F298" s="8"/>
      <c r="G298" s="40"/>
      <c r="H298" s="40"/>
      <c r="I298" s="40"/>
      <c r="J298" s="40"/>
      <c r="K298" s="40"/>
    </row>
    <row r="299" spans="1:11">
      <c r="A299" s="63" t="s">
        <v>28</v>
      </c>
      <c r="B299" s="63"/>
      <c r="C299" s="63"/>
      <c r="D299" s="11" t="s">
        <v>4</v>
      </c>
      <c r="E299" s="14">
        <f>J297</f>
        <v>3500000</v>
      </c>
      <c r="F299" s="41"/>
      <c r="G299" s="42"/>
      <c r="H299" s="42"/>
      <c r="I299" s="42"/>
      <c r="J299" s="9"/>
      <c r="K299" s="9"/>
    </row>
    <row r="300" spans="1:11">
      <c r="A300" s="10" t="s">
        <v>29</v>
      </c>
      <c r="B300" s="10"/>
      <c r="C300" s="10"/>
      <c r="D300" s="11" t="s">
        <v>4</v>
      </c>
      <c r="E300" s="43"/>
      <c r="F300" s="43"/>
      <c r="G300" s="44"/>
      <c r="H300" s="12"/>
      <c r="I300" s="12"/>
      <c r="J300" s="9"/>
      <c r="K300" s="9"/>
    </row>
    <row r="301" spans="1:11">
      <c r="A301" s="10" t="s">
        <v>30</v>
      </c>
      <c r="B301" s="10"/>
      <c r="C301" s="10"/>
      <c r="D301" s="11" t="s">
        <v>4</v>
      </c>
      <c r="E301" s="45"/>
      <c r="F301" s="45"/>
      <c r="G301" s="44"/>
      <c r="H301" s="12"/>
      <c r="I301" s="12"/>
      <c r="J301" s="9"/>
      <c r="K301" s="9"/>
    </row>
    <row r="302" spans="1:11">
      <c r="A302" s="10" t="s">
        <v>31</v>
      </c>
      <c r="B302" s="10"/>
      <c r="C302" s="10"/>
      <c r="D302" s="11" t="s">
        <v>4</v>
      </c>
      <c r="E302" s="45">
        <f>E300+E301</f>
        <v>0</v>
      </c>
      <c r="F302" s="45"/>
      <c r="G302" s="10"/>
      <c r="H302" s="12"/>
      <c r="I302" s="12"/>
      <c r="J302" s="47"/>
      <c r="K302" s="47"/>
    </row>
    <row r="303" spans="1:11">
      <c r="A303" s="13"/>
      <c r="B303" s="13"/>
      <c r="C303" s="13"/>
      <c r="D303" s="11"/>
      <c r="E303" s="13"/>
      <c r="F303" s="13"/>
      <c r="G303" s="10"/>
      <c r="H303" s="12"/>
      <c r="I303" s="12"/>
      <c r="J303" s="47"/>
      <c r="K303" s="47"/>
    </row>
    <row r="304" spans="1:11">
      <c r="A304" s="63" t="s">
        <v>32</v>
      </c>
      <c r="B304" s="63"/>
      <c r="C304" s="63"/>
      <c r="D304" s="11" t="s">
        <v>4</v>
      </c>
      <c r="E304" s="41">
        <f>E299-E302</f>
        <v>3500000</v>
      </c>
      <c r="F304" s="41"/>
      <c r="G304" s="10"/>
      <c r="H304" s="12"/>
      <c r="I304" s="12"/>
      <c r="J304" s="47"/>
      <c r="K304" s="47"/>
    </row>
    <row r="305" spans="1:11" ht="15.75">
      <c r="A305" s="13"/>
      <c r="B305" s="13"/>
      <c r="C305" s="10"/>
      <c r="D305" s="10"/>
      <c r="E305" s="16" t="str">
        <f>PROPER(IF(E304=0,"nol",IF(E304&lt;0,"minus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304),"000000000000000"),1,3)=0,"",MID(TEXT(ABS(E304),"000000000000000"),1,1)&amp;" ratus "&amp;MID(TEXT(ABS(E304),"000000000000000"),2,1)&amp;" puluh "&amp;MID(TEXT(ABS(E304),"000000000000000"),3,1)&amp;" trilyun ")&amp;IF(--MID(TEXT(ABS(E304),"000000000000000"),4,3)=0,"",MID(TEXT(ABS(E304),"000000000000000"),4,1)&amp;" ratus "&amp;MID(TEXT(ABS(E304),"000000000000000"),5,1)&amp;" puluh "&amp;MID(TEXT(ABS(E304),"000000000000000"),6,1)&amp;" milyar ")&amp;IF(--MID(TEXT(ABS(E304),"000000000000000"),7,3)=0,"",MID(TEXT(ABS(E304),"000000000000000"),7,1)&amp;" ratus "&amp;MID(TEXT(ABS(E304),"000000000000000"),8,1)&amp;" puluh "&amp;MID(TEXT(ABS(E304),"000000000000000"),9,1)&amp;" juta ")&amp;IF(--MID(TEXT(ABS(E304),"000000000000000"),10,3)=0,"",IF(--MID(TEXT(ABS(E304),"000000000000000"),10,3)=1,"*",MID(TEXT(ABS(E304),"000000000000000"),10,1)&amp;" ratus "&amp;MID(TEXT(ABS(E304),"000000000000000"),11,1)&amp;" puluh ")&amp;MID(TEXT(ABS(E304),"000000000000000"),12,1)&amp;" ribu ")&amp;IF(--MID(TEXT(ABS(E304),"000000000000000"),13,3)=0,"",MID(TEXT(ABS(E304),"000000000000000"),13,1)&amp;" ratus "&amp;MID(TEXT(ABS(E304),"000000000000000"),14,1)&amp;" puluh "&amp;MID(TEXT(ABS(E304),"000000000000000"),15,1)),1,"satu"),2,"dua"),3,"tiga"),4,"empat"),5,"lima"),6,"enam"),7,"tujuh"),8,"delapan"),9,"sembilan"),"0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Tiga Juta Lima Ratus Ribu Rupiah</v>
      </c>
      <c r="F305" s="10"/>
      <c r="G305" s="10"/>
      <c r="H305" s="10"/>
      <c r="I305" s="10"/>
      <c r="J305" s="47"/>
      <c r="K305" s="47"/>
    </row>
    <row r="306" spans="1:11">
      <c r="A306" s="46"/>
      <c r="B306" s="46"/>
      <c r="C306" s="46"/>
      <c r="D306" s="46"/>
      <c r="E306" s="46"/>
      <c r="F306" s="46"/>
      <c r="G306" s="29"/>
      <c r="H306" s="47"/>
      <c r="I306" s="47"/>
      <c r="J306" s="47"/>
      <c r="K306" s="47"/>
    </row>
    <row r="307" spans="1:11">
      <c r="A307" s="29"/>
      <c r="B307" s="29"/>
      <c r="C307" s="29"/>
      <c r="D307" s="29"/>
      <c r="E307" s="29"/>
      <c r="F307" s="29"/>
      <c r="G307" s="29"/>
      <c r="H307"/>
      <c r="I307"/>
      <c r="J307" s="47"/>
      <c r="K307" s="47"/>
    </row>
    <row r="308" spans="1:11">
      <c r="A308" s="13"/>
      <c r="B308" s="13"/>
      <c r="C308" s="10"/>
      <c r="D308" s="10"/>
      <c r="E308" s="10"/>
      <c r="F308" s="10"/>
      <c r="G308" s="10"/>
      <c r="I308" s="48"/>
      <c r="J308" s="48" t="s">
        <v>78</v>
      </c>
      <c r="K308" s="47"/>
    </row>
    <row r="309" spans="1:11">
      <c r="A309" s="12" t="s">
        <v>33</v>
      </c>
      <c r="B309" s="10"/>
      <c r="C309" s="10"/>
      <c r="D309" s="10"/>
      <c r="E309" s="10"/>
      <c r="F309" s="10"/>
      <c r="G309" s="10"/>
      <c r="I309" s="12"/>
      <c r="J309" s="12" t="s">
        <v>34</v>
      </c>
      <c r="K309" s="47"/>
    </row>
    <row r="310" spans="1:11">
      <c r="A310" s="10"/>
      <c r="B310" s="10"/>
      <c r="C310" s="10"/>
      <c r="D310" s="10"/>
      <c r="E310" s="10"/>
      <c r="F310" s="10"/>
      <c r="G310" s="10"/>
      <c r="I310" s="12"/>
      <c r="J310" s="12"/>
      <c r="K310" s="47"/>
    </row>
    <row r="311" spans="1:11">
      <c r="A311" s="10"/>
      <c r="B311" s="10"/>
      <c r="C311" s="10"/>
      <c r="D311" s="10"/>
      <c r="E311" s="10"/>
      <c r="F311" s="10"/>
      <c r="G311" s="10"/>
      <c r="I311" s="12"/>
      <c r="J311" s="12"/>
      <c r="K311" s="47"/>
    </row>
    <row r="312" spans="1:11">
      <c r="A312" s="10"/>
      <c r="B312" s="10"/>
      <c r="C312" s="10"/>
      <c r="D312" s="10"/>
      <c r="E312" s="10"/>
      <c r="F312" s="10"/>
      <c r="G312" s="10"/>
      <c r="I312" s="12"/>
      <c r="J312" s="12"/>
      <c r="K312" s="47"/>
    </row>
    <row r="313" spans="1:11">
      <c r="A313" s="10"/>
      <c r="B313" s="10"/>
      <c r="C313" s="10"/>
      <c r="D313" s="10"/>
      <c r="E313" s="10"/>
      <c r="F313" s="10"/>
      <c r="G313" s="10"/>
      <c r="I313" s="12"/>
      <c r="J313" s="12"/>
      <c r="K313" s="47"/>
    </row>
    <row r="314" spans="1:11">
      <c r="A314" s="49" t="s">
        <v>38</v>
      </c>
      <c r="B314" s="49"/>
      <c r="C314" s="50"/>
      <c r="D314" s="50"/>
      <c r="E314" s="50"/>
      <c r="F314" s="50"/>
      <c r="G314" s="10" t="s">
        <v>35</v>
      </c>
      <c r="I314" s="49"/>
      <c r="J314" s="49" t="s">
        <v>36</v>
      </c>
      <c r="K314" s="47"/>
    </row>
    <row r="319" spans="1:11" ht="15.75">
      <c r="C319" s="2"/>
      <c r="D319" s="2"/>
      <c r="E319" s="2"/>
      <c r="F319" s="2"/>
    </row>
    <row r="320" spans="1:11" ht="15.75">
      <c r="A320" s="3"/>
      <c r="B320" s="3"/>
      <c r="C320" s="2"/>
      <c r="D320" s="2"/>
      <c r="E320" s="2"/>
      <c r="F320" s="2"/>
      <c r="G320" s="3"/>
      <c r="H320" s="4"/>
      <c r="I320" s="4"/>
      <c r="J320" s="4"/>
      <c r="K320" s="5"/>
    </row>
    <row r="321" spans="1:11">
      <c r="H321" s="5"/>
      <c r="I321" s="5"/>
      <c r="J321" s="5"/>
      <c r="K321" s="5"/>
    </row>
    <row r="322" spans="1:11">
      <c r="H322" s="5"/>
      <c r="I322" s="5"/>
      <c r="J322" s="5"/>
      <c r="K322" s="5"/>
    </row>
    <row r="323" spans="1:11">
      <c r="A323" s="64" t="s">
        <v>0</v>
      </c>
      <c r="B323" s="64"/>
      <c r="C323" s="58"/>
      <c r="D323" s="58"/>
      <c r="E323" s="58"/>
      <c r="F323" s="58"/>
      <c r="G323" s="58"/>
      <c r="H323" s="58"/>
      <c r="I323" s="58"/>
      <c r="J323" s="58"/>
      <c r="K323" s="58"/>
    </row>
    <row r="324" spans="1:11">
      <c r="A324" s="58" t="s">
        <v>79</v>
      </c>
      <c r="B324" s="58"/>
      <c r="C324" s="58"/>
      <c r="D324" s="58"/>
      <c r="E324" s="58"/>
      <c r="F324" s="58"/>
      <c r="G324" s="58"/>
      <c r="H324" s="58"/>
      <c r="I324" s="58"/>
      <c r="J324" s="58"/>
      <c r="K324" s="58"/>
    </row>
    <row r="325" spans="1:11">
      <c r="A325" s="58" t="s">
        <v>1</v>
      </c>
      <c r="B325" s="58"/>
      <c r="C325" s="58"/>
      <c r="D325" s="58"/>
      <c r="E325" s="58"/>
      <c r="F325" s="58"/>
      <c r="G325" s="58"/>
      <c r="H325" s="58"/>
      <c r="I325" s="58"/>
      <c r="J325" s="58"/>
      <c r="K325" s="58"/>
    </row>
    <row r="326" spans="1:11">
      <c r="A326" s="58" t="s">
        <v>39</v>
      </c>
      <c r="B326" s="58"/>
      <c r="C326" s="58"/>
      <c r="D326" s="58"/>
      <c r="E326" s="58"/>
      <c r="F326" s="58"/>
      <c r="G326" s="58"/>
      <c r="H326" s="58"/>
      <c r="I326" s="58"/>
      <c r="J326" s="58"/>
      <c r="K326" s="58"/>
    </row>
    <row r="327" spans="1:11">
      <c r="A327" s="58" t="s">
        <v>2</v>
      </c>
      <c r="B327" s="58"/>
      <c r="C327" s="58"/>
      <c r="D327" s="58"/>
      <c r="E327" s="58"/>
      <c r="F327" s="58"/>
      <c r="G327" s="58"/>
      <c r="H327" s="58"/>
      <c r="I327" s="58"/>
      <c r="J327" s="58"/>
      <c r="K327" s="58"/>
    </row>
    <row r="328" spans="1:11">
      <c r="A328" s="6"/>
      <c r="B328" s="6"/>
      <c r="C328" s="7"/>
      <c r="D328" s="7"/>
      <c r="E328" s="7"/>
      <c r="F328" s="7"/>
      <c r="G328" s="8"/>
      <c r="H328" s="9"/>
      <c r="I328" s="9"/>
      <c r="J328" s="9"/>
      <c r="K328" s="9"/>
    </row>
    <row r="329" spans="1:11">
      <c r="A329" s="53" t="s">
        <v>3</v>
      </c>
      <c r="B329" s="10"/>
      <c r="C329" s="10"/>
      <c r="D329" s="54" t="s">
        <v>4</v>
      </c>
      <c r="E329" s="10" t="s">
        <v>5</v>
      </c>
      <c r="F329" s="11"/>
      <c r="G329" s="10"/>
      <c r="H329" s="12"/>
      <c r="I329" s="12"/>
      <c r="J329" s="12"/>
      <c r="K329" s="9"/>
    </row>
    <row r="330" spans="1:11">
      <c r="A330" s="53" t="s">
        <v>6</v>
      </c>
      <c r="B330" s="10"/>
      <c r="C330" s="10"/>
      <c r="D330" s="54" t="s">
        <v>4</v>
      </c>
      <c r="E330" s="10" t="s">
        <v>7</v>
      </c>
      <c r="F330" s="11"/>
      <c r="G330" s="10"/>
      <c r="H330" s="12"/>
      <c r="I330" s="12"/>
      <c r="J330" s="12"/>
      <c r="K330" s="9"/>
    </row>
    <row r="331" spans="1:11">
      <c r="A331" s="53" t="s">
        <v>8</v>
      </c>
      <c r="B331" s="10"/>
      <c r="C331" s="10"/>
      <c r="D331" s="54" t="s">
        <v>4</v>
      </c>
      <c r="E331" s="13">
        <v>2026</v>
      </c>
      <c r="F331" s="11"/>
      <c r="G331" s="13"/>
      <c r="H331" s="12"/>
      <c r="I331" s="12"/>
      <c r="J331" s="12"/>
      <c r="K331" s="9"/>
    </row>
    <row r="332" spans="1:11">
      <c r="A332" s="53" t="s">
        <v>9</v>
      </c>
      <c r="B332" s="10"/>
      <c r="C332" s="10"/>
      <c r="D332" s="54" t="s">
        <v>4</v>
      </c>
      <c r="E332" s="14">
        <f>J342</f>
        <v>250000</v>
      </c>
      <c r="F332" s="11"/>
      <c r="G332" s="14"/>
      <c r="H332" s="12"/>
      <c r="I332" s="12"/>
      <c r="J332" s="12"/>
      <c r="K332" s="9"/>
    </row>
    <row r="333" spans="1:11" ht="15.75">
      <c r="A333" s="10"/>
      <c r="B333" s="10"/>
      <c r="C333" s="15" t="s">
        <v>10</v>
      </c>
      <c r="D333" s="54" t="s">
        <v>4</v>
      </c>
      <c r="E333" s="16" t="str">
        <f>PROPER(IF(E332=0,"nol",IF(E332&lt;0,"minus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332),"000000000000000"),1,3)=0,"",MID(TEXT(ABS(E332),"000000000000000"),1,1)&amp;" ratus "&amp;MID(TEXT(ABS(E332),"000000000000000"),2,1)&amp;" puluh "&amp;MID(TEXT(ABS(E332),"000000000000000"),3,1)&amp;" trilyun ")&amp;IF(--MID(TEXT(ABS(E332),"000000000000000"),4,3)=0,"",MID(TEXT(ABS(E332),"000000000000000"),4,1)&amp;" ratus "&amp;MID(TEXT(ABS(E332),"000000000000000"),5,1)&amp;" puluh "&amp;MID(TEXT(ABS(E332),"000000000000000"),6,1)&amp;" milyar ")&amp;IF(--MID(TEXT(ABS(E332),"000000000000000"),7,3)=0,"",MID(TEXT(ABS(E332),"000000000000000"),7,1)&amp;" ratus "&amp;MID(TEXT(ABS(E332),"000000000000000"),8,1)&amp;" puluh "&amp;MID(TEXT(ABS(E332),"000000000000000"),9,1)&amp;" juta ")&amp;IF(--MID(TEXT(ABS(E332),"000000000000000"),10,3)=0,"",IF(--MID(TEXT(ABS(E332),"000000000000000"),10,3)=1,"*",MID(TEXT(ABS(E332),"000000000000000"),10,1)&amp;" ratus "&amp;MID(TEXT(ABS(E332),"000000000000000"),11,1)&amp;" puluh ")&amp;MID(TEXT(ABS(E332),"000000000000000"),12,1)&amp;" ribu ")&amp;IF(--MID(TEXT(ABS(E332),"000000000000000"),13,3)=0,"",MID(TEXT(ABS(E332),"000000000000000"),13,1)&amp;" ratus "&amp;MID(TEXT(ABS(E332),"000000000000000"),14,1)&amp;" puluh "&amp;MID(TEXT(ABS(E332),"000000000000000"),15,1)),1,"satu"),2,"dua"),3,"tiga"),4,"empat"),5,"lima"),6,"enam"),7,"tujuh"),8,"delapan"),9,"sembilan"),"0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Dua Ratus Lima Puluh Ribu Rupiah</v>
      </c>
      <c r="F333" s="11"/>
      <c r="G333" s="16"/>
      <c r="H333" s="12"/>
      <c r="I333" s="12"/>
      <c r="J333" s="12"/>
      <c r="K333" s="9"/>
    </row>
    <row r="334" spans="1:11" ht="15.75">
      <c r="A334" s="10"/>
      <c r="B334" s="10"/>
      <c r="C334" s="15"/>
      <c r="D334" s="15"/>
      <c r="E334" s="15"/>
      <c r="F334" s="11"/>
      <c r="G334" s="16"/>
      <c r="H334" s="12"/>
      <c r="I334" s="12"/>
      <c r="J334" s="12"/>
      <c r="K334" s="9"/>
    </row>
    <row r="335" spans="1:11">
      <c r="A335" s="10" t="s">
        <v>11</v>
      </c>
      <c r="B335" s="10"/>
      <c r="C335" s="10"/>
      <c r="D335" s="10"/>
      <c r="E335" s="10"/>
      <c r="F335" s="10"/>
      <c r="G335" s="10"/>
      <c r="H335" s="12"/>
      <c r="I335" s="12"/>
      <c r="J335" s="12"/>
      <c r="K335" s="9"/>
    </row>
    <row r="336" spans="1:11">
      <c r="A336" s="59" t="s">
        <v>12</v>
      </c>
      <c r="B336" s="59"/>
      <c r="C336" s="59"/>
      <c r="D336" s="59"/>
      <c r="E336" s="59"/>
      <c r="F336" s="59"/>
      <c r="G336" s="59"/>
      <c r="H336" s="59"/>
      <c r="I336" s="59"/>
      <c r="J336" s="59"/>
      <c r="K336" s="59"/>
    </row>
    <row r="337" spans="1:11" ht="60">
      <c r="A337" s="17" t="s">
        <v>13</v>
      </c>
      <c r="B337" s="18" t="s">
        <v>14</v>
      </c>
      <c r="C337" s="60" t="s">
        <v>15</v>
      </c>
      <c r="D337" s="61"/>
      <c r="E337" s="62"/>
      <c r="F337" s="19"/>
      <c r="G337" s="20" t="s">
        <v>16</v>
      </c>
      <c r="H337" s="21" t="s">
        <v>37</v>
      </c>
      <c r="I337" s="21"/>
      <c r="J337" s="31" t="s">
        <v>17</v>
      </c>
      <c r="K337" s="32" t="s">
        <v>18</v>
      </c>
    </row>
    <row r="338" spans="1:11">
      <c r="A338" s="27">
        <v>1</v>
      </c>
      <c r="B338" s="24"/>
      <c r="C338" s="28" t="s">
        <v>23</v>
      </c>
      <c r="D338" s="57"/>
      <c r="E338" s="26"/>
      <c r="F338" s="25"/>
      <c r="G338" s="55" t="s">
        <v>19</v>
      </c>
      <c r="H338" s="55" t="s">
        <v>19</v>
      </c>
      <c r="I338" s="55"/>
      <c r="J338" s="55" t="s">
        <v>19</v>
      </c>
      <c r="K338" s="55" t="s">
        <v>19</v>
      </c>
    </row>
    <row r="339" spans="1:11">
      <c r="A339" s="24"/>
      <c r="B339" s="56" t="s">
        <v>20</v>
      </c>
      <c r="C339" s="25" t="s">
        <v>24</v>
      </c>
      <c r="D339" s="10"/>
      <c r="E339" s="26"/>
      <c r="F339" s="25"/>
      <c r="G339" s="22">
        <v>75000000</v>
      </c>
      <c r="H339" s="23">
        <f>H294+J294</f>
        <v>15969844</v>
      </c>
      <c r="I339" s="23"/>
      <c r="J339" s="33">
        <v>250000</v>
      </c>
      <c r="K339" s="34">
        <f>G339-H339-J339</f>
        <v>58780156</v>
      </c>
    </row>
    <row r="340" spans="1:11">
      <c r="A340" s="24"/>
      <c r="B340" s="56" t="s">
        <v>21</v>
      </c>
      <c r="C340" s="25" t="s">
        <v>25</v>
      </c>
      <c r="D340" s="10"/>
      <c r="E340" s="26"/>
      <c r="F340" s="25"/>
      <c r="G340" s="22">
        <v>30000000</v>
      </c>
      <c r="H340" s="23">
        <f t="shared" ref="H340:H341" si="13">H295+J295</f>
        <v>4926794</v>
      </c>
      <c r="I340" s="23"/>
      <c r="J340" s="33">
        <v>0</v>
      </c>
      <c r="K340" s="34">
        <f t="shared" ref="K340:K341" si="14">G340-H340-J340</f>
        <v>25073206</v>
      </c>
    </row>
    <row r="341" spans="1:11">
      <c r="A341" s="24"/>
      <c r="B341" s="56" t="s">
        <v>22</v>
      </c>
      <c r="C341" s="25" t="s">
        <v>26</v>
      </c>
      <c r="D341" s="10"/>
      <c r="E341" s="26"/>
      <c r="F341" s="25"/>
      <c r="G341" s="22">
        <v>50000000</v>
      </c>
      <c r="H341" s="23">
        <f t="shared" si="13"/>
        <v>3500000</v>
      </c>
      <c r="I341" s="23"/>
      <c r="J341" s="33">
        <v>0</v>
      </c>
      <c r="K341" s="34">
        <f t="shared" si="14"/>
        <v>46500000</v>
      </c>
    </row>
    <row r="342" spans="1:11">
      <c r="A342" s="35"/>
      <c r="B342" s="35"/>
      <c r="C342" s="35" t="s">
        <v>27</v>
      </c>
      <c r="D342" s="35"/>
      <c r="E342" s="35"/>
      <c r="F342" s="36"/>
      <c r="G342" s="37">
        <f>SUM(G338:G341)</f>
        <v>155000000</v>
      </c>
      <c r="H342" s="38">
        <f>SUM(H338:H341)</f>
        <v>24396638</v>
      </c>
      <c r="I342" s="38"/>
      <c r="J342" s="38">
        <f>SUM(J338:J341)</f>
        <v>250000</v>
      </c>
      <c r="K342" s="38">
        <f>SUM(K338:K341)</f>
        <v>130353362</v>
      </c>
    </row>
    <row r="343" spans="1:11">
      <c r="A343" s="39"/>
      <c r="B343" s="8"/>
      <c r="C343" s="8"/>
      <c r="D343" s="8"/>
      <c r="E343" s="8"/>
      <c r="F343" s="8"/>
      <c r="G343" s="40"/>
      <c r="H343" s="40"/>
      <c r="I343" s="40"/>
      <c r="J343" s="40"/>
      <c r="K343" s="40"/>
    </row>
    <row r="344" spans="1:11">
      <c r="A344" s="63" t="s">
        <v>28</v>
      </c>
      <c r="B344" s="63"/>
      <c r="C344" s="63"/>
      <c r="D344" s="11" t="s">
        <v>4</v>
      </c>
      <c r="E344" s="14">
        <f>J342</f>
        <v>250000</v>
      </c>
      <c r="F344" s="41"/>
      <c r="G344" s="42"/>
      <c r="H344" s="42"/>
      <c r="I344" s="42"/>
      <c r="J344" s="9"/>
      <c r="K344" s="9"/>
    </row>
    <row r="345" spans="1:11">
      <c r="A345" s="10" t="s">
        <v>29</v>
      </c>
      <c r="B345" s="10"/>
      <c r="C345" s="10"/>
      <c r="D345" s="11" t="s">
        <v>4</v>
      </c>
      <c r="E345" s="43"/>
      <c r="F345" s="43"/>
      <c r="G345" s="44"/>
      <c r="H345" s="12"/>
      <c r="I345" s="12"/>
      <c r="J345" s="9"/>
      <c r="K345" s="9"/>
    </row>
    <row r="346" spans="1:11">
      <c r="A346" s="10" t="s">
        <v>30</v>
      </c>
      <c r="B346" s="10"/>
      <c r="C346" s="10"/>
      <c r="D346" s="11" t="s">
        <v>4</v>
      </c>
      <c r="E346" s="45"/>
      <c r="F346" s="45"/>
      <c r="G346" s="44"/>
      <c r="H346" s="12"/>
      <c r="I346" s="12"/>
      <c r="J346" s="9"/>
      <c r="K346" s="9"/>
    </row>
    <row r="347" spans="1:11">
      <c r="A347" s="10" t="s">
        <v>31</v>
      </c>
      <c r="B347" s="10"/>
      <c r="C347" s="10"/>
      <c r="D347" s="11" t="s">
        <v>4</v>
      </c>
      <c r="E347" s="45">
        <f>E345+E346</f>
        <v>0</v>
      </c>
      <c r="F347" s="45"/>
      <c r="G347" s="10"/>
      <c r="H347" s="12"/>
      <c r="I347" s="12"/>
      <c r="J347" s="47"/>
      <c r="K347" s="47"/>
    </row>
    <row r="348" spans="1:11">
      <c r="A348" s="13"/>
      <c r="B348" s="13"/>
      <c r="C348" s="13"/>
      <c r="D348" s="11"/>
      <c r="E348" s="13"/>
      <c r="F348" s="13"/>
      <c r="G348" s="10"/>
      <c r="H348" s="12"/>
      <c r="I348" s="12"/>
      <c r="J348" s="47"/>
      <c r="K348" s="47"/>
    </row>
    <row r="349" spans="1:11">
      <c r="A349" s="63" t="s">
        <v>32</v>
      </c>
      <c r="B349" s="63"/>
      <c r="C349" s="63"/>
      <c r="D349" s="11" t="s">
        <v>4</v>
      </c>
      <c r="E349" s="41">
        <f>E344-E347</f>
        <v>250000</v>
      </c>
      <c r="F349" s="41"/>
      <c r="G349" s="10"/>
      <c r="H349" s="12"/>
      <c r="I349" s="12"/>
      <c r="J349" s="47"/>
      <c r="K349" s="47"/>
    </row>
    <row r="350" spans="1:11" ht="15.75">
      <c r="A350" s="13"/>
      <c r="B350" s="13"/>
      <c r="C350" s="10"/>
      <c r="D350" s="10"/>
      <c r="E350" s="16" t="str">
        <f>PROPER(IF(E349=0,"nol",IF(E349&lt;0,"minus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349),"000000000000000"),1,3)=0,"",MID(TEXT(ABS(E349),"000000000000000"),1,1)&amp;" ratus "&amp;MID(TEXT(ABS(E349),"000000000000000"),2,1)&amp;" puluh "&amp;MID(TEXT(ABS(E349),"000000000000000"),3,1)&amp;" trilyun ")&amp;IF(--MID(TEXT(ABS(E349),"000000000000000"),4,3)=0,"",MID(TEXT(ABS(E349),"000000000000000"),4,1)&amp;" ratus "&amp;MID(TEXT(ABS(E349),"000000000000000"),5,1)&amp;" puluh "&amp;MID(TEXT(ABS(E349),"000000000000000"),6,1)&amp;" milyar ")&amp;IF(--MID(TEXT(ABS(E349),"000000000000000"),7,3)=0,"",MID(TEXT(ABS(E349),"000000000000000"),7,1)&amp;" ratus "&amp;MID(TEXT(ABS(E349),"000000000000000"),8,1)&amp;" puluh "&amp;MID(TEXT(ABS(E349),"000000000000000"),9,1)&amp;" juta ")&amp;IF(--MID(TEXT(ABS(E349),"000000000000000"),10,3)=0,"",IF(--MID(TEXT(ABS(E349),"000000000000000"),10,3)=1,"*",MID(TEXT(ABS(E349),"000000000000000"),10,1)&amp;" ratus "&amp;MID(TEXT(ABS(E349),"000000000000000"),11,1)&amp;" puluh ")&amp;MID(TEXT(ABS(E349),"000000000000000"),12,1)&amp;" ribu ")&amp;IF(--MID(TEXT(ABS(E349),"000000000000000"),13,3)=0,"",MID(TEXT(ABS(E349),"000000000000000"),13,1)&amp;" ratus "&amp;MID(TEXT(ABS(E349),"000000000000000"),14,1)&amp;" puluh "&amp;MID(TEXT(ABS(E349),"000000000000000"),15,1)),1,"satu"),2,"dua"),3,"tiga"),4,"empat"),5,"lima"),6,"enam"),7,"tujuh"),8,"delapan"),9,"sembilan"),"0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Dua Ratus Lima Puluh Ribu Rupiah</v>
      </c>
      <c r="F350" s="10"/>
      <c r="G350" s="10"/>
      <c r="H350" s="10"/>
      <c r="I350" s="10"/>
      <c r="J350" s="47"/>
      <c r="K350" s="47"/>
    </row>
    <row r="351" spans="1:11">
      <c r="A351" s="46"/>
      <c r="B351" s="46"/>
      <c r="C351" s="46"/>
      <c r="D351" s="46"/>
      <c r="E351" s="46"/>
      <c r="F351" s="46"/>
      <c r="G351" s="29"/>
      <c r="H351" s="47"/>
      <c r="I351" s="47"/>
      <c r="J351" s="47"/>
      <c r="K351" s="47"/>
    </row>
    <row r="352" spans="1:11">
      <c r="A352" s="29"/>
      <c r="B352" s="29"/>
      <c r="C352" s="29"/>
      <c r="D352" s="29"/>
      <c r="E352" s="29"/>
      <c r="F352" s="29"/>
      <c r="G352" s="29"/>
      <c r="H352"/>
      <c r="I352"/>
      <c r="J352" s="47"/>
      <c r="K352" s="47"/>
    </row>
    <row r="353" spans="1:11">
      <c r="A353" s="13"/>
      <c r="B353" s="13"/>
      <c r="C353" s="10"/>
      <c r="D353" s="10"/>
      <c r="E353" s="10"/>
      <c r="F353" s="10"/>
      <c r="G353" s="10"/>
      <c r="I353" s="48"/>
      <c r="J353" s="48" t="s">
        <v>78</v>
      </c>
      <c r="K353" s="47"/>
    </row>
    <row r="354" spans="1:11">
      <c r="A354" s="12" t="s">
        <v>33</v>
      </c>
      <c r="B354" s="10"/>
      <c r="C354" s="10"/>
      <c r="D354" s="10"/>
      <c r="E354" s="10"/>
      <c r="F354" s="10"/>
      <c r="G354" s="10"/>
      <c r="I354" s="12"/>
      <c r="J354" s="12" t="s">
        <v>34</v>
      </c>
      <c r="K354" s="47"/>
    </row>
    <row r="355" spans="1:11">
      <c r="A355" s="10"/>
      <c r="B355" s="10"/>
      <c r="C355" s="10"/>
      <c r="D355" s="10"/>
      <c r="E355" s="10"/>
      <c r="F355" s="10"/>
      <c r="G355" s="10"/>
      <c r="I355" s="12"/>
      <c r="J355" s="12"/>
      <c r="K355" s="47"/>
    </row>
    <row r="356" spans="1:11">
      <c r="A356" s="10"/>
      <c r="B356" s="10"/>
      <c r="C356" s="10"/>
      <c r="D356" s="10"/>
      <c r="E356" s="10"/>
      <c r="F356" s="10"/>
      <c r="G356" s="10"/>
      <c r="I356" s="12"/>
      <c r="J356" s="12"/>
      <c r="K356" s="47"/>
    </row>
    <row r="357" spans="1:11">
      <c r="A357" s="10"/>
      <c r="B357" s="10"/>
      <c r="C357" s="10"/>
      <c r="D357" s="10"/>
      <c r="E357" s="10"/>
      <c r="F357" s="10"/>
      <c r="G357" s="10"/>
      <c r="I357" s="12"/>
      <c r="J357" s="12"/>
      <c r="K357" s="47"/>
    </row>
    <row r="358" spans="1:11">
      <c r="A358" s="10"/>
      <c r="B358" s="10"/>
      <c r="C358" s="10"/>
      <c r="D358" s="10"/>
      <c r="E358" s="10"/>
      <c r="F358" s="10"/>
      <c r="G358" s="10"/>
      <c r="I358" s="12"/>
      <c r="J358" s="12"/>
      <c r="K358" s="47"/>
    </row>
    <row r="359" spans="1:11">
      <c r="A359" s="49" t="s">
        <v>38</v>
      </c>
      <c r="B359" s="49"/>
      <c r="C359" s="50"/>
      <c r="D359" s="50"/>
      <c r="E359" s="50"/>
      <c r="F359" s="50"/>
      <c r="G359" s="10" t="s">
        <v>35</v>
      </c>
      <c r="I359" s="49"/>
      <c r="J359" s="49" t="s">
        <v>36</v>
      </c>
      <c r="K359" s="47"/>
    </row>
    <row r="364" spans="1:11" ht="15.75">
      <c r="C364" s="2"/>
      <c r="D364" s="2"/>
      <c r="E364" s="2"/>
      <c r="F364" s="2"/>
    </row>
    <row r="365" spans="1:11" ht="15.75">
      <c r="A365" s="3"/>
      <c r="B365" s="3"/>
      <c r="C365" s="2"/>
      <c r="D365" s="2"/>
      <c r="E365" s="2"/>
      <c r="F365" s="2"/>
      <c r="G365" s="3"/>
      <c r="H365" s="4"/>
      <c r="I365" s="4"/>
      <c r="J365" s="4"/>
      <c r="K365" s="5"/>
    </row>
    <row r="366" spans="1:11">
      <c r="H366" s="5"/>
      <c r="I366" s="5"/>
      <c r="J366" s="5"/>
      <c r="K366" s="5"/>
    </row>
    <row r="367" spans="1:11">
      <c r="H367" s="5"/>
      <c r="I367" s="5"/>
      <c r="J367" s="5"/>
      <c r="K367" s="5"/>
    </row>
    <row r="368" spans="1:11">
      <c r="A368" s="64" t="s">
        <v>0</v>
      </c>
      <c r="B368" s="64"/>
      <c r="C368" s="58"/>
      <c r="D368" s="58"/>
      <c r="E368" s="58"/>
      <c r="F368" s="58"/>
      <c r="G368" s="58"/>
      <c r="H368" s="58"/>
      <c r="I368" s="58"/>
      <c r="J368" s="58"/>
      <c r="K368" s="58"/>
    </row>
    <row r="369" spans="1:11">
      <c r="A369" s="58" t="s">
        <v>81</v>
      </c>
      <c r="B369" s="58"/>
      <c r="C369" s="58"/>
      <c r="D369" s="58"/>
      <c r="E369" s="58"/>
      <c r="F369" s="58"/>
      <c r="G369" s="58"/>
      <c r="H369" s="58"/>
      <c r="I369" s="58"/>
      <c r="J369" s="58"/>
      <c r="K369" s="58"/>
    </row>
    <row r="370" spans="1:11">
      <c r="A370" s="58" t="s">
        <v>1</v>
      </c>
      <c r="B370" s="58"/>
      <c r="C370" s="58"/>
      <c r="D370" s="58"/>
      <c r="E370" s="58"/>
      <c r="F370" s="58"/>
      <c r="G370" s="58"/>
      <c r="H370" s="58"/>
      <c r="I370" s="58"/>
      <c r="J370" s="58"/>
      <c r="K370" s="58"/>
    </row>
    <row r="371" spans="1:11">
      <c r="A371" s="58" t="s">
        <v>39</v>
      </c>
      <c r="B371" s="58"/>
      <c r="C371" s="58"/>
      <c r="D371" s="58"/>
      <c r="E371" s="58"/>
      <c r="F371" s="58"/>
      <c r="G371" s="58"/>
      <c r="H371" s="58"/>
      <c r="I371" s="58"/>
      <c r="J371" s="58"/>
      <c r="K371" s="58"/>
    </row>
    <row r="372" spans="1:11">
      <c r="A372" s="58" t="s">
        <v>2</v>
      </c>
      <c r="B372" s="58"/>
      <c r="C372" s="58"/>
      <c r="D372" s="58"/>
      <c r="E372" s="58"/>
      <c r="F372" s="58"/>
      <c r="G372" s="58"/>
      <c r="H372" s="58"/>
      <c r="I372" s="58"/>
      <c r="J372" s="58"/>
      <c r="K372" s="58"/>
    </row>
    <row r="373" spans="1:11">
      <c r="A373" s="6"/>
      <c r="B373" s="6"/>
      <c r="C373" s="7"/>
      <c r="D373" s="7"/>
      <c r="E373" s="7"/>
      <c r="F373" s="7"/>
      <c r="G373" s="8"/>
      <c r="H373" s="9"/>
      <c r="I373" s="9"/>
      <c r="J373" s="9"/>
      <c r="K373" s="9"/>
    </row>
    <row r="374" spans="1:11">
      <c r="A374" s="53" t="s">
        <v>3</v>
      </c>
      <c r="B374" s="10"/>
      <c r="C374" s="10"/>
      <c r="D374" s="54" t="s">
        <v>4</v>
      </c>
      <c r="E374" s="10" t="s">
        <v>5</v>
      </c>
      <c r="F374" s="11"/>
      <c r="G374" s="10"/>
      <c r="H374" s="12"/>
      <c r="I374" s="12"/>
      <c r="J374" s="12"/>
      <c r="K374" s="9"/>
    </row>
    <row r="375" spans="1:11">
      <c r="A375" s="53" t="s">
        <v>6</v>
      </c>
      <c r="B375" s="10"/>
      <c r="C375" s="10"/>
      <c r="D375" s="54" t="s">
        <v>4</v>
      </c>
      <c r="E375" s="10" t="s">
        <v>7</v>
      </c>
      <c r="F375" s="11"/>
      <c r="G375" s="10"/>
      <c r="H375" s="12"/>
      <c r="I375" s="12"/>
      <c r="J375" s="12"/>
      <c r="K375" s="9"/>
    </row>
    <row r="376" spans="1:11">
      <c r="A376" s="53" t="s">
        <v>8</v>
      </c>
      <c r="B376" s="10"/>
      <c r="C376" s="10"/>
      <c r="D376" s="54" t="s">
        <v>4</v>
      </c>
      <c r="E376" s="13">
        <v>2026</v>
      </c>
      <c r="F376" s="11"/>
      <c r="G376" s="13"/>
      <c r="H376" s="12"/>
      <c r="I376" s="12"/>
      <c r="J376" s="12"/>
      <c r="K376" s="9"/>
    </row>
    <row r="377" spans="1:11">
      <c r="A377" s="53" t="s">
        <v>9</v>
      </c>
      <c r="B377" s="10"/>
      <c r="C377" s="10"/>
      <c r="D377" s="54" t="s">
        <v>4</v>
      </c>
      <c r="E377" s="14">
        <f>J387</f>
        <v>150000</v>
      </c>
      <c r="F377" s="11"/>
      <c r="G377" s="14"/>
      <c r="H377" s="12"/>
      <c r="I377" s="12"/>
      <c r="J377" s="12"/>
      <c r="K377" s="9"/>
    </row>
    <row r="378" spans="1:11" ht="15.75">
      <c r="A378" s="10"/>
      <c r="B378" s="10"/>
      <c r="C378" s="15" t="s">
        <v>10</v>
      </c>
      <c r="D378" s="54" t="s">
        <v>4</v>
      </c>
      <c r="E378" s="16" t="str">
        <f>PROPER(IF(E377=0,"nol",IF(E377&lt;0,"minus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377),"000000000000000"),1,3)=0,"",MID(TEXT(ABS(E377),"000000000000000"),1,1)&amp;" ratus "&amp;MID(TEXT(ABS(E377),"000000000000000"),2,1)&amp;" puluh "&amp;MID(TEXT(ABS(E377),"000000000000000"),3,1)&amp;" trilyun ")&amp;IF(--MID(TEXT(ABS(E377),"000000000000000"),4,3)=0,"",MID(TEXT(ABS(E377),"000000000000000"),4,1)&amp;" ratus "&amp;MID(TEXT(ABS(E377),"000000000000000"),5,1)&amp;" puluh "&amp;MID(TEXT(ABS(E377),"000000000000000"),6,1)&amp;" milyar ")&amp;IF(--MID(TEXT(ABS(E377),"000000000000000"),7,3)=0,"",MID(TEXT(ABS(E377),"000000000000000"),7,1)&amp;" ratus "&amp;MID(TEXT(ABS(E377),"000000000000000"),8,1)&amp;" puluh "&amp;MID(TEXT(ABS(E377),"000000000000000"),9,1)&amp;" juta ")&amp;IF(--MID(TEXT(ABS(E377),"000000000000000"),10,3)=0,"",IF(--MID(TEXT(ABS(E377),"000000000000000"),10,3)=1,"*",MID(TEXT(ABS(E377),"000000000000000"),10,1)&amp;" ratus "&amp;MID(TEXT(ABS(E377),"000000000000000"),11,1)&amp;" puluh ")&amp;MID(TEXT(ABS(E377),"000000000000000"),12,1)&amp;" ribu ")&amp;IF(--MID(TEXT(ABS(E377),"000000000000000"),13,3)=0,"",MID(TEXT(ABS(E377),"000000000000000"),13,1)&amp;" ratus "&amp;MID(TEXT(ABS(E377),"000000000000000"),14,1)&amp;" puluh "&amp;MID(TEXT(ABS(E377),"000000000000000"),15,1)),1,"satu"),2,"dua"),3,"tiga"),4,"empat"),5,"lima"),6,"enam"),7,"tujuh"),8,"delapan"),9,"sembilan"),"0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Seratus Lima Puluh Ribu Rupiah</v>
      </c>
      <c r="F378" s="11"/>
      <c r="G378" s="16"/>
      <c r="H378" s="12"/>
      <c r="I378" s="12"/>
      <c r="J378" s="12"/>
      <c r="K378" s="9"/>
    </row>
    <row r="379" spans="1:11" ht="15.75">
      <c r="A379" s="10"/>
      <c r="B379" s="10"/>
      <c r="C379" s="15"/>
      <c r="D379" s="15"/>
      <c r="E379" s="15"/>
      <c r="F379" s="11"/>
      <c r="G379" s="16"/>
      <c r="H379" s="12"/>
      <c r="I379" s="12"/>
      <c r="J379" s="12"/>
      <c r="K379" s="9"/>
    </row>
    <row r="380" spans="1:11">
      <c r="A380" s="10" t="s">
        <v>11</v>
      </c>
      <c r="B380" s="10"/>
      <c r="C380" s="10"/>
      <c r="D380" s="10"/>
      <c r="E380" s="10"/>
      <c r="F380" s="10"/>
      <c r="G380" s="10"/>
      <c r="H380" s="12"/>
      <c r="I380" s="12"/>
      <c r="J380" s="12"/>
      <c r="K380" s="9"/>
    </row>
    <row r="381" spans="1:11">
      <c r="A381" s="59" t="s">
        <v>12</v>
      </c>
      <c r="B381" s="59"/>
      <c r="C381" s="59"/>
      <c r="D381" s="59"/>
      <c r="E381" s="59"/>
      <c r="F381" s="59"/>
      <c r="G381" s="59"/>
      <c r="H381" s="59"/>
      <c r="I381" s="59"/>
      <c r="J381" s="59"/>
      <c r="K381" s="59"/>
    </row>
    <row r="382" spans="1:11" ht="60">
      <c r="A382" s="17" t="s">
        <v>13</v>
      </c>
      <c r="B382" s="18" t="s">
        <v>14</v>
      </c>
      <c r="C382" s="60" t="s">
        <v>15</v>
      </c>
      <c r="D382" s="61"/>
      <c r="E382" s="62"/>
      <c r="F382" s="19"/>
      <c r="G382" s="20" t="s">
        <v>16</v>
      </c>
      <c r="H382" s="21" t="s">
        <v>37</v>
      </c>
      <c r="I382" s="21"/>
      <c r="J382" s="31" t="s">
        <v>17</v>
      </c>
      <c r="K382" s="32" t="s">
        <v>18</v>
      </c>
    </row>
    <row r="383" spans="1:11">
      <c r="A383" s="27">
        <v>1</v>
      </c>
      <c r="B383" s="24"/>
      <c r="C383" s="28" t="s">
        <v>23</v>
      </c>
      <c r="D383" s="57"/>
      <c r="E383" s="26"/>
      <c r="F383" s="25"/>
      <c r="G383" s="55" t="s">
        <v>19</v>
      </c>
      <c r="H383" s="55" t="s">
        <v>19</v>
      </c>
      <c r="I383" s="55"/>
      <c r="J383" s="55" t="s">
        <v>19</v>
      </c>
      <c r="K383" s="55" t="s">
        <v>19</v>
      </c>
    </row>
    <row r="384" spans="1:11">
      <c r="A384" s="24"/>
      <c r="B384" s="56" t="s">
        <v>20</v>
      </c>
      <c r="C384" s="25" t="s">
        <v>24</v>
      </c>
      <c r="D384" s="10"/>
      <c r="E384" s="26"/>
      <c r="F384" s="25"/>
      <c r="G384" s="22">
        <v>75000000</v>
      </c>
      <c r="H384" s="23">
        <f>H339+J339</f>
        <v>16219844</v>
      </c>
      <c r="I384" s="23"/>
      <c r="J384" s="33">
        <v>150000</v>
      </c>
      <c r="K384" s="34">
        <f>G384-H384-J384</f>
        <v>58630156</v>
      </c>
    </row>
    <row r="385" spans="1:11">
      <c r="A385" s="24"/>
      <c r="B385" s="56" t="s">
        <v>21</v>
      </c>
      <c r="C385" s="25" t="s">
        <v>25</v>
      </c>
      <c r="D385" s="10"/>
      <c r="E385" s="26"/>
      <c r="F385" s="25"/>
      <c r="G385" s="22">
        <v>30000000</v>
      </c>
      <c r="H385" s="23">
        <f t="shared" ref="H385:H386" si="15">H340+J340</f>
        <v>4926794</v>
      </c>
      <c r="I385" s="23"/>
      <c r="J385" s="33">
        <v>0</v>
      </c>
      <c r="K385" s="34">
        <f t="shared" ref="K385:K386" si="16">G385-H385-J385</f>
        <v>25073206</v>
      </c>
    </row>
    <row r="386" spans="1:11">
      <c r="A386" s="24"/>
      <c r="B386" s="56" t="s">
        <v>22</v>
      </c>
      <c r="C386" s="25" t="s">
        <v>26</v>
      </c>
      <c r="D386" s="10"/>
      <c r="E386" s="26"/>
      <c r="F386" s="25"/>
      <c r="G386" s="22">
        <v>50000000</v>
      </c>
      <c r="H386" s="23">
        <f t="shared" si="15"/>
        <v>3500000</v>
      </c>
      <c r="I386" s="23"/>
      <c r="J386" s="33">
        <v>0</v>
      </c>
      <c r="K386" s="34">
        <f t="shared" si="16"/>
        <v>46500000</v>
      </c>
    </row>
    <row r="387" spans="1:11">
      <c r="A387" s="35"/>
      <c r="B387" s="35"/>
      <c r="C387" s="35" t="s">
        <v>27</v>
      </c>
      <c r="D387" s="35"/>
      <c r="E387" s="35"/>
      <c r="F387" s="36"/>
      <c r="G387" s="37">
        <f>SUM(G383:G386)</f>
        <v>155000000</v>
      </c>
      <c r="H387" s="38">
        <f>SUM(H383:H386)</f>
        <v>24646638</v>
      </c>
      <c r="I387" s="38"/>
      <c r="J387" s="38">
        <f>SUM(J383:J386)</f>
        <v>150000</v>
      </c>
      <c r="K387" s="38">
        <f>SUM(K383:K386)</f>
        <v>130203362</v>
      </c>
    </row>
    <row r="388" spans="1:11">
      <c r="A388" s="39"/>
      <c r="B388" s="8"/>
      <c r="C388" s="8"/>
      <c r="D388" s="8"/>
      <c r="E388" s="8"/>
      <c r="F388" s="8"/>
      <c r="G388" s="40"/>
      <c r="H388" s="40"/>
      <c r="I388" s="40"/>
      <c r="J388" s="40"/>
      <c r="K388" s="40"/>
    </row>
    <row r="389" spans="1:11">
      <c r="A389" s="63" t="s">
        <v>28</v>
      </c>
      <c r="B389" s="63"/>
      <c r="C389" s="63"/>
      <c r="D389" s="11" t="s">
        <v>4</v>
      </c>
      <c r="E389" s="14">
        <f>J387</f>
        <v>150000</v>
      </c>
      <c r="F389" s="41"/>
      <c r="G389" s="42"/>
      <c r="H389" s="42"/>
      <c r="I389" s="42"/>
      <c r="J389" s="9"/>
      <c r="K389" s="9"/>
    </row>
    <row r="390" spans="1:11">
      <c r="A390" s="10" t="s">
        <v>29</v>
      </c>
      <c r="B390" s="10"/>
      <c r="C390" s="10"/>
      <c r="D390" s="11" t="s">
        <v>4</v>
      </c>
      <c r="E390" s="43"/>
      <c r="F390" s="43"/>
      <c r="G390" s="44"/>
      <c r="H390" s="12"/>
      <c r="I390" s="12"/>
      <c r="J390" s="9"/>
      <c r="K390" s="9"/>
    </row>
    <row r="391" spans="1:11">
      <c r="A391" s="10" t="s">
        <v>30</v>
      </c>
      <c r="B391" s="10"/>
      <c r="C391" s="10"/>
      <c r="D391" s="11" t="s">
        <v>4</v>
      </c>
      <c r="E391" s="45"/>
      <c r="F391" s="45"/>
      <c r="G391" s="44"/>
      <c r="H391" s="12"/>
      <c r="I391" s="12"/>
      <c r="J391" s="9"/>
      <c r="K391" s="9"/>
    </row>
    <row r="392" spans="1:11">
      <c r="A392" s="10" t="s">
        <v>31</v>
      </c>
      <c r="B392" s="10"/>
      <c r="C392" s="10"/>
      <c r="D392" s="11" t="s">
        <v>4</v>
      </c>
      <c r="E392" s="45">
        <f>E390+E391</f>
        <v>0</v>
      </c>
      <c r="F392" s="45"/>
      <c r="G392" s="10"/>
      <c r="H392" s="12"/>
      <c r="I392" s="12"/>
      <c r="J392" s="47"/>
      <c r="K392" s="47"/>
    </row>
    <row r="393" spans="1:11">
      <c r="A393" s="13"/>
      <c r="B393" s="13"/>
      <c r="C393" s="13"/>
      <c r="D393" s="11"/>
      <c r="E393" s="13"/>
      <c r="F393" s="13"/>
      <c r="G393" s="10"/>
      <c r="H393" s="12"/>
      <c r="I393" s="12"/>
      <c r="J393" s="47"/>
      <c r="K393" s="47"/>
    </row>
    <row r="394" spans="1:11">
      <c r="A394" s="63" t="s">
        <v>32</v>
      </c>
      <c r="B394" s="63"/>
      <c r="C394" s="63"/>
      <c r="D394" s="11" t="s">
        <v>4</v>
      </c>
      <c r="E394" s="41">
        <f>E389-E392</f>
        <v>150000</v>
      </c>
      <c r="F394" s="41"/>
      <c r="G394" s="10"/>
      <c r="H394" s="12"/>
      <c r="I394" s="12"/>
      <c r="J394" s="47"/>
      <c r="K394" s="47"/>
    </row>
    <row r="395" spans="1:11" ht="15.75">
      <c r="A395" s="13"/>
      <c r="B395" s="13"/>
      <c r="C395" s="10"/>
      <c r="D395" s="10"/>
      <c r="E395" s="16" t="str">
        <f>PROPER(IF(E394=0,"nol",IF(E394&lt;0,"minus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394),"000000000000000"),1,3)=0,"",MID(TEXT(ABS(E394),"000000000000000"),1,1)&amp;" ratus "&amp;MID(TEXT(ABS(E394),"000000000000000"),2,1)&amp;" puluh "&amp;MID(TEXT(ABS(E394),"000000000000000"),3,1)&amp;" trilyun ")&amp;IF(--MID(TEXT(ABS(E394),"000000000000000"),4,3)=0,"",MID(TEXT(ABS(E394),"000000000000000"),4,1)&amp;" ratus "&amp;MID(TEXT(ABS(E394),"000000000000000"),5,1)&amp;" puluh "&amp;MID(TEXT(ABS(E394),"000000000000000"),6,1)&amp;" milyar ")&amp;IF(--MID(TEXT(ABS(E394),"000000000000000"),7,3)=0,"",MID(TEXT(ABS(E394),"000000000000000"),7,1)&amp;" ratus "&amp;MID(TEXT(ABS(E394),"000000000000000"),8,1)&amp;" puluh "&amp;MID(TEXT(ABS(E394),"000000000000000"),9,1)&amp;" juta ")&amp;IF(--MID(TEXT(ABS(E394),"000000000000000"),10,3)=0,"",IF(--MID(TEXT(ABS(E394),"000000000000000"),10,3)=1,"*",MID(TEXT(ABS(E394),"000000000000000"),10,1)&amp;" ratus "&amp;MID(TEXT(ABS(E394),"000000000000000"),11,1)&amp;" puluh ")&amp;MID(TEXT(ABS(E394),"000000000000000"),12,1)&amp;" ribu ")&amp;IF(--MID(TEXT(ABS(E394),"000000000000000"),13,3)=0,"",MID(TEXT(ABS(E394),"000000000000000"),13,1)&amp;" ratus "&amp;MID(TEXT(ABS(E394),"000000000000000"),14,1)&amp;" puluh "&amp;MID(TEXT(ABS(E394),"000000000000000"),15,1)),1,"satu"),2,"dua"),3,"tiga"),4,"empat"),5,"lima"),6,"enam"),7,"tujuh"),8,"delapan"),9,"sembilan"),"0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Seratus Lima Puluh Ribu Rupiah</v>
      </c>
      <c r="F395" s="10"/>
      <c r="G395" s="10"/>
      <c r="H395" s="10"/>
      <c r="I395" s="10"/>
      <c r="J395" s="47"/>
      <c r="K395" s="47"/>
    </row>
    <row r="396" spans="1:11">
      <c r="A396" s="46"/>
      <c r="B396" s="46"/>
      <c r="C396" s="46"/>
      <c r="D396" s="46"/>
      <c r="E396" s="46"/>
      <c r="F396" s="46"/>
      <c r="G396" s="29"/>
      <c r="H396" s="47"/>
      <c r="I396" s="47"/>
      <c r="J396" s="47"/>
      <c r="K396" s="47"/>
    </row>
    <row r="397" spans="1:11">
      <c r="A397" s="29"/>
      <c r="B397" s="29"/>
      <c r="C397" s="29"/>
      <c r="D397" s="29"/>
      <c r="E397" s="29"/>
      <c r="F397" s="29"/>
      <c r="G397" s="29"/>
      <c r="H397"/>
      <c r="I397"/>
      <c r="J397" s="47"/>
      <c r="K397" s="47"/>
    </row>
    <row r="398" spans="1:11">
      <c r="A398" s="13"/>
      <c r="B398" s="13"/>
      <c r="C398" s="10"/>
      <c r="D398" s="10"/>
      <c r="E398" s="10"/>
      <c r="F398" s="10"/>
      <c r="G398" s="10"/>
      <c r="I398" s="48"/>
      <c r="J398" s="48" t="s">
        <v>80</v>
      </c>
      <c r="K398" s="47"/>
    </row>
    <row r="399" spans="1:11">
      <c r="A399" s="12" t="s">
        <v>33</v>
      </c>
      <c r="B399" s="10"/>
      <c r="C399" s="10"/>
      <c r="D399" s="10"/>
      <c r="E399" s="10"/>
      <c r="F399" s="10"/>
      <c r="G399" s="10"/>
      <c r="I399" s="12"/>
      <c r="J399" s="12" t="s">
        <v>34</v>
      </c>
      <c r="K399" s="47"/>
    </row>
    <row r="400" spans="1:11">
      <c r="A400" s="10"/>
      <c r="B400" s="10"/>
      <c r="C400" s="10"/>
      <c r="D400" s="10"/>
      <c r="E400" s="10"/>
      <c r="F400" s="10"/>
      <c r="G400" s="10"/>
      <c r="I400" s="12"/>
      <c r="J400" s="12"/>
      <c r="K400" s="47"/>
    </row>
    <row r="401" spans="1:11">
      <c r="A401" s="10"/>
      <c r="B401" s="10"/>
      <c r="C401" s="10"/>
      <c r="D401" s="10"/>
      <c r="E401" s="10"/>
      <c r="F401" s="10"/>
      <c r="G401" s="10"/>
      <c r="I401" s="12"/>
      <c r="J401" s="12"/>
      <c r="K401" s="47"/>
    </row>
    <row r="402" spans="1:11">
      <c r="A402" s="10"/>
      <c r="B402" s="10"/>
      <c r="C402" s="10"/>
      <c r="D402" s="10"/>
      <c r="E402" s="10"/>
      <c r="F402" s="10"/>
      <c r="G402" s="10"/>
      <c r="I402" s="12"/>
      <c r="J402" s="12"/>
      <c r="K402" s="47"/>
    </row>
    <row r="403" spans="1:11">
      <c r="A403" s="10"/>
      <c r="B403" s="10"/>
      <c r="C403" s="10"/>
      <c r="D403" s="10"/>
      <c r="E403" s="10"/>
      <c r="F403" s="10"/>
      <c r="G403" s="10"/>
      <c r="I403" s="12"/>
      <c r="J403" s="12"/>
      <c r="K403" s="47"/>
    </row>
    <row r="404" spans="1:11">
      <c r="A404" s="49" t="s">
        <v>38</v>
      </c>
      <c r="B404" s="49"/>
      <c r="C404" s="50"/>
      <c r="D404" s="50"/>
      <c r="E404" s="50"/>
      <c r="F404" s="50"/>
      <c r="G404" s="10" t="s">
        <v>35</v>
      </c>
      <c r="I404" s="49"/>
      <c r="J404" s="49" t="s">
        <v>36</v>
      </c>
      <c r="K404" s="47"/>
    </row>
    <row r="409" spans="1:11" ht="15.75">
      <c r="C409" s="2"/>
      <c r="D409" s="2"/>
      <c r="E409" s="2"/>
      <c r="F409" s="2"/>
    </row>
    <row r="410" spans="1:11" ht="15.75">
      <c r="A410" s="3"/>
      <c r="B410" s="3"/>
      <c r="C410" s="2"/>
      <c r="D410" s="2"/>
      <c r="E410" s="2"/>
      <c r="F410" s="2"/>
      <c r="G410" s="3"/>
      <c r="H410" s="4"/>
      <c r="I410" s="4"/>
      <c r="J410" s="4"/>
      <c r="K410" s="5"/>
    </row>
    <row r="411" spans="1:11">
      <c r="H411" s="5"/>
      <c r="I411" s="5"/>
      <c r="J411" s="5"/>
      <c r="K411" s="5"/>
    </row>
    <row r="412" spans="1:11">
      <c r="H412" s="5"/>
      <c r="I412" s="5"/>
      <c r="J412" s="5"/>
      <c r="K412" s="5"/>
    </row>
    <row r="413" spans="1:11">
      <c r="A413" s="64" t="s">
        <v>0</v>
      </c>
      <c r="B413" s="64"/>
      <c r="C413" s="58"/>
      <c r="D413" s="58"/>
      <c r="E413" s="58"/>
      <c r="F413" s="58"/>
      <c r="G413" s="58"/>
      <c r="H413" s="58"/>
      <c r="I413" s="58"/>
      <c r="J413" s="58"/>
      <c r="K413" s="58"/>
    </row>
    <row r="414" spans="1:11">
      <c r="A414" s="58" t="s">
        <v>82</v>
      </c>
      <c r="B414" s="58"/>
      <c r="C414" s="58"/>
      <c r="D414" s="58"/>
      <c r="E414" s="58"/>
      <c r="F414" s="58"/>
      <c r="G414" s="58"/>
      <c r="H414" s="58"/>
      <c r="I414" s="58"/>
      <c r="J414" s="58"/>
      <c r="K414" s="58"/>
    </row>
    <row r="415" spans="1:11">
      <c r="A415" s="58" t="s">
        <v>1</v>
      </c>
      <c r="B415" s="58"/>
      <c r="C415" s="58"/>
      <c r="D415" s="58"/>
      <c r="E415" s="58"/>
      <c r="F415" s="58"/>
      <c r="G415" s="58"/>
      <c r="H415" s="58"/>
      <c r="I415" s="58"/>
      <c r="J415" s="58"/>
      <c r="K415" s="58"/>
    </row>
    <row r="416" spans="1:11">
      <c r="A416" s="58" t="s">
        <v>39</v>
      </c>
      <c r="B416" s="58"/>
      <c r="C416" s="58"/>
      <c r="D416" s="58"/>
      <c r="E416" s="58"/>
      <c r="F416" s="58"/>
      <c r="G416" s="58"/>
      <c r="H416" s="58"/>
      <c r="I416" s="58"/>
      <c r="J416" s="58"/>
      <c r="K416" s="58"/>
    </row>
    <row r="417" spans="1:11">
      <c r="A417" s="58" t="s">
        <v>2</v>
      </c>
      <c r="B417" s="58"/>
      <c r="C417" s="58"/>
      <c r="D417" s="58"/>
      <c r="E417" s="58"/>
      <c r="F417" s="58"/>
      <c r="G417" s="58"/>
      <c r="H417" s="58"/>
      <c r="I417" s="58"/>
      <c r="J417" s="58"/>
      <c r="K417" s="58"/>
    </row>
    <row r="418" spans="1:11">
      <c r="A418" s="6"/>
      <c r="B418" s="6"/>
      <c r="C418" s="7"/>
      <c r="D418" s="7"/>
      <c r="E418" s="7"/>
      <c r="F418" s="7"/>
      <c r="G418" s="8"/>
      <c r="H418" s="9"/>
      <c r="I418" s="9"/>
      <c r="J418" s="9"/>
      <c r="K418" s="9"/>
    </row>
    <row r="419" spans="1:11">
      <c r="A419" s="53" t="s">
        <v>3</v>
      </c>
      <c r="B419" s="10"/>
      <c r="C419" s="10"/>
      <c r="D419" s="54" t="s">
        <v>4</v>
      </c>
      <c r="E419" s="10" t="s">
        <v>5</v>
      </c>
      <c r="F419" s="11"/>
      <c r="G419" s="10"/>
      <c r="H419" s="12"/>
      <c r="I419" s="12"/>
      <c r="J419" s="12"/>
      <c r="K419" s="9"/>
    </row>
    <row r="420" spans="1:11">
      <c r="A420" s="53" t="s">
        <v>6</v>
      </c>
      <c r="B420" s="10"/>
      <c r="C420" s="10"/>
      <c r="D420" s="54" t="s">
        <v>4</v>
      </c>
      <c r="E420" s="10" t="s">
        <v>7</v>
      </c>
      <c r="F420" s="11"/>
      <c r="G420" s="10"/>
      <c r="H420" s="12"/>
      <c r="I420" s="12"/>
      <c r="J420" s="12"/>
      <c r="K420" s="9"/>
    </row>
    <row r="421" spans="1:11">
      <c r="A421" s="53" t="s">
        <v>8</v>
      </c>
      <c r="B421" s="10"/>
      <c r="C421" s="10"/>
      <c r="D421" s="54" t="s">
        <v>4</v>
      </c>
      <c r="E421" s="13">
        <v>2026</v>
      </c>
      <c r="F421" s="11"/>
      <c r="G421" s="13"/>
      <c r="H421" s="12"/>
      <c r="I421" s="12"/>
      <c r="J421" s="12"/>
      <c r="K421" s="9"/>
    </row>
    <row r="422" spans="1:11">
      <c r="A422" s="53" t="s">
        <v>9</v>
      </c>
      <c r="B422" s="10"/>
      <c r="C422" s="10"/>
      <c r="D422" s="54" t="s">
        <v>4</v>
      </c>
      <c r="E422" s="14">
        <f>J432</f>
        <v>3500000</v>
      </c>
      <c r="F422" s="11"/>
      <c r="G422" s="14"/>
      <c r="H422" s="12"/>
      <c r="I422" s="12"/>
      <c r="J422" s="12"/>
      <c r="K422" s="9"/>
    </row>
    <row r="423" spans="1:11" ht="15.75">
      <c r="A423" s="10"/>
      <c r="B423" s="10"/>
      <c r="C423" s="15" t="s">
        <v>10</v>
      </c>
      <c r="D423" s="54" t="s">
        <v>4</v>
      </c>
      <c r="E423" s="16" t="str">
        <f>PROPER(IF(E422=0,"nol",IF(E422&lt;0,"minus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422),"000000000000000"),1,3)=0,"",MID(TEXT(ABS(E422),"000000000000000"),1,1)&amp;" ratus "&amp;MID(TEXT(ABS(E422),"000000000000000"),2,1)&amp;" puluh "&amp;MID(TEXT(ABS(E422),"000000000000000"),3,1)&amp;" trilyun ")&amp;IF(--MID(TEXT(ABS(E422),"000000000000000"),4,3)=0,"",MID(TEXT(ABS(E422),"000000000000000"),4,1)&amp;" ratus "&amp;MID(TEXT(ABS(E422),"000000000000000"),5,1)&amp;" puluh "&amp;MID(TEXT(ABS(E422),"000000000000000"),6,1)&amp;" milyar ")&amp;IF(--MID(TEXT(ABS(E422),"000000000000000"),7,3)=0,"",MID(TEXT(ABS(E422),"000000000000000"),7,1)&amp;" ratus "&amp;MID(TEXT(ABS(E422),"000000000000000"),8,1)&amp;" puluh "&amp;MID(TEXT(ABS(E422),"000000000000000"),9,1)&amp;" juta ")&amp;IF(--MID(TEXT(ABS(E422),"000000000000000"),10,3)=0,"",IF(--MID(TEXT(ABS(E422),"000000000000000"),10,3)=1,"*",MID(TEXT(ABS(E422),"000000000000000"),10,1)&amp;" ratus "&amp;MID(TEXT(ABS(E422),"000000000000000"),11,1)&amp;" puluh ")&amp;MID(TEXT(ABS(E422),"000000000000000"),12,1)&amp;" ribu ")&amp;IF(--MID(TEXT(ABS(E422),"000000000000000"),13,3)=0,"",MID(TEXT(ABS(E422),"000000000000000"),13,1)&amp;" ratus "&amp;MID(TEXT(ABS(E422),"000000000000000"),14,1)&amp;" puluh "&amp;MID(TEXT(ABS(E422),"000000000000000"),15,1)),1,"satu"),2,"dua"),3,"tiga"),4,"empat"),5,"lima"),6,"enam"),7,"tujuh"),8,"delapan"),9,"sembilan"),"0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Tiga Juta Lima Ratus Ribu Rupiah</v>
      </c>
      <c r="F423" s="11"/>
      <c r="G423" s="16"/>
      <c r="H423" s="12"/>
      <c r="I423" s="12"/>
      <c r="J423" s="12"/>
      <c r="K423" s="9"/>
    </row>
    <row r="424" spans="1:11" ht="15.75">
      <c r="A424" s="10"/>
      <c r="B424" s="10"/>
      <c r="C424" s="15"/>
      <c r="D424" s="15"/>
      <c r="E424" s="15"/>
      <c r="F424" s="11"/>
      <c r="G424" s="16"/>
      <c r="H424" s="12"/>
      <c r="I424" s="12"/>
      <c r="J424" s="12"/>
      <c r="K424" s="9"/>
    </row>
    <row r="425" spans="1:11">
      <c r="A425" s="10" t="s">
        <v>11</v>
      </c>
      <c r="B425" s="10"/>
      <c r="C425" s="10"/>
      <c r="D425" s="10"/>
      <c r="E425" s="10"/>
      <c r="F425" s="10"/>
      <c r="G425" s="10"/>
      <c r="H425" s="12"/>
      <c r="I425" s="12"/>
      <c r="J425" s="12"/>
      <c r="K425" s="9"/>
    </row>
    <row r="426" spans="1:11">
      <c r="A426" s="59" t="s">
        <v>12</v>
      </c>
      <c r="B426" s="59"/>
      <c r="C426" s="59"/>
      <c r="D426" s="59"/>
      <c r="E426" s="59"/>
      <c r="F426" s="59"/>
      <c r="G426" s="59"/>
      <c r="H426" s="59"/>
      <c r="I426" s="59"/>
      <c r="J426" s="59"/>
      <c r="K426" s="59"/>
    </row>
    <row r="427" spans="1:11" ht="60">
      <c r="A427" s="17" t="s">
        <v>13</v>
      </c>
      <c r="B427" s="18" t="s">
        <v>14</v>
      </c>
      <c r="C427" s="60" t="s">
        <v>15</v>
      </c>
      <c r="D427" s="61"/>
      <c r="E427" s="62"/>
      <c r="F427" s="19"/>
      <c r="G427" s="20" t="s">
        <v>16</v>
      </c>
      <c r="H427" s="21" t="s">
        <v>37</v>
      </c>
      <c r="I427" s="21"/>
      <c r="J427" s="31" t="s">
        <v>17</v>
      </c>
      <c r="K427" s="32" t="s">
        <v>18</v>
      </c>
    </row>
    <row r="428" spans="1:11">
      <c r="A428" s="27">
        <v>1</v>
      </c>
      <c r="B428" s="24"/>
      <c r="C428" s="28" t="s">
        <v>23</v>
      </c>
      <c r="D428" s="57"/>
      <c r="E428" s="26"/>
      <c r="F428" s="25"/>
      <c r="G428" s="55" t="s">
        <v>19</v>
      </c>
      <c r="H428" s="55" t="s">
        <v>19</v>
      </c>
      <c r="I428" s="55"/>
      <c r="J428" s="55" t="s">
        <v>19</v>
      </c>
      <c r="K428" s="55" t="s">
        <v>19</v>
      </c>
    </row>
    <row r="429" spans="1:11">
      <c r="A429" s="24"/>
      <c r="B429" s="56" t="s">
        <v>20</v>
      </c>
      <c r="C429" s="25" t="s">
        <v>24</v>
      </c>
      <c r="D429" s="10"/>
      <c r="E429" s="26"/>
      <c r="F429" s="25"/>
      <c r="G429" s="22">
        <v>75000000</v>
      </c>
      <c r="H429" s="23">
        <f>H384+J384</f>
        <v>16369844</v>
      </c>
      <c r="I429" s="23"/>
      <c r="J429" s="33">
        <v>3500000</v>
      </c>
      <c r="K429" s="34">
        <f>G429-H429-J429</f>
        <v>55130156</v>
      </c>
    </row>
    <row r="430" spans="1:11">
      <c r="A430" s="24"/>
      <c r="B430" s="56" t="s">
        <v>21</v>
      </c>
      <c r="C430" s="25" t="s">
        <v>25</v>
      </c>
      <c r="D430" s="10"/>
      <c r="E430" s="26"/>
      <c r="F430" s="25"/>
      <c r="G430" s="22">
        <v>30000000</v>
      </c>
      <c r="H430" s="23">
        <f t="shared" ref="H430:H431" si="17">H385+J385</f>
        <v>4926794</v>
      </c>
      <c r="I430" s="23"/>
      <c r="J430" s="33">
        <v>0</v>
      </c>
      <c r="K430" s="34">
        <f t="shared" ref="K430:K431" si="18">G430-H430-J430</f>
        <v>25073206</v>
      </c>
    </row>
    <row r="431" spans="1:11">
      <c r="A431" s="24"/>
      <c r="B431" s="56" t="s">
        <v>22</v>
      </c>
      <c r="C431" s="25" t="s">
        <v>26</v>
      </c>
      <c r="D431" s="10"/>
      <c r="E431" s="26"/>
      <c r="F431" s="25"/>
      <c r="G431" s="22">
        <v>50000000</v>
      </c>
      <c r="H431" s="23">
        <f t="shared" si="17"/>
        <v>3500000</v>
      </c>
      <c r="I431" s="23"/>
      <c r="J431" s="33">
        <v>0</v>
      </c>
      <c r="K431" s="34">
        <f t="shared" si="18"/>
        <v>46500000</v>
      </c>
    </row>
    <row r="432" spans="1:11">
      <c r="A432" s="35"/>
      <c r="B432" s="35"/>
      <c r="C432" s="35" t="s">
        <v>27</v>
      </c>
      <c r="D432" s="35"/>
      <c r="E432" s="35"/>
      <c r="F432" s="36"/>
      <c r="G432" s="37">
        <f>SUM(G428:G431)</f>
        <v>155000000</v>
      </c>
      <c r="H432" s="38">
        <f>SUM(H428:H431)</f>
        <v>24796638</v>
      </c>
      <c r="I432" s="38"/>
      <c r="J432" s="38">
        <f>SUM(J428:J431)</f>
        <v>3500000</v>
      </c>
      <c r="K432" s="38">
        <f>SUM(K428:K431)</f>
        <v>126703362</v>
      </c>
    </row>
    <row r="433" spans="1:11">
      <c r="A433" s="39"/>
      <c r="B433" s="8"/>
      <c r="C433" s="8"/>
      <c r="D433" s="8"/>
      <c r="E433" s="8"/>
      <c r="F433" s="8"/>
      <c r="G433" s="40"/>
      <c r="H433" s="40"/>
      <c r="I433" s="40"/>
      <c r="J433" s="40"/>
      <c r="K433" s="40"/>
    </row>
    <row r="434" spans="1:11">
      <c r="A434" s="63" t="s">
        <v>28</v>
      </c>
      <c r="B434" s="63"/>
      <c r="C434" s="63"/>
      <c r="D434" s="11" t="s">
        <v>4</v>
      </c>
      <c r="E434" s="14">
        <f>J432</f>
        <v>3500000</v>
      </c>
      <c r="F434" s="41"/>
      <c r="G434" s="42"/>
      <c r="H434" s="42"/>
      <c r="I434" s="42"/>
      <c r="J434" s="9"/>
      <c r="K434" s="9"/>
    </row>
    <row r="435" spans="1:11">
      <c r="A435" s="10" t="s">
        <v>29</v>
      </c>
      <c r="B435" s="10"/>
      <c r="C435" s="10"/>
      <c r="D435" s="11" t="s">
        <v>4</v>
      </c>
      <c r="E435" s="43"/>
      <c r="F435" s="43"/>
      <c r="G435" s="44"/>
      <c r="H435" s="12"/>
      <c r="I435" s="12"/>
      <c r="J435" s="9"/>
      <c r="K435" s="9"/>
    </row>
    <row r="436" spans="1:11">
      <c r="A436" s="10" t="s">
        <v>30</v>
      </c>
      <c r="B436" s="10"/>
      <c r="C436" s="10"/>
      <c r="D436" s="11" t="s">
        <v>4</v>
      </c>
      <c r="E436" s="45"/>
      <c r="F436" s="45"/>
      <c r="G436" s="44"/>
      <c r="H436" s="12"/>
      <c r="I436" s="12"/>
      <c r="J436" s="9"/>
      <c r="K436" s="9"/>
    </row>
    <row r="437" spans="1:11">
      <c r="A437" s="10" t="s">
        <v>31</v>
      </c>
      <c r="B437" s="10"/>
      <c r="C437" s="10"/>
      <c r="D437" s="11" t="s">
        <v>4</v>
      </c>
      <c r="E437" s="45">
        <f>E435+E436</f>
        <v>0</v>
      </c>
      <c r="F437" s="45"/>
      <c r="G437" s="10"/>
      <c r="H437" s="12"/>
      <c r="I437" s="12"/>
      <c r="J437" s="47"/>
      <c r="K437" s="47"/>
    </row>
    <row r="438" spans="1:11">
      <c r="A438" s="13"/>
      <c r="B438" s="13"/>
      <c r="C438" s="13"/>
      <c r="D438" s="11"/>
      <c r="E438" s="13"/>
      <c r="F438" s="13"/>
      <c r="G438" s="10"/>
      <c r="H438" s="12"/>
      <c r="I438" s="12"/>
      <c r="J438" s="47"/>
      <c r="K438" s="47"/>
    </row>
    <row r="439" spans="1:11">
      <c r="A439" s="63" t="s">
        <v>32</v>
      </c>
      <c r="B439" s="63"/>
      <c r="C439" s="63"/>
      <c r="D439" s="11" t="s">
        <v>4</v>
      </c>
      <c r="E439" s="41">
        <f>E434-E437</f>
        <v>3500000</v>
      </c>
      <c r="F439" s="41"/>
      <c r="G439" s="10"/>
      <c r="H439" s="12"/>
      <c r="I439" s="12"/>
      <c r="J439" s="47"/>
      <c r="K439" s="47"/>
    </row>
    <row r="440" spans="1:11" ht="15.75">
      <c r="A440" s="13"/>
      <c r="B440" s="13"/>
      <c r="C440" s="10"/>
      <c r="D440" s="10"/>
      <c r="E440" s="16" t="str">
        <f>PROPER(IF(E439=0,"nol",IF(E439&lt;0,"minus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439),"000000000000000"),1,3)=0,"",MID(TEXT(ABS(E439),"000000000000000"),1,1)&amp;" ratus "&amp;MID(TEXT(ABS(E439),"000000000000000"),2,1)&amp;" puluh "&amp;MID(TEXT(ABS(E439),"000000000000000"),3,1)&amp;" trilyun ")&amp;IF(--MID(TEXT(ABS(E439),"000000000000000"),4,3)=0,"",MID(TEXT(ABS(E439),"000000000000000"),4,1)&amp;" ratus "&amp;MID(TEXT(ABS(E439),"000000000000000"),5,1)&amp;" puluh "&amp;MID(TEXT(ABS(E439),"000000000000000"),6,1)&amp;" milyar ")&amp;IF(--MID(TEXT(ABS(E439),"000000000000000"),7,3)=0,"",MID(TEXT(ABS(E439),"000000000000000"),7,1)&amp;" ratus "&amp;MID(TEXT(ABS(E439),"000000000000000"),8,1)&amp;" puluh "&amp;MID(TEXT(ABS(E439),"000000000000000"),9,1)&amp;" juta ")&amp;IF(--MID(TEXT(ABS(E439),"000000000000000"),10,3)=0,"",IF(--MID(TEXT(ABS(E439),"000000000000000"),10,3)=1,"*",MID(TEXT(ABS(E439),"000000000000000"),10,1)&amp;" ratus "&amp;MID(TEXT(ABS(E439),"000000000000000"),11,1)&amp;" puluh ")&amp;MID(TEXT(ABS(E439),"000000000000000"),12,1)&amp;" ribu ")&amp;IF(--MID(TEXT(ABS(E439),"000000000000000"),13,3)=0,"",MID(TEXT(ABS(E439),"000000000000000"),13,1)&amp;" ratus "&amp;MID(TEXT(ABS(E439),"000000000000000"),14,1)&amp;" puluh "&amp;MID(TEXT(ABS(E439),"000000000000000"),15,1)),1,"satu"),2,"dua"),3,"tiga"),4,"empat"),5,"lima"),6,"enam"),7,"tujuh"),8,"delapan"),9,"sembilan"),"0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Tiga Juta Lima Ratus Ribu Rupiah</v>
      </c>
      <c r="F440" s="10"/>
      <c r="G440" s="10"/>
      <c r="H440" s="10"/>
      <c r="I440" s="10"/>
      <c r="J440" s="47"/>
      <c r="K440" s="47"/>
    </row>
    <row r="441" spans="1:11">
      <c r="A441" s="46"/>
      <c r="B441" s="46"/>
      <c r="C441" s="46"/>
      <c r="D441" s="46"/>
      <c r="E441" s="46"/>
      <c r="F441" s="46"/>
      <c r="G441" s="29"/>
      <c r="H441" s="47"/>
      <c r="I441" s="47"/>
      <c r="J441" s="47"/>
      <c r="K441" s="47"/>
    </row>
    <row r="442" spans="1:11">
      <c r="A442" s="29"/>
      <c r="B442" s="29"/>
      <c r="C442" s="29"/>
      <c r="D442" s="29"/>
      <c r="E442" s="29"/>
      <c r="F442" s="29"/>
      <c r="G442" s="29"/>
      <c r="H442"/>
      <c r="I442"/>
      <c r="J442" s="47"/>
      <c r="K442" s="47"/>
    </row>
    <row r="443" spans="1:11">
      <c r="A443" s="13"/>
      <c r="B443" s="13"/>
      <c r="C443" s="10"/>
      <c r="D443" s="10"/>
      <c r="E443" s="10"/>
      <c r="F443" s="10"/>
      <c r="G443" s="10"/>
      <c r="I443" s="48"/>
      <c r="J443" s="48" t="s">
        <v>80</v>
      </c>
      <c r="K443" s="47"/>
    </row>
    <row r="444" spans="1:11">
      <c r="A444" s="12" t="s">
        <v>33</v>
      </c>
      <c r="B444" s="10"/>
      <c r="C444" s="10"/>
      <c r="D444" s="10"/>
      <c r="E444" s="10"/>
      <c r="F444" s="10"/>
      <c r="G444" s="10"/>
      <c r="I444" s="12"/>
      <c r="J444" s="12" t="s">
        <v>34</v>
      </c>
      <c r="K444" s="47"/>
    </row>
    <row r="445" spans="1:11">
      <c r="A445" s="10"/>
      <c r="B445" s="10"/>
      <c r="C445" s="10"/>
      <c r="D445" s="10"/>
      <c r="E445" s="10"/>
      <c r="F445" s="10"/>
      <c r="G445" s="10"/>
      <c r="I445" s="12"/>
      <c r="J445" s="12"/>
      <c r="K445" s="47"/>
    </row>
    <row r="446" spans="1:11">
      <c r="A446" s="10"/>
      <c r="B446" s="10"/>
      <c r="C446" s="10"/>
      <c r="D446" s="10"/>
      <c r="E446" s="10"/>
      <c r="F446" s="10"/>
      <c r="G446" s="10"/>
      <c r="I446" s="12"/>
      <c r="J446" s="12"/>
      <c r="K446" s="47"/>
    </row>
    <row r="447" spans="1:11">
      <c r="A447" s="10"/>
      <c r="B447" s="10"/>
      <c r="C447" s="10"/>
      <c r="D447" s="10"/>
      <c r="E447" s="10"/>
      <c r="F447" s="10"/>
      <c r="G447" s="10"/>
      <c r="I447" s="12"/>
      <c r="J447" s="12"/>
      <c r="K447" s="47"/>
    </row>
    <row r="448" spans="1:11">
      <c r="A448" s="10"/>
      <c r="B448" s="10"/>
      <c r="C448" s="10"/>
      <c r="D448" s="10"/>
      <c r="E448" s="10"/>
      <c r="F448" s="10"/>
      <c r="G448" s="10"/>
      <c r="I448" s="12"/>
      <c r="J448" s="12"/>
      <c r="K448" s="47"/>
    </row>
    <row r="449" spans="1:11">
      <c r="A449" s="49" t="s">
        <v>38</v>
      </c>
      <c r="B449" s="49"/>
      <c r="C449" s="50"/>
      <c r="D449" s="50"/>
      <c r="E449" s="50"/>
      <c r="F449" s="50"/>
      <c r="G449" s="10" t="s">
        <v>35</v>
      </c>
      <c r="I449" s="49"/>
      <c r="J449" s="49" t="s">
        <v>36</v>
      </c>
      <c r="K449" s="47"/>
    </row>
    <row r="454" spans="1:11" ht="15.75">
      <c r="C454" s="2"/>
      <c r="D454" s="2"/>
      <c r="E454" s="2"/>
      <c r="F454" s="2"/>
    </row>
    <row r="455" spans="1:11" ht="15.75">
      <c r="A455" s="3"/>
      <c r="B455" s="3"/>
      <c r="C455" s="2"/>
      <c r="D455" s="2"/>
      <c r="E455" s="2"/>
      <c r="F455" s="2"/>
      <c r="G455" s="3"/>
      <c r="H455" s="4"/>
      <c r="I455" s="4"/>
      <c r="J455" s="4"/>
      <c r="K455" s="5"/>
    </row>
    <row r="456" spans="1:11">
      <c r="H456" s="5"/>
      <c r="I456" s="5"/>
      <c r="J456" s="5"/>
      <c r="K456" s="5"/>
    </row>
    <row r="457" spans="1:11">
      <c r="H457" s="5"/>
      <c r="I457" s="5"/>
      <c r="J457" s="5"/>
      <c r="K457" s="5"/>
    </row>
    <row r="458" spans="1:11">
      <c r="A458" s="64" t="s">
        <v>0</v>
      </c>
      <c r="B458" s="64"/>
      <c r="C458" s="58"/>
      <c r="D458" s="58"/>
      <c r="E458" s="58"/>
      <c r="F458" s="58"/>
      <c r="G458" s="58"/>
      <c r="H458" s="58"/>
      <c r="I458" s="58"/>
      <c r="J458" s="58"/>
      <c r="K458" s="58"/>
    </row>
    <row r="459" spans="1:11">
      <c r="A459" s="58" t="s">
        <v>83</v>
      </c>
      <c r="B459" s="58"/>
      <c r="C459" s="58"/>
      <c r="D459" s="58"/>
      <c r="E459" s="58"/>
      <c r="F459" s="58"/>
      <c r="G459" s="58"/>
      <c r="H459" s="58"/>
      <c r="I459" s="58"/>
      <c r="J459" s="58"/>
      <c r="K459" s="58"/>
    </row>
    <row r="460" spans="1:11">
      <c r="A460" s="58" t="s">
        <v>1</v>
      </c>
      <c r="B460" s="58"/>
      <c r="C460" s="58"/>
      <c r="D460" s="58"/>
      <c r="E460" s="58"/>
      <c r="F460" s="58"/>
      <c r="G460" s="58"/>
      <c r="H460" s="58"/>
      <c r="I460" s="58"/>
      <c r="J460" s="58"/>
      <c r="K460" s="58"/>
    </row>
    <row r="461" spans="1:11">
      <c r="A461" s="58" t="s">
        <v>39</v>
      </c>
      <c r="B461" s="58"/>
      <c r="C461" s="58"/>
      <c r="D461" s="58"/>
      <c r="E461" s="58"/>
      <c r="F461" s="58"/>
      <c r="G461" s="58"/>
      <c r="H461" s="58"/>
      <c r="I461" s="58"/>
      <c r="J461" s="58"/>
      <c r="K461" s="58"/>
    </row>
    <row r="462" spans="1:11">
      <c r="A462" s="58" t="s">
        <v>2</v>
      </c>
      <c r="B462" s="58"/>
      <c r="C462" s="58"/>
      <c r="D462" s="58"/>
      <c r="E462" s="58"/>
      <c r="F462" s="58"/>
      <c r="G462" s="58"/>
      <c r="H462" s="58"/>
      <c r="I462" s="58"/>
      <c r="J462" s="58"/>
      <c r="K462" s="58"/>
    </row>
    <row r="463" spans="1:11">
      <c r="A463" s="6"/>
      <c r="B463" s="6"/>
      <c r="C463" s="7"/>
      <c r="D463" s="7"/>
      <c r="E463" s="7"/>
      <c r="F463" s="7"/>
      <c r="G463" s="8"/>
      <c r="H463" s="9"/>
      <c r="I463" s="9"/>
      <c r="J463" s="9"/>
      <c r="K463" s="9"/>
    </row>
    <row r="464" spans="1:11">
      <c r="A464" s="53" t="s">
        <v>3</v>
      </c>
      <c r="B464" s="10"/>
      <c r="C464" s="10"/>
      <c r="D464" s="54" t="s">
        <v>4</v>
      </c>
      <c r="E464" s="10" t="s">
        <v>5</v>
      </c>
      <c r="F464" s="11"/>
      <c r="G464" s="10"/>
      <c r="H464" s="12"/>
      <c r="I464" s="12"/>
      <c r="J464" s="12"/>
      <c r="K464" s="9"/>
    </row>
    <row r="465" spans="1:11">
      <c r="A465" s="53" t="s">
        <v>6</v>
      </c>
      <c r="B465" s="10"/>
      <c r="C465" s="10"/>
      <c r="D465" s="54" t="s">
        <v>4</v>
      </c>
      <c r="E465" s="10" t="s">
        <v>7</v>
      </c>
      <c r="F465" s="11"/>
      <c r="G465" s="10"/>
      <c r="H465" s="12"/>
      <c r="I465" s="12"/>
      <c r="J465" s="12"/>
      <c r="K465" s="9"/>
    </row>
    <row r="466" spans="1:11">
      <c r="A466" s="53" t="s">
        <v>8</v>
      </c>
      <c r="B466" s="10"/>
      <c r="C466" s="10"/>
      <c r="D466" s="54" t="s">
        <v>4</v>
      </c>
      <c r="E466" s="13">
        <v>2026</v>
      </c>
      <c r="F466" s="11"/>
      <c r="G466" s="13"/>
      <c r="H466" s="12"/>
      <c r="I466" s="12"/>
      <c r="J466" s="12"/>
      <c r="K466" s="9"/>
    </row>
    <row r="467" spans="1:11">
      <c r="A467" s="53" t="s">
        <v>9</v>
      </c>
      <c r="B467" s="10"/>
      <c r="C467" s="10"/>
      <c r="D467" s="54" t="s">
        <v>4</v>
      </c>
      <c r="E467" s="14">
        <f>J477</f>
        <v>3650000</v>
      </c>
      <c r="F467" s="11"/>
      <c r="G467" s="14"/>
      <c r="H467" s="12"/>
      <c r="I467" s="12"/>
      <c r="J467" s="12"/>
      <c r="K467" s="9"/>
    </row>
    <row r="468" spans="1:11" ht="15.75">
      <c r="A468" s="10"/>
      <c r="B468" s="10"/>
      <c r="C468" s="15" t="s">
        <v>10</v>
      </c>
      <c r="D468" s="54" t="s">
        <v>4</v>
      </c>
      <c r="E468" s="16" t="str">
        <f>PROPER(IF(E467=0,"nol",IF(E467&lt;0,"minus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467),"000000000000000"),1,3)=0,"",MID(TEXT(ABS(E467),"000000000000000"),1,1)&amp;" ratus "&amp;MID(TEXT(ABS(E467),"000000000000000"),2,1)&amp;" puluh "&amp;MID(TEXT(ABS(E467),"000000000000000"),3,1)&amp;" trilyun ")&amp;IF(--MID(TEXT(ABS(E467),"000000000000000"),4,3)=0,"",MID(TEXT(ABS(E467),"000000000000000"),4,1)&amp;" ratus "&amp;MID(TEXT(ABS(E467),"000000000000000"),5,1)&amp;" puluh "&amp;MID(TEXT(ABS(E467),"000000000000000"),6,1)&amp;" milyar ")&amp;IF(--MID(TEXT(ABS(E467),"000000000000000"),7,3)=0,"",MID(TEXT(ABS(E467),"000000000000000"),7,1)&amp;" ratus "&amp;MID(TEXT(ABS(E467),"000000000000000"),8,1)&amp;" puluh "&amp;MID(TEXT(ABS(E467),"000000000000000"),9,1)&amp;" juta ")&amp;IF(--MID(TEXT(ABS(E467),"000000000000000"),10,3)=0,"",IF(--MID(TEXT(ABS(E467),"000000000000000"),10,3)=1,"*",MID(TEXT(ABS(E467),"000000000000000"),10,1)&amp;" ratus "&amp;MID(TEXT(ABS(E467),"000000000000000"),11,1)&amp;" puluh ")&amp;MID(TEXT(ABS(E467),"000000000000000"),12,1)&amp;" ribu ")&amp;IF(--MID(TEXT(ABS(E467),"000000000000000"),13,3)=0,"",MID(TEXT(ABS(E467),"000000000000000"),13,1)&amp;" ratus "&amp;MID(TEXT(ABS(E467),"000000000000000"),14,1)&amp;" puluh "&amp;MID(TEXT(ABS(E467),"000000000000000"),15,1)),1,"satu"),2,"dua"),3,"tiga"),4,"empat"),5,"lima"),6,"enam"),7,"tujuh"),8,"delapan"),9,"sembilan"),"0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Tiga Juta Enam Ratus Lima Puluh Ribu Rupiah</v>
      </c>
      <c r="F468" s="11"/>
      <c r="G468" s="16"/>
      <c r="H468" s="12"/>
      <c r="I468" s="12"/>
      <c r="J468" s="12"/>
      <c r="K468" s="9"/>
    </row>
    <row r="469" spans="1:11" ht="15.75">
      <c r="A469" s="10"/>
      <c r="B469" s="10"/>
      <c r="C469" s="15"/>
      <c r="D469" s="15"/>
      <c r="E469" s="15"/>
      <c r="F469" s="11"/>
      <c r="G469" s="16"/>
      <c r="H469" s="12"/>
      <c r="I469" s="12"/>
      <c r="J469" s="12"/>
      <c r="K469" s="9"/>
    </row>
    <row r="470" spans="1:11">
      <c r="A470" s="10" t="s">
        <v>11</v>
      </c>
      <c r="B470" s="10"/>
      <c r="C470" s="10"/>
      <c r="D470" s="10"/>
      <c r="E470" s="10"/>
      <c r="F470" s="10"/>
      <c r="G470" s="10"/>
      <c r="H470" s="12"/>
      <c r="I470" s="12"/>
      <c r="J470" s="12"/>
      <c r="K470" s="9"/>
    </row>
    <row r="471" spans="1:11">
      <c r="A471" s="59" t="s">
        <v>12</v>
      </c>
      <c r="B471" s="59"/>
      <c r="C471" s="59"/>
      <c r="D471" s="59"/>
      <c r="E471" s="59"/>
      <c r="F471" s="59"/>
      <c r="G471" s="59"/>
      <c r="H471" s="59"/>
      <c r="I471" s="59"/>
      <c r="J471" s="59"/>
      <c r="K471" s="59"/>
    </row>
    <row r="472" spans="1:11" ht="60">
      <c r="A472" s="17" t="s">
        <v>13</v>
      </c>
      <c r="B472" s="18" t="s">
        <v>14</v>
      </c>
      <c r="C472" s="60" t="s">
        <v>15</v>
      </c>
      <c r="D472" s="61"/>
      <c r="E472" s="62"/>
      <c r="F472" s="19"/>
      <c r="G472" s="20" t="s">
        <v>16</v>
      </c>
      <c r="H472" s="21" t="s">
        <v>37</v>
      </c>
      <c r="I472" s="21"/>
      <c r="J472" s="31" t="s">
        <v>17</v>
      </c>
      <c r="K472" s="32" t="s">
        <v>18</v>
      </c>
    </row>
    <row r="473" spans="1:11">
      <c r="A473" s="27">
        <v>1</v>
      </c>
      <c r="B473" s="24"/>
      <c r="C473" s="28" t="s">
        <v>23</v>
      </c>
      <c r="D473" s="57"/>
      <c r="E473" s="26"/>
      <c r="F473" s="25"/>
      <c r="G473" s="55" t="s">
        <v>19</v>
      </c>
      <c r="H473" s="55" t="s">
        <v>19</v>
      </c>
      <c r="I473" s="55"/>
      <c r="J473" s="55" t="s">
        <v>19</v>
      </c>
      <c r="K473" s="55" t="s">
        <v>19</v>
      </c>
    </row>
    <row r="474" spans="1:11">
      <c r="A474" s="24"/>
      <c r="B474" s="56" t="s">
        <v>20</v>
      </c>
      <c r="C474" s="25" t="s">
        <v>24</v>
      </c>
      <c r="D474" s="10"/>
      <c r="E474" s="26"/>
      <c r="F474" s="25"/>
      <c r="G474" s="22">
        <v>75000000</v>
      </c>
      <c r="H474" s="23">
        <f>H429+J429</f>
        <v>19869844</v>
      </c>
      <c r="I474" s="23"/>
      <c r="J474" s="33">
        <v>3650000</v>
      </c>
      <c r="K474" s="34">
        <f>G474-H474-J474</f>
        <v>51480156</v>
      </c>
    </row>
    <row r="475" spans="1:11">
      <c r="A475" s="24"/>
      <c r="B475" s="56" t="s">
        <v>21</v>
      </c>
      <c r="C475" s="25" t="s">
        <v>25</v>
      </c>
      <c r="D475" s="10"/>
      <c r="E475" s="26"/>
      <c r="F475" s="25"/>
      <c r="G475" s="22">
        <v>30000000</v>
      </c>
      <c r="H475" s="23">
        <f t="shared" ref="H475:H476" si="19">H430+J430</f>
        <v>4926794</v>
      </c>
      <c r="I475" s="23"/>
      <c r="J475" s="33">
        <v>0</v>
      </c>
      <c r="K475" s="34">
        <f t="shared" ref="K475:K476" si="20">G475-H475-J475</f>
        <v>25073206</v>
      </c>
    </row>
    <row r="476" spans="1:11">
      <c r="A476" s="24"/>
      <c r="B476" s="56" t="s">
        <v>22</v>
      </c>
      <c r="C476" s="25" t="s">
        <v>26</v>
      </c>
      <c r="D476" s="10"/>
      <c r="E476" s="26"/>
      <c r="F476" s="25"/>
      <c r="G476" s="22">
        <v>50000000</v>
      </c>
      <c r="H476" s="23">
        <f t="shared" si="19"/>
        <v>3500000</v>
      </c>
      <c r="I476" s="23"/>
      <c r="J476" s="33">
        <v>0</v>
      </c>
      <c r="K476" s="34">
        <f t="shared" si="20"/>
        <v>46500000</v>
      </c>
    </row>
    <row r="477" spans="1:11">
      <c r="A477" s="35"/>
      <c r="B477" s="35"/>
      <c r="C477" s="35" t="s">
        <v>27</v>
      </c>
      <c r="D477" s="35"/>
      <c r="E477" s="35"/>
      <c r="F477" s="36"/>
      <c r="G477" s="37">
        <f>SUM(G473:G476)</f>
        <v>155000000</v>
      </c>
      <c r="H477" s="38">
        <f>SUM(H473:H476)</f>
        <v>28296638</v>
      </c>
      <c r="I477" s="38"/>
      <c r="J477" s="38">
        <f>SUM(J473:J476)</f>
        <v>3650000</v>
      </c>
      <c r="K477" s="38">
        <f>SUM(K473:K476)</f>
        <v>123053362</v>
      </c>
    </row>
    <row r="478" spans="1:11">
      <c r="A478" s="39"/>
      <c r="B478" s="8"/>
      <c r="C478" s="8"/>
      <c r="D478" s="8"/>
      <c r="E478" s="8"/>
      <c r="F478" s="8"/>
      <c r="G478" s="40"/>
      <c r="H478" s="40"/>
      <c r="I478" s="40"/>
      <c r="J478" s="40"/>
      <c r="K478" s="40"/>
    </row>
    <row r="479" spans="1:11">
      <c r="A479" s="63" t="s">
        <v>28</v>
      </c>
      <c r="B479" s="63"/>
      <c r="C479" s="63"/>
      <c r="D479" s="11" t="s">
        <v>4</v>
      </c>
      <c r="E479" s="14">
        <f>J477</f>
        <v>3650000</v>
      </c>
      <c r="F479" s="41"/>
      <c r="G479" s="42"/>
      <c r="H479" s="42"/>
      <c r="I479" s="42"/>
      <c r="J479" s="9"/>
      <c r="K479" s="9"/>
    </row>
    <row r="480" spans="1:11">
      <c r="A480" s="10" t="s">
        <v>29</v>
      </c>
      <c r="B480" s="10"/>
      <c r="C480" s="10"/>
      <c r="D480" s="11" t="s">
        <v>4</v>
      </c>
      <c r="E480" s="43"/>
      <c r="F480" s="43"/>
      <c r="G480" s="44"/>
      <c r="H480" s="12"/>
      <c r="I480" s="12"/>
      <c r="J480" s="9"/>
      <c r="K480" s="9"/>
    </row>
    <row r="481" spans="1:11">
      <c r="A481" s="10" t="s">
        <v>30</v>
      </c>
      <c r="B481" s="10"/>
      <c r="C481" s="10"/>
      <c r="D481" s="11" t="s">
        <v>4</v>
      </c>
      <c r="E481" s="45"/>
      <c r="F481" s="45"/>
      <c r="G481" s="44"/>
      <c r="H481" s="12"/>
      <c r="I481" s="12"/>
      <c r="J481" s="9"/>
      <c r="K481" s="9"/>
    </row>
    <row r="482" spans="1:11">
      <c r="A482" s="10" t="s">
        <v>31</v>
      </c>
      <c r="B482" s="10"/>
      <c r="C482" s="10"/>
      <c r="D482" s="11" t="s">
        <v>4</v>
      </c>
      <c r="E482" s="45">
        <f>E480+E481</f>
        <v>0</v>
      </c>
      <c r="F482" s="45"/>
      <c r="G482" s="10"/>
      <c r="H482" s="12"/>
      <c r="I482" s="12"/>
      <c r="J482" s="47"/>
      <c r="K482" s="47"/>
    </row>
    <row r="483" spans="1:11">
      <c r="A483" s="13"/>
      <c r="B483" s="13"/>
      <c r="C483" s="13"/>
      <c r="D483" s="11"/>
      <c r="E483" s="13"/>
      <c r="F483" s="13"/>
      <c r="G483" s="10"/>
      <c r="H483" s="12"/>
      <c r="I483" s="12"/>
      <c r="J483" s="47"/>
      <c r="K483" s="47"/>
    </row>
    <row r="484" spans="1:11">
      <c r="A484" s="63" t="s">
        <v>32</v>
      </c>
      <c r="B484" s="63"/>
      <c r="C484" s="63"/>
      <c r="D484" s="11" t="s">
        <v>4</v>
      </c>
      <c r="E484" s="41">
        <f>E479-E482</f>
        <v>3650000</v>
      </c>
      <c r="F484" s="41"/>
      <c r="G484" s="10"/>
      <c r="H484" s="12"/>
      <c r="I484" s="12"/>
      <c r="J484" s="47"/>
      <c r="K484" s="47"/>
    </row>
    <row r="485" spans="1:11" ht="15.75">
      <c r="A485" s="13"/>
      <c r="B485" s="13"/>
      <c r="C485" s="10"/>
      <c r="D485" s="10"/>
      <c r="E485" s="16" t="str">
        <f>PROPER(IF(E484=0,"nol",IF(E484&lt;0,"minus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484),"000000000000000"),1,3)=0,"",MID(TEXT(ABS(E484),"000000000000000"),1,1)&amp;" ratus "&amp;MID(TEXT(ABS(E484),"000000000000000"),2,1)&amp;" puluh "&amp;MID(TEXT(ABS(E484),"000000000000000"),3,1)&amp;" trilyun ")&amp;IF(--MID(TEXT(ABS(E484),"000000000000000"),4,3)=0,"",MID(TEXT(ABS(E484),"000000000000000"),4,1)&amp;" ratus "&amp;MID(TEXT(ABS(E484),"000000000000000"),5,1)&amp;" puluh "&amp;MID(TEXT(ABS(E484),"000000000000000"),6,1)&amp;" milyar ")&amp;IF(--MID(TEXT(ABS(E484),"000000000000000"),7,3)=0,"",MID(TEXT(ABS(E484),"000000000000000"),7,1)&amp;" ratus "&amp;MID(TEXT(ABS(E484),"000000000000000"),8,1)&amp;" puluh "&amp;MID(TEXT(ABS(E484),"000000000000000"),9,1)&amp;" juta ")&amp;IF(--MID(TEXT(ABS(E484),"000000000000000"),10,3)=0,"",IF(--MID(TEXT(ABS(E484),"000000000000000"),10,3)=1,"*",MID(TEXT(ABS(E484),"000000000000000"),10,1)&amp;" ratus "&amp;MID(TEXT(ABS(E484),"000000000000000"),11,1)&amp;" puluh ")&amp;MID(TEXT(ABS(E484),"000000000000000"),12,1)&amp;" ribu ")&amp;IF(--MID(TEXT(ABS(E484),"000000000000000"),13,3)=0,"",MID(TEXT(ABS(E484),"000000000000000"),13,1)&amp;" ratus "&amp;MID(TEXT(ABS(E484),"000000000000000"),14,1)&amp;" puluh "&amp;MID(TEXT(ABS(E484),"000000000000000"),15,1)),1,"satu"),2,"dua"),3,"tiga"),4,"empat"),5,"lima"),6,"enam"),7,"tujuh"),8,"delapan"),9,"sembilan"),"0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Tiga Juta Enam Ratus Lima Puluh Ribu Rupiah</v>
      </c>
      <c r="F485" s="10"/>
      <c r="G485" s="10"/>
      <c r="H485" s="10"/>
      <c r="I485" s="10"/>
      <c r="J485" s="47"/>
      <c r="K485" s="47"/>
    </row>
    <row r="486" spans="1:11">
      <c r="A486" s="46"/>
      <c r="B486" s="46"/>
      <c r="C486" s="46"/>
      <c r="D486" s="46"/>
      <c r="E486" s="46"/>
      <c r="F486" s="46"/>
      <c r="G486" s="29"/>
      <c r="H486" s="47"/>
      <c r="I486" s="47"/>
      <c r="J486" s="47"/>
      <c r="K486" s="47"/>
    </row>
    <row r="487" spans="1:11">
      <c r="A487" s="29"/>
      <c r="B487" s="29"/>
      <c r="C487" s="29"/>
      <c r="D487" s="29"/>
      <c r="E487" s="29"/>
      <c r="F487" s="29"/>
      <c r="G487" s="29"/>
      <c r="H487"/>
      <c r="I487"/>
      <c r="J487" s="47"/>
      <c r="K487" s="47"/>
    </row>
    <row r="488" spans="1:11">
      <c r="A488" s="13"/>
      <c r="B488" s="13"/>
      <c r="C488" s="10"/>
      <c r="D488" s="10"/>
      <c r="E488" s="10"/>
      <c r="F488" s="10"/>
      <c r="G488" s="10"/>
      <c r="I488" s="48"/>
      <c r="J488" s="48" t="s">
        <v>80</v>
      </c>
      <c r="K488" s="47"/>
    </row>
    <row r="489" spans="1:11">
      <c r="A489" s="12" t="s">
        <v>33</v>
      </c>
      <c r="B489" s="10"/>
      <c r="C489" s="10"/>
      <c r="D489" s="10"/>
      <c r="E489" s="10"/>
      <c r="F489" s="10"/>
      <c r="G489" s="10"/>
      <c r="I489" s="12"/>
      <c r="J489" s="12" t="s">
        <v>34</v>
      </c>
      <c r="K489" s="47"/>
    </row>
    <row r="490" spans="1:11">
      <c r="A490" s="10"/>
      <c r="B490" s="10"/>
      <c r="C490" s="10"/>
      <c r="D490" s="10"/>
      <c r="E490" s="10"/>
      <c r="F490" s="10"/>
      <c r="G490" s="10"/>
      <c r="I490" s="12"/>
      <c r="J490" s="12"/>
      <c r="K490" s="47"/>
    </row>
    <row r="491" spans="1:11">
      <c r="A491" s="10"/>
      <c r="B491" s="10"/>
      <c r="C491" s="10"/>
      <c r="D491" s="10"/>
      <c r="E491" s="10"/>
      <c r="F491" s="10"/>
      <c r="G491" s="10"/>
      <c r="I491" s="12"/>
      <c r="J491" s="12"/>
      <c r="K491" s="47"/>
    </row>
    <row r="492" spans="1:11">
      <c r="A492" s="10"/>
      <c r="B492" s="10"/>
      <c r="C492" s="10"/>
      <c r="D492" s="10"/>
      <c r="E492" s="10"/>
      <c r="F492" s="10"/>
      <c r="G492" s="10"/>
      <c r="I492" s="12"/>
      <c r="J492" s="12"/>
      <c r="K492" s="47"/>
    </row>
    <row r="493" spans="1:11">
      <c r="A493" s="10"/>
      <c r="B493" s="10"/>
      <c r="C493" s="10"/>
      <c r="D493" s="10"/>
      <c r="E493" s="10"/>
      <c r="F493" s="10"/>
      <c r="G493" s="10"/>
      <c r="I493" s="12"/>
      <c r="J493" s="12"/>
      <c r="K493" s="47"/>
    </row>
    <row r="494" spans="1:11">
      <c r="A494" s="49" t="s">
        <v>38</v>
      </c>
      <c r="B494" s="49"/>
      <c r="C494" s="50"/>
      <c r="D494" s="50"/>
      <c r="E494" s="50"/>
      <c r="F494" s="50"/>
      <c r="G494" s="10" t="s">
        <v>35</v>
      </c>
      <c r="I494" s="49"/>
      <c r="J494" s="49" t="s">
        <v>36</v>
      </c>
      <c r="K494" s="47"/>
    </row>
    <row r="499" spans="1:11" ht="15.75">
      <c r="C499" s="2"/>
      <c r="D499" s="2"/>
      <c r="E499" s="2"/>
      <c r="F499" s="2"/>
    </row>
    <row r="500" spans="1:11" ht="15.75">
      <c r="A500" s="3"/>
      <c r="B500" s="3"/>
      <c r="C500" s="2"/>
      <c r="D500" s="2"/>
      <c r="E500" s="2"/>
      <c r="F500" s="2"/>
      <c r="G500" s="3"/>
      <c r="H500" s="4"/>
      <c r="I500" s="4"/>
      <c r="J500" s="4"/>
      <c r="K500" s="5"/>
    </row>
    <row r="501" spans="1:11">
      <c r="H501" s="5"/>
      <c r="I501" s="5"/>
      <c r="J501" s="5"/>
      <c r="K501" s="5"/>
    </row>
    <row r="502" spans="1:11">
      <c r="H502" s="5"/>
      <c r="I502" s="5"/>
      <c r="J502" s="5"/>
      <c r="K502" s="5"/>
    </row>
    <row r="503" spans="1:11">
      <c r="A503" s="64" t="s">
        <v>0</v>
      </c>
      <c r="B503" s="64"/>
      <c r="C503" s="58"/>
      <c r="D503" s="58"/>
      <c r="E503" s="58"/>
      <c r="F503" s="58"/>
      <c r="G503" s="58"/>
      <c r="H503" s="58"/>
      <c r="I503" s="58"/>
      <c r="J503" s="58"/>
      <c r="K503" s="58"/>
    </row>
    <row r="504" spans="1:11">
      <c r="A504" s="58" t="s">
        <v>84</v>
      </c>
      <c r="B504" s="58"/>
      <c r="C504" s="58"/>
      <c r="D504" s="58"/>
      <c r="E504" s="58"/>
      <c r="F504" s="58"/>
      <c r="G504" s="58"/>
      <c r="H504" s="58"/>
      <c r="I504" s="58"/>
      <c r="J504" s="58"/>
      <c r="K504" s="58"/>
    </row>
    <row r="505" spans="1:11">
      <c r="A505" s="58" t="s">
        <v>1</v>
      </c>
      <c r="B505" s="58"/>
      <c r="C505" s="58"/>
      <c r="D505" s="58"/>
      <c r="E505" s="58"/>
      <c r="F505" s="58"/>
      <c r="G505" s="58"/>
      <c r="H505" s="58"/>
      <c r="I505" s="58"/>
      <c r="J505" s="58"/>
      <c r="K505" s="58"/>
    </row>
    <row r="506" spans="1:11">
      <c r="A506" s="58" t="s">
        <v>39</v>
      </c>
      <c r="B506" s="58"/>
      <c r="C506" s="58"/>
      <c r="D506" s="58"/>
      <c r="E506" s="58"/>
      <c r="F506" s="58"/>
      <c r="G506" s="58"/>
      <c r="H506" s="58"/>
      <c r="I506" s="58"/>
      <c r="J506" s="58"/>
      <c r="K506" s="58"/>
    </row>
    <row r="507" spans="1:11">
      <c r="A507" s="58" t="s">
        <v>2</v>
      </c>
      <c r="B507" s="58"/>
      <c r="C507" s="58"/>
      <c r="D507" s="58"/>
      <c r="E507" s="58"/>
      <c r="F507" s="58"/>
      <c r="G507" s="58"/>
      <c r="H507" s="58"/>
      <c r="I507" s="58"/>
      <c r="J507" s="58"/>
      <c r="K507" s="58"/>
    </row>
    <row r="508" spans="1:11">
      <c r="A508" s="6"/>
      <c r="B508" s="6"/>
      <c r="C508" s="7"/>
      <c r="D508" s="7"/>
      <c r="E508" s="7"/>
      <c r="F508" s="7"/>
      <c r="G508" s="8"/>
      <c r="H508" s="9"/>
      <c r="I508" s="9"/>
      <c r="J508" s="9"/>
      <c r="K508" s="9"/>
    </row>
    <row r="509" spans="1:11">
      <c r="A509" s="53" t="s">
        <v>3</v>
      </c>
      <c r="B509" s="10"/>
      <c r="C509" s="10"/>
      <c r="D509" s="54" t="s">
        <v>4</v>
      </c>
      <c r="E509" s="10" t="s">
        <v>5</v>
      </c>
      <c r="F509" s="11"/>
      <c r="G509" s="10"/>
      <c r="H509" s="12"/>
      <c r="I509" s="12"/>
      <c r="J509" s="12"/>
      <c r="K509" s="9"/>
    </row>
    <row r="510" spans="1:11">
      <c r="A510" s="53" t="s">
        <v>6</v>
      </c>
      <c r="B510" s="10"/>
      <c r="C510" s="10"/>
      <c r="D510" s="54" t="s">
        <v>4</v>
      </c>
      <c r="E510" s="10" t="s">
        <v>7</v>
      </c>
      <c r="F510" s="11"/>
      <c r="G510" s="10"/>
      <c r="H510" s="12"/>
      <c r="I510" s="12"/>
      <c r="J510" s="12"/>
      <c r="K510" s="9"/>
    </row>
    <row r="511" spans="1:11">
      <c r="A511" s="53" t="s">
        <v>8</v>
      </c>
      <c r="B511" s="10"/>
      <c r="C511" s="10"/>
      <c r="D511" s="54" t="s">
        <v>4</v>
      </c>
      <c r="E511" s="13">
        <v>2026</v>
      </c>
      <c r="F511" s="11"/>
      <c r="G511" s="13"/>
      <c r="H511" s="12"/>
      <c r="I511" s="12"/>
      <c r="J511" s="12"/>
      <c r="K511" s="9"/>
    </row>
    <row r="512" spans="1:11">
      <c r="A512" s="53" t="s">
        <v>9</v>
      </c>
      <c r="B512" s="10"/>
      <c r="C512" s="10"/>
      <c r="D512" s="54" t="s">
        <v>4</v>
      </c>
      <c r="E512" s="14">
        <f>J522</f>
        <v>51500</v>
      </c>
      <c r="F512" s="11"/>
      <c r="G512" s="14"/>
      <c r="H512" s="12"/>
      <c r="I512" s="12"/>
      <c r="J512" s="12"/>
      <c r="K512" s="9"/>
    </row>
    <row r="513" spans="1:11" ht="15.75">
      <c r="A513" s="10"/>
      <c r="B513" s="10"/>
      <c r="C513" s="15" t="s">
        <v>10</v>
      </c>
      <c r="D513" s="54" t="s">
        <v>4</v>
      </c>
      <c r="E513" s="16" t="str">
        <f>PROPER(IF(E512=0,"nol",IF(E512&lt;0,"minus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512),"000000000000000"),1,3)=0,"",MID(TEXT(ABS(E512),"000000000000000"),1,1)&amp;" ratus "&amp;MID(TEXT(ABS(E512),"000000000000000"),2,1)&amp;" puluh "&amp;MID(TEXT(ABS(E512),"000000000000000"),3,1)&amp;" trilyun ")&amp;IF(--MID(TEXT(ABS(E512),"000000000000000"),4,3)=0,"",MID(TEXT(ABS(E512),"000000000000000"),4,1)&amp;" ratus "&amp;MID(TEXT(ABS(E512),"000000000000000"),5,1)&amp;" puluh "&amp;MID(TEXT(ABS(E512),"000000000000000"),6,1)&amp;" milyar ")&amp;IF(--MID(TEXT(ABS(E512),"000000000000000"),7,3)=0,"",MID(TEXT(ABS(E512),"000000000000000"),7,1)&amp;" ratus "&amp;MID(TEXT(ABS(E512),"000000000000000"),8,1)&amp;" puluh "&amp;MID(TEXT(ABS(E512),"000000000000000"),9,1)&amp;" juta ")&amp;IF(--MID(TEXT(ABS(E512),"000000000000000"),10,3)=0,"",IF(--MID(TEXT(ABS(E512),"000000000000000"),10,3)=1,"*",MID(TEXT(ABS(E512),"000000000000000"),10,1)&amp;" ratus "&amp;MID(TEXT(ABS(E512),"000000000000000"),11,1)&amp;" puluh ")&amp;MID(TEXT(ABS(E512),"000000000000000"),12,1)&amp;" ribu ")&amp;IF(--MID(TEXT(ABS(E512),"000000000000000"),13,3)=0,"",MID(TEXT(ABS(E512),"000000000000000"),13,1)&amp;" ratus "&amp;MID(TEXT(ABS(E512),"000000000000000"),14,1)&amp;" puluh "&amp;MID(TEXT(ABS(E512),"000000000000000"),15,1)),1,"satu"),2,"dua"),3,"tiga"),4,"empat"),5,"lima"),6,"enam"),7,"tujuh"),8,"delapan"),9,"sembilan"),"0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Lima Puluh Satu Ribu Lima Ratus Rupiah</v>
      </c>
      <c r="F513" s="11"/>
      <c r="G513" s="16"/>
      <c r="H513" s="12"/>
      <c r="I513" s="12"/>
      <c r="J513" s="12"/>
      <c r="K513" s="9"/>
    </row>
    <row r="514" spans="1:11" ht="15.75">
      <c r="A514" s="10"/>
      <c r="B514" s="10"/>
      <c r="C514" s="15"/>
      <c r="D514" s="15"/>
      <c r="E514" s="15"/>
      <c r="F514" s="11"/>
      <c r="G514" s="16"/>
      <c r="H514" s="12"/>
      <c r="I514" s="12"/>
      <c r="J514" s="12"/>
      <c r="K514" s="9"/>
    </row>
    <row r="515" spans="1:11">
      <c r="A515" s="10" t="s">
        <v>11</v>
      </c>
      <c r="B515" s="10"/>
      <c r="C515" s="10"/>
      <c r="D515" s="10"/>
      <c r="E515" s="10"/>
      <c r="F515" s="10"/>
      <c r="G515" s="10"/>
      <c r="H515" s="12"/>
      <c r="I515" s="12"/>
      <c r="J515" s="12"/>
      <c r="K515" s="9"/>
    </row>
    <row r="516" spans="1:11">
      <c r="A516" s="59" t="s">
        <v>12</v>
      </c>
      <c r="B516" s="59"/>
      <c r="C516" s="59"/>
      <c r="D516" s="59"/>
      <c r="E516" s="59"/>
      <c r="F516" s="59"/>
      <c r="G516" s="59"/>
      <c r="H516" s="59"/>
      <c r="I516" s="59"/>
      <c r="J516" s="59"/>
      <c r="K516" s="59"/>
    </row>
    <row r="517" spans="1:11" ht="60">
      <c r="A517" s="17" t="s">
        <v>13</v>
      </c>
      <c r="B517" s="18" t="s">
        <v>14</v>
      </c>
      <c r="C517" s="60" t="s">
        <v>15</v>
      </c>
      <c r="D517" s="61"/>
      <c r="E517" s="62"/>
      <c r="F517" s="19"/>
      <c r="G517" s="20" t="s">
        <v>16</v>
      </c>
      <c r="H517" s="21" t="s">
        <v>37</v>
      </c>
      <c r="I517" s="21"/>
      <c r="J517" s="31" t="s">
        <v>17</v>
      </c>
      <c r="K517" s="32" t="s">
        <v>18</v>
      </c>
    </row>
    <row r="518" spans="1:11">
      <c r="A518" s="27">
        <v>1</v>
      </c>
      <c r="B518" s="24"/>
      <c r="C518" s="28" t="s">
        <v>23</v>
      </c>
      <c r="D518" s="57"/>
      <c r="E518" s="26"/>
      <c r="F518" s="25"/>
      <c r="G518" s="55" t="s">
        <v>19</v>
      </c>
      <c r="H518" s="55" t="s">
        <v>19</v>
      </c>
      <c r="I518" s="55"/>
      <c r="J518" s="55" t="s">
        <v>19</v>
      </c>
      <c r="K518" s="55" t="s">
        <v>19</v>
      </c>
    </row>
    <row r="519" spans="1:11">
      <c r="A519" s="24"/>
      <c r="B519" s="56" t="s">
        <v>20</v>
      </c>
      <c r="C519" s="25" t="s">
        <v>24</v>
      </c>
      <c r="D519" s="10"/>
      <c r="E519" s="26"/>
      <c r="F519" s="25"/>
      <c r="G519" s="22">
        <v>75000000</v>
      </c>
      <c r="H519" s="23">
        <f>H474+J474</f>
        <v>23519844</v>
      </c>
      <c r="I519" s="23"/>
      <c r="J519" s="33">
        <v>51500</v>
      </c>
      <c r="K519" s="34">
        <f>G519-H519-J519</f>
        <v>51428656</v>
      </c>
    </row>
    <row r="520" spans="1:11">
      <c r="A520" s="24"/>
      <c r="B520" s="56" t="s">
        <v>21</v>
      </c>
      <c r="C520" s="25" t="s">
        <v>25</v>
      </c>
      <c r="D520" s="10"/>
      <c r="E520" s="26"/>
      <c r="F520" s="25"/>
      <c r="G520" s="22">
        <v>30000000</v>
      </c>
      <c r="H520" s="23">
        <f t="shared" ref="H520:H521" si="21">H475+J475</f>
        <v>4926794</v>
      </c>
      <c r="I520" s="23"/>
      <c r="J520" s="33">
        <v>0</v>
      </c>
      <c r="K520" s="34">
        <f t="shared" ref="K520:K521" si="22">G520-H520-J520</f>
        <v>25073206</v>
      </c>
    </row>
    <row r="521" spans="1:11">
      <c r="A521" s="24"/>
      <c r="B521" s="56" t="s">
        <v>22</v>
      </c>
      <c r="C521" s="25" t="s">
        <v>26</v>
      </c>
      <c r="D521" s="10"/>
      <c r="E521" s="26"/>
      <c r="F521" s="25"/>
      <c r="G521" s="22">
        <v>50000000</v>
      </c>
      <c r="H521" s="23">
        <f t="shared" si="21"/>
        <v>3500000</v>
      </c>
      <c r="I521" s="23"/>
      <c r="J521" s="33">
        <v>0</v>
      </c>
      <c r="K521" s="34">
        <f t="shared" si="22"/>
        <v>46500000</v>
      </c>
    </row>
    <row r="522" spans="1:11">
      <c r="A522" s="35"/>
      <c r="B522" s="35"/>
      <c r="C522" s="35" t="s">
        <v>27</v>
      </c>
      <c r="D522" s="35"/>
      <c r="E522" s="35"/>
      <c r="F522" s="36"/>
      <c r="G522" s="37">
        <f>SUM(G518:G521)</f>
        <v>155000000</v>
      </c>
      <c r="H522" s="38">
        <f>SUM(H518:H521)</f>
        <v>31946638</v>
      </c>
      <c r="I522" s="38"/>
      <c r="J522" s="38">
        <f>SUM(J518:J521)</f>
        <v>51500</v>
      </c>
      <c r="K522" s="38">
        <f>SUM(K518:K521)</f>
        <v>123001862</v>
      </c>
    </row>
    <row r="523" spans="1:11">
      <c r="A523" s="39"/>
      <c r="B523" s="8"/>
      <c r="C523" s="8"/>
      <c r="D523" s="8"/>
      <c r="E523" s="8"/>
      <c r="F523" s="8"/>
      <c r="G523" s="40"/>
      <c r="H523" s="40"/>
      <c r="I523" s="40"/>
      <c r="J523" s="40"/>
      <c r="K523" s="40"/>
    </row>
    <row r="524" spans="1:11">
      <c r="A524" s="63" t="s">
        <v>28</v>
      </c>
      <c r="B524" s="63"/>
      <c r="C524" s="63"/>
      <c r="D524" s="11" t="s">
        <v>4</v>
      </c>
      <c r="E524" s="14">
        <f>J522</f>
        <v>51500</v>
      </c>
      <c r="F524" s="41"/>
      <c r="G524" s="42"/>
      <c r="H524" s="42"/>
      <c r="I524" s="42"/>
      <c r="J524" s="9"/>
      <c r="K524" s="9"/>
    </row>
    <row r="525" spans="1:11">
      <c r="A525" s="10" t="s">
        <v>29</v>
      </c>
      <c r="B525" s="10"/>
      <c r="C525" s="10"/>
      <c r="D525" s="11" t="s">
        <v>4</v>
      </c>
      <c r="E525" s="43"/>
      <c r="F525" s="43"/>
      <c r="G525" s="44"/>
      <c r="H525" s="12"/>
      <c r="I525" s="12"/>
      <c r="J525" s="9"/>
      <c r="K525" s="9"/>
    </row>
    <row r="526" spans="1:11">
      <c r="A526" s="10" t="s">
        <v>30</v>
      </c>
      <c r="B526" s="10"/>
      <c r="C526" s="10"/>
      <c r="D526" s="11" t="s">
        <v>4</v>
      </c>
      <c r="E526" s="45"/>
      <c r="F526" s="45"/>
      <c r="G526" s="44"/>
      <c r="H526" s="12"/>
      <c r="I526" s="12"/>
      <c r="J526" s="9"/>
      <c r="K526" s="9"/>
    </row>
    <row r="527" spans="1:11">
      <c r="A527" s="10" t="s">
        <v>31</v>
      </c>
      <c r="B527" s="10"/>
      <c r="C527" s="10"/>
      <c r="D527" s="11" t="s">
        <v>4</v>
      </c>
      <c r="E527" s="45">
        <f>E525+E526</f>
        <v>0</v>
      </c>
      <c r="F527" s="45"/>
      <c r="G527" s="10"/>
      <c r="H527" s="12"/>
      <c r="I527" s="12"/>
      <c r="J527" s="47"/>
      <c r="K527" s="47"/>
    </row>
    <row r="528" spans="1:11">
      <c r="A528" s="13"/>
      <c r="B528" s="13"/>
      <c r="C528" s="13"/>
      <c r="D528" s="11"/>
      <c r="E528" s="13"/>
      <c r="F528" s="13"/>
      <c r="G528" s="10"/>
      <c r="H528" s="12"/>
      <c r="I528" s="12"/>
      <c r="J528" s="47"/>
      <c r="K528" s="47"/>
    </row>
    <row r="529" spans="1:11">
      <c r="A529" s="63" t="s">
        <v>32</v>
      </c>
      <c r="B529" s="63"/>
      <c r="C529" s="63"/>
      <c r="D529" s="11" t="s">
        <v>4</v>
      </c>
      <c r="E529" s="41">
        <f>E524-E527</f>
        <v>51500</v>
      </c>
      <c r="F529" s="41"/>
      <c r="G529" s="10"/>
      <c r="H529" s="12"/>
      <c r="I529" s="12"/>
      <c r="J529" s="47"/>
      <c r="K529" s="47"/>
    </row>
    <row r="530" spans="1:11" ht="15.75">
      <c r="A530" s="13"/>
      <c r="B530" s="13"/>
      <c r="C530" s="10"/>
      <c r="D530" s="10"/>
      <c r="E530" s="16" t="str">
        <f>PROPER(IF(E529=0,"nol",IF(E529&lt;0,"minus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529),"000000000000000"),1,3)=0,"",MID(TEXT(ABS(E529),"000000000000000"),1,1)&amp;" ratus "&amp;MID(TEXT(ABS(E529),"000000000000000"),2,1)&amp;" puluh "&amp;MID(TEXT(ABS(E529),"000000000000000"),3,1)&amp;" trilyun ")&amp;IF(--MID(TEXT(ABS(E529),"000000000000000"),4,3)=0,"",MID(TEXT(ABS(E529),"000000000000000"),4,1)&amp;" ratus "&amp;MID(TEXT(ABS(E529),"000000000000000"),5,1)&amp;" puluh "&amp;MID(TEXT(ABS(E529),"000000000000000"),6,1)&amp;" milyar ")&amp;IF(--MID(TEXT(ABS(E529),"000000000000000"),7,3)=0,"",MID(TEXT(ABS(E529),"000000000000000"),7,1)&amp;" ratus "&amp;MID(TEXT(ABS(E529),"000000000000000"),8,1)&amp;" puluh "&amp;MID(TEXT(ABS(E529),"000000000000000"),9,1)&amp;" juta ")&amp;IF(--MID(TEXT(ABS(E529),"000000000000000"),10,3)=0,"",IF(--MID(TEXT(ABS(E529),"000000000000000"),10,3)=1,"*",MID(TEXT(ABS(E529),"000000000000000"),10,1)&amp;" ratus "&amp;MID(TEXT(ABS(E529),"000000000000000"),11,1)&amp;" puluh ")&amp;MID(TEXT(ABS(E529),"000000000000000"),12,1)&amp;" ribu ")&amp;IF(--MID(TEXT(ABS(E529),"000000000000000"),13,3)=0,"",MID(TEXT(ABS(E529),"000000000000000"),13,1)&amp;" ratus "&amp;MID(TEXT(ABS(E529),"000000000000000"),14,1)&amp;" puluh "&amp;MID(TEXT(ABS(E529),"000000000000000"),15,1)),1,"satu"),2,"dua"),3,"tiga"),4,"empat"),5,"lima"),6,"enam"),7,"tujuh"),8,"delapan"),9,"sembilan"),"0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Lima Puluh Satu Ribu Lima Ratus Rupiah</v>
      </c>
      <c r="F530" s="10"/>
      <c r="G530" s="10"/>
      <c r="H530" s="10"/>
      <c r="I530" s="10"/>
      <c r="J530" s="47"/>
      <c r="K530" s="47"/>
    </row>
    <row r="531" spans="1:11">
      <c r="A531" s="46"/>
      <c r="B531" s="46"/>
      <c r="C531" s="46"/>
      <c r="D531" s="46"/>
      <c r="E531" s="46"/>
      <c r="F531" s="46"/>
      <c r="G531" s="29"/>
      <c r="H531" s="47"/>
      <c r="I531" s="47"/>
      <c r="J531" s="47"/>
      <c r="K531" s="47"/>
    </row>
    <row r="532" spans="1:11">
      <c r="A532" s="29"/>
      <c r="B532" s="29"/>
      <c r="C532" s="29"/>
      <c r="D532" s="29"/>
      <c r="E532" s="29"/>
      <c r="F532" s="29"/>
      <c r="G532" s="29"/>
      <c r="H532"/>
      <c r="I532"/>
      <c r="J532" s="47"/>
      <c r="K532" s="47"/>
    </row>
    <row r="533" spans="1:11">
      <c r="A533" s="13"/>
      <c r="B533" s="13"/>
      <c r="C533" s="10"/>
      <c r="D533" s="10"/>
      <c r="E533" s="10"/>
      <c r="F533" s="10"/>
      <c r="G533" s="10"/>
      <c r="I533" s="48"/>
      <c r="J533" s="48" t="s">
        <v>85</v>
      </c>
      <c r="K533" s="47"/>
    </row>
    <row r="534" spans="1:11">
      <c r="A534" s="12" t="s">
        <v>33</v>
      </c>
      <c r="B534" s="10"/>
      <c r="C534" s="10"/>
      <c r="D534" s="10"/>
      <c r="E534" s="10"/>
      <c r="F534" s="10"/>
      <c r="G534" s="10"/>
      <c r="I534" s="12"/>
      <c r="J534" s="12" t="s">
        <v>34</v>
      </c>
      <c r="K534" s="47"/>
    </row>
    <row r="535" spans="1:11">
      <c r="A535" s="10"/>
      <c r="B535" s="10"/>
      <c r="C535" s="10"/>
      <c r="D535" s="10"/>
      <c r="E535" s="10"/>
      <c r="F535" s="10"/>
      <c r="G535" s="10"/>
      <c r="I535" s="12"/>
      <c r="J535" s="12"/>
      <c r="K535" s="47"/>
    </row>
    <row r="536" spans="1:11">
      <c r="A536" s="10"/>
      <c r="B536" s="10"/>
      <c r="C536" s="10"/>
      <c r="D536" s="10"/>
      <c r="E536" s="10"/>
      <c r="F536" s="10"/>
      <c r="G536" s="10"/>
      <c r="I536" s="12"/>
      <c r="J536" s="12"/>
      <c r="K536" s="47"/>
    </row>
    <row r="537" spans="1:11">
      <c r="A537" s="10"/>
      <c r="B537" s="10"/>
      <c r="C537" s="10"/>
      <c r="D537" s="10"/>
      <c r="E537" s="10"/>
      <c r="F537" s="10"/>
      <c r="G537" s="10"/>
      <c r="I537" s="12"/>
      <c r="J537" s="12"/>
      <c r="K537" s="47"/>
    </row>
    <row r="538" spans="1:11">
      <c r="A538" s="10"/>
      <c r="B538" s="10"/>
      <c r="C538" s="10"/>
      <c r="D538" s="10"/>
      <c r="E538" s="10"/>
      <c r="F538" s="10"/>
      <c r="G538" s="10"/>
      <c r="I538" s="12"/>
      <c r="J538" s="12"/>
      <c r="K538" s="47"/>
    </row>
    <row r="539" spans="1:11">
      <c r="A539" s="49" t="s">
        <v>38</v>
      </c>
      <c r="B539" s="49"/>
      <c r="C539" s="50"/>
      <c r="D539" s="50"/>
      <c r="E539" s="50"/>
      <c r="F539" s="50"/>
      <c r="G539" s="10" t="s">
        <v>35</v>
      </c>
      <c r="I539" s="49"/>
      <c r="J539" s="49" t="s">
        <v>36</v>
      </c>
      <c r="K539" s="47"/>
    </row>
    <row r="544" spans="1:11" ht="15.75">
      <c r="C544" s="2"/>
      <c r="D544" s="2"/>
      <c r="E544" s="2"/>
      <c r="F544" s="2"/>
    </row>
    <row r="545" spans="1:11" ht="15.75">
      <c r="A545" s="3"/>
      <c r="B545" s="3"/>
      <c r="C545" s="2"/>
      <c r="D545" s="2"/>
      <c r="E545" s="2"/>
      <c r="F545" s="2"/>
      <c r="G545" s="3"/>
      <c r="H545" s="4"/>
      <c r="I545" s="4"/>
      <c r="J545" s="4"/>
      <c r="K545" s="5"/>
    </row>
    <row r="546" spans="1:11">
      <c r="H546" s="5"/>
      <c r="I546" s="5"/>
      <c r="J546" s="5"/>
      <c r="K546" s="5"/>
    </row>
    <row r="547" spans="1:11">
      <c r="H547" s="5"/>
      <c r="I547" s="5"/>
      <c r="J547" s="5"/>
      <c r="K547" s="5"/>
    </row>
    <row r="548" spans="1:11">
      <c r="A548" s="64" t="s">
        <v>0</v>
      </c>
      <c r="B548" s="64"/>
      <c r="C548" s="58"/>
      <c r="D548" s="58"/>
      <c r="E548" s="58"/>
      <c r="F548" s="58"/>
      <c r="G548" s="58"/>
      <c r="H548" s="58"/>
      <c r="I548" s="58"/>
      <c r="J548" s="58"/>
      <c r="K548" s="58"/>
    </row>
    <row r="549" spans="1:11">
      <c r="A549" s="58" t="s">
        <v>86</v>
      </c>
      <c r="B549" s="58"/>
      <c r="C549" s="58"/>
      <c r="D549" s="58"/>
      <c r="E549" s="58"/>
      <c r="F549" s="58"/>
      <c r="G549" s="58"/>
      <c r="H549" s="58"/>
      <c r="I549" s="58"/>
      <c r="J549" s="58"/>
      <c r="K549" s="58"/>
    </row>
    <row r="550" spans="1:11">
      <c r="A550" s="58" t="s">
        <v>1</v>
      </c>
      <c r="B550" s="58"/>
      <c r="C550" s="58"/>
      <c r="D550" s="58"/>
      <c r="E550" s="58"/>
      <c r="F550" s="58"/>
      <c r="G550" s="58"/>
      <c r="H550" s="58"/>
      <c r="I550" s="58"/>
      <c r="J550" s="58"/>
      <c r="K550" s="58"/>
    </row>
    <row r="551" spans="1:11">
      <c r="A551" s="58" t="s">
        <v>39</v>
      </c>
      <c r="B551" s="58"/>
      <c r="C551" s="58"/>
      <c r="D551" s="58"/>
      <c r="E551" s="58"/>
      <c r="F551" s="58"/>
      <c r="G551" s="58"/>
      <c r="H551" s="58"/>
      <c r="I551" s="58"/>
      <c r="J551" s="58"/>
      <c r="K551" s="58"/>
    </row>
    <row r="552" spans="1:11">
      <c r="A552" s="58" t="s">
        <v>2</v>
      </c>
      <c r="B552" s="58"/>
      <c r="C552" s="58"/>
      <c r="D552" s="58"/>
      <c r="E552" s="58"/>
      <c r="F552" s="58"/>
      <c r="G552" s="58"/>
      <c r="H552" s="58"/>
      <c r="I552" s="58"/>
      <c r="J552" s="58"/>
      <c r="K552" s="58"/>
    </row>
    <row r="553" spans="1:11">
      <c r="A553" s="6"/>
      <c r="B553" s="6"/>
      <c r="C553" s="7"/>
      <c r="D553" s="7"/>
      <c r="E553" s="7"/>
      <c r="F553" s="7"/>
      <c r="G553" s="8"/>
      <c r="H553" s="9"/>
      <c r="I553" s="9"/>
      <c r="J553" s="9"/>
      <c r="K553" s="9"/>
    </row>
    <row r="554" spans="1:11">
      <c r="A554" s="53" t="s">
        <v>3</v>
      </c>
      <c r="B554" s="10"/>
      <c r="C554" s="10"/>
      <c r="D554" s="54" t="s">
        <v>4</v>
      </c>
      <c r="E554" s="10" t="s">
        <v>5</v>
      </c>
      <c r="F554" s="11"/>
      <c r="G554" s="10"/>
      <c r="H554" s="12"/>
      <c r="I554" s="12"/>
      <c r="J554" s="12"/>
      <c r="K554" s="9"/>
    </row>
    <row r="555" spans="1:11">
      <c r="A555" s="53" t="s">
        <v>6</v>
      </c>
      <c r="B555" s="10"/>
      <c r="C555" s="10"/>
      <c r="D555" s="54" t="s">
        <v>4</v>
      </c>
      <c r="E555" s="10" t="s">
        <v>7</v>
      </c>
      <c r="F555" s="11"/>
      <c r="G555" s="10"/>
      <c r="H555" s="12"/>
      <c r="I555" s="12"/>
      <c r="J555" s="12"/>
      <c r="K555" s="9"/>
    </row>
    <row r="556" spans="1:11">
      <c r="A556" s="53" t="s">
        <v>8</v>
      </c>
      <c r="B556" s="10"/>
      <c r="C556" s="10"/>
      <c r="D556" s="54" t="s">
        <v>4</v>
      </c>
      <c r="E556" s="13">
        <v>2026</v>
      </c>
      <c r="F556" s="11"/>
      <c r="G556" s="13"/>
      <c r="H556" s="12"/>
      <c r="I556" s="12"/>
      <c r="J556" s="12"/>
      <c r="K556" s="9"/>
    </row>
    <row r="557" spans="1:11">
      <c r="A557" s="53" t="s">
        <v>9</v>
      </c>
      <c r="B557" s="10"/>
      <c r="C557" s="10"/>
      <c r="D557" s="54" t="s">
        <v>4</v>
      </c>
      <c r="E557" s="14">
        <f>J567</f>
        <v>1500000</v>
      </c>
      <c r="F557" s="11"/>
      <c r="G557" s="14"/>
      <c r="H557" s="12"/>
      <c r="I557" s="12"/>
      <c r="J557" s="12"/>
      <c r="K557" s="9"/>
    </row>
    <row r="558" spans="1:11" ht="15.75">
      <c r="A558" s="10"/>
      <c r="B558" s="10"/>
      <c r="C558" s="15" t="s">
        <v>10</v>
      </c>
      <c r="D558" s="54" t="s">
        <v>4</v>
      </c>
      <c r="E558" s="16" t="str">
        <f>PROPER(IF(E557=0,"nol",IF(E557&lt;0,"minus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557),"000000000000000"),1,3)=0,"",MID(TEXT(ABS(E557),"000000000000000"),1,1)&amp;" ratus "&amp;MID(TEXT(ABS(E557),"000000000000000"),2,1)&amp;" puluh "&amp;MID(TEXT(ABS(E557),"000000000000000"),3,1)&amp;" trilyun ")&amp;IF(--MID(TEXT(ABS(E557),"000000000000000"),4,3)=0,"",MID(TEXT(ABS(E557),"000000000000000"),4,1)&amp;" ratus "&amp;MID(TEXT(ABS(E557),"000000000000000"),5,1)&amp;" puluh "&amp;MID(TEXT(ABS(E557),"000000000000000"),6,1)&amp;" milyar ")&amp;IF(--MID(TEXT(ABS(E557),"000000000000000"),7,3)=0,"",MID(TEXT(ABS(E557),"000000000000000"),7,1)&amp;" ratus "&amp;MID(TEXT(ABS(E557),"000000000000000"),8,1)&amp;" puluh "&amp;MID(TEXT(ABS(E557),"000000000000000"),9,1)&amp;" juta ")&amp;IF(--MID(TEXT(ABS(E557),"000000000000000"),10,3)=0,"",IF(--MID(TEXT(ABS(E557),"000000000000000"),10,3)=1,"*",MID(TEXT(ABS(E557),"000000000000000"),10,1)&amp;" ratus "&amp;MID(TEXT(ABS(E557),"000000000000000"),11,1)&amp;" puluh ")&amp;MID(TEXT(ABS(E557),"000000000000000"),12,1)&amp;" ribu ")&amp;IF(--MID(TEXT(ABS(E557),"000000000000000"),13,3)=0,"",MID(TEXT(ABS(E557),"000000000000000"),13,1)&amp;" ratus "&amp;MID(TEXT(ABS(E557),"000000000000000"),14,1)&amp;" puluh "&amp;MID(TEXT(ABS(E557),"000000000000000"),15,1)),1,"satu"),2,"dua"),3,"tiga"),4,"empat"),5,"lima"),6,"enam"),7,"tujuh"),8,"delapan"),9,"sembilan"),"0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Satu Juta Lima Ratus Ribu Rupiah</v>
      </c>
      <c r="F558" s="11"/>
      <c r="G558" s="16"/>
      <c r="H558" s="12"/>
      <c r="I558" s="12"/>
      <c r="J558" s="12"/>
      <c r="K558" s="9"/>
    </row>
    <row r="559" spans="1:11" ht="15.75">
      <c r="A559" s="10"/>
      <c r="B559" s="10"/>
      <c r="C559" s="15"/>
      <c r="D559" s="15"/>
      <c r="E559" s="15"/>
      <c r="F559" s="11"/>
      <c r="G559" s="16"/>
      <c r="H559" s="12"/>
      <c r="I559" s="12"/>
      <c r="J559" s="12"/>
      <c r="K559" s="9"/>
    </row>
    <row r="560" spans="1:11">
      <c r="A560" s="10" t="s">
        <v>11</v>
      </c>
      <c r="B560" s="10"/>
      <c r="C560" s="10"/>
      <c r="D560" s="10"/>
      <c r="E560" s="10"/>
      <c r="F560" s="10"/>
      <c r="G560" s="10"/>
      <c r="H560" s="12"/>
      <c r="I560" s="12"/>
      <c r="J560" s="12"/>
      <c r="K560" s="9"/>
    </row>
    <row r="561" spans="1:11">
      <c r="A561" s="59" t="s">
        <v>12</v>
      </c>
      <c r="B561" s="59"/>
      <c r="C561" s="59"/>
      <c r="D561" s="59"/>
      <c r="E561" s="59"/>
      <c r="F561" s="59"/>
      <c r="G561" s="59"/>
      <c r="H561" s="59"/>
      <c r="I561" s="59"/>
      <c r="J561" s="59"/>
      <c r="K561" s="59"/>
    </row>
    <row r="562" spans="1:11" ht="60">
      <c r="A562" s="17" t="s">
        <v>13</v>
      </c>
      <c r="B562" s="18" t="s">
        <v>14</v>
      </c>
      <c r="C562" s="60" t="s">
        <v>15</v>
      </c>
      <c r="D562" s="61"/>
      <c r="E562" s="62"/>
      <c r="F562" s="19"/>
      <c r="G562" s="20" t="s">
        <v>16</v>
      </c>
      <c r="H562" s="21" t="s">
        <v>37</v>
      </c>
      <c r="I562" s="21"/>
      <c r="J562" s="31" t="s">
        <v>17</v>
      </c>
      <c r="K562" s="32" t="s">
        <v>18</v>
      </c>
    </row>
    <row r="563" spans="1:11">
      <c r="A563" s="27">
        <v>1</v>
      </c>
      <c r="B563" s="24"/>
      <c r="C563" s="28" t="s">
        <v>23</v>
      </c>
      <c r="D563" s="57"/>
      <c r="E563" s="26"/>
      <c r="F563" s="25"/>
      <c r="G563" s="55" t="s">
        <v>19</v>
      </c>
      <c r="H563" s="55" t="s">
        <v>19</v>
      </c>
      <c r="I563" s="55"/>
      <c r="J563" s="55" t="s">
        <v>19</v>
      </c>
      <c r="K563" s="55" t="s">
        <v>19</v>
      </c>
    </row>
    <row r="564" spans="1:11">
      <c r="A564" s="24"/>
      <c r="B564" s="56" t="s">
        <v>20</v>
      </c>
      <c r="C564" s="25" t="s">
        <v>24</v>
      </c>
      <c r="D564" s="10"/>
      <c r="E564" s="26"/>
      <c r="F564" s="25"/>
      <c r="G564" s="22">
        <v>75000000</v>
      </c>
      <c r="H564" s="23">
        <f>H519+J519</f>
        <v>23571344</v>
      </c>
      <c r="I564" s="23"/>
      <c r="J564" s="33">
        <v>1500000</v>
      </c>
      <c r="K564" s="34">
        <f>G564-H564-J564</f>
        <v>49928656</v>
      </c>
    </row>
    <row r="565" spans="1:11">
      <c r="A565" s="24"/>
      <c r="B565" s="56" t="s">
        <v>21</v>
      </c>
      <c r="C565" s="25" t="s">
        <v>25</v>
      </c>
      <c r="D565" s="10"/>
      <c r="E565" s="26"/>
      <c r="F565" s="25"/>
      <c r="G565" s="22">
        <v>30000000</v>
      </c>
      <c r="H565" s="23">
        <f t="shared" ref="H565:H566" si="23">H520+J520</f>
        <v>4926794</v>
      </c>
      <c r="I565" s="23"/>
      <c r="J565" s="33">
        <v>0</v>
      </c>
      <c r="K565" s="34">
        <f t="shared" ref="K565:K566" si="24">G565-H565-J565</f>
        <v>25073206</v>
      </c>
    </row>
    <row r="566" spans="1:11">
      <c r="A566" s="24"/>
      <c r="B566" s="56" t="s">
        <v>22</v>
      </c>
      <c r="C566" s="25" t="s">
        <v>26</v>
      </c>
      <c r="D566" s="10"/>
      <c r="E566" s="26"/>
      <c r="F566" s="25"/>
      <c r="G566" s="22">
        <v>50000000</v>
      </c>
      <c r="H566" s="23">
        <f t="shared" si="23"/>
        <v>3500000</v>
      </c>
      <c r="I566" s="23"/>
      <c r="J566" s="33">
        <v>0</v>
      </c>
      <c r="K566" s="34">
        <f t="shared" si="24"/>
        <v>46500000</v>
      </c>
    </row>
    <row r="567" spans="1:11">
      <c r="A567" s="35"/>
      <c r="B567" s="35"/>
      <c r="C567" s="35" t="s">
        <v>27</v>
      </c>
      <c r="D567" s="35"/>
      <c r="E567" s="35"/>
      <c r="F567" s="36"/>
      <c r="G567" s="37">
        <f>SUM(G563:G566)</f>
        <v>155000000</v>
      </c>
      <c r="H567" s="38">
        <f>SUM(H563:H566)</f>
        <v>31998138</v>
      </c>
      <c r="I567" s="38"/>
      <c r="J567" s="38">
        <f>SUM(J563:J566)</f>
        <v>1500000</v>
      </c>
      <c r="K567" s="38">
        <f>SUM(K563:K566)</f>
        <v>121501862</v>
      </c>
    </row>
    <row r="568" spans="1:11">
      <c r="A568" s="39"/>
      <c r="B568" s="8"/>
      <c r="C568" s="8"/>
      <c r="D568" s="8"/>
      <c r="E568" s="8"/>
      <c r="F568" s="8"/>
      <c r="G568" s="40"/>
      <c r="H568" s="40"/>
      <c r="I568" s="40"/>
      <c r="J568" s="40"/>
      <c r="K568" s="40"/>
    </row>
    <row r="569" spans="1:11">
      <c r="A569" s="63" t="s">
        <v>28</v>
      </c>
      <c r="B569" s="63"/>
      <c r="C569" s="63"/>
      <c r="D569" s="11" t="s">
        <v>4</v>
      </c>
      <c r="E569" s="14">
        <f>J567</f>
        <v>1500000</v>
      </c>
      <c r="F569" s="41"/>
      <c r="G569" s="42"/>
      <c r="H569" s="42"/>
      <c r="I569" s="42"/>
      <c r="J569" s="9"/>
      <c r="K569" s="9"/>
    </row>
    <row r="570" spans="1:11">
      <c r="A570" s="10" t="s">
        <v>29</v>
      </c>
      <c r="B570" s="10"/>
      <c r="C570" s="10"/>
      <c r="D570" s="11" t="s">
        <v>4</v>
      </c>
      <c r="E570" s="43"/>
      <c r="F570" s="43"/>
      <c r="G570" s="44"/>
      <c r="H570" s="12"/>
      <c r="I570" s="12"/>
      <c r="J570" s="9"/>
      <c r="K570" s="9"/>
    </row>
    <row r="571" spans="1:11">
      <c r="A571" s="10" t="s">
        <v>30</v>
      </c>
      <c r="B571" s="10"/>
      <c r="C571" s="10"/>
      <c r="D571" s="11" t="s">
        <v>4</v>
      </c>
      <c r="E571" s="45"/>
      <c r="F571" s="45"/>
      <c r="G571" s="44"/>
      <c r="H571" s="12"/>
      <c r="I571" s="12"/>
      <c r="J571" s="9"/>
      <c r="K571" s="9"/>
    </row>
    <row r="572" spans="1:11">
      <c r="A572" s="10" t="s">
        <v>31</v>
      </c>
      <c r="B572" s="10"/>
      <c r="C572" s="10"/>
      <c r="D572" s="11" t="s">
        <v>4</v>
      </c>
      <c r="E572" s="45">
        <f>E570+E571</f>
        <v>0</v>
      </c>
      <c r="F572" s="45"/>
      <c r="G572" s="10"/>
      <c r="H572" s="12"/>
      <c r="I572" s="12"/>
      <c r="J572" s="47"/>
      <c r="K572" s="47"/>
    </row>
    <row r="573" spans="1:11">
      <c r="A573" s="13"/>
      <c r="B573" s="13"/>
      <c r="C573" s="13"/>
      <c r="D573" s="11"/>
      <c r="E573" s="13"/>
      <c r="F573" s="13"/>
      <c r="G573" s="10"/>
      <c r="H573" s="12"/>
      <c r="I573" s="12"/>
      <c r="J573" s="47"/>
      <c r="K573" s="47"/>
    </row>
    <row r="574" spans="1:11">
      <c r="A574" s="63" t="s">
        <v>32</v>
      </c>
      <c r="B574" s="63"/>
      <c r="C574" s="63"/>
      <c r="D574" s="11" t="s">
        <v>4</v>
      </c>
      <c r="E574" s="41">
        <f>E569-E572</f>
        <v>1500000</v>
      </c>
      <c r="F574" s="41"/>
      <c r="G574" s="10"/>
      <c r="H574" s="12"/>
      <c r="I574" s="12"/>
      <c r="J574" s="47"/>
      <c r="K574" s="47"/>
    </row>
    <row r="575" spans="1:11" ht="15.75">
      <c r="A575" s="13"/>
      <c r="B575" s="13"/>
      <c r="C575" s="10"/>
      <c r="D575" s="10"/>
      <c r="E575" s="16" t="str">
        <f>PROPER(IF(E574=0,"nol",IF(E574&lt;0,"minus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574),"000000000000000"),1,3)=0,"",MID(TEXT(ABS(E574),"000000000000000"),1,1)&amp;" ratus "&amp;MID(TEXT(ABS(E574),"000000000000000"),2,1)&amp;" puluh "&amp;MID(TEXT(ABS(E574),"000000000000000"),3,1)&amp;" trilyun ")&amp;IF(--MID(TEXT(ABS(E574),"000000000000000"),4,3)=0,"",MID(TEXT(ABS(E574),"000000000000000"),4,1)&amp;" ratus "&amp;MID(TEXT(ABS(E574),"000000000000000"),5,1)&amp;" puluh "&amp;MID(TEXT(ABS(E574),"000000000000000"),6,1)&amp;" milyar ")&amp;IF(--MID(TEXT(ABS(E574),"000000000000000"),7,3)=0,"",MID(TEXT(ABS(E574),"000000000000000"),7,1)&amp;" ratus "&amp;MID(TEXT(ABS(E574),"000000000000000"),8,1)&amp;" puluh "&amp;MID(TEXT(ABS(E574),"000000000000000"),9,1)&amp;" juta ")&amp;IF(--MID(TEXT(ABS(E574),"000000000000000"),10,3)=0,"",IF(--MID(TEXT(ABS(E574),"000000000000000"),10,3)=1,"*",MID(TEXT(ABS(E574),"000000000000000"),10,1)&amp;" ratus "&amp;MID(TEXT(ABS(E574),"000000000000000"),11,1)&amp;" puluh ")&amp;MID(TEXT(ABS(E574),"000000000000000"),12,1)&amp;" ribu ")&amp;IF(--MID(TEXT(ABS(E574),"000000000000000"),13,3)=0,"",MID(TEXT(ABS(E574),"000000000000000"),13,1)&amp;" ratus "&amp;MID(TEXT(ABS(E574),"000000000000000"),14,1)&amp;" puluh "&amp;MID(TEXT(ABS(E574),"000000000000000"),15,1)),1,"satu"),2,"dua"),3,"tiga"),4,"empat"),5,"lima"),6,"enam"),7,"tujuh"),8,"delapan"),9,"sembilan"),"0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Satu Juta Lima Ratus Ribu Rupiah</v>
      </c>
      <c r="F575" s="10"/>
      <c r="G575" s="10"/>
      <c r="H575" s="10"/>
      <c r="I575" s="10"/>
      <c r="J575" s="47"/>
      <c r="K575" s="47"/>
    </row>
    <row r="576" spans="1:11">
      <c r="A576" s="46"/>
      <c r="B576" s="46"/>
      <c r="C576" s="46"/>
      <c r="D576" s="46"/>
      <c r="E576" s="46"/>
      <c r="F576" s="46"/>
      <c r="G576" s="29"/>
      <c r="H576" s="47"/>
      <c r="I576" s="47"/>
      <c r="J576" s="47"/>
      <c r="K576" s="47"/>
    </row>
    <row r="577" spans="1:11">
      <c r="A577" s="29"/>
      <c r="B577" s="29"/>
      <c r="C577" s="29"/>
      <c r="D577" s="29"/>
      <c r="E577" s="29"/>
      <c r="F577" s="29"/>
      <c r="G577" s="29"/>
      <c r="H577"/>
      <c r="I577"/>
      <c r="J577" s="47"/>
      <c r="K577" s="47"/>
    </row>
    <row r="578" spans="1:11">
      <c r="A578" s="13"/>
      <c r="B578" s="13"/>
      <c r="C578" s="10"/>
      <c r="D578" s="10"/>
      <c r="E578" s="10"/>
      <c r="F578" s="10"/>
      <c r="G578" s="10"/>
      <c r="I578" s="48"/>
      <c r="J578" s="48" t="s">
        <v>87</v>
      </c>
      <c r="K578" s="47"/>
    </row>
    <row r="579" spans="1:11">
      <c r="A579" s="12" t="s">
        <v>33</v>
      </c>
      <c r="B579" s="10"/>
      <c r="C579" s="10"/>
      <c r="D579" s="10"/>
      <c r="E579" s="10"/>
      <c r="F579" s="10"/>
      <c r="G579" s="10"/>
      <c r="I579" s="12"/>
      <c r="J579" s="12" t="s">
        <v>34</v>
      </c>
      <c r="K579" s="47"/>
    </row>
    <row r="580" spans="1:11">
      <c r="A580" s="10"/>
      <c r="B580" s="10"/>
      <c r="C580" s="10"/>
      <c r="D580" s="10"/>
      <c r="E580" s="10"/>
      <c r="F580" s="10"/>
      <c r="G580" s="10"/>
      <c r="I580" s="12"/>
      <c r="J580" s="12"/>
      <c r="K580" s="47"/>
    </row>
    <row r="581" spans="1:11">
      <c r="A581" s="10"/>
      <c r="B581" s="10"/>
      <c r="C581" s="10"/>
      <c r="D581" s="10"/>
      <c r="E581" s="10"/>
      <c r="F581" s="10"/>
      <c r="G581" s="10"/>
      <c r="I581" s="12"/>
      <c r="J581" s="12"/>
      <c r="K581" s="47"/>
    </row>
    <row r="582" spans="1:11">
      <c r="A582" s="10"/>
      <c r="B582" s="10"/>
      <c r="C582" s="10"/>
      <c r="D582" s="10"/>
      <c r="E582" s="10"/>
      <c r="F582" s="10"/>
      <c r="G582" s="10"/>
      <c r="I582" s="12"/>
      <c r="J582" s="12"/>
      <c r="K582" s="47"/>
    </row>
    <row r="583" spans="1:11">
      <c r="A583" s="10"/>
      <c r="B583" s="10"/>
      <c r="C583" s="10"/>
      <c r="D583" s="10"/>
      <c r="E583" s="10"/>
      <c r="F583" s="10"/>
      <c r="G583" s="10"/>
      <c r="I583" s="12"/>
      <c r="J583" s="12"/>
      <c r="K583" s="47"/>
    </row>
    <row r="584" spans="1:11">
      <c r="A584" s="49" t="s">
        <v>38</v>
      </c>
      <c r="B584" s="49"/>
      <c r="C584" s="50"/>
      <c r="D584" s="50"/>
      <c r="E584" s="50"/>
      <c r="F584" s="50"/>
      <c r="G584" s="10" t="s">
        <v>35</v>
      </c>
      <c r="I584" s="49"/>
      <c r="J584" s="49" t="s">
        <v>36</v>
      </c>
      <c r="K584" s="47"/>
    </row>
    <row r="589" spans="1:11" ht="15.75">
      <c r="C589" s="2"/>
      <c r="D589" s="2"/>
      <c r="E589" s="2"/>
      <c r="F589" s="2"/>
    </row>
    <row r="590" spans="1:11" ht="15.75">
      <c r="A590" s="3"/>
      <c r="B590" s="3"/>
      <c r="C590" s="2"/>
      <c r="D590" s="2"/>
      <c r="E590" s="2"/>
      <c r="F590" s="2"/>
      <c r="G590" s="3"/>
      <c r="H590" s="4"/>
      <c r="I590" s="4"/>
      <c r="J590" s="4"/>
      <c r="K590" s="5"/>
    </row>
    <row r="591" spans="1:11">
      <c r="H591" s="5"/>
      <c r="I591" s="5"/>
      <c r="J591" s="5"/>
      <c r="K591" s="5"/>
    </row>
    <row r="592" spans="1:11">
      <c r="H592" s="5"/>
      <c r="I592" s="5"/>
      <c r="J592" s="5"/>
      <c r="K592" s="5"/>
    </row>
    <row r="593" spans="1:11">
      <c r="A593" s="64" t="s">
        <v>0</v>
      </c>
      <c r="B593" s="64"/>
      <c r="C593" s="58"/>
      <c r="D593" s="58"/>
      <c r="E593" s="58"/>
      <c r="F593" s="58"/>
      <c r="G593" s="58"/>
      <c r="H593" s="58"/>
      <c r="I593" s="58"/>
      <c r="J593" s="58"/>
      <c r="K593" s="58"/>
    </row>
    <row r="594" spans="1:11">
      <c r="A594" s="58" t="s">
        <v>88</v>
      </c>
      <c r="B594" s="58"/>
      <c r="C594" s="58"/>
      <c r="D594" s="58"/>
      <c r="E594" s="58"/>
      <c r="F594" s="58"/>
      <c r="G594" s="58"/>
      <c r="H594" s="58"/>
      <c r="I594" s="58"/>
      <c r="J594" s="58"/>
      <c r="K594" s="58"/>
    </row>
    <row r="595" spans="1:11">
      <c r="A595" s="58" t="s">
        <v>1</v>
      </c>
      <c r="B595" s="58"/>
      <c r="C595" s="58"/>
      <c r="D595" s="58"/>
      <c r="E595" s="58"/>
      <c r="F595" s="58"/>
      <c r="G595" s="58"/>
      <c r="H595" s="58"/>
      <c r="I595" s="58"/>
      <c r="J595" s="58"/>
      <c r="K595" s="58"/>
    </row>
    <row r="596" spans="1:11">
      <c r="A596" s="58" t="s">
        <v>39</v>
      </c>
      <c r="B596" s="58"/>
      <c r="C596" s="58"/>
      <c r="D596" s="58"/>
      <c r="E596" s="58"/>
      <c r="F596" s="58"/>
      <c r="G596" s="58"/>
      <c r="H596" s="58"/>
      <c r="I596" s="58"/>
      <c r="J596" s="58"/>
      <c r="K596" s="58"/>
    </row>
    <row r="597" spans="1:11">
      <c r="A597" s="58" t="s">
        <v>2</v>
      </c>
      <c r="B597" s="58"/>
      <c r="C597" s="58"/>
      <c r="D597" s="58"/>
      <c r="E597" s="58"/>
      <c r="F597" s="58"/>
      <c r="G597" s="58"/>
      <c r="H597" s="58"/>
      <c r="I597" s="58"/>
      <c r="J597" s="58"/>
      <c r="K597" s="58"/>
    </row>
    <row r="598" spans="1:11">
      <c r="A598" s="6"/>
      <c r="B598" s="6"/>
      <c r="C598" s="7"/>
      <c r="D598" s="7"/>
      <c r="E598" s="7"/>
      <c r="F598" s="7"/>
      <c r="G598" s="8"/>
      <c r="H598" s="9"/>
      <c r="I598" s="9"/>
      <c r="J598" s="9"/>
      <c r="K598" s="9"/>
    </row>
    <row r="599" spans="1:11">
      <c r="A599" s="53" t="s">
        <v>3</v>
      </c>
      <c r="B599" s="10"/>
      <c r="C599" s="10"/>
      <c r="D599" s="54" t="s">
        <v>4</v>
      </c>
      <c r="E599" s="10" t="s">
        <v>5</v>
      </c>
      <c r="F599" s="11"/>
      <c r="G599" s="10"/>
      <c r="H599" s="12"/>
      <c r="I599" s="12"/>
      <c r="J599" s="12"/>
      <c r="K599" s="9"/>
    </row>
    <row r="600" spans="1:11">
      <c r="A600" s="53" t="s">
        <v>6</v>
      </c>
      <c r="B600" s="10"/>
      <c r="C600" s="10"/>
      <c r="D600" s="54" t="s">
        <v>4</v>
      </c>
      <c r="E600" s="10" t="s">
        <v>7</v>
      </c>
      <c r="F600" s="11"/>
      <c r="G600" s="10"/>
      <c r="H600" s="12"/>
      <c r="I600" s="12"/>
      <c r="J600" s="12"/>
      <c r="K600" s="9"/>
    </row>
    <row r="601" spans="1:11">
      <c r="A601" s="53" t="s">
        <v>8</v>
      </c>
      <c r="B601" s="10"/>
      <c r="C601" s="10"/>
      <c r="D601" s="54" t="s">
        <v>4</v>
      </c>
      <c r="E601" s="13">
        <v>2026</v>
      </c>
      <c r="F601" s="11"/>
      <c r="G601" s="13"/>
      <c r="H601" s="12"/>
      <c r="I601" s="12"/>
      <c r="J601" s="12"/>
      <c r="K601" s="9"/>
    </row>
    <row r="602" spans="1:11">
      <c r="A602" s="53" t="s">
        <v>9</v>
      </c>
      <c r="B602" s="10"/>
      <c r="C602" s="10"/>
      <c r="D602" s="54" t="s">
        <v>4</v>
      </c>
      <c r="E602" s="14">
        <f>J612</f>
        <v>1000000</v>
      </c>
      <c r="F602" s="11"/>
      <c r="G602" s="14"/>
      <c r="H602" s="12"/>
      <c r="I602" s="12"/>
      <c r="J602" s="12"/>
      <c r="K602" s="9"/>
    </row>
    <row r="603" spans="1:11" ht="15.75">
      <c r="A603" s="10"/>
      <c r="B603" s="10"/>
      <c r="C603" s="15" t="s">
        <v>10</v>
      </c>
      <c r="D603" s="54" t="s">
        <v>4</v>
      </c>
      <c r="E603" s="16" t="str">
        <f>PROPER(IF(E602=0,"nol",IF(E602&lt;0,"minus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602),"000000000000000"),1,3)=0,"",MID(TEXT(ABS(E602),"000000000000000"),1,1)&amp;" ratus "&amp;MID(TEXT(ABS(E602),"000000000000000"),2,1)&amp;" puluh "&amp;MID(TEXT(ABS(E602),"000000000000000"),3,1)&amp;" trilyun ")&amp;IF(--MID(TEXT(ABS(E602),"000000000000000"),4,3)=0,"",MID(TEXT(ABS(E602),"000000000000000"),4,1)&amp;" ratus "&amp;MID(TEXT(ABS(E602),"000000000000000"),5,1)&amp;" puluh "&amp;MID(TEXT(ABS(E602),"000000000000000"),6,1)&amp;" milyar ")&amp;IF(--MID(TEXT(ABS(E602),"000000000000000"),7,3)=0,"",MID(TEXT(ABS(E602),"000000000000000"),7,1)&amp;" ratus "&amp;MID(TEXT(ABS(E602),"000000000000000"),8,1)&amp;" puluh "&amp;MID(TEXT(ABS(E602),"000000000000000"),9,1)&amp;" juta ")&amp;IF(--MID(TEXT(ABS(E602),"000000000000000"),10,3)=0,"",IF(--MID(TEXT(ABS(E602),"000000000000000"),10,3)=1,"*",MID(TEXT(ABS(E602),"000000000000000"),10,1)&amp;" ratus "&amp;MID(TEXT(ABS(E602),"000000000000000"),11,1)&amp;" puluh ")&amp;MID(TEXT(ABS(E602),"000000000000000"),12,1)&amp;" ribu ")&amp;IF(--MID(TEXT(ABS(E602),"000000000000000"),13,3)=0,"",MID(TEXT(ABS(E602),"000000000000000"),13,1)&amp;" ratus "&amp;MID(TEXT(ABS(E602),"000000000000000"),14,1)&amp;" puluh "&amp;MID(TEXT(ABS(E602),"000000000000000"),15,1)),1,"satu"),2,"dua"),3,"tiga"),4,"empat"),5,"lima"),6,"enam"),7,"tujuh"),8,"delapan"),9,"sembilan"),"0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Satu Juta Rupiah</v>
      </c>
      <c r="F603" s="11"/>
      <c r="G603" s="16"/>
      <c r="H603" s="12"/>
      <c r="I603" s="12"/>
      <c r="J603" s="12"/>
      <c r="K603" s="9"/>
    </row>
    <row r="604" spans="1:11" ht="15.75">
      <c r="A604" s="10"/>
      <c r="B604" s="10"/>
      <c r="C604" s="15"/>
      <c r="D604" s="15"/>
      <c r="E604" s="15"/>
      <c r="F604" s="11"/>
      <c r="G604" s="16"/>
      <c r="H604" s="12"/>
      <c r="I604" s="12"/>
      <c r="J604" s="12"/>
      <c r="K604" s="9"/>
    </row>
    <row r="605" spans="1:11">
      <c r="A605" s="10" t="s">
        <v>11</v>
      </c>
      <c r="B605" s="10"/>
      <c r="C605" s="10"/>
      <c r="D605" s="10"/>
      <c r="E605" s="10"/>
      <c r="F605" s="10"/>
      <c r="G605" s="10"/>
      <c r="H605" s="12"/>
      <c r="I605" s="12"/>
      <c r="J605" s="12"/>
      <c r="K605" s="9"/>
    </row>
    <row r="606" spans="1:11">
      <c r="A606" s="59" t="s">
        <v>12</v>
      </c>
      <c r="B606" s="59"/>
      <c r="C606" s="59"/>
      <c r="D606" s="59"/>
      <c r="E606" s="59"/>
      <c r="F606" s="59"/>
      <c r="G606" s="59"/>
      <c r="H606" s="59"/>
      <c r="I606" s="59"/>
      <c r="J606" s="59"/>
      <c r="K606" s="59"/>
    </row>
    <row r="607" spans="1:11" ht="60">
      <c r="A607" s="17" t="s">
        <v>13</v>
      </c>
      <c r="B607" s="18" t="s">
        <v>14</v>
      </c>
      <c r="C607" s="60" t="s">
        <v>15</v>
      </c>
      <c r="D607" s="61"/>
      <c r="E607" s="62"/>
      <c r="F607" s="19"/>
      <c r="G607" s="20" t="s">
        <v>16</v>
      </c>
      <c r="H607" s="21" t="s">
        <v>37</v>
      </c>
      <c r="I607" s="21"/>
      <c r="J607" s="31" t="s">
        <v>17</v>
      </c>
      <c r="K607" s="32" t="s">
        <v>18</v>
      </c>
    </row>
    <row r="608" spans="1:11">
      <c r="A608" s="27">
        <v>1</v>
      </c>
      <c r="B608" s="24"/>
      <c r="C608" s="28" t="s">
        <v>23</v>
      </c>
      <c r="D608" s="57"/>
      <c r="E608" s="26"/>
      <c r="F608" s="25"/>
      <c r="G608" s="55" t="s">
        <v>19</v>
      </c>
      <c r="H608" s="55" t="s">
        <v>19</v>
      </c>
      <c r="I608" s="55"/>
      <c r="J608" s="55" t="s">
        <v>19</v>
      </c>
      <c r="K608" s="55" t="s">
        <v>19</v>
      </c>
    </row>
    <row r="609" spans="1:11">
      <c r="A609" s="24"/>
      <c r="B609" s="56" t="s">
        <v>20</v>
      </c>
      <c r="C609" s="25" t="s">
        <v>24</v>
      </c>
      <c r="D609" s="10"/>
      <c r="E609" s="26"/>
      <c r="F609" s="25"/>
      <c r="G609" s="22">
        <v>75000000</v>
      </c>
      <c r="H609" s="23">
        <f>H564+J564</f>
        <v>25071344</v>
      </c>
      <c r="I609" s="23"/>
      <c r="J609" s="33">
        <v>0</v>
      </c>
      <c r="K609" s="34">
        <f>G609-H609-J609</f>
        <v>49928656</v>
      </c>
    </row>
    <row r="610" spans="1:11">
      <c r="A610" s="24"/>
      <c r="B610" s="56" t="s">
        <v>21</v>
      </c>
      <c r="C610" s="25" t="s">
        <v>25</v>
      </c>
      <c r="D610" s="10"/>
      <c r="E610" s="26"/>
      <c r="F610" s="25"/>
      <c r="G610" s="22">
        <v>30000000</v>
      </c>
      <c r="H610" s="23">
        <f t="shared" ref="H610:H611" si="25">H565+J565</f>
        <v>4926794</v>
      </c>
      <c r="I610" s="23"/>
      <c r="J610" s="33">
        <v>1000000</v>
      </c>
      <c r="K610" s="34">
        <f t="shared" ref="K610:K611" si="26">G610-H610-J610</f>
        <v>24073206</v>
      </c>
    </row>
    <row r="611" spans="1:11">
      <c r="A611" s="24"/>
      <c r="B611" s="56" t="s">
        <v>22</v>
      </c>
      <c r="C611" s="25" t="s">
        <v>26</v>
      </c>
      <c r="D611" s="10"/>
      <c r="E611" s="26"/>
      <c r="F611" s="25"/>
      <c r="G611" s="22">
        <v>50000000</v>
      </c>
      <c r="H611" s="23">
        <f t="shared" si="25"/>
        <v>3500000</v>
      </c>
      <c r="I611" s="23"/>
      <c r="J611" s="33">
        <v>0</v>
      </c>
      <c r="K611" s="34">
        <f t="shared" si="26"/>
        <v>46500000</v>
      </c>
    </row>
    <row r="612" spans="1:11">
      <c r="A612" s="35"/>
      <c r="B612" s="35"/>
      <c r="C612" s="35" t="s">
        <v>27</v>
      </c>
      <c r="D612" s="35"/>
      <c r="E612" s="35"/>
      <c r="F612" s="36"/>
      <c r="G612" s="37">
        <f>SUM(G608:G611)</f>
        <v>155000000</v>
      </c>
      <c r="H612" s="38">
        <f>SUM(H608:H611)</f>
        <v>33498138</v>
      </c>
      <c r="I612" s="38"/>
      <c r="J612" s="38">
        <f>SUM(J608:J611)</f>
        <v>1000000</v>
      </c>
      <c r="K612" s="38">
        <f>SUM(K608:K611)</f>
        <v>120501862</v>
      </c>
    </row>
    <row r="613" spans="1:11">
      <c r="A613" s="39"/>
      <c r="B613" s="8"/>
      <c r="C613" s="8"/>
      <c r="D613" s="8"/>
      <c r="E613" s="8"/>
      <c r="F613" s="8"/>
      <c r="G613" s="40"/>
      <c r="H613" s="40"/>
      <c r="I613" s="40"/>
      <c r="J613" s="40"/>
      <c r="K613" s="40"/>
    </row>
    <row r="614" spans="1:11">
      <c r="A614" s="63" t="s">
        <v>28</v>
      </c>
      <c r="B614" s="63"/>
      <c r="C614" s="63"/>
      <c r="D614" s="11" t="s">
        <v>4</v>
      </c>
      <c r="E614" s="14">
        <f>J612</f>
        <v>1000000</v>
      </c>
      <c r="F614" s="41"/>
      <c r="G614" s="42"/>
      <c r="H614" s="42"/>
      <c r="I614" s="42"/>
      <c r="J614" s="9"/>
      <c r="K614" s="9"/>
    </row>
    <row r="615" spans="1:11">
      <c r="A615" s="10" t="s">
        <v>29</v>
      </c>
      <c r="B615" s="10"/>
      <c r="C615" s="10"/>
      <c r="D615" s="11" t="s">
        <v>4</v>
      </c>
      <c r="E615" s="43"/>
      <c r="F615" s="43"/>
      <c r="G615" s="44"/>
      <c r="H615" s="12"/>
      <c r="I615" s="12"/>
      <c r="J615" s="9"/>
      <c r="K615" s="9"/>
    </row>
    <row r="616" spans="1:11">
      <c r="A616" s="10" t="s">
        <v>30</v>
      </c>
      <c r="B616" s="10"/>
      <c r="C616" s="10"/>
      <c r="D616" s="11" t="s">
        <v>4</v>
      </c>
      <c r="E616" s="45"/>
      <c r="F616" s="45"/>
      <c r="G616" s="44"/>
      <c r="H616" s="12"/>
      <c r="I616" s="12"/>
      <c r="J616" s="9"/>
      <c r="K616" s="9"/>
    </row>
    <row r="617" spans="1:11">
      <c r="A617" s="10" t="s">
        <v>31</v>
      </c>
      <c r="B617" s="10"/>
      <c r="C617" s="10"/>
      <c r="D617" s="11" t="s">
        <v>4</v>
      </c>
      <c r="E617" s="45">
        <f>E615+E616</f>
        <v>0</v>
      </c>
      <c r="F617" s="45"/>
      <c r="G617" s="10"/>
      <c r="H617" s="12"/>
      <c r="I617" s="12"/>
      <c r="J617" s="47"/>
      <c r="K617" s="47"/>
    </row>
    <row r="618" spans="1:11">
      <c r="A618" s="13"/>
      <c r="B618" s="13"/>
      <c r="C618" s="13"/>
      <c r="D618" s="11"/>
      <c r="E618" s="13"/>
      <c r="F618" s="13"/>
      <c r="G618" s="10"/>
      <c r="H618" s="12"/>
      <c r="I618" s="12"/>
      <c r="J618" s="47"/>
      <c r="K618" s="47"/>
    </row>
    <row r="619" spans="1:11">
      <c r="A619" s="63" t="s">
        <v>32</v>
      </c>
      <c r="B619" s="63"/>
      <c r="C619" s="63"/>
      <c r="D619" s="11" t="s">
        <v>4</v>
      </c>
      <c r="E619" s="41">
        <f>E614-E617</f>
        <v>1000000</v>
      </c>
      <c r="F619" s="41"/>
      <c r="G619" s="10"/>
      <c r="H619" s="12"/>
      <c r="I619" s="12"/>
      <c r="J619" s="47"/>
      <c r="K619" s="47"/>
    </row>
    <row r="620" spans="1:11" ht="15.75">
      <c r="A620" s="13"/>
      <c r="B620" s="13"/>
      <c r="C620" s="10"/>
      <c r="D620" s="10"/>
      <c r="E620" s="16" t="str">
        <f>PROPER(IF(E619=0,"nol",IF(E619&lt;0,"minus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619),"000000000000000"),1,3)=0,"",MID(TEXT(ABS(E619),"000000000000000"),1,1)&amp;" ratus "&amp;MID(TEXT(ABS(E619),"000000000000000"),2,1)&amp;" puluh "&amp;MID(TEXT(ABS(E619),"000000000000000"),3,1)&amp;" trilyun ")&amp;IF(--MID(TEXT(ABS(E619),"000000000000000"),4,3)=0,"",MID(TEXT(ABS(E619),"000000000000000"),4,1)&amp;" ratus "&amp;MID(TEXT(ABS(E619),"000000000000000"),5,1)&amp;" puluh "&amp;MID(TEXT(ABS(E619),"000000000000000"),6,1)&amp;" milyar ")&amp;IF(--MID(TEXT(ABS(E619),"000000000000000"),7,3)=0,"",MID(TEXT(ABS(E619),"000000000000000"),7,1)&amp;" ratus "&amp;MID(TEXT(ABS(E619),"000000000000000"),8,1)&amp;" puluh "&amp;MID(TEXT(ABS(E619),"000000000000000"),9,1)&amp;" juta ")&amp;IF(--MID(TEXT(ABS(E619),"000000000000000"),10,3)=0,"",IF(--MID(TEXT(ABS(E619),"000000000000000"),10,3)=1,"*",MID(TEXT(ABS(E619),"000000000000000"),10,1)&amp;" ratus "&amp;MID(TEXT(ABS(E619),"000000000000000"),11,1)&amp;" puluh ")&amp;MID(TEXT(ABS(E619),"000000000000000"),12,1)&amp;" ribu ")&amp;IF(--MID(TEXT(ABS(E619),"000000000000000"),13,3)=0,"",MID(TEXT(ABS(E619),"000000000000000"),13,1)&amp;" ratus "&amp;MID(TEXT(ABS(E619),"000000000000000"),14,1)&amp;" puluh "&amp;MID(TEXT(ABS(E619),"000000000000000"),15,1)),1,"satu"),2,"dua"),3,"tiga"),4,"empat"),5,"lima"),6,"enam"),7,"tujuh"),8,"delapan"),9,"sembilan"),"0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Satu Juta Rupiah</v>
      </c>
      <c r="F620" s="10"/>
      <c r="G620" s="10"/>
      <c r="H620" s="10"/>
      <c r="I620" s="10"/>
      <c r="J620" s="47"/>
      <c r="K620" s="47"/>
    </row>
    <row r="621" spans="1:11">
      <c r="A621" s="46"/>
      <c r="B621" s="46"/>
      <c r="C621" s="46"/>
      <c r="D621" s="46"/>
      <c r="E621" s="46"/>
      <c r="F621" s="46"/>
      <c r="G621" s="29"/>
      <c r="H621" s="47"/>
      <c r="I621" s="47"/>
      <c r="J621" s="47"/>
      <c r="K621" s="47"/>
    </row>
    <row r="622" spans="1:11">
      <c r="A622" s="29"/>
      <c r="B622" s="29"/>
      <c r="C622" s="29"/>
      <c r="D622" s="29"/>
      <c r="E622" s="29"/>
      <c r="F622" s="29"/>
      <c r="G622" s="29"/>
      <c r="H622"/>
      <c r="I622"/>
      <c r="J622" s="47"/>
      <c r="K622" s="47"/>
    </row>
    <row r="623" spans="1:11">
      <c r="A623" s="13"/>
      <c r="B623" s="13"/>
      <c r="C623" s="10"/>
      <c r="D623" s="10"/>
      <c r="E623" s="10"/>
      <c r="F623" s="10"/>
      <c r="G623" s="10"/>
      <c r="I623" s="48"/>
      <c r="J623" s="48" t="s">
        <v>89</v>
      </c>
      <c r="K623" s="47"/>
    </row>
    <row r="624" spans="1:11">
      <c r="A624" s="12" t="s">
        <v>33</v>
      </c>
      <c r="B624" s="10"/>
      <c r="C624" s="10"/>
      <c r="D624" s="10"/>
      <c r="E624" s="10"/>
      <c r="F624" s="10"/>
      <c r="G624" s="10"/>
      <c r="I624" s="12"/>
      <c r="J624" s="12" t="s">
        <v>34</v>
      </c>
      <c r="K624" s="47"/>
    </row>
    <row r="625" spans="1:11">
      <c r="A625" s="10"/>
      <c r="B625" s="10"/>
      <c r="C625" s="10"/>
      <c r="D625" s="10"/>
      <c r="E625" s="10"/>
      <c r="F625" s="10"/>
      <c r="G625" s="10"/>
      <c r="I625" s="12"/>
      <c r="J625" s="12"/>
      <c r="K625" s="47"/>
    </row>
    <row r="626" spans="1:11">
      <c r="A626" s="10"/>
      <c r="B626" s="10"/>
      <c r="C626" s="10"/>
      <c r="D626" s="10"/>
      <c r="E626" s="10"/>
      <c r="F626" s="10"/>
      <c r="G626" s="10"/>
      <c r="I626" s="12"/>
      <c r="J626" s="12"/>
      <c r="K626" s="47"/>
    </row>
    <row r="627" spans="1:11">
      <c r="A627" s="10"/>
      <c r="B627" s="10"/>
      <c r="C627" s="10"/>
      <c r="D627" s="10"/>
      <c r="E627" s="10"/>
      <c r="F627" s="10"/>
      <c r="G627" s="10"/>
      <c r="I627" s="12"/>
      <c r="J627" s="12"/>
      <c r="K627" s="47"/>
    </row>
    <row r="628" spans="1:11">
      <c r="A628" s="10"/>
      <c r="B628" s="10"/>
      <c r="C628" s="10"/>
      <c r="D628" s="10"/>
      <c r="E628" s="10"/>
      <c r="F628" s="10"/>
      <c r="G628" s="10"/>
      <c r="I628" s="12"/>
      <c r="J628" s="12"/>
      <c r="K628" s="47"/>
    </row>
    <row r="629" spans="1:11">
      <c r="A629" s="49" t="s">
        <v>38</v>
      </c>
      <c r="B629" s="49"/>
      <c r="C629" s="50"/>
      <c r="D629" s="50"/>
      <c r="E629" s="50"/>
      <c r="F629" s="50"/>
      <c r="G629" s="10" t="s">
        <v>35</v>
      </c>
      <c r="I629" s="49"/>
      <c r="J629" s="49" t="s">
        <v>36</v>
      </c>
      <c r="K629" s="47"/>
    </row>
    <row r="634" spans="1:11" ht="15.75">
      <c r="C634" s="2"/>
      <c r="D634" s="2"/>
      <c r="E634" s="2"/>
      <c r="F634" s="2"/>
    </row>
    <row r="635" spans="1:11" ht="15.75">
      <c r="A635" s="3"/>
      <c r="B635" s="3"/>
      <c r="C635" s="2"/>
      <c r="D635" s="2"/>
      <c r="E635" s="2"/>
      <c r="F635" s="2"/>
      <c r="G635" s="3"/>
      <c r="H635" s="4"/>
      <c r="I635" s="4"/>
      <c r="J635" s="4"/>
      <c r="K635" s="5"/>
    </row>
    <row r="636" spans="1:11">
      <c r="H636" s="5"/>
      <c r="I636" s="5"/>
      <c r="J636" s="5"/>
      <c r="K636" s="5"/>
    </row>
    <row r="637" spans="1:11">
      <c r="H637" s="5"/>
      <c r="I637" s="5"/>
      <c r="J637" s="5"/>
      <c r="K637" s="5"/>
    </row>
    <row r="638" spans="1:11">
      <c r="A638" s="64" t="s">
        <v>0</v>
      </c>
      <c r="B638" s="64"/>
      <c r="C638" s="58"/>
      <c r="D638" s="58"/>
      <c r="E638" s="58"/>
      <c r="F638" s="58"/>
      <c r="G638" s="58"/>
      <c r="H638" s="58"/>
      <c r="I638" s="58"/>
      <c r="J638" s="58"/>
      <c r="K638" s="58"/>
    </row>
    <row r="639" spans="1:11">
      <c r="A639" s="58" t="s">
        <v>91</v>
      </c>
      <c r="B639" s="58"/>
      <c r="C639" s="58"/>
      <c r="D639" s="58"/>
      <c r="E639" s="58"/>
      <c r="F639" s="58"/>
      <c r="G639" s="58"/>
      <c r="H639" s="58"/>
      <c r="I639" s="58"/>
      <c r="J639" s="58"/>
      <c r="K639" s="58"/>
    </row>
    <row r="640" spans="1:11">
      <c r="A640" s="58" t="s">
        <v>1</v>
      </c>
      <c r="B640" s="58"/>
      <c r="C640" s="58"/>
      <c r="D640" s="58"/>
      <c r="E640" s="58"/>
      <c r="F640" s="58"/>
      <c r="G640" s="58"/>
      <c r="H640" s="58"/>
      <c r="I640" s="58"/>
      <c r="J640" s="58"/>
      <c r="K640" s="58"/>
    </row>
    <row r="641" spans="1:11">
      <c r="A641" s="58" t="s">
        <v>39</v>
      </c>
      <c r="B641" s="58"/>
      <c r="C641" s="58"/>
      <c r="D641" s="58"/>
      <c r="E641" s="58"/>
      <c r="F641" s="58"/>
      <c r="G641" s="58"/>
      <c r="H641" s="58"/>
      <c r="I641" s="58"/>
      <c r="J641" s="58"/>
      <c r="K641" s="58"/>
    </row>
    <row r="642" spans="1:11">
      <c r="A642" s="58" t="s">
        <v>2</v>
      </c>
      <c r="B642" s="58"/>
      <c r="C642" s="58"/>
      <c r="D642" s="58"/>
      <c r="E642" s="58"/>
      <c r="F642" s="58"/>
      <c r="G642" s="58"/>
      <c r="H642" s="58"/>
      <c r="I642" s="58"/>
      <c r="J642" s="58"/>
      <c r="K642" s="58"/>
    </row>
    <row r="643" spans="1:11">
      <c r="A643" s="6"/>
      <c r="B643" s="6"/>
      <c r="C643" s="7"/>
      <c r="D643" s="7"/>
      <c r="E643" s="7"/>
      <c r="F643" s="7"/>
      <c r="G643" s="8"/>
      <c r="H643" s="9"/>
      <c r="I643" s="9"/>
      <c r="J643" s="9"/>
      <c r="K643" s="9"/>
    </row>
    <row r="644" spans="1:11">
      <c r="A644" s="53" t="s">
        <v>3</v>
      </c>
      <c r="B644" s="10"/>
      <c r="C644" s="10"/>
      <c r="D644" s="54" t="s">
        <v>4</v>
      </c>
      <c r="E644" s="10" t="s">
        <v>5</v>
      </c>
      <c r="F644" s="11"/>
      <c r="G644" s="10"/>
      <c r="H644" s="12"/>
      <c r="I644" s="12"/>
      <c r="J644" s="12"/>
      <c r="K644" s="9"/>
    </row>
    <row r="645" spans="1:11">
      <c r="A645" s="53" t="s">
        <v>6</v>
      </c>
      <c r="B645" s="10"/>
      <c r="C645" s="10"/>
      <c r="D645" s="54" t="s">
        <v>4</v>
      </c>
      <c r="E645" s="10" t="s">
        <v>7</v>
      </c>
      <c r="F645" s="11"/>
      <c r="G645" s="10"/>
      <c r="H645" s="12"/>
      <c r="I645" s="12"/>
      <c r="J645" s="12"/>
      <c r="K645" s="9"/>
    </row>
    <row r="646" spans="1:11">
      <c r="A646" s="53" t="s">
        <v>8</v>
      </c>
      <c r="B646" s="10"/>
      <c r="C646" s="10"/>
      <c r="D646" s="54" t="s">
        <v>4</v>
      </c>
      <c r="E646" s="13">
        <v>2026</v>
      </c>
      <c r="F646" s="11"/>
      <c r="G646" s="13"/>
      <c r="H646" s="12"/>
      <c r="I646" s="12"/>
      <c r="J646" s="12"/>
      <c r="K646" s="9"/>
    </row>
    <row r="647" spans="1:11">
      <c r="A647" s="53" t="s">
        <v>9</v>
      </c>
      <c r="B647" s="10"/>
      <c r="C647" s="10"/>
      <c r="D647" s="54" t="s">
        <v>4</v>
      </c>
      <c r="E647" s="14">
        <f>J657</f>
        <v>1084990</v>
      </c>
      <c r="F647" s="11"/>
      <c r="G647" s="14"/>
      <c r="H647" s="12"/>
      <c r="I647" s="12"/>
      <c r="J647" s="12"/>
      <c r="K647" s="9"/>
    </row>
    <row r="648" spans="1:11" ht="15.75">
      <c r="A648" s="10"/>
      <c r="B648" s="10"/>
      <c r="C648" s="15" t="s">
        <v>10</v>
      </c>
      <c r="D648" s="54" t="s">
        <v>4</v>
      </c>
      <c r="E648" s="16" t="str">
        <f>PROPER(IF(E647=0,"nol",IF(E647&lt;0,"minus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647),"000000000000000"),1,3)=0,"",MID(TEXT(ABS(E647),"000000000000000"),1,1)&amp;" ratus "&amp;MID(TEXT(ABS(E647),"000000000000000"),2,1)&amp;" puluh "&amp;MID(TEXT(ABS(E647),"000000000000000"),3,1)&amp;" trilyun ")&amp;IF(--MID(TEXT(ABS(E647),"000000000000000"),4,3)=0,"",MID(TEXT(ABS(E647),"000000000000000"),4,1)&amp;" ratus "&amp;MID(TEXT(ABS(E647),"000000000000000"),5,1)&amp;" puluh "&amp;MID(TEXT(ABS(E647),"000000000000000"),6,1)&amp;" milyar ")&amp;IF(--MID(TEXT(ABS(E647),"000000000000000"),7,3)=0,"",MID(TEXT(ABS(E647),"000000000000000"),7,1)&amp;" ratus "&amp;MID(TEXT(ABS(E647),"000000000000000"),8,1)&amp;" puluh "&amp;MID(TEXT(ABS(E647),"000000000000000"),9,1)&amp;" juta ")&amp;IF(--MID(TEXT(ABS(E647),"000000000000000"),10,3)=0,"",IF(--MID(TEXT(ABS(E647),"000000000000000"),10,3)=1,"*",MID(TEXT(ABS(E647),"000000000000000"),10,1)&amp;" ratus "&amp;MID(TEXT(ABS(E647),"000000000000000"),11,1)&amp;" puluh ")&amp;MID(TEXT(ABS(E647),"000000000000000"),12,1)&amp;" ribu ")&amp;IF(--MID(TEXT(ABS(E647),"000000000000000"),13,3)=0,"",MID(TEXT(ABS(E647),"000000000000000"),13,1)&amp;" ratus "&amp;MID(TEXT(ABS(E647),"000000000000000"),14,1)&amp;" puluh "&amp;MID(TEXT(ABS(E647),"000000000000000"),15,1)),1,"satu"),2,"dua"),3,"tiga"),4,"empat"),5,"lima"),6,"enam"),7,"tujuh"),8,"delapan"),9,"sembilan"),"0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Satu Juta Delapan Puluh Empat Ribu Sembilan Ratus Sembilan Puluh Rupiah</v>
      </c>
      <c r="F648" s="11"/>
      <c r="G648" s="16"/>
      <c r="H648" s="12"/>
      <c r="I648" s="12"/>
      <c r="J648" s="12"/>
      <c r="K648" s="9"/>
    </row>
    <row r="649" spans="1:11" ht="15.75">
      <c r="A649" s="10"/>
      <c r="B649" s="10"/>
      <c r="C649" s="15"/>
      <c r="D649" s="15"/>
      <c r="E649" s="15"/>
      <c r="F649" s="11"/>
      <c r="G649" s="16"/>
      <c r="H649" s="12"/>
      <c r="I649" s="12"/>
      <c r="J649" s="12"/>
      <c r="K649" s="9"/>
    </row>
    <row r="650" spans="1:11">
      <c r="A650" s="10" t="s">
        <v>11</v>
      </c>
      <c r="B650" s="10"/>
      <c r="C650" s="10"/>
      <c r="D650" s="10"/>
      <c r="E650" s="10"/>
      <c r="F650" s="10"/>
      <c r="G650" s="10"/>
      <c r="H650" s="12"/>
      <c r="I650" s="12"/>
      <c r="J650" s="12"/>
      <c r="K650" s="9"/>
    </row>
    <row r="651" spans="1:11">
      <c r="A651" s="59" t="s">
        <v>12</v>
      </c>
      <c r="B651" s="59"/>
      <c r="C651" s="59"/>
      <c r="D651" s="59"/>
      <c r="E651" s="59"/>
      <c r="F651" s="59"/>
      <c r="G651" s="59"/>
      <c r="H651" s="59"/>
      <c r="I651" s="59"/>
      <c r="J651" s="59"/>
      <c r="K651" s="59"/>
    </row>
    <row r="652" spans="1:11" ht="60">
      <c r="A652" s="17" t="s">
        <v>13</v>
      </c>
      <c r="B652" s="18" t="s">
        <v>14</v>
      </c>
      <c r="C652" s="60" t="s">
        <v>15</v>
      </c>
      <c r="D652" s="61"/>
      <c r="E652" s="62"/>
      <c r="F652" s="19"/>
      <c r="G652" s="20" t="s">
        <v>16</v>
      </c>
      <c r="H652" s="21" t="s">
        <v>37</v>
      </c>
      <c r="I652" s="21"/>
      <c r="J652" s="31" t="s">
        <v>17</v>
      </c>
      <c r="K652" s="32" t="s">
        <v>18</v>
      </c>
    </row>
    <row r="653" spans="1:11">
      <c r="A653" s="27">
        <v>1</v>
      </c>
      <c r="B653" s="24"/>
      <c r="C653" s="28" t="s">
        <v>23</v>
      </c>
      <c r="D653" s="57"/>
      <c r="E653" s="26"/>
      <c r="F653" s="25"/>
      <c r="G653" s="55" t="s">
        <v>19</v>
      </c>
      <c r="H653" s="55" t="s">
        <v>19</v>
      </c>
      <c r="I653" s="55"/>
      <c r="J653" s="55" t="s">
        <v>19</v>
      </c>
      <c r="K653" s="55" t="s">
        <v>19</v>
      </c>
    </row>
    <row r="654" spans="1:11">
      <c r="A654" s="24"/>
      <c r="B654" s="56" t="s">
        <v>20</v>
      </c>
      <c r="C654" s="25" t="s">
        <v>24</v>
      </c>
      <c r="D654" s="10"/>
      <c r="E654" s="26"/>
      <c r="F654" s="25"/>
      <c r="G654" s="22">
        <v>75000000</v>
      </c>
      <c r="H654" s="23">
        <f>H609+J609</f>
        <v>25071344</v>
      </c>
      <c r="I654" s="23"/>
      <c r="J654" s="33">
        <v>0</v>
      </c>
      <c r="K654" s="34">
        <f>G654-H654-J654</f>
        <v>49928656</v>
      </c>
    </row>
    <row r="655" spans="1:11">
      <c r="A655" s="24"/>
      <c r="B655" s="56" t="s">
        <v>21</v>
      </c>
      <c r="C655" s="25" t="s">
        <v>25</v>
      </c>
      <c r="D655" s="10"/>
      <c r="E655" s="26"/>
      <c r="F655" s="25"/>
      <c r="G655" s="22">
        <v>30000000</v>
      </c>
      <c r="H655" s="23">
        <f t="shared" ref="H655:H656" si="27">H610+J610</f>
        <v>5926794</v>
      </c>
      <c r="I655" s="23"/>
      <c r="J655" s="33">
        <v>1084990</v>
      </c>
      <c r="K655" s="34">
        <f t="shared" ref="K655:K656" si="28">G655-H655-J655</f>
        <v>22988216</v>
      </c>
    </row>
    <row r="656" spans="1:11">
      <c r="A656" s="24"/>
      <c r="B656" s="56" t="s">
        <v>22</v>
      </c>
      <c r="C656" s="25" t="s">
        <v>26</v>
      </c>
      <c r="D656" s="10"/>
      <c r="E656" s="26"/>
      <c r="F656" s="25"/>
      <c r="G656" s="22">
        <v>50000000</v>
      </c>
      <c r="H656" s="23">
        <f t="shared" si="27"/>
        <v>3500000</v>
      </c>
      <c r="I656" s="23"/>
      <c r="J656" s="33">
        <v>0</v>
      </c>
      <c r="K656" s="34">
        <f t="shared" si="28"/>
        <v>46500000</v>
      </c>
    </row>
    <row r="657" spans="1:11">
      <c r="A657" s="35"/>
      <c r="B657" s="35"/>
      <c r="C657" s="35" t="s">
        <v>27</v>
      </c>
      <c r="D657" s="35"/>
      <c r="E657" s="35"/>
      <c r="F657" s="36"/>
      <c r="G657" s="37">
        <f>SUM(G653:G656)</f>
        <v>155000000</v>
      </c>
      <c r="H657" s="38">
        <f>SUM(H653:H656)</f>
        <v>34498138</v>
      </c>
      <c r="I657" s="38"/>
      <c r="J657" s="38">
        <f>SUM(J653:J656)</f>
        <v>1084990</v>
      </c>
      <c r="K657" s="38">
        <f>SUM(K653:K656)</f>
        <v>119416872</v>
      </c>
    </row>
    <row r="658" spans="1:11">
      <c r="A658" s="39"/>
      <c r="B658" s="8"/>
      <c r="C658" s="8"/>
      <c r="D658" s="8"/>
      <c r="E658" s="8"/>
      <c r="F658" s="8"/>
      <c r="G658" s="40"/>
      <c r="H658" s="40"/>
      <c r="I658" s="40"/>
      <c r="J658" s="40"/>
      <c r="K658" s="40"/>
    </row>
    <row r="659" spans="1:11">
      <c r="A659" s="63" t="s">
        <v>28</v>
      </c>
      <c r="B659" s="63"/>
      <c r="C659" s="63"/>
      <c r="D659" s="11" t="s">
        <v>4</v>
      </c>
      <c r="E659" s="14">
        <f>J657</f>
        <v>1084990</v>
      </c>
      <c r="F659" s="41"/>
      <c r="G659" s="42"/>
      <c r="H659" s="42"/>
      <c r="I659" s="42"/>
      <c r="J659" s="9"/>
      <c r="K659" s="9"/>
    </row>
    <row r="660" spans="1:11">
      <c r="A660" s="10" t="s">
        <v>29</v>
      </c>
      <c r="B660" s="10"/>
      <c r="C660" s="10"/>
      <c r="D660" s="11" t="s">
        <v>4</v>
      </c>
      <c r="E660" s="43"/>
      <c r="F660" s="43"/>
      <c r="G660" s="44"/>
      <c r="H660" s="12"/>
      <c r="I660" s="12"/>
      <c r="J660" s="9"/>
      <c r="K660" s="9"/>
    </row>
    <row r="661" spans="1:11">
      <c r="A661" s="10" t="s">
        <v>30</v>
      </c>
      <c r="B661" s="10"/>
      <c r="C661" s="10"/>
      <c r="D661" s="11" t="s">
        <v>4</v>
      </c>
      <c r="E661" s="45"/>
      <c r="F661" s="45"/>
      <c r="G661" s="44"/>
      <c r="H661" s="12"/>
      <c r="I661" s="12"/>
      <c r="J661" s="9"/>
      <c r="K661" s="9"/>
    </row>
    <row r="662" spans="1:11">
      <c r="A662" s="10" t="s">
        <v>31</v>
      </c>
      <c r="B662" s="10"/>
      <c r="C662" s="10"/>
      <c r="D662" s="11" t="s">
        <v>4</v>
      </c>
      <c r="E662" s="45">
        <f>E660+E661</f>
        <v>0</v>
      </c>
      <c r="F662" s="45"/>
      <c r="G662" s="10"/>
      <c r="H662" s="12"/>
      <c r="I662" s="12"/>
      <c r="J662" s="47"/>
      <c r="K662" s="47"/>
    </row>
    <row r="663" spans="1:11">
      <c r="A663" s="13"/>
      <c r="B663" s="13"/>
      <c r="C663" s="13"/>
      <c r="D663" s="11"/>
      <c r="E663" s="13"/>
      <c r="F663" s="13"/>
      <c r="G663" s="10"/>
      <c r="H663" s="12"/>
      <c r="I663" s="12"/>
      <c r="J663" s="47"/>
      <c r="K663" s="47"/>
    </row>
    <row r="664" spans="1:11">
      <c r="A664" s="63" t="s">
        <v>32</v>
      </c>
      <c r="B664" s="63"/>
      <c r="C664" s="63"/>
      <c r="D664" s="11" t="s">
        <v>4</v>
      </c>
      <c r="E664" s="41">
        <f>E659-E662</f>
        <v>1084990</v>
      </c>
      <c r="F664" s="41"/>
      <c r="G664" s="10"/>
      <c r="H664" s="12"/>
      <c r="I664" s="12"/>
      <c r="J664" s="47"/>
      <c r="K664" s="47"/>
    </row>
    <row r="665" spans="1:11" ht="15.75">
      <c r="A665" s="13"/>
      <c r="B665" s="13"/>
      <c r="C665" s="10"/>
      <c r="D665" s="10"/>
      <c r="E665" s="16" t="str">
        <f>PROPER(IF(E664=0,"nol",IF(E664&lt;0,"minus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664),"000000000000000"),1,3)=0,"",MID(TEXT(ABS(E664),"000000000000000"),1,1)&amp;" ratus "&amp;MID(TEXT(ABS(E664),"000000000000000"),2,1)&amp;" puluh "&amp;MID(TEXT(ABS(E664),"000000000000000"),3,1)&amp;" trilyun ")&amp;IF(--MID(TEXT(ABS(E664),"000000000000000"),4,3)=0,"",MID(TEXT(ABS(E664),"000000000000000"),4,1)&amp;" ratus "&amp;MID(TEXT(ABS(E664),"000000000000000"),5,1)&amp;" puluh "&amp;MID(TEXT(ABS(E664),"000000000000000"),6,1)&amp;" milyar ")&amp;IF(--MID(TEXT(ABS(E664),"000000000000000"),7,3)=0,"",MID(TEXT(ABS(E664),"000000000000000"),7,1)&amp;" ratus "&amp;MID(TEXT(ABS(E664),"000000000000000"),8,1)&amp;" puluh "&amp;MID(TEXT(ABS(E664),"000000000000000"),9,1)&amp;" juta ")&amp;IF(--MID(TEXT(ABS(E664),"000000000000000"),10,3)=0,"",IF(--MID(TEXT(ABS(E664),"000000000000000"),10,3)=1,"*",MID(TEXT(ABS(E664),"000000000000000"),10,1)&amp;" ratus "&amp;MID(TEXT(ABS(E664),"000000000000000"),11,1)&amp;" puluh ")&amp;MID(TEXT(ABS(E664),"000000000000000"),12,1)&amp;" ribu ")&amp;IF(--MID(TEXT(ABS(E664),"000000000000000"),13,3)=0,"",MID(TEXT(ABS(E664),"000000000000000"),13,1)&amp;" ratus "&amp;MID(TEXT(ABS(E664),"000000000000000"),14,1)&amp;" puluh "&amp;MID(TEXT(ABS(E664),"000000000000000"),15,1)),1,"satu"),2,"dua"),3,"tiga"),4,"empat"),5,"lima"),6,"enam"),7,"tujuh"),8,"delapan"),9,"sembilan"),"0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Satu Juta Delapan Puluh Empat Ribu Sembilan Ratus Sembilan Puluh Rupiah</v>
      </c>
      <c r="F665" s="10"/>
      <c r="G665" s="10"/>
      <c r="H665" s="10"/>
      <c r="I665" s="10"/>
      <c r="J665" s="47"/>
      <c r="K665" s="47"/>
    </row>
    <row r="666" spans="1:11">
      <c r="A666" s="46"/>
      <c r="B666" s="46"/>
      <c r="C666" s="46"/>
      <c r="D666" s="46"/>
      <c r="E666" s="46"/>
      <c r="F666" s="46"/>
      <c r="G666" s="29"/>
      <c r="H666" s="47"/>
      <c r="I666" s="47"/>
      <c r="J666" s="47"/>
      <c r="K666" s="47"/>
    </row>
    <row r="667" spans="1:11">
      <c r="A667" s="29"/>
      <c r="B667" s="29"/>
      <c r="C667" s="29"/>
      <c r="D667" s="29"/>
      <c r="E667" s="29"/>
      <c r="F667" s="29"/>
      <c r="G667" s="29"/>
      <c r="H667"/>
      <c r="I667"/>
      <c r="J667" s="47"/>
      <c r="K667" s="47"/>
    </row>
    <row r="668" spans="1:11">
      <c r="A668" s="13"/>
      <c r="B668" s="13"/>
      <c r="C668" s="10"/>
      <c r="D668" s="10"/>
      <c r="E668" s="10"/>
      <c r="F668" s="10"/>
      <c r="G668" s="10"/>
      <c r="I668" s="48"/>
      <c r="J668" s="48" t="s">
        <v>90</v>
      </c>
      <c r="K668" s="47"/>
    </row>
    <row r="669" spans="1:11">
      <c r="A669" s="12" t="s">
        <v>33</v>
      </c>
      <c r="B669" s="10"/>
      <c r="C669" s="10"/>
      <c r="D669" s="10"/>
      <c r="E669" s="10"/>
      <c r="F669" s="10"/>
      <c r="G669" s="10"/>
      <c r="I669" s="12"/>
      <c r="J669" s="12" t="s">
        <v>34</v>
      </c>
      <c r="K669" s="47"/>
    </row>
    <row r="670" spans="1:11">
      <c r="A670" s="10"/>
      <c r="B670" s="10"/>
      <c r="C670" s="10"/>
      <c r="D670" s="10"/>
      <c r="E670" s="10"/>
      <c r="F670" s="10"/>
      <c r="G670" s="10"/>
      <c r="I670" s="12"/>
      <c r="J670" s="12"/>
      <c r="K670" s="47"/>
    </row>
    <row r="671" spans="1:11">
      <c r="A671" s="10"/>
      <c r="B671" s="10"/>
      <c r="C671" s="10"/>
      <c r="D671" s="10"/>
      <c r="E671" s="10"/>
      <c r="F671" s="10"/>
      <c r="G671" s="10"/>
      <c r="I671" s="12"/>
      <c r="J671" s="12"/>
      <c r="K671" s="47"/>
    </row>
    <row r="672" spans="1:11">
      <c r="A672" s="10"/>
      <c r="B672" s="10"/>
      <c r="C672" s="10"/>
      <c r="D672" s="10"/>
      <c r="E672" s="10"/>
      <c r="F672" s="10"/>
      <c r="G672" s="10"/>
      <c r="I672" s="12"/>
      <c r="J672" s="12"/>
      <c r="K672" s="47"/>
    </row>
    <row r="673" spans="1:11">
      <c r="A673" s="10"/>
      <c r="B673" s="10"/>
      <c r="C673" s="10"/>
      <c r="D673" s="10"/>
      <c r="E673" s="10"/>
      <c r="F673" s="10"/>
      <c r="G673" s="10"/>
      <c r="I673" s="12"/>
      <c r="J673" s="12"/>
      <c r="K673" s="47"/>
    </row>
    <row r="674" spans="1:11">
      <c r="A674" s="49" t="s">
        <v>38</v>
      </c>
      <c r="B674" s="49"/>
      <c r="C674" s="50"/>
      <c r="D674" s="50"/>
      <c r="E674" s="50"/>
      <c r="F674" s="50"/>
      <c r="G674" s="10" t="s">
        <v>35</v>
      </c>
      <c r="I674" s="49"/>
      <c r="J674" s="49" t="s">
        <v>36</v>
      </c>
      <c r="K674" s="47"/>
    </row>
  </sheetData>
  <mergeCells count="135">
    <mergeCell ref="C652:E652"/>
    <mergeCell ref="A659:C659"/>
    <mergeCell ref="A664:C664"/>
    <mergeCell ref="A638:K638"/>
    <mergeCell ref="A639:K639"/>
    <mergeCell ref="A640:K640"/>
    <mergeCell ref="A641:K641"/>
    <mergeCell ref="A642:K642"/>
    <mergeCell ref="A651:K651"/>
    <mergeCell ref="A596:K596"/>
    <mergeCell ref="A597:K597"/>
    <mergeCell ref="A606:K606"/>
    <mergeCell ref="C607:E607"/>
    <mergeCell ref="A614:C614"/>
    <mergeCell ref="A619:C619"/>
    <mergeCell ref="C562:E562"/>
    <mergeCell ref="A569:C569"/>
    <mergeCell ref="A574:C574"/>
    <mergeCell ref="A593:K593"/>
    <mergeCell ref="A594:K594"/>
    <mergeCell ref="A595:K595"/>
    <mergeCell ref="A548:K548"/>
    <mergeCell ref="A549:K549"/>
    <mergeCell ref="A550:K550"/>
    <mergeCell ref="A551:K551"/>
    <mergeCell ref="A552:K552"/>
    <mergeCell ref="A561:K561"/>
    <mergeCell ref="A506:K506"/>
    <mergeCell ref="A507:K507"/>
    <mergeCell ref="A516:K516"/>
    <mergeCell ref="C517:E517"/>
    <mergeCell ref="A524:C524"/>
    <mergeCell ref="A529:C529"/>
    <mergeCell ref="C472:E472"/>
    <mergeCell ref="A479:C479"/>
    <mergeCell ref="A484:C484"/>
    <mergeCell ref="A503:K503"/>
    <mergeCell ref="A504:K504"/>
    <mergeCell ref="A505:K505"/>
    <mergeCell ref="A458:K458"/>
    <mergeCell ref="A459:K459"/>
    <mergeCell ref="A460:K460"/>
    <mergeCell ref="A461:K461"/>
    <mergeCell ref="A462:K462"/>
    <mergeCell ref="A471:K471"/>
    <mergeCell ref="A416:K416"/>
    <mergeCell ref="A417:K417"/>
    <mergeCell ref="A426:K426"/>
    <mergeCell ref="C427:E427"/>
    <mergeCell ref="A434:C434"/>
    <mergeCell ref="A439:C439"/>
    <mergeCell ref="C382:E382"/>
    <mergeCell ref="A389:C389"/>
    <mergeCell ref="A394:C394"/>
    <mergeCell ref="A413:K413"/>
    <mergeCell ref="A414:K414"/>
    <mergeCell ref="A415:K415"/>
    <mergeCell ref="A368:K368"/>
    <mergeCell ref="A369:K369"/>
    <mergeCell ref="A370:K370"/>
    <mergeCell ref="A371:K371"/>
    <mergeCell ref="A372:K372"/>
    <mergeCell ref="A381:K381"/>
    <mergeCell ref="A326:K326"/>
    <mergeCell ref="A327:K327"/>
    <mergeCell ref="A336:K336"/>
    <mergeCell ref="C337:E337"/>
    <mergeCell ref="A344:C344"/>
    <mergeCell ref="A349:C349"/>
    <mergeCell ref="C292:E292"/>
    <mergeCell ref="A299:C299"/>
    <mergeCell ref="A304:C304"/>
    <mergeCell ref="A323:K323"/>
    <mergeCell ref="A324:K324"/>
    <mergeCell ref="A325:K325"/>
    <mergeCell ref="A278:K278"/>
    <mergeCell ref="A279:K279"/>
    <mergeCell ref="A280:K280"/>
    <mergeCell ref="A281:K281"/>
    <mergeCell ref="A282:K282"/>
    <mergeCell ref="A291:K291"/>
    <mergeCell ref="A236:K236"/>
    <mergeCell ref="A237:K237"/>
    <mergeCell ref="A246:K246"/>
    <mergeCell ref="C247:E247"/>
    <mergeCell ref="A254:C254"/>
    <mergeCell ref="A259:C259"/>
    <mergeCell ref="C202:E202"/>
    <mergeCell ref="A209:C209"/>
    <mergeCell ref="A214:C214"/>
    <mergeCell ref="A233:K233"/>
    <mergeCell ref="A234:K234"/>
    <mergeCell ref="A235:K235"/>
    <mergeCell ref="A188:K188"/>
    <mergeCell ref="A189:K189"/>
    <mergeCell ref="A190:K190"/>
    <mergeCell ref="A191:K191"/>
    <mergeCell ref="A192:K192"/>
    <mergeCell ref="A201:K201"/>
    <mergeCell ref="A146:K146"/>
    <mergeCell ref="A147:K147"/>
    <mergeCell ref="A156:K156"/>
    <mergeCell ref="C157:E157"/>
    <mergeCell ref="A164:C164"/>
    <mergeCell ref="A169:C169"/>
    <mergeCell ref="C112:E112"/>
    <mergeCell ref="A119:C119"/>
    <mergeCell ref="A124:C124"/>
    <mergeCell ref="A143:K143"/>
    <mergeCell ref="A144:K144"/>
    <mergeCell ref="A145:K145"/>
    <mergeCell ref="A98:K98"/>
    <mergeCell ref="A99:K99"/>
    <mergeCell ref="A100:K100"/>
    <mergeCell ref="A101:K101"/>
    <mergeCell ref="A102:K102"/>
    <mergeCell ref="A111:K111"/>
    <mergeCell ref="C67:E67"/>
    <mergeCell ref="A74:C74"/>
    <mergeCell ref="A79:C79"/>
    <mergeCell ref="C22:E22"/>
    <mergeCell ref="A29:C29"/>
    <mergeCell ref="A34:C34"/>
    <mergeCell ref="A53:K53"/>
    <mergeCell ref="A54:K54"/>
    <mergeCell ref="A55:K55"/>
    <mergeCell ref="A8:K8"/>
    <mergeCell ref="A9:K9"/>
    <mergeCell ref="A10:K10"/>
    <mergeCell ref="A11:K11"/>
    <mergeCell ref="A12:K12"/>
    <mergeCell ref="A21:K21"/>
    <mergeCell ref="A56:K56"/>
    <mergeCell ref="A57:K57"/>
    <mergeCell ref="A66:K66"/>
  </mergeCells>
  <pageMargins left="0.23622047244094491" right="0.23622047244094491" top="0.15748031496062992" bottom="0.74803149606299213" header="0.31496062992125984" footer="0.31496062992125984"/>
  <pageSetup paperSize="9" scale="76" orientation="portrait" horizontalDpi="4294967293" r:id="rId1"/>
  <rowBreaks count="15" manualBreakCount="15">
    <brk id="45" max="10" man="1"/>
    <brk id="90" max="10" man="1"/>
    <brk id="135" max="10" man="1"/>
    <brk id="180" max="10" man="1"/>
    <brk id="225" max="10" man="1"/>
    <brk id="270" max="10" man="1"/>
    <brk id="315" max="10" man="1"/>
    <brk id="360" max="10" man="1"/>
    <brk id="405" max="10" man="1"/>
    <brk id="450" max="10" man="1"/>
    <brk id="495" max="10" man="1"/>
    <brk id="540" max="10" man="1"/>
    <brk id="585" max="10" man="1"/>
    <brk id="630" max="10" man="1"/>
    <brk id="675" max="10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17A20-ADA8-40A7-9C73-DF69C48AF688}">
  <dimension ref="A1:W809"/>
  <sheetViews>
    <sheetView tabSelected="1" view="pageBreakPreview" topLeftCell="A185" zoomScaleNormal="100" workbookViewId="0">
      <selection activeCell="K224" sqref="A181:K224"/>
    </sheetView>
  </sheetViews>
  <sheetFormatPr defaultColWidth="9" defaultRowHeight="15"/>
  <cols>
    <col min="1" max="1" width="3.5703125" customWidth="1"/>
    <col min="2" max="2" width="5.5703125" customWidth="1"/>
    <col min="3" max="3" width="12.28515625" customWidth="1"/>
    <col min="4" max="4" width="1.85546875" customWidth="1"/>
    <col min="5" max="5" width="38.28515625" customWidth="1"/>
    <col min="6" max="6" width="1.140625" customWidth="1"/>
    <col min="7" max="7" width="16" customWidth="1"/>
    <col min="8" max="8" width="16.5703125" style="1" customWidth="1"/>
    <col min="9" max="9" width="16.5703125" style="1" hidden="1" customWidth="1"/>
    <col min="10" max="10" width="15.5703125" style="1" customWidth="1"/>
    <col min="11" max="11" width="18" style="1" customWidth="1"/>
    <col min="12" max="12" width="0.28515625" hidden="1" customWidth="1"/>
    <col min="13" max="13" width="2.85546875" customWidth="1"/>
    <col min="14" max="14" width="2.5703125" customWidth="1"/>
    <col min="15" max="15" width="2.7109375" customWidth="1"/>
    <col min="16" max="16" width="2.5703125" customWidth="1"/>
    <col min="17" max="17" width="2.7109375" customWidth="1"/>
    <col min="18" max="18" width="2.85546875" customWidth="1"/>
    <col min="19" max="19" width="44.7109375" customWidth="1"/>
    <col min="20" max="20" width="12.28515625" customWidth="1"/>
    <col min="21" max="21" width="11.7109375" customWidth="1"/>
    <col min="22" max="22" width="10.85546875" customWidth="1"/>
    <col min="23" max="23" width="11.5703125" customWidth="1"/>
    <col min="24" max="24" width="11.7109375" customWidth="1"/>
  </cols>
  <sheetData>
    <row r="1" spans="1:23">
      <c r="L1" s="29"/>
      <c r="M1" s="30"/>
      <c r="N1" s="30"/>
      <c r="O1" s="30"/>
      <c r="P1" s="30"/>
      <c r="Q1" s="30"/>
      <c r="R1" s="30"/>
      <c r="S1" s="30"/>
      <c r="T1" s="30"/>
      <c r="U1" s="30"/>
      <c r="V1" s="30"/>
      <c r="W1" s="29"/>
    </row>
    <row r="2" spans="1:23">
      <c r="L2" s="29"/>
      <c r="M2" s="30"/>
      <c r="N2" s="30"/>
      <c r="O2" s="30"/>
      <c r="P2" s="30"/>
      <c r="Q2" s="30"/>
      <c r="R2" s="30"/>
      <c r="S2" s="30"/>
      <c r="T2" s="30"/>
      <c r="U2" s="30"/>
      <c r="V2" s="30"/>
      <c r="W2" s="29"/>
    </row>
    <row r="3" spans="1:23">
      <c r="L3" s="29"/>
      <c r="M3" s="30"/>
      <c r="N3" s="30"/>
      <c r="O3" s="30"/>
      <c r="P3" s="30"/>
      <c r="Q3" s="30"/>
      <c r="R3" s="30"/>
      <c r="S3" s="30"/>
      <c r="T3" s="30"/>
      <c r="U3" s="30"/>
      <c r="V3" s="30"/>
      <c r="W3" s="29"/>
    </row>
    <row r="4" spans="1:23" ht="15.75">
      <c r="C4" s="2"/>
      <c r="D4" s="2"/>
      <c r="E4" s="2"/>
      <c r="F4" s="2"/>
      <c r="L4" s="29"/>
      <c r="M4" s="30"/>
      <c r="N4" s="30"/>
      <c r="O4" s="30"/>
      <c r="P4" s="30"/>
      <c r="Q4" s="30"/>
      <c r="R4" s="30"/>
      <c r="S4" s="30"/>
      <c r="T4" s="30"/>
      <c r="U4" s="30"/>
      <c r="V4" s="30"/>
      <c r="W4" s="29"/>
    </row>
    <row r="5" spans="1:23" ht="15.75">
      <c r="A5" s="3"/>
      <c r="B5" s="3"/>
      <c r="C5" s="2"/>
      <c r="D5" s="2"/>
      <c r="E5" s="2"/>
      <c r="F5" s="2"/>
      <c r="G5" s="3"/>
      <c r="H5" s="4"/>
      <c r="I5" s="4"/>
      <c r="J5" s="4"/>
      <c r="K5" s="5"/>
      <c r="L5" s="29"/>
      <c r="M5" s="30"/>
      <c r="N5" s="30"/>
      <c r="O5" s="30"/>
      <c r="P5" s="30"/>
      <c r="Q5" s="30"/>
      <c r="R5" s="30"/>
      <c r="S5" s="30"/>
      <c r="T5" s="30"/>
      <c r="U5" s="30"/>
      <c r="V5" s="30"/>
      <c r="W5" s="29"/>
    </row>
    <row r="6" spans="1:23">
      <c r="H6" s="5"/>
      <c r="I6" s="5"/>
      <c r="J6" s="5"/>
      <c r="K6" s="5"/>
      <c r="L6" s="29"/>
      <c r="M6" s="30"/>
      <c r="N6" s="30"/>
      <c r="O6" s="30"/>
      <c r="P6" s="30"/>
      <c r="Q6" s="30"/>
      <c r="R6" s="30"/>
      <c r="S6" s="30"/>
      <c r="T6" s="30"/>
      <c r="U6" s="30"/>
      <c r="V6" s="30"/>
      <c r="W6" s="29"/>
    </row>
    <row r="7" spans="1:23">
      <c r="H7" s="5"/>
      <c r="I7" s="5"/>
      <c r="J7" s="5"/>
      <c r="K7" s="5"/>
      <c r="L7" s="29"/>
      <c r="M7" s="30"/>
      <c r="N7" s="30"/>
      <c r="O7" s="30"/>
      <c r="P7" s="30"/>
      <c r="Q7" s="30"/>
      <c r="R7" s="30"/>
      <c r="S7" s="30"/>
      <c r="T7" s="30"/>
      <c r="U7" s="30"/>
      <c r="V7" s="30"/>
      <c r="W7" s="29"/>
    </row>
    <row r="8" spans="1:23" ht="15" customHeight="1">
      <c r="A8" s="64" t="s">
        <v>0</v>
      </c>
      <c r="B8" s="64"/>
      <c r="C8" s="58"/>
      <c r="D8" s="58"/>
      <c r="E8" s="58"/>
      <c r="F8" s="58"/>
      <c r="G8" s="58"/>
      <c r="H8" s="58"/>
      <c r="I8" s="58"/>
      <c r="J8" s="58"/>
      <c r="K8" s="58"/>
      <c r="L8" s="29"/>
      <c r="M8" s="30"/>
      <c r="N8" s="30"/>
      <c r="O8" s="30"/>
      <c r="P8" s="30"/>
      <c r="Q8" s="30"/>
      <c r="R8" s="30"/>
      <c r="S8" s="30"/>
      <c r="T8" s="30"/>
      <c r="U8" s="30"/>
      <c r="V8" s="30"/>
      <c r="W8" s="29"/>
    </row>
    <row r="9" spans="1:23" ht="15" customHeight="1">
      <c r="A9" s="58" t="s">
        <v>92</v>
      </c>
      <c r="B9" s="58"/>
      <c r="C9" s="58"/>
      <c r="D9" s="58"/>
      <c r="E9" s="58"/>
      <c r="F9" s="58"/>
      <c r="G9" s="58"/>
      <c r="H9" s="58"/>
      <c r="I9" s="58"/>
      <c r="J9" s="58"/>
      <c r="K9" s="58"/>
      <c r="L9" s="29"/>
      <c r="M9" s="30"/>
      <c r="N9" s="30"/>
      <c r="O9" s="30"/>
      <c r="P9" s="30"/>
      <c r="Q9" s="30"/>
      <c r="R9" s="30"/>
      <c r="S9" s="30"/>
      <c r="T9" s="30"/>
      <c r="U9" s="30"/>
      <c r="V9" s="30"/>
      <c r="W9" s="29"/>
    </row>
    <row r="10" spans="1:23" ht="15" customHeight="1">
      <c r="A10" s="58" t="s">
        <v>1</v>
      </c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29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29"/>
    </row>
    <row r="11" spans="1:23" ht="15" customHeight="1">
      <c r="A11" s="58" t="s">
        <v>39</v>
      </c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29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29"/>
    </row>
    <row r="12" spans="1:23" ht="15" customHeight="1">
      <c r="A12" s="58" t="s">
        <v>2</v>
      </c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29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29"/>
    </row>
    <row r="13" spans="1:23">
      <c r="A13" s="6"/>
      <c r="B13" s="6"/>
      <c r="C13" s="7"/>
      <c r="D13" s="7"/>
      <c r="E13" s="7"/>
      <c r="F13" s="7"/>
      <c r="G13" s="8"/>
      <c r="H13" s="9"/>
      <c r="I13" s="9"/>
      <c r="J13" s="9"/>
      <c r="K13" s="9"/>
      <c r="L13" s="29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29"/>
    </row>
    <row r="14" spans="1:23">
      <c r="A14" s="53" t="s">
        <v>3</v>
      </c>
      <c r="B14" s="10"/>
      <c r="C14" s="10"/>
      <c r="D14" s="54" t="s">
        <v>4</v>
      </c>
      <c r="E14" s="10" t="s">
        <v>5</v>
      </c>
      <c r="F14" s="11"/>
      <c r="G14" s="10"/>
      <c r="H14" s="12"/>
      <c r="I14" s="12"/>
      <c r="J14" s="12"/>
      <c r="K14" s="9"/>
      <c r="L14" s="29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29"/>
    </row>
    <row r="15" spans="1:23">
      <c r="A15" s="53" t="s">
        <v>6</v>
      </c>
      <c r="B15" s="10"/>
      <c r="C15" s="10"/>
      <c r="D15" s="54" t="s">
        <v>4</v>
      </c>
      <c r="E15" s="10" t="s">
        <v>7</v>
      </c>
      <c r="F15" s="11"/>
      <c r="G15" s="10"/>
      <c r="H15" s="12"/>
      <c r="I15" s="12"/>
      <c r="J15" s="12"/>
      <c r="K15" s="9"/>
      <c r="L15" s="29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29"/>
    </row>
    <row r="16" spans="1:23">
      <c r="A16" s="53" t="s">
        <v>8</v>
      </c>
      <c r="B16" s="10"/>
      <c r="C16" s="10"/>
      <c r="D16" s="54" t="s">
        <v>4</v>
      </c>
      <c r="E16" s="13">
        <v>2026</v>
      </c>
      <c r="F16" s="11"/>
      <c r="G16" s="13"/>
      <c r="H16" s="12"/>
      <c r="I16" s="12"/>
      <c r="J16" s="12"/>
      <c r="K16" s="9"/>
      <c r="L16" s="29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29"/>
    </row>
    <row r="17" spans="1:23">
      <c r="A17" s="53" t="s">
        <v>9</v>
      </c>
      <c r="B17" s="10"/>
      <c r="C17" s="10"/>
      <c r="D17" s="54" t="s">
        <v>4</v>
      </c>
      <c r="E17" s="14">
        <f>J27</f>
        <v>150000</v>
      </c>
      <c r="F17" s="11"/>
      <c r="G17" s="14"/>
      <c r="H17" s="12"/>
      <c r="I17" s="12"/>
      <c r="J17" s="12"/>
      <c r="K17" s="9"/>
      <c r="L17" s="29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29"/>
    </row>
    <row r="18" spans="1:23" ht="15.75">
      <c r="A18" s="10"/>
      <c r="B18" s="10"/>
      <c r="C18" s="15" t="s">
        <v>10</v>
      </c>
      <c r="D18" s="54" t="s">
        <v>4</v>
      </c>
      <c r="E18" s="16" t="str">
        <f>PROPER(IF(E17=0,"nol",IF(E17&lt;0,"minus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17),"000000000000000"),1,3)=0,"",MID(TEXT(ABS(E17),"000000000000000"),1,1)&amp;" ratus "&amp;MID(TEXT(ABS(E17),"000000000000000"),2,1)&amp;" puluh "&amp;MID(TEXT(ABS(E17),"000000000000000"),3,1)&amp;" trilyun ")&amp;IF(--MID(TEXT(ABS(E17),"000000000000000"),4,3)=0,"",MID(TEXT(ABS(E17),"000000000000000"),4,1)&amp;" ratus "&amp;MID(TEXT(ABS(E17),"000000000000000"),5,1)&amp;" puluh "&amp;MID(TEXT(ABS(E17),"000000000000000"),6,1)&amp;" milyar ")&amp;IF(--MID(TEXT(ABS(E17),"000000000000000"),7,3)=0,"",MID(TEXT(ABS(E17),"000000000000000"),7,1)&amp;" ratus "&amp;MID(TEXT(ABS(E17),"000000000000000"),8,1)&amp;" puluh "&amp;MID(TEXT(ABS(E17),"000000000000000"),9,1)&amp;" juta ")&amp;IF(--MID(TEXT(ABS(E17),"000000000000000"),10,3)=0,"",IF(--MID(TEXT(ABS(E17),"000000000000000"),10,3)=1,"*",MID(TEXT(ABS(E17),"000000000000000"),10,1)&amp;" ratus "&amp;MID(TEXT(ABS(E17),"000000000000000"),11,1)&amp;" puluh ")&amp;MID(TEXT(ABS(E17),"000000000000000"),12,1)&amp;" ribu ")&amp;IF(--MID(TEXT(ABS(E17),"000000000000000"),13,3)=0,"",MID(TEXT(ABS(E17),"000000000000000"),13,1)&amp;" ratus "&amp;MID(TEXT(ABS(E17),"000000000000000"),14,1)&amp;" puluh "&amp;MID(TEXT(ABS(E17),"000000000000000"),15,1)),1,"satu"),2,"dua"),3,"tiga"),4,"empat"),5,"lima"),6,"enam"),7,"tujuh"),8,"delapan"),9,"sembilan"),"0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Seratus Lima Puluh Ribu Rupiah</v>
      </c>
      <c r="F18" s="11"/>
      <c r="G18" s="16"/>
      <c r="H18" s="12"/>
      <c r="I18" s="12"/>
      <c r="J18" s="12"/>
      <c r="K18" s="9"/>
      <c r="L18" s="29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29"/>
    </row>
    <row r="19" spans="1:23" ht="15.75">
      <c r="A19" s="10"/>
      <c r="B19" s="10"/>
      <c r="C19" s="15"/>
      <c r="D19" s="15"/>
      <c r="E19" s="15"/>
      <c r="F19" s="11"/>
      <c r="G19" s="16"/>
      <c r="H19" s="12"/>
      <c r="I19" s="12"/>
      <c r="J19" s="12"/>
      <c r="K19" s="9"/>
      <c r="L19" s="29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29"/>
    </row>
    <row r="20" spans="1:23">
      <c r="A20" s="10" t="s">
        <v>11</v>
      </c>
      <c r="B20" s="10"/>
      <c r="C20" s="10"/>
      <c r="D20" s="10"/>
      <c r="E20" s="10"/>
      <c r="F20" s="10"/>
      <c r="G20" s="10"/>
      <c r="H20" s="12"/>
      <c r="I20" s="12"/>
      <c r="J20" s="12"/>
      <c r="K20" s="9"/>
      <c r="L20" s="29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29"/>
    </row>
    <row r="21" spans="1:23">
      <c r="A21" s="59" t="s">
        <v>12</v>
      </c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29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29"/>
    </row>
    <row r="22" spans="1:23" ht="61.5" customHeight="1">
      <c r="A22" s="17" t="s">
        <v>13</v>
      </c>
      <c r="B22" s="18" t="s">
        <v>14</v>
      </c>
      <c r="C22" s="60" t="s">
        <v>15</v>
      </c>
      <c r="D22" s="61"/>
      <c r="E22" s="62"/>
      <c r="F22" s="19"/>
      <c r="G22" s="20" t="s">
        <v>16</v>
      </c>
      <c r="H22" s="21" t="s">
        <v>37</v>
      </c>
      <c r="I22" s="21"/>
      <c r="J22" s="31" t="s">
        <v>17</v>
      </c>
      <c r="K22" s="32" t="s">
        <v>18</v>
      </c>
      <c r="L22" s="29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29"/>
    </row>
    <row r="23" spans="1:23">
      <c r="A23" s="27">
        <v>1</v>
      </c>
      <c r="B23" s="24"/>
      <c r="C23" s="28" t="s">
        <v>23</v>
      </c>
      <c r="D23" s="57"/>
      <c r="E23" s="26"/>
      <c r="F23" s="25"/>
      <c r="G23" s="55" t="s">
        <v>19</v>
      </c>
      <c r="H23" s="55" t="s">
        <v>19</v>
      </c>
      <c r="I23" s="55"/>
      <c r="J23" s="55" t="s">
        <v>19</v>
      </c>
      <c r="K23" s="55" t="s">
        <v>19</v>
      </c>
      <c r="L23" s="29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29"/>
    </row>
    <row r="24" spans="1:23">
      <c r="A24" s="24"/>
      <c r="B24" s="56" t="s">
        <v>20</v>
      </c>
      <c r="C24" s="25" t="s">
        <v>24</v>
      </c>
      <c r="D24" s="10"/>
      <c r="E24" s="26"/>
      <c r="F24" s="25"/>
      <c r="G24" s="22">
        <v>75000000</v>
      </c>
      <c r="H24" s="23">
        <f>FEBRUARI!H654+FEBRUARI!J654</f>
        <v>25071344</v>
      </c>
      <c r="I24" s="23"/>
      <c r="J24" s="33">
        <v>150000</v>
      </c>
      <c r="K24" s="34">
        <f t="shared" ref="K24:K26" si="0">G24-H24-J24</f>
        <v>49778656</v>
      </c>
      <c r="L24" s="29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29"/>
    </row>
    <row r="25" spans="1:23">
      <c r="A25" s="24"/>
      <c r="B25" s="56" t="s">
        <v>21</v>
      </c>
      <c r="C25" s="25" t="s">
        <v>25</v>
      </c>
      <c r="D25" s="10"/>
      <c r="E25" s="26"/>
      <c r="F25" s="25"/>
      <c r="G25" s="22">
        <v>30000000</v>
      </c>
      <c r="H25" s="23">
        <f>FEBRUARI!H655+FEBRUARI!J655</f>
        <v>7011784</v>
      </c>
      <c r="I25" s="23"/>
      <c r="J25" s="33">
        <v>0</v>
      </c>
      <c r="K25" s="34">
        <f t="shared" si="0"/>
        <v>22988216</v>
      </c>
      <c r="L25" s="29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29"/>
    </row>
    <row r="26" spans="1:23">
      <c r="A26" s="24"/>
      <c r="B26" s="56" t="s">
        <v>22</v>
      </c>
      <c r="C26" s="25" t="s">
        <v>26</v>
      </c>
      <c r="D26" s="10"/>
      <c r="E26" s="26"/>
      <c r="F26" s="25"/>
      <c r="G26" s="22">
        <v>50000000</v>
      </c>
      <c r="H26" s="23">
        <f>FEBRUARI!H656+FEBRUARI!J656</f>
        <v>3500000</v>
      </c>
      <c r="I26" s="23"/>
      <c r="J26" s="33">
        <v>0</v>
      </c>
      <c r="K26" s="34">
        <f t="shared" si="0"/>
        <v>46500000</v>
      </c>
      <c r="L26" s="29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29"/>
    </row>
    <row r="27" spans="1:23">
      <c r="A27" s="35"/>
      <c r="B27" s="35"/>
      <c r="C27" s="35" t="s">
        <v>27</v>
      </c>
      <c r="D27" s="35"/>
      <c r="E27" s="35"/>
      <c r="F27" s="36"/>
      <c r="G27" s="37">
        <f>SUM(G23:G26)</f>
        <v>155000000</v>
      </c>
      <c r="H27" s="38">
        <f>SUM(H23:H26)</f>
        <v>35583128</v>
      </c>
      <c r="I27" s="38"/>
      <c r="J27" s="38">
        <f>SUM(J23:J26)</f>
        <v>150000</v>
      </c>
      <c r="K27" s="38">
        <f>SUM(K23:K26)</f>
        <v>119266872</v>
      </c>
      <c r="L27" s="29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29"/>
    </row>
    <row r="28" spans="1:23">
      <c r="A28" s="39"/>
      <c r="B28" s="8"/>
      <c r="C28" s="8"/>
      <c r="D28" s="8"/>
      <c r="E28" s="8"/>
      <c r="F28" s="8"/>
      <c r="G28" s="40"/>
      <c r="H28" s="40"/>
      <c r="I28" s="40"/>
      <c r="J28" s="40"/>
      <c r="K28" s="40"/>
      <c r="L28" s="29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29"/>
    </row>
    <row r="29" spans="1:23">
      <c r="A29" s="63" t="s">
        <v>28</v>
      </c>
      <c r="B29" s="63"/>
      <c r="C29" s="63"/>
      <c r="D29" s="11" t="s">
        <v>4</v>
      </c>
      <c r="E29" s="14">
        <f>J27</f>
        <v>150000</v>
      </c>
      <c r="F29" s="41"/>
      <c r="G29" s="42"/>
      <c r="H29" s="42"/>
      <c r="I29" s="42"/>
      <c r="J29" s="9"/>
      <c r="K29" s="9"/>
      <c r="L29" s="29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29"/>
    </row>
    <row r="30" spans="1:23">
      <c r="A30" s="10" t="s">
        <v>29</v>
      </c>
      <c r="B30" s="10"/>
      <c r="C30" s="10"/>
      <c r="D30" s="11" t="s">
        <v>4</v>
      </c>
      <c r="E30" s="43"/>
      <c r="F30" s="43"/>
      <c r="G30" s="44"/>
      <c r="H30" s="12"/>
      <c r="I30" s="12"/>
      <c r="J30" s="9"/>
      <c r="K30" s="9"/>
      <c r="L30" s="29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29"/>
    </row>
    <row r="31" spans="1:23">
      <c r="A31" s="10" t="s">
        <v>30</v>
      </c>
      <c r="B31" s="10"/>
      <c r="C31" s="10"/>
      <c r="D31" s="11" t="s">
        <v>4</v>
      </c>
      <c r="E31" s="45"/>
      <c r="F31" s="45"/>
      <c r="G31" s="44"/>
      <c r="H31" s="12"/>
      <c r="I31" s="12"/>
      <c r="J31" s="9"/>
      <c r="K31" s="9"/>
      <c r="L31" s="29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29"/>
    </row>
    <row r="32" spans="1:23">
      <c r="A32" s="10" t="s">
        <v>31</v>
      </c>
      <c r="B32" s="10"/>
      <c r="C32" s="10"/>
      <c r="D32" s="11" t="s">
        <v>4</v>
      </c>
      <c r="E32" s="45">
        <f>E30+E31</f>
        <v>0</v>
      </c>
      <c r="F32" s="45"/>
      <c r="G32" s="10"/>
      <c r="H32" s="12"/>
      <c r="I32" s="12"/>
      <c r="J32" s="47"/>
      <c r="K32" s="47"/>
      <c r="L32" s="29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29"/>
    </row>
    <row r="33" spans="1:23">
      <c r="A33" s="13"/>
      <c r="B33" s="13"/>
      <c r="C33" s="13"/>
      <c r="D33" s="11"/>
      <c r="E33" s="13"/>
      <c r="F33" s="13"/>
      <c r="G33" s="10"/>
      <c r="H33" s="12"/>
      <c r="I33" s="12"/>
      <c r="J33" s="47"/>
      <c r="K33" s="47"/>
      <c r="L33" s="29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29"/>
    </row>
    <row r="34" spans="1:23">
      <c r="A34" s="63" t="s">
        <v>32</v>
      </c>
      <c r="B34" s="63"/>
      <c r="C34" s="63"/>
      <c r="D34" s="11" t="s">
        <v>4</v>
      </c>
      <c r="E34" s="41">
        <f>E29-E32</f>
        <v>150000</v>
      </c>
      <c r="F34" s="41"/>
      <c r="G34" s="10"/>
      <c r="H34" s="12"/>
      <c r="I34" s="12"/>
      <c r="J34" s="47"/>
      <c r="K34" s="47"/>
      <c r="L34" s="29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29"/>
    </row>
    <row r="35" spans="1:23" ht="15.75">
      <c r="A35" s="13"/>
      <c r="B35" s="13"/>
      <c r="C35" s="10"/>
      <c r="D35" s="10"/>
      <c r="E35" s="16" t="str">
        <f>PROPER(IF(E34=0,"nol",IF(E34&lt;0,"minus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34),"000000000000000"),1,3)=0,"",MID(TEXT(ABS(E34),"000000000000000"),1,1)&amp;" ratus "&amp;MID(TEXT(ABS(E34),"000000000000000"),2,1)&amp;" puluh "&amp;MID(TEXT(ABS(E34),"000000000000000"),3,1)&amp;" trilyun ")&amp;IF(--MID(TEXT(ABS(E34),"000000000000000"),4,3)=0,"",MID(TEXT(ABS(E34),"000000000000000"),4,1)&amp;" ratus "&amp;MID(TEXT(ABS(E34),"000000000000000"),5,1)&amp;" puluh "&amp;MID(TEXT(ABS(E34),"000000000000000"),6,1)&amp;" milyar ")&amp;IF(--MID(TEXT(ABS(E34),"000000000000000"),7,3)=0,"",MID(TEXT(ABS(E34),"000000000000000"),7,1)&amp;" ratus "&amp;MID(TEXT(ABS(E34),"000000000000000"),8,1)&amp;" puluh "&amp;MID(TEXT(ABS(E34),"000000000000000"),9,1)&amp;" juta ")&amp;IF(--MID(TEXT(ABS(E34),"000000000000000"),10,3)=0,"",IF(--MID(TEXT(ABS(E34),"000000000000000"),10,3)=1,"*",MID(TEXT(ABS(E34),"000000000000000"),10,1)&amp;" ratus "&amp;MID(TEXT(ABS(E34),"000000000000000"),11,1)&amp;" puluh ")&amp;MID(TEXT(ABS(E34),"000000000000000"),12,1)&amp;" ribu ")&amp;IF(--MID(TEXT(ABS(E34),"000000000000000"),13,3)=0,"",MID(TEXT(ABS(E34),"000000000000000"),13,1)&amp;" ratus "&amp;MID(TEXT(ABS(E34),"000000000000000"),14,1)&amp;" puluh "&amp;MID(TEXT(ABS(E34),"000000000000000"),15,1)),1,"satu"),2,"dua"),3,"tiga"),4,"empat"),5,"lima"),6,"enam"),7,"tujuh"),8,"delapan"),9,"sembilan"),"0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Seratus Lima Puluh Ribu Rupiah</v>
      </c>
      <c r="F35" s="10"/>
      <c r="G35" s="10"/>
      <c r="H35" s="10"/>
      <c r="I35" s="10"/>
      <c r="J35" s="47"/>
      <c r="K35" s="47"/>
      <c r="L35" s="29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29"/>
    </row>
    <row r="36" spans="1:23">
      <c r="A36" s="46"/>
      <c r="B36" s="46"/>
      <c r="C36" s="46"/>
      <c r="D36" s="46"/>
      <c r="E36" s="46"/>
      <c r="F36" s="46"/>
      <c r="G36" s="29"/>
      <c r="H36" s="47"/>
      <c r="I36" s="47"/>
      <c r="J36" s="47"/>
      <c r="K36" s="47"/>
      <c r="L36" s="29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29"/>
    </row>
    <row r="37" spans="1:23">
      <c r="A37" s="29"/>
      <c r="B37" s="29"/>
      <c r="C37" s="29"/>
      <c r="D37" s="29"/>
      <c r="E37" s="29"/>
      <c r="F37" s="29"/>
      <c r="G37" s="29"/>
      <c r="H37"/>
      <c r="I37"/>
      <c r="J37" s="47"/>
      <c r="K37" s="47"/>
      <c r="L37" s="29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29"/>
    </row>
    <row r="38" spans="1:23">
      <c r="A38" s="13"/>
      <c r="B38" s="13"/>
      <c r="C38" s="10"/>
      <c r="D38" s="10"/>
      <c r="E38" s="10"/>
      <c r="F38" s="10"/>
      <c r="G38" s="10"/>
      <c r="I38" s="48"/>
      <c r="J38" s="48" t="s">
        <v>93</v>
      </c>
      <c r="K38" s="47"/>
      <c r="L38" s="29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29"/>
    </row>
    <row r="39" spans="1:23">
      <c r="A39" s="12" t="s">
        <v>33</v>
      </c>
      <c r="B39" s="10"/>
      <c r="C39" s="10"/>
      <c r="D39" s="10"/>
      <c r="E39" s="10"/>
      <c r="F39" s="10"/>
      <c r="G39" s="10"/>
      <c r="I39" s="12"/>
      <c r="J39" s="12" t="s">
        <v>34</v>
      </c>
      <c r="K39" s="47"/>
      <c r="L39" s="29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29"/>
    </row>
    <row r="40" spans="1:23">
      <c r="A40" s="10"/>
      <c r="B40" s="10"/>
      <c r="C40" s="10"/>
      <c r="D40" s="10"/>
      <c r="E40" s="10"/>
      <c r="F40" s="10"/>
      <c r="G40" s="10"/>
      <c r="I40" s="12"/>
      <c r="J40" s="12"/>
      <c r="K40" s="47"/>
      <c r="L40" s="29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29"/>
    </row>
    <row r="41" spans="1:23">
      <c r="A41" s="10"/>
      <c r="B41" s="10"/>
      <c r="C41" s="10"/>
      <c r="D41" s="10"/>
      <c r="E41" s="10"/>
      <c r="F41" s="10"/>
      <c r="G41" s="10"/>
      <c r="I41" s="12"/>
      <c r="J41" s="12"/>
      <c r="K41" s="47"/>
      <c r="L41" s="29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29"/>
    </row>
    <row r="42" spans="1:23">
      <c r="A42" s="10"/>
      <c r="B42" s="10"/>
      <c r="C42" s="10"/>
      <c r="D42" s="10"/>
      <c r="E42" s="10"/>
      <c r="F42" s="10"/>
      <c r="G42" s="10"/>
      <c r="I42" s="12"/>
      <c r="J42" s="12"/>
      <c r="K42" s="47"/>
      <c r="L42" s="29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29"/>
    </row>
    <row r="43" spans="1:23">
      <c r="A43" s="10"/>
      <c r="B43" s="10"/>
      <c r="C43" s="10"/>
      <c r="D43" s="10"/>
      <c r="E43" s="10"/>
      <c r="F43" s="10"/>
      <c r="G43" s="10"/>
      <c r="I43" s="12"/>
      <c r="J43" s="12"/>
      <c r="K43" s="47"/>
      <c r="L43" s="29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29"/>
    </row>
    <row r="44" spans="1:23">
      <c r="A44" s="49" t="s">
        <v>38</v>
      </c>
      <c r="B44" s="49"/>
      <c r="C44" s="50"/>
      <c r="D44" s="50"/>
      <c r="E44" s="50"/>
      <c r="F44" s="50"/>
      <c r="G44" s="10" t="s">
        <v>35</v>
      </c>
      <c r="I44" s="49"/>
      <c r="J44" s="49" t="s">
        <v>36</v>
      </c>
      <c r="K44" s="47"/>
      <c r="L44" s="29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29"/>
    </row>
    <row r="45" spans="1:23">
      <c r="A45" s="51"/>
      <c r="B45" s="51"/>
      <c r="C45" s="52"/>
      <c r="D45" s="52"/>
      <c r="E45" s="52"/>
      <c r="F45" s="52"/>
      <c r="G45" s="52"/>
      <c r="H45" s="51"/>
      <c r="I45" s="51"/>
      <c r="J45" s="51"/>
      <c r="K45" s="47"/>
      <c r="L45" s="29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29"/>
    </row>
    <row r="49" spans="1:11" ht="15.75">
      <c r="C49" s="2"/>
      <c r="D49" s="2"/>
      <c r="E49" s="2"/>
      <c r="F49" s="2"/>
    </row>
    <row r="50" spans="1:11" ht="15.75">
      <c r="A50" s="3"/>
      <c r="B50" s="3"/>
      <c r="C50" s="2"/>
      <c r="D50" s="2"/>
      <c r="E50" s="2"/>
      <c r="F50" s="2"/>
      <c r="G50" s="3"/>
      <c r="H50" s="4"/>
      <c r="I50" s="4"/>
      <c r="J50" s="4"/>
      <c r="K50" s="5"/>
    </row>
    <row r="51" spans="1:11">
      <c r="H51" s="5"/>
      <c r="I51" s="5"/>
      <c r="J51" s="5"/>
      <c r="K51" s="5"/>
    </row>
    <row r="52" spans="1:11">
      <c r="H52" s="5"/>
      <c r="I52" s="5"/>
      <c r="J52" s="5"/>
      <c r="K52" s="5"/>
    </row>
    <row r="53" spans="1:11">
      <c r="A53" s="64" t="s">
        <v>0</v>
      </c>
      <c r="B53" s="64"/>
      <c r="C53" s="58"/>
      <c r="D53" s="58"/>
      <c r="E53" s="58"/>
      <c r="F53" s="58"/>
      <c r="G53" s="58"/>
      <c r="H53" s="58"/>
      <c r="I53" s="58"/>
      <c r="J53" s="58"/>
      <c r="K53" s="58"/>
    </row>
    <row r="54" spans="1:11">
      <c r="A54" s="58" t="s">
        <v>94</v>
      </c>
      <c r="B54" s="58"/>
      <c r="C54" s="58"/>
      <c r="D54" s="58"/>
      <c r="E54" s="58"/>
      <c r="F54" s="58"/>
      <c r="G54" s="58"/>
      <c r="H54" s="58"/>
      <c r="I54" s="58"/>
      <c r="J54" s="58"/>
      <c r="K54" s="58"/>
    </row>
    <row r="55" spans="1:11">
      <c r="A55" s="58" t="s">
        <v>1</v>
      </c>
      <c r="B55" s="58"/>
      <c r="C55" s="58"/>
      <c r="D55" s="58"/>
      <c r="E55" s="58"/>
      <c r="F55" s="58"/>
      <c r="G55" s="58"/>
      <c r="H55" s="58"/>
      <c r="I55" s="58"/>
      <c r="J55" s="58"/>
      <c r="K55" s="58"/>
    </row>
    <row r="56" spans="1:11">
      <c r="A56" s="58" t="s">
        <v>39</v>
      </c>
      <c r="B56" s="58"/>
      <c r="C56" s="58"/>
      <c r="D56" s="58"/>
      <c r="E56" s="58"/>
      <c r="F56" s="58"/>
      <c r="G56" s="58"/>
      <c r="H56" s="58"/>
      <c r="I56" s="58"/>
      <c r="J56" s="58"/>
      <c r="K56" s="58"/>
    </row>
    <row r="57" spans="1:11">
      <c r="A57" s="58" t="s">
        <v>2</v>
      </c>
      <c r="B57" s="58"/>
      <c r="C57" s="58"/>
      <c r="D57" s="58"/>
      <c r="E57" s="58"/>
      <c r="F57" s="58"/>
      <c r="G57" s="58"/>
      <c r="H57" s="58"/>
      <c r="I57" s="58"/>
      <c r="J57" s="58"/>
      <c r="K57" s="58"/>
    </row>
    <row r="58" spans="1:11">
      <c r="A58" s="6"/>
      <c r="B58" s="6"/>
      <c r="C58" s="7"/>
      <c r="D58" s="7"/>
      <c r="E58" s="7"/>
      <c r="F58" s="7"/>
      <c r="G58" s="8"/>
      <c r="H58" s="9"/>
      <c r="I58" s="9"/>
      <c r="J58" s="9"/>
      <c r="K58" s="9"/>
    </row>
    <row r="59" spans="1:11">
      <c r="A59" s="53" t="s">
        <v>3</v>
      </c>
      <c r="B59" s="10"/>
      <c r="C59" s="10"/>
      <c r="D59" s="54" t="s">
        <v>4</v>
      </c>
      <c r="E59" s="10" t="s">
        <v>5</v>
      </c>
      <c r="F59" s="11"/>
      <c r="G59" s="10"/>
      <c r="H59" s="12"/>
      <c r="I59" s="12"/>
      <c r="J59" s="12"/>
      <c r="K59" s="9"/>
    </row>
    <row r="60" spans="1:11">
      <c r="A60" s="53" t="s">
        <v>6</v>
      </c>
      <c r="B60" s="10"/>
      <c r="C60" s="10"/>
      <c r="D60" s="54" t="s">
        <v>4</v>
      </c>
      <c r="E60" s="10" t="s">
        <v>7</v>
      </c>
      <c r="F60" s="11"/>
      <c r="G60" s="10"/>
      <c r="H60" s="12"/>
      <c r="I60" s="12"/>
      <c r="J60" s="12"/>
      <c r="K60" s="9"/>
    </row>
    <row r="61" spans="1:11">
      <c r="A61" s="53" t="s">
        <v>8</v>
      </c>
      <c r="B61" s="10"/>
      <c r="C61" s="10"/>
      <c r="D61" s="54" t="s">
        <v>4</v>
      </c>
      <c r="E61" s="13">
        <v>2026</v>
      </c>
      <c r="F61" s="11"/>
      <c r="G61" s="13"/>
      <c r="H61" s="12"/>
      <c r="I61" s="12"/>
      <c r="J61" s="12"/>
      <c r="K61" s="9"/>
    </row>
    <row r="62" spans="1:11">
      <c r="A62" s="53" t="s">
        <v>9</v>
      </c>
      <c r="B62" s="10"/>
      <c r="C62" s="10"/>
      <c r="D62" s="54" t="s">
        <v>4</v>
      </c>
      <c r="E62" s="14">
        <f>J72</f>
        <v>35000</v>
      </c>
      <c r="F62" s="11"/>
      <c r="G62" s="14"/>
      <c r="H62" s="12"/>
      <c r="I62" s="12"/>
      <c r="J62" s="12"/>
      <c r="K62" s="9"/>
    </row>
    <row r="63" spans="1:11" ht="15.75">
      <c r="A63" s="10"/>
      <c r="B63" s="10"/>
      <c r="C63" s="15" t="s">
        <v>10</v>
      </c>
      <c r="D63" s="54" t="s">
        <v>4</v>
      </c>
      <c r="E63" s="16" t="str">
        <f>PROPER(IF(E62=0,"nol",IF(E62&lt;0,"minus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62),"000000000000000"),1,3)=0,"",MID(TEXT(ABS(E62),"000000000000000"),1,1)&amp;" ratus "&amp;MID(TEXT(ABS(E62),"000000000000000"),2,1)&amp;" puluh "&amp;MID(TEXT(ABS(E62),"000000000000000"),3,1)&amp;" trilyun ")&amp;IF(--MID(TEXT(ABS(E62),"000000000000000"),4,3)=0,"",MID(TEXT(ABS(E62),"000000000000000"),4,1)&amp;" ratus "&amp;MID(TEXT(ABS(E62),"000000000000000"),5,1)&amp;" puluh "&amp;MID(TEXT(ABS(E62),"000000000000000"),6,1)&amp;" milyar ")&amp;IF(--MID(TEXT(ABS(E62),"000000000000000"),7,3)=0,"",MID(TEXT(ABS(E62),"000000000000000"),7,1)&amp;" ratus "&amp;MID(TEXT(ABS(E62),"000000000000000"),8,1)&amp;" puluh "&amp;MID(TEXT(ABS(E62),"000000000000000"),9,1)&amp;" juta ")&amp;IF(--MID(TEXT(ABS(E62),"000000000000000"),10,3)=0,"",IF(--MID(TEXT(ABS(E62),"000000000000000"),10,3)=1,"*",MID(TEXT(ABS(E62),"000000000000000"),10,1)&amp;" ratus "&amp;MID(TEXT(ABS(E62),"000000000000000"),11,1)&amp;" puluh ")&amp;MID(TEXT(ABS(E62),"000000000000000"),12,1)&amp;" ribu ")&amp;IF(--MID(TEXT(ABS(E62),"000000000000000"),13,3)=0,"",MID(TEXT(ABS(E62),"000000000000000"),13,1)&amp;" ratus "&amp;MID(TEXT(ABS(E62),"000000000000000"),14,1)&amp;" puluh "&amp;MID(TEXT(ABS(E62),"000000000000000"),15,1)),1,"satu"),2,"dua"),3,"tiga"),4,"empat"),5,"lima"),6,"enam"),7,"tujuh"),8,"delapan"),9,"sembilan"),"0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Tiga Puluh Lima Ribu Rupiah</v>
      </c>
      <c r="F63" s="11"/>
      <c r="G63" s="16"/>
      <c r="H63" s="12"/>
      <c r="I63" s="12"/>
      <c r="J63" s="12"/>
      <c r="K63" s="9"/>
    </row>
    <row r="64" spans="1:11" ht="15.75">
      <c r="A64" s="10"/>
      <c r="B64" s="10"/>
      <c r="C64" s="15"/>
      <c r="D64" s="15"/>
      <c r="E64" s="15"/>
      <c r="F64" s="11"/>
      <c r="G64" s="16"/>
      <c r="H64" s="12"/>
      <c r="I64" s="12"/>
      <c r="J64" s="12"/>
      <c r="K64" s="9"/>
    </row>
    <row r="65" spans="1:11">
      <c r="A65" s="10" t="s">
        <v>11</v>
      </c>
      <c r="B65" s="10"/>
      <c r="C65" s="10"/>
      <c r="D65" s="10"/>
      <c r="E65" s="10"/>
      <c r="F65" s="10"/>
      <c r="G65" s="10"/>
      <c r="H65" s="12"/>
      <c r="I65" s="12"/>
      <c r="J65" s="12"/>
      <c r="K65" s="9"/>
    </row>
    <row r="66" spans="1:11">
      <c r="A66" s="59" t="s">
        <v>12</v>
      </c>
      <c r="B66" s="59"/>
      <c r="C66" s="59"/>
      <c r="D66" s="59"/>
      <c r="E66" s="59"/>
      <c r="F66" s="59"/>
      <c r="G66" s="59"/>
      <c r="H66" s="59"/>
      <c r="I66" s="59"/>
      <c r="J66" s="59"/>
      <c r="K66" s="59"/>
    </row>
    <row r="67" spans="1:11" ht="60">
      <c r="A67" s="17" t="s">
        <v>13</v>
      </c>
      <c r="B67" s="18" t="s">
        <v>14</v>
      </c>
      <c r="C67" s="60" t="s">
        <v>15</v>
      </c>
      <c r="D67" s="61"/>
      <c r="E67" s="62"/>
      <c r="F67" s="19"/>
      <c r="G67" s="20" t="s">
        <v>16</v>
      </c>
      <c r="H67" s="21" t="s">
        <v>37</v>
      </c>
      <c r="I67" s="21"/>
      <c r="J67" s="31" t="s">
        <v>17</v>
      </c>
      <c r="K67" s="32" t="s">
        <v>18</v>
      </c>
    </row>
    <row r="68" spans="1:11">
      <c r="A68" s="27">
        <v>1</v>
      </c>
      <c r="B68" s="24"/>
      <c r="C68" s="28" t="s">
        <v>23</v>
      </c>
      <c r="D68" s="57"/>
      <c r="E68" s="26"/>
      <c r="F68" s="25"/>
      <c r="G68" s="55" t="s">
        <v>19</v>
      </c>
      <c r="H68" s="55" t="s">
        <v>19</v>
      </c>
      <c r="I68" s="55"/>
      <c r="J68" s="55" t="s">
        <v>19</v>
      </c>
      <c r="K68" s="55" t="s">
        <v>19</v>
      </c>
    </row>
    <row r="69" spans="1:11">
      <c r="A69" s="24"/>
      <c r="B69" s="56" t="s">
        <v>20</v>
      </c>
      <c r="C69" s="25" t="s">
        <v>24</v>
      </c>
      <c r="D69" s="10"/>
      <c r="E69" s="26"/>
      <c r="F69" s="25"/>
      <c r="G69" s="22">
        <v>75000000</v>
      </c>
      <c r="H69" s="23">
        <f>H24+J24</f>
        <v>25221344</v>
      </c>
      <c r="I69" s="23"/>
      <c r="J69" s="33">
        <v>35000</v>
      </c>
      <c r="K69" s="34">
        <f>G69-H69-J69</f>
        <v>49743656</v>
      </c>
    </row>
    <row r="70" spans="1:11">
      <c r="A70" s="24"/>
      <c r="B70" s="56" t="s">
        <v>21</v>
      </c>
      <c r="C70" s="25" t="s">
        <v>25</v>
      </c>
      <c r="D70" s="10"/>
      <c r="E70" s="26"/>
      <c r="F70" s="25"/>
      <c r="G70" s="22">
        <v>30000000</v>
      </c>
      <c r="H70" s="23">
        <f t="shared" ref="H70:H71" si="1">H25+J25</f>
        <v>7011784</v>
      </c>
      <c r="I70" s="23"/>
      <c r="J70" s="33">
        <v>0</v>
      </c>
      <c r="K70" s="34">
        <f t="shared" ref="K70:K71" si="2">G70-H70-J70</f>
        <v>22988216</v>
      </c>
    </row>
    <row r="71" spans="1:11">
      <c r="A71" s="24"/>
      <c r="B71" s="56" t="s">
        <v>22</v>
      </c>
      <c r="C71" s="25" t="s">
        <v>26</v>
      </c>
      <c r="D71" s="10"/>
      <c r="E71" s="26"/>
      <c r="F71" s="25"/>
      <c r="G71" s="22">
        <v>50000000</v>
      </c>
      <c r="H71" s="23">
        <f t="shared" si="1"/>
        <v>3500000</v>
      </c>
      <c r="I71" s="23"/>
      <c r="J71" s="33">
        <v>0</v>
      </c>
      <c r="K71" s="34">
        <f t="shared" si="2"/>
        <v>46500000</v>
      </c>
    </row>
    <row r="72" spans="1:11">
      <c r="A72" s="35"/>
      <c r="B72" s="35"/>
      <c r="C72" s="35" t="s">
        <v>27</v>
      </c>
      <c r="D72" s="35"/>
      <c r="E72" s="35"/>
      <c r="F72" s="36"/>
      <c r="G72" s="37">
        <f>SUM(G68:G71)</f>
        <v>155000000</v>
      </c>
      <c r="H72" s="38">
        <f>SUM(H68:H71)</f>
        <v>35733128</v>
      </c>
      <c r="I72" s="38"/>
      <c r="J72" s="38">
        <f>SUM(J68:J71)</f>
        <v>35000</v>
      </c>
      <c r="K72" s="38">
        <f>SUM(K68:K71)</f>
        <v>119231872</v>
      </c>
    </row>
    <row r="73" spans="1:11">
      <c r="A73" s="39"/>
      <c r="B73" s="8"/>
      <c r="C73" s="8"/>
      <c r="D73" s="8"/>
      <c r="E73" s="8"/>
      <c r="F73" s="8"/>
      <c r="G73" s="40"/>
      <c r="H73" s="40"/>
      <c r="I73" s="40"/>
      <c r="J73" s="40"/>
      <c r="K73" s="40"/>
    </row>
    <row r="74" spans="1:11">
      <c r="A74" s="63" t="s">
        <v>28</v>
      </c>
      <c r="B74" s="63"/>
      <c r="C74" s="63"/>
      <c r="D74" s="11" t="s">
        <v>4</v>
      </c>
      <c r="E74" s="14">
        <f>J72</f>
        <v>35000</v>
      </c>
      <c r="F74" s="41"/>
      <c r="G74" s="42"/>
      <c r="H74" s="42"/>
      <c r="I74" s="42"/>
      <c r="J74" s="9"/>
      <c r="K74" s="9"/>
    </row>
    <row r="75" spans="1:11">
      <c r="A75" s="10" t="s">
        <v>29</v>
      </c>
      <c r="B75" s="10"/>
      <c r="C75" s="10"/>
      <c r="D75" s="11" t="s">
        <v>4</v>
      </c>
      <c r="E75" s="43"/>
      <c r="F75" s="43"/>
      <c r="G75" s="44"/>
      <c r="H75" s="12"/>
      <c r="I75" s="12"/>
      <c r="J75" s="9"/>
      <c r="K75" s="9"/>
    </row>
    <row r="76" spans="1:11">
      <c r="A76" s="10" t="s">
        <v>30</v>
      </c>
      <c r="B76" s="10"/>
      <c r="C76" s="10"/>
      <c r="D76" s="11" t="s">
        <v>4</v>
      </c>
      <c r="E76" s="45"/>
      <c r="F76" s="45"/>
      <c r="G76" s="44"/>
      <c r="H76" s="12"/>
      <c r="I76" s="12"/>
      <c r="J76" s="9"/>
      <c r="K76" s="9"/>
    </row>
    <row r="77" spans="1:11">
      <c r="A77" s="10" t="s">
        <v>31</v>
      </c>
      <c r="B77" s="10"/>
      <c r="C77" s="10"/>
      <c r="D77" s="11" t="s">
        <v>4</v>
      </c>
      <c r="E77" s="45">
        <f>E75+E76</f>
        <v>0</v>
      </c>
      <c r="F77" s="45"/>
      <c r="G77" s="10"/>
      <c r="H77" s="12"/>
      <c r="I77" s="12"/>
      <c r="J77" s="47"/>
      <c r="K77" s="47"/>
    </row>
    <row r="78" spans="1:11">
      <c r="A78" s="13"/>
      <c r="B78" s="13"/>
      <c r="C78" s="13"/>
      <c r="D78" s="11"/>
      <c r="E78" s="13"/>
      <c r="F78" s="13"/>
      <c r="G78" s="10"/>
      <c r="H78" s="12"/>
      <c r="I78" s="12"/>
      <c r="J78" s="47"/>
      <c r="K78" s="47"/>
    </row>
    <row r="79" spans="1:11">
      <c r="A79" s="63" t="s">
        <v>32</v>
      </c>
      <c r="B79" s="63"/>
      <c r="C79" s="63"/>
      <c r="D79" s="11" t="s">
        <v>4</v>
      </c>
      <c r="E79" s="41">
        <f>E74-E77</f>
        <v>35000</v>
      </c>
      <c r="F79" s="41"/>
      <c r="G79" s="10"/>
      <c r="H79" s="12"/>
      <c r="I79" s="12"/>
      <c r="J79" s="47"/>
      <c r="K79" s="47"/>
    </row>
    <row r="80" spans="1:11" ht="15.75">
      <c r="A80" s="13"/>
      <c r="B80" s="13"/>
      <c r="C80" s="10"/>
      <c r="D80" s="10"/>
      <c r="E80" s="16" t="str">
        <f>PROPER(IF(E79=0,"nol",IF(E79&lt;0,"minus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79),"000000000000000"),1,3)=0,"",MID(TEXT(ABS(E79),"000000000000000"),1,1)&amp;" ratus "&amp;MID(TEXT(ABS(E79),"000000000000000"),2,1)&amp;" puluh "&amp;MID(TEXT(ABS(E79),"000000000000000"),3,1)&amp;" trilyun ")&amp;IF(--MID(TEXT(ABS(E79),"000000000000000"),4,3)=0,"",MID(TEXT(ABS(E79),"000000000000000"),4,1)&amp;" ratus "&amp;MID(TEXT(ABS(E79),"000000000000000"),5,1)&amp;" puluh "&amp;MID(TEXT(ABS(E79),"000000000000000"),6,1)&amp;" milyar ")&amp;IF(--MID(TEXT(ABS(E79),"000000000000000"),7,3)=0,"",MID(TEXT(ABS(E79),"000000000000000"),7,1)&amp;" ratus "&amp;MID(TEXT(ABS(E79),"000000000000000"),8,1)&amp;" puluh "&amp;MID(TEXT(ABS(E79),"000000000000000"),9,1)&amp;" juta ")&amp;IF(--MID(TEXT(ABS(E79),"000000000000000"),10,3)=0,"",IF(--MID(TEXT(ABS(E79),"000000000000000"),10,3)=1,"*",MID(TEXT(ABS(E79),"000000000000000"),10,1)&amp;" ratus "&amp;MID(TEXT(ABS(E79),"000000000000000"),11,1)&amp;" puluh ")&amp;MID(TEXT(ABS(E79),"000000000000000"),12,1)&amp;" ribu ")&amp;IF(--MID(TEXT(ABS(E79),"000000000000000"),13,3)=0,"",MID(TEXT(ABS(E79),"000000000000000"),13,1)&amp;" ratus "&amp;MID(TEXT(ABS(E79),"000000000000000"),14,1)&amp;" puluh "&amp;MID(TEXT(ABS(E79),"000000000000000"),15,1)),1,"satu"),2,"dua"),3,"tiga"),4,"empat"),5,"lima"),6,"enam"),7,"tujuh"),8,"delapan"),9,"sembilan"),"0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Tiga Puluh Lima Ribu Rupiah</v>
      </c>
      <c r="F80" s="10"/>
      <c r="G80" s="10"/>
      <c r="H80" s="10"/>
      <c r="I80" s="10"/>
      <c r="J80" s="47"/>
      <c r="K80" s="47"/>
    </row>
    <row r="81" spans="1:11">
      <c r="A81" s="46"/>
      <c r="B81" s="46"/>
      <c r="C81" s="46"/>
      <c r="D81" s="46"/>
      <c r="E81" s="46"/>
      <c r="F81" s="46"/>
      <c r="G81" s="29"/>
      <c r="H81" s="47"/>
      <c r="I81" s="47"/>
      <c r="J81" s="47"/>
      <c r="K81" s="47"/>
    </row>
    <row r="82" spans="1:11">
      <c r="A82" s="29"/>
      <c r="B82" s="29"/>
      <c r="C82" s="29"/>
      <c r="D82" s="29"/>
      <c r="E82" s="29"/>
      <c r="F82" s="29"/>
      <c r="G82" s="29"/>
      <c r="H82"/>
      <c r="I82"/>
      <c r="J82" s="47"/>
      <c r="K82" s="47"/>
    </row>
    <row r="83" spans="1:11">
      <c r="A83" s="13"/>
      <c r="B83" s="13"/>
      <c r="C83" s="10"/>
      <c r="D83" s="10"/>
      <c r="E83" s="10"/>
      <c r="F83" s="10"/>
      <c r="G83" s="10"/>
      <c r="I83" s="48"/>
      <c r="J83" s="48" t="s">
        <v>95</v>
      </c>
      <c r="K83" s="47"/>
    </row>
    <row r="84" spans="1:11">
      <c r="A84" s="12" t="s">
        <v>33</v>
      </c>
      <c r="B84" s="10"/>
      <c r="C84" s="10"/>
      <c r="D84" s="10"/>
      <c r="E84" s="10"/>
      <c r="F84" s="10"/>
      <c r="G84" s="10"/>
      <c r="I84" s="12"/>
      <c r="J84" s="12" t="s">
        <v>34</v>
      </c>
      <c r="K84" s="47"/>
    </row>
    <row r="85" spans="1:11">
      <c r="A85" s="10"/>
      <c r="B85" s="10"/>
      <c r="C85" s="10"/>
      <c r="D85" s="10"/>
      <c r="E85" s="10"/>
      <c r="F85" s="10"/>
      <c r="G85" s="10"/>
      <c r="I85" s="12"/>
      <c r="J85" s="12"/>
      <c r="K85" s="47"/>
    </row>
    <row r="86" spans="1:11">
      <c r="A86" s="10"/>
      <c r="B86" s="10"/>
      <c r="C86" s="10"/>
      <c r="D86" s="10"/>
      <c r="E86" s="10"/>
      <c r="F86" s="10"/>
      <c r="G86" s="10"/>
      <c r="I86" s="12"/>
      <c r="J86" s="12"/>
      <c r="K86" s="47"/>
    </row>
    <row r="87" spans="1:11">
      <c r="A87" s="10"/>
      <c r="B87" s="10"/>
      <c r="C87" s="10"/>
      <c r="D87" s="10"/>
      <c r="E87" s="10"/>
      <c r="F87" s="10"/>
      <c r="G87" s="10"/>
      <c r="I87" s="12"/>
      <c r="J87" s="12"/>
      <c r="K87" s="47"/>
    </row>
    <row r="88" spans="1:11">
      <c r="A88" s="10"/>
      <c r="B88" s="10"/>
      <c r="C88" s="10"/>
      <c r="D88" s="10"/>
      <c r="E88" s="10"/>
      <c r="F88" s="10"/>
      <c r="G88" s="10"/>
      <c r="I88" s="12"/>
      <c r="J88" s="12"/>
      <c r="K88" s="47"/>
    </row>
    <row r="89" spans="1:11">
      <c r="A89" s="49" t="s">
        <v>38</v>
      </c>
      <c r="B89" s="49"/>
      <c r="C89" s="50"/>
      <c r="D89" s="50"/>
      <c r="E89" s="50"/>
      <c r="F89" s="50"/>
      <c r="G89" s="10" t="s">
        <v>35</v>
      </c>
      <c r="I89" s="49"/>
      <c r="J89" s="49" t="s">
        <v>36</v>
      </c>
      <c r="K89" s="47"/>
    </row>
    <row r="94" spans="1:11" ht="15.75">
      <c r="C94" s="2"/>
      <c r="D94" s="2"/>
      <c r="E94" s="2"/>
      <c r="F94" s="2"/>
    </row>
    <row r="95" spans="1:11" ht="15.75">
      <c r="A95" s="3"/>
      <c r="B95" s="3"/>
      <c r="C95" s="2"/>
      <c r="D95" s="2"/>
      <c r="E95" s="2"/>
      <c r="F95" s="2"/>
      <c r="G95" s="3"/>
      <c r="H95" s="4"/>
      <c r="I95" s="4"/>
      <c r="J95" s="4"/>
      <c r="K95" s="5"/>
    </row>
    <row r="96" spans="1:11">
      <c r="H96" s="5"/>
      <c r="I96" s="5"/>
      <c r="J96" s="5"/>
      <c r="K96" s="5"/>
    </row>
    <row r="97" spans="1:11">
      <c r="H97" s="5"/>
      <c r="I97" s="5"/>
      <c r="J97" s="5"/>
      <c r="K97" s="5"/>
    </row>
    <row r="98" spans="1:11">
      <c r="A98" s="64" t="s">
        <v>0</v>
      </c>
      <c r="B98" s="64"/>
      <c r="C98" s="58"/>
      <c r="D98" s="58"/>
      <c r="E98" s="58"/>
      <c r="F98" s="58"/>
      <c r="G98" s="58"/>
      <c r="H98" s="58"/>
      <c r="I98" s="58"/>
      <c r="J98" s="58"/>
      <c r="K98" s="58"/>
    </row>
    <row r="99" spans="1:11">
      <c r="A99" s="58" t="s">
        <v>96</v>
      </c>
      <c r="B99" s="58"/>
      <c r="C99" s="58"/>
      <c r="D99" s="58"/>
      <c r="E99" s="58"/>
      <c r="F99" s="58"/>
      <c r="G99" s="58"/>
      <c r="H99" s="58"/>
      <c r="I99" s="58"/>
      <c r="J99" s="58"/>
      <c r="K99" s="58"/>
    </row>
    <row r="100" spans="1:11">
      <c r="A100" s="58" t="s">
        <v>1</v>
      </c>
      <c r="B100" s="58"/>
      <c r="C100" s="58"/>
      <c r="D100" s="58"/>
      <c r="E100" s="58"/>
      <c r="F100" s="58"/>
      <c r="G100" s="58"/>
      <c r="H100" s="58"/>
      <c r="I100" s="58"/>
      <c r="J100" s="58"/>
      <c r="K100" s="58"/>
    </row>
    <row r="101" spans="1:11">
      <c r="A101" s="58" t="s">
        <v>39</v>
      </c>
      <c r="B101" s="58"/>
      <c r="C101" s="58"/>
      <c r="D101" s="58"/>
      <c r="E101" s="58"/>
      <c r="F101" s="58"/>
      <c r="G101" s="58"/>
      <c r="H101" s="58"/>
      <c r="I101" s="58"/>
      <c r="J101" s="58"/>
      <c r="K101" s="58"/>
    </row>
    <row r="102" spans="1:11">
      <c r="A102" s="58" t="s">
        <v>2</v>
      </c>
      <c r="B102" s="58"/>
      <c r="C102" s="58"/>
      <c r="D102" s="58"/>
      <c r="E102" s="58"/>
      <c r="F102" s="58"/>
      <c r="G102" s="58"/>
      <c r="H102" s="58"/>
      <c r="I102" s="58"/>
      <c r="J102" s="58"/>
      <c r="K102" s="58"/>
    </row>
    <row r="103" spans="1:11">
      <c r="A103" s="6"/>
      <c r="B103" s="6"/>
      <c r="C103" s="7"/>
      <c r="D103" s="7"/>
      <c r="E103" s="7"/>
      <c r="F103" s="7"/>
      <c r="G103" s="8"/>
      <c r="H103" s="9"/>
      <c r="I103" s="9"/>
      <c r="J103" s="9"/>
      <c r="K103" s="9"/>
    </row>
    <row r="104" spans="1:11">
      <c r="A104" s="53" t="s">
        <v>3</v>
      </c>
      <c r="B104" s="10"/>
      <c r="C104" s="10"/>
      <c r="D104" s="54" t="s">
        <v>4</v>
      </c>
      <c r="E104" s="10" t="s">
        <v>5</v>
      </c>
      <c r="F104" s="11"/>
      <c r="G104" s="10"/>
      <c r="H104" s="12"/>
      <c r="I104" s="12"/>
      <c r="J104" s="12"/>
      <c r="K104" s="9"/>
    </row>
    <row r="105" spans="1:11">
      <c r="A105" s="53" t="s">
        <v>6</v>
      </c>
      <c r="B105" s="10"/>
      <c r="C105" s="10"/>
      <c r="D105" s="54" t="s">
        <v>4</v>
      </c>
      <c r="E105" s="10" t="s">
        <v>7</v>
      </c>
      <c r="F105" s="11"/>
      <c r="G105" s="10"/>
      <c r="H105" s="12"/>
      <c r="I105" s="12"/>
      <c r="J105" s="12"/>
      <c r="K105" s="9"/>
    </row>
    <row r="106" spans="1:11">
      <c r="A106" s="53" t="s">
        <v>8</v>
      </c>
      <c r="B106" s="10"/>
      <c r="C106" s="10"/>
      <c r="D106" s="54" t="s">
        <v>4</v>
      </c>
      <c r="E106" s="13">
        <v>2026</v>
      </c>
      <c r="F106" s="11"/>
      <c r="G106" s="13"/>
      <c r="H106" s="12"/>
      <c r="I106" s="12"/>
      <c r="J106" s="12"/>
      <c r="K106" s="9"/>
    </row>
    <row r="107" spans="1:11">
      <c r="A107" s="53" t="s">
        <v>9</v>
      </c>
      <c r="B107" s="10"/>
      <c r="C107" s="10"/>
      <c r="D107" s="54" t="s">
        <v>4</v>
      </c>
      <c r="E107" s="14">
        <f>J117</f>
        <v>907990</v>
      </c>
      <c r="F107" s="11"/>
      <c r="G107" s="14"/>
      <c r="H107" s="12"/>
      <c r="I107" s="12"/>
      <c r="J107" s="12"/>
      <c r="K107" s="9"/>
    </row>
    <row r="108" spans="1:11" ht="15.75">
      <c r="A108" s="10"/>
      <c r="B108" s="10"/>
      <c r="C108" s="15" t="s">
        <v>10</v>
      </c>
      <c r="D108" s="54" t="s">
        <v>4</v>
      </c>
      <c r="E108" s="16" t="str">
        <f>PROPER(IF(E107=0,"nol",IF(E107&lt;0,"minus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107),"000000000000000"),1,3)=0,"",MID(TEXT(ABS(E107),"000000000000000"),1,1)&amp;" ratus "&amp;MID(TEXT(ABS(E107),"000000000000000"),2,1)&amp;" puluh "&amp;MID(TEXT(ABS(E107),"000000000000000"),3,1)&amp;" trilyun ")&amp;IF(--MID(TEXT(ABS(E107),"000000000000000"),4,3)=0,"",MID(TEXT(ABS(E107),"000000000000000"),4,1)&amp;" ratus "&amp;MID(TEXT(ABS(E107),"000000000000000"),5,1)&amp;" puluh "&amp;MID(TEXT(ABS(E107),"000000000000000"),6,1)&amp;" milyar ")&amp;IF(--MID(TEXT(ABS(E107),"000000000000000"),7,3)=0,"",MID(TEXT(ABS(E107),"000000000000000"),7,1)&amp;" ratus "&amp;MID(TEXT(ABS(E107),"000000000000000"),8,1)&amp;" puluh "&amp;MID(TEXT(ABS(E107),"000000000000000"),9,1)&amp;" juta ")&amp;IF(--MID(TEXT(ABS(E107),"000000000000000"),10,3)=0,"",IF(--MID(TEXT(ABS(E107),"000000000000000"),10,3)=1,"*",MID(TEXT(ABS(E107),"000000000000000"),10,1)&amp;" ratus "&amp;MID(TEXT(ABS(E107),"000000000000000"),11,1)&amp;" puluh ")&amp;MID(TEXT(ABS(E107),"000000000000000"),12,1)&amp;" ribu ")&amp;IF(--MID(TEXT(ABS(E107),"000000000000000"),13,3)=0,"",MID(TEXT(ABS(E107),"000000000000000"),13,1)&amp;" ratus "&amp;MID(TEXT(ABS(E107),"000000000000000"),14,1)&amp;" puluh "&amp;MID(TEXT(ABS(E107),"000000000000000"),15,1)),1,"satu"),2,"dua"),3,"tiga"),4,"empat"),5,"lima"),6,"enam"),7,"tujuh"),8,"delapan"),9,"sembilan"),"0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Sembilan Ratus Tujuh Ribu Sembilan Ratus Sembilan Puluh Rupiah</v>
      </c>
      <c r="F108" s="11"/>
      <c r="G108" s="16"/>
      <c r="H108" s="12"/>
      <c r="I108" s="12"/>
      <c r="J108" s="12"/>
      <c r="K108" s="9"/>
    </row>
    <row r="109" spans="1:11" ht="15.75">
      <c r="A109" s="10"/>
      <c r="B109" s="10"/>
      <c r="C109" s="15"/>
      <c r="D109" s="15"/>
      <c r="E109" s="15"/>
      <c r="F109" s="11"/>
      <c r="G109" s="16"/>
      <c r="H109" s="12"/>
      <c r="I109" s="12"/>
      <c r="J109" s="12"/>
      <c r="K109" s="9"/>
    </row>
    <row r="110" spans="1:11">
      <c r="A110" s="10" t="s">
        <v>11</v>
      </c>
      <c r="B110" s="10"/>
      <c r="C110" s="10"/>
      <c r="D110" s="10"/>
      <c r="E110" s="10"/>
      <c r="F110" s="10"/>
      <c r="G110" s="10"/>
      <c r="H110" s="12"/>
      <c r="I110" s="12"/>
      <c r="J110" s="12"/>
      <c r="K110" s="9"/>
    </row>
    <row r="111" spans="1:11">
      <c r="A111" s="59" t="s">
        <v>12</v>
      </c>
      <c r="B111" s="59"/>
      <c r="C111" s="59"/>
      <c r="D111" s="59"/>
      <c r="E111" s="59"/>
      <c r="F111" s="59"/>
      <c r="G111" s="59"/>
      <c r="H111" s="59"/>
      <c r="I111" s="59"/>
      <c r="J111" s="59"/>
      <c r="K111" s="59"/>
    </row>
    <row r="112" spans="1:11" ht="60">
      <c r="A112" s="17" t="s">
        <v>13</v>
      </c>
      <c r="B112" s="18" t="s">
        <v>14</v>
      </c>
      <c r="C112" s="60" t="s">
        <v>15</v>
      </c>
      <c r="D112" s="61"/>
      <c r="E112" s="62"/>
      <c r="F112" s="19"/>
      <c r="G112" s="20" t="s">
        <v>16</v>
      </c>
      <c r="H112" s="21" t="s">
        <v>37</v>
      </c>
      <c r="I112" s="21"/>
      <c r="J112" s="31" t="s">
        <v>17</v>
      </c>
      <c r="K112" s="32" t="s">
        <v>18</v>
      </c>
    </row>
    <row r="113" spans="1:11">
      <c r="A113" s="27">
        <v>1</v>
      </c>
      <c r="B113" s="24"/>
      <c r="C113" s="28" t="s">
        <v>23</v>
      </c>
      <c r="D113" s="57"/>
      <c r="E113" s="26"/>
      <c r="F113" s="25"/>
      <c r="G113" s="55" t="s">
        <v>19</v>
      </c>
      <c r="H113" s="55" t="s">
        <v>19</v>
      </c>
      <c r="I113" s="55"/>
      <c r="J113" s="55" t="s">
        <v>19</v>
      </c>
      <c r="K113" s="55" t="s">
        <v>19</v>
      </c>
    </row>
    <row r="114" spans="1:11">
      <c r="A114" s="24"/>
      <c r="B114" s="56" t="s">
        <v>20</v>
      </c>
      <c r="C114" s="25" t="s">
        <v>24</v>
      </c>
      <c r="D114" s="10"/>
      <c r="E114" s="26"/>
      <c r="F114" s="25"/>
      <c r="G114" s="22">
        <v>75000000</v>
      </c>
      <c r="H114" s="23">
        <f>H69+J69</f>
        <v>25256344</v>
      </c>
      <c r="I114" s="23"/>
      <c r="J114" s="33">
        <v>0</v>
      </c>
      <c r="K114" s="34">
        <f>G114-H114-J114</f>
        <v>49743656</v>
      </c>
    </row>
    <row r="115" spans="1:11">
      <c r="A115" s="24"/>
      <c r="B115" s="56" t="s">
        <v>21</v>
      </c>
      <c r="C115" s="25" t="s">
        <v>25</v>
      </c>
      <c r="D115" s="10"/>
      <c r="E115" s="26"/>
      <c r="F115" s="25"/>
      <c r="G115" s="22">
        <v>30000000</v>
      </c>
      <c r="H115" s="23">
        <f t="shared" ref="H115:H116" si="3">H70+J70</f>
        <v>7011784</v>
      </c>
      <c r="I115" s="23"/>
      <c r="J115" s="33">
        <v>907990</v>
      </c>
      <c r="K115" s="34">
        <f t="shared" ref="K115:K116" si="4">G115-H115-J115</f>
        <v>22080226</v>
      </c>
    </row>
    <row r="116" spans="1:11">
      <c r="A116" s="24"/>
      <c r="B116" s="56" t="s">
        <v>22</v>
      </c>
      <c r="C116" s="25" t="s">
        <v>26</v>
      </c>
      <c r="D116" s="10"/>
      <c r="E116" s="26"/>
      <c r="F116" s="25"/>
      <c r="G116" s="22">
        <v>50000000</v>
      </c>
      <c r="H116" s="23">
        <f t="shared" si="3"/>
        <v>3500000</v>
      </c>
      <c r="I116" s="23"/>
      <c r="J116" s="33">
        <v>0</v>
      </c>
      <c r="K116" s="34">
        <f t="shared" si="4"/>
        <v>46500000</v>
      </c>
    </row>
    <row r="117" spans="1:11">
      <c r="A117" s="35"/>
      <c r="B117" s="35"/>
      <c r="C117" s="35" t="s">
        <v>27</v>
      </c>
      <c r="D117" s="35"/>
      <c r="E117" s="35"/>
      <c r="F117" s="36"/>
      <c r="G117" s="37">
        <f>SUM(G113:G116)</f>
        <v>155000000</v>
      </c>
      <c r="H117" s="38">
        <f>SUM(H113:H116)</f>
        <v>35768128</v>
      </c>
      <c r="I117" s="38"/>
      <c r="J117" s="38">
        <f>SUM(J113:J116)</f>
        <v>907990</v>
      </c>
      <c r="K117" s="38">
        <f>SUM(K113:K116)</f>
        <v>118323882</v>
      </c>
    </row>
    <row r="118" spans="1:11">
      <c r="A118" s="39"/>
      <c r="B118" s="8"/>
      <c r="C118" s="8"/>
      <c r="D118" s="8"/>
      <c r="E118" s="8"/>
      <c r="F118" s="8"/>
      <c r="G118" s="40"/>
      <c r="H118" s="40"/>
      <c r="I118" s="40"/>
      <c r="J118" s="40"/>
      <c r="K118" s="40"/>
    </row>
    <row r="119" spans="1:11">
      <c r="A119" s="63" t="s">
        <v>28</v>
      </c>
      <c r="B119" s="63"/>
      <c r="C119" s="63"/>
      <c r="D119" s="11" t="s">
        <v>4</v>
      </c>
      <c r="E119" s="14">
        <f>J117</f>
        <v>907990</v>
      </c>
      <c r="F119" s="41"/>
      <c r="G119" s="42"/>
      <c r="H119" s="42"/>
      <c r="I119" s="42"/>
      <c r="J119" s="9"/>
      <c r="K119" s="9"/>
    </row>
    <row r="120" spans="1:11">
      <c r="A120" s="10" t="s">
        <v>29</v>
      </c>
      <c r="B120" s="10"/>
      <c r="C120" s="10"/>
      <c r="D120" s="11" t="s">
        <v>4</v>
      </c>
      <c r="E120" s="43"/>
      <c r="F120" s="43"/>
      <c r="G120" s="44"/>
      <c r="H120" s="12"/>
      <c r="I120" s="12"/>
      <c r="J120" s="9"/>
      <c r="K120" s="9"/>
    </row>
    <row r="121" spans="1:11">
      <c r="A121" s="10" t="s">
        <v>30</v>
      </c>
      <c r="B121" s="10"/>
      <c r="C121" s="10"/>
      <c r="D121" s="11" t="s">
        <v>4</v>
      </c>
      <c r="E121" s="45"/>
      <c r="F121" s="45"/>
      <c r="G121" s="44"/>
      <c r="H121" s="12"/>
      <c r="I121" s="12"/>
      <c r="J121" s="9"/>
      <c r="K121" s="9"/>
    </row>
    <row r="122" spans="1:11">
      <c r="A122" s="10" t="s">
        <v>31</v>
      </c>
      <c r="B122" s="10"/>
      <c r="C122" s="10"/>
      <c r="D122" s="11" t="s">
        <v>4</v>
      </c>
      <c r="E122" s="45">
        <f>E120+E121</f>
        <v>0</v>
      </c>
      <c r="F122" s="45"/>
      <c r="G122" s="10"/>
      <c r="H122" s="12"/>
      <c r="I122" s="12"/>
      <c r="J122" s="47"/>
      <c r="K122" s="47"/>
    </row>
    <row r="123" spans="1:11">
      <c r="A123" s="13"/>
      <c r="B123" s="13"/>
      <c r="C123" s="13"/>
      <c r="D123" s="11"/>
      <c r="E123" s="13"/>
      <c r="F123" s="13"/>
      <c r="G123" s="10"/>
      <c r="H123" s="12"/>
      <c r="I123" s="12"/>
      <c r="J123" s="47"/>
      <c r="K123" s="47"/>
    </row>
    <row r="124" spans="1:11">
      <c r="A124" s="63" t="s">
        <v>32</v>
      </c>
      <c r="B124" s="63"/>
      <c r="C124" s="63"/>
      <c r="D124" s="11" t="s">
        <v>4</v>
      </c>
      <c r="E124" s="41">
        <f>E119-E122</f>
        <v>907990</v>
      </c>
      <c r="F124" s="41"/>
      <c r="G124" s="10"/>
      <c r="H124" s="12"/>
      <c r="I124" s="12"/>
      <c r="J124" s="47"/>
      <c r="K124" s="47"/>
    </row>
    <row r="125" spans="1:11" ht="15.75">
      <c r="A125" s="13"/>
      <c r="B125" s="13"/>
      <c r="C125" s="10"/>
      <c r="D125" s="10"/>
      <c r="E125" s="16" t="str">
        <f>PROPER(IF(E124=0,"nol",IF(E124&lt;0,"minus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124),"000000000000000"),1,3)=0,"",MID(TEXT(ABS(E124),"000000000000000"),1,1)&amp;" ratus "&amp;MID(TEXT(ABS(E124),"000000000000000"),2,1)&amp;" puluh "&amp;MID(TEXT(ABS(E124),"000000000000000"),3,1)&amp;" trilyun ")&amp;IF(--MID(TEXT(ABS(E124),"000000000000000"),4,3)=0,"",MID(TEXT(ABS(E124),"000000000000000"),4,1)&amp;" ratus "&amp;MID(TEXT(ABS(E124),"000000000000000"),5,1)&amp;" puluh "&amp;MID(TEXT(ABS(E124),"000000000000000"),6,1)&amp;" milyar ")&amp;IF(--MID(TEXT(ABS(E124),"000000000000000"),7,3)=0,"",MID(TEXT(ABS(E124),"000000000000000"),7,1)&amp;" ratus "&amp;MID(TEXT(ABS(E124),"000000000000000"),8,1)&amp;" puluh "&amp;MID(TEXT(ABS(E124),"000000000000000"),9,1)&amp;" juta ")&amp;IF(--MID(TEXT(ABS(E124),"000000000000000"),10,3)=0,"",IF(--MID(TEXT(ABS(E124),"000000000000000"),10,3)=1,"*",MID(TEXT(ABS(E124),"000000000000000"),10,1)&amp;" ratus "&amp;MID(TEXT(ABS(E124),"000000000000000"),11,1)&amp;" puluh ")&amp;MID(TEXT(ABS(E124),"000000000000000"),12,1)&amp;" ribu ")&amp;IF(--MID(TEXT(ABS(E124),"000000000000000"),13,3)=0,"",MID(TEXT(ABS(E124),"000000000000000"),13,1)&amp;" ratus "&amp;MID(TEXT(ABS(E124),"000000000000000"),14,1)&amp;" puluh "&amp;MID(TEXT(ABS(E124),"000000000000000"),15,1)),1,"satu"),2,"dua"),3,"tiga"),4,"empat"),5,"lima"),6,"enam"),7,"tujuh"),8,"delapan"),9,"sembilan"),"0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Sembilan Ratus Tujuh Ribu Sembilan Ratus Sembilan Puluh Rupiah</v>
      </c>
      <c r="F125" s="10"/>
      <c r="G125" s="10"/>
      <c r="H125" s="10"/>
      <c r="I125" s="10"/>
      <c r="J125" s="47"/>
      <c r="K125" s="47"/>
    </row>
    <row r="126" spans="1:11">
      <c r="A126" s="46"/>
      <c r="B126" s="46"/>
      <c r="C126" s="46"/>
      <c r="D126" s="46"/>
      <c r="E126" s="46"/>
      <c r="F126" s="46"/>
      <c r="G126" s="29"/>
      <c r="H126" s="47"/>
      <c r="I126" s="47"/>
      <c r="J126" s="47"/>
      <c r="K126" s="47"/>
    </row>
    <row r="127" spans="1:11">
      <c r="A127" s="29"/>
      <c r="B127" s="29"/>
      <c r="C127" s="29"/>
      <c r="D127" s="29"/>
      <c r="E127" s="29"/>
      <c r="F127" s="29"/>
      <c r="G127" s="29"/>
      <c r="H127"/>
      <c r="I127"/>
      <c r="J127" s="47"/>
      <c r="K127" s="47"/>
    </row>
    <row r="128" spans="1:11">
      <c r="A128" s="13"/>
      <c r="B128" s="13"/>
      <c r="C128" s="10"/>
      <c r="D128" s="10"/>
      <c r="E128" s="10"/>
      <c r="F128" s="10"/>
      <c r="G128" s="10"/>
      <c r="I128" s="48"/>
      <c r="J128" s="48" t="s">
        <v>97</v>
      </c>
      <c r="K128" s="47"/>
    </row>
    <row r="129" spans="1:11">
      <c r="A129" s="12" t="s">
        <v>33</v>
      </c>
      <c r="B129" s="10"/>
      <c r="C129" s="10"/>
      <c r="D129" s="10"/>
      <c r="E129" s="10"/>
      <c r="F129" s="10"/>
      <c r="G129" s="10"/>
      <c r="I129" s="12"/>
      <c r="J129" s="12" t="s">
        <v>34</v>
      </c>
      <c r="K129" s="47"/>
    </row>
    <row r="130" spans="1:11">
      <c r="A130" s="10"/>
      <c r="B130" s="10"/>
      <c r="C130" s="10"/>
      <c r="D130" s="10"/>
      <c r="E130" s="10"/>
      <c r="F130" s="10"/>
      <c r="G130" s="10"/>
      <c r="I130" s="12"/>
      <c r="J130" s="12"/>
      <c r="K130" s="47"/>
    </row>
    <row r="131" spans="1:11">
      <c r="A131" s="10"/>
      <c r="B131" s="10"/>
      <c r="C131" s="10"/>
      <c r="D131" s="10"/>
      <c r="E131" s="10"/>
      <c r="F131" s="10"/>
      <c r="G131" s="10"/>
      <c r="I131" s="12"/>
      <c r="J131" s="12"/>
      <c r="K131" s="47"/>
    </row>
    <row r="132" spans="1:11">
      <c r="A132" s="10"/>
      <c r="B132" s="10"/>
      <c r="C132" s="10"/>
      <c r="D132" s="10"/>
      <c r="E132" s="10"/>
      <c r="F132" s="10"/>
      <c r="G132" s="10"/>
      <c r="I132" s="12"/>
      <c r="J132" s="12"/>
      <c r="K132" s="47"/>
    </row>
    <row r="133" spans="1:11">
      <c r="A133" s="10"/>
      <c r="B133" s="10"/>
      <c r="C133" s="10"/>
      <c r="D133" s="10"/>
      <c r="E133" s="10"/>
      <c r="F133" s="10"/>
      <c r="G133" s="10"/>
      <c r="I133" s="12"/>
      <c r="J133" s="12"/>
      <c r="K133" s="47"/>
    </row>
    <row r="134" spans="1:11">
      <c r="A134" s="49" t="s">
        <v>38</v>
      </c>
      <c r="B134" s="49"/>
      <c r="C134" s="50"/>
      <c r="D134" s="50"/>
      <c r="E134" s="50"/>
      <c r="F134" s="50"/>
      <c r="G134" s="10" t="s">
        <v>35</v>
      </c>
      <c r="I134" s="49"/>
      <c r="J134" s="49" t="s">
        <v>36</v>
      </c>
      <c r="K134" s="47"/>
    </row>
    <row r="139" spans="1:11" ht="15.75">
      <c r="C139" s="2"/>
      <c r="D139" s="2"/>
      <c r="E139" s="2"/>
      <c r="F139" s="2"/>
    </row>
    <row r="140" spans="1:11" ht="15.75">
      <c r="A140" s="3"/>
      <c r="B140" s="3"/>
      <c r="C140" s="2"/>
      <c r="D140" s="2"/>
      <c r="E140" s="2"/>
      <c r="F140" s="2"/>
      <c r="G140" s="3"/>
      <c r="H140" s="4"/>
      <c r="I140" s="4"/>
      <c r="J140" s="4"/>
      <c r="K140" s="5"/>
    </row>
    <row r="141" spans="1:11">
      <c r="H141" s="5"/>
      <c r="I141" s="5"/>
      <c r="J141" s="5"/>
      <c r="K141" s="5"/>
    </row>
    <row r="142" spans="1:11">
      <c r="H142" s="5"/>
      <c r="I142" s="5"/>
      <c r="J142" s="5"/>
      <c r="K142" s="5"/>
    </row>
    <row r="143" spans="1:11">
      <c r="A143" s="64" t="s">
        <v>0</v>
      </c>
      <c r="B143" s="64"/>
      <c r="C143" s="58"/>
      <c r="D143" s="58"/>
      <c r="E143" s="58"/>
      <c r="F143" s="58"/>
      <c r="G143" s="58"/>
      <c r="H143" s="58"/>
      <c r="I143" s="58"/>
      <c r="J143" s="58"/>
      <c r="K143" s="58"/>
    </row>
    <row r="144" spans="1:11">
      <c r="A144" s="58" t="s">
        <v>99</v>
      </c>
      <c r="B144" s="58"/>
      <c r="C144" s="58"/>
      <c r="D144" s="58"/>
      <c r="E144" s="58"/>
      <c r="F144" s="58"/>
      <c r="G144" s="58"/>
      <c r="H144" s="58"/>
      <c r="I144" s="58"/>
      <c r="J144" s="58"/>
      <c r="K144" s="58"/>
    </row>
    <row r="145" spans="1:11">
      <c r="A145" s="58" t="s">
        <v>1</v>
      </c>
      <c r="B145" s="58"/>
      <c r="C145" s="58"/>
      <c r="D145" s="58"/>
      <c r="E145" s="58"/>
      <c r="F145" s="58"/>
      <c r="G145" s="58"/>
      <c r="H145" s="58"/>
      <c r="I145" s="58"/>
      <c r="J145" s="58"/>
      <c r="K145" s="58"/>
    </row>
    <row r="146" spans="1:11">
      <c r="A146" s="58" t="s">
        <v>39</v>
      </c>
      <c r="B146" s="58"/>
      <c r="C146" s="58"/>
      <c r="D146" s="58"/>
      <c r="E146" s="58"/>
      <c r="F146" s="58"/>
      <c r="G146" s="58"/>
      <c r="H146" s="58"/>
      <c r="I146" s="58"/>
      <c r="J146" s="58"/>
      <c r="K146" s="58"/>
    </row>
    <row r="147" spans="1:11">
      <c r="A147" s="58" t="s">
        <v>2</v>
      </c>
      <c r="B147" s="58"/>
      <c r="C147" s="58"/>
      <c r="D147" s="58"/>
      <c r="E147" s="58"/>
      <c r="F147" s="58"/>
      <c r="G147" s="58"/>
      <c r="H147" s="58"/>
      <c r="I147" s="58"/>
      <c r="J147" s="58"/>
      <c r="K147" s="58"/>
    </row>
    <row r="148" spans="1:11">
      <c r="A148" s="6"/>
      <c r="B148" s="6"/>
      <c r="C148" s="7"/>
      <c r="D148" s="7"/>
      <c r="E148" s="7"/>
      <c r="F148" s="7"/>
      <c r="G148" s="8"/>
      <c r="H148" s="9"/>
      <c r="I148" s="9"/>
      <c r="J148" s="9"/>
      <c r="K148" s="9"/>
    </row>
    <row r="149" spans="1:11">
      <c r="A149" s="53" t="s">
        <v>3</v>
      </c>
      <c r="B149" s="10"/>
      <c r="C149" s="10"/>
      <c r="D149" s="54" t="s">
        <v>4</v>
      </c>
      <c r="E149" s="10" t="s">
        <v>5</v>
      </c>
      <c r="F149" s="11"/>
      <c r="G149" s="10"/>
      <c r="H149" s="12"/>
      <c r="I149" s="12"/>
      <c r="J149" s="12"/>
      <c r="K149" s="9"/>
    </row>
    <row r="150" spans="1:11">
      <c r="A150" s="53" t="s">
        <v>6</v>
      </c>
      <c r="B150" s="10"/>
      <c r="C150" s="10"/>
      <c r="D150" s="54" t="s">
        <v>4</v>
      </c>
      <c r="E150" s="10" t="s">
        <v>7</v>
      </c>
      <c r="F150" s="11"/>
      <c r="G150" s="10"/>
      <c r="H150" s="12"/>
      <c r="I150" s="12"/>
      <c r="J150" s="12"/>
      <c r="K150" s="9"/>
    </row>
    <row r="151" spans="1:11">
      <c r="A151" s="53" t="s">
        <v>8</v>
      </c>
      <c r="B151" s="10"/>
      <c r="C151" s="10"/>
      <c r="D151" s="54" t="s">
        <v>4</v>
      </c>
      <c r="E151" s="13">
        <v>2026</v>
      </c>
      <c r="F151" s="11"/>
      <c r="G151" s="13"/>
      <c r="H151" s="12"/>
      <c r="I151" s="12"/>
      <c r="J151" s="12"/>
      <c r="K151" s="9"/>
    </row>
    <row r="152" spans="1:11">
      <c r="A152" s="53" t="s">
        <v>9</v>
      </c>
      <c r="B152" s="10"/>
      <c r="C152" s="10"/>
      <c r="D152" s="54" t="s">
        <v>4</v>
      </c>
      <c r="E152" s="14">
        <f>J162</f>
        <v>30000</v>
      </c>
      <c r="F152" s="11"/>
      <c r="G152" s="14"/>
      <c r="H152" s="12"/>
      <c r="I152" s="12"/>
      <c r="J152" s="12"/>
      <c r="K152" s="9"/>
    </row>
    <row r="153" spans="1:11" ht="15.75">
      <c r="A153" s="10"/>
      <c r="B153" s="10"/>
      <c r="C153" s="15" t="s">
        <v>10</v>
      </c>
      <c r="D153" s="54" t="s">
        <v>4</v>
      </c>
      <c r="E153" s="16" t="str">
        <f>PROPER(IF(E152=0,"nol",IF(E152&lt;0,"minus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152),"000000000000000"),1,3)=0,"",MID(TEXT(ABS(E152),"000000000000000"),1,1)&amp;" ratus "&amp;MID(TEXT(ABS(E152),"000000000000000"),2,1)&amp;" puluh "&amp;MID(TEXT(ABS(E152),"000000000000000"),3,1)&amp;" trilyun ")&amp;IF(--MID(TEXT(ABS(E152),"000000000000000"),4,3)=0,"",MID(TEXT(ABS(E152),"000000000000000"),4,1)&amp;" ratus "&amp;MID(TEXT(ABS(E152),"000000000000000"),5,1)&amp;" puluh "&amp;MID(TEXT(ABS(E152),"000000000000000"),6,1)&amp;" milyar ")&amp;IF(--MID(TEXT(ABS(E152),"000000000000000"),7,3)=0,"",MID(TEXT(ABS(E152),"000000000000000"),7,1)&amp;" ratus "&amp;MID(TEXT(ABS(E152),"000000000000000"),8,1)&amp;" puluh "&amp;MID(TEXT(ABS(E152),"000000000000000"),9,1)&amp;" juta ")&amp;IF(--MID(TEXT(ABS(E152),"000000000000000"),10,3)=0,"",IF(--MID(TEXT(ABS(E152),"000000000000000"),10,3)=1,"*",MID(TEXT(ABS(E152),"000000000000000"),10,1)&amp;" ratus "&amp;MID(TEXT(ABS(E152),"000000000000000"),11,1)&amp;" puluh ")&amp;MID(TEXT(ABS(E152),"000000000000000"),12,1)&amp;" ribu ")&amp;IF(--MID(TEXT(ABS(E152),"000000000000000"),13,3)=0,"",MID(TEXT(ABS(E152),"000000000000000"),13,1)&amp;" ratus "&amp;MID(TEXT(ABS(E152),"000000000000000"),14,1)&amp;" puluh "&amp;MID(TEXT(ABS(E152),"000000000000000"),15,1)),1,"satu"),2,"dua"),3,"tiga"),4,"empat"),5,"lima"),6,"enam"),7,"tujuh"),8,"delapan"),9,"sembilan"),"0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Tiga Puluh Ribu Rupiah</v>
      </c>
      <c r="F153" s="11"/>
      <c r="G153" s="16"/>
      <c r="H153" s="12"/>
      <c r="I153" s="12"/>
      <c r="J153" s="12"/>
      <c r="K153" s="9"/>
    </row>
    <row r="154" spans="1:11" ht="15.75">
      <c r="A154" s="10"/>
      <c r="B154" s="10"/>
      <c r="C154" s="15"/>
      <c r="D154" s="15"/>
      <c r="E154" s="15"/>
      <c r="F154" s="11"/>
      <c r="G154" s="16"/>
      <c r="H154" s="12"/>
      <c r="I154" s="12"/>
      <c r="J154" s="12"/>
      <c r="K154" s="9"/>
    </row>
    <row r="155" spans="1:11">
      <c r="A155" s="10" t="s">
        <v>11</v>
      </c>
      <c r="B155" s="10"/>
      <c r="C155" s="10"/>
      <c r="D155" s="10"/>
      <c r="E155" s="10"/>
      <c r="F155" s="10"/>
      <c r="G155" s="10"/>
      <c r="H155" s="12"/>
      <c r="I155" s="12"/>
      <c r="J155" s="12"/>
      <c r="K155" s="9"/>
    </row>
    <row r="156" spans="1:11">
      <c r="A156" s="59" t="s">
        <v>12</v>
      </c>
      <c r="B156" s="59"/>
      <c r="C156" s="59"/>
      <c r="D156" s="59"/>
      <c r="E156" s="59"/>
      <c r="F156" s="59"/>
      <c r="G156" s="59"/>
      <c r="H156" s="59"/>
      <c r="I156" s="59"/>
      <c r="J156" s="59"/>
      <c r="K156" s="59"/>
    </row>
    <row r="157" spans="1:11" ht="60">
      <c r="A157" s="17" t="s">
        <v>13</v>
      </c>
      <c r="B157" s="18" t="s">
        <v>14</v>
      </c>
      <c r="C157" s="60" t="s">
        <v>15</v>
      </c>
      <c r="D157" s="61"/>
      <c r="E157" s="62"/>
      <c r="F157" s="19"/>
      <c r="G157" s="20" t="s">
        <v>16</v>
      </c>
      <c r="H157" s="21" t="s">
        <v>37</v>
      </c>
      <c r="I157" s="21"/>
      <c r="J157" s="31" t="s">
        <v>17</v>
      </c>
      <c r="K157" s="32" t="s">
        <v>18</v>
      </c>
    </row>
    <row r="158" spans="1:11">
      <c r="A158" s="27">
        <v>1</v>
      </c>
      <c r="B158" s="24"/>
      <c r="C158" s="28" t="s">
        <v>23</v>
      </c>
      <c r="D158" s="57"/>
      <c r="E158" s="26"/>
      <c r="F158" s="25"/>
      <c r="G158" s="55" t="s">
        <v>19</v>
      </c>
      <c r="H158" s="55" t="s">
        <v>19</v>
      </c>
      <c r="I158" s="55"/>
      <c r="J158" s="55" t="s">
        <v>19</v>
      </c>
      <c r="K158" s="55" t="s">
        <v>19</v>
      </c>
    </row>
    <row r="159" spans="1:11">
      <c r="A159" s="24"/>
      <c r="B159" s="56" t="s">
        <v>20</v>
      </c>
      <c r="C159" s="25" t="s">
        <v>24</v>
      </c>
      <c r="D159" s="10"/>
      <c r="E159" s="26"/>
      <c r="F159" s="25"/>
      <c r="G159" s="22">
        <v>75000000</v>
      </c>
      <c r="H159" s="23">
        <f>H114+J114</f>
        <v>25256344</v>
      </c>
      <c r="I159" s="23"/>
      <c r="J159" s="33">
        <v>30000</v>
      </c>
      <c r="K159" s="34">
        <f>G159-H159-J159</f>
        <v>49713656</v>
      </c>
    </row>
    <row r="160" spans="1:11">
      <c r="A160" s="24"/>
      <c r="B160" s="56" t="s">
        <v>21</v>
      </c>
      <c r="C160" s="25" t="s">
        <v>25</v>
      </c>
      <c r="D160" s="10"/>
      <c r="E160" s="26"/>
      <c r="F160" s="25"/>
      <c r="G160" s="22">
        <v>30000000</v>
      </c>
      <c r="H160" s="23">
        <f>H115+J115</f>
        <v>7919774</v>
      </c>
      <c r="I160" s="23"/>
      <c r="J160" s="33">
        <v>0</v>
      </c>
      <c r="K160" s="34">
        <f t="shared" ref="K160:K161" si="5">G160-H160-J160</f>
        <v>22080226</v>
      </c>
    </row>
    <row r="161" spans="1:11">
      <c r="A161" s="24"/>
      <c r="B161" s="56" t="s">
        <v>22</v>
      </c>
      <c r="C161" s="25" t="s">
        <v>26</v>
      </c>
      <c r="D161" s="10"/>
      <c r="E161" s="26"/>
      <c r="F161" s="25"/>
      <c r="G161" s="22">
        <v>50000000</v>
      </c>
      <c r="H161" s="23">
        <f t="shared" ref="H161" si="6">H116+J116</f>
        <v>3500000</v>
      </c>
      <c r="I161" s="23"/>
      <c r="J161" s="33">
        <v>0</v>
      </c>
      <c r="K161" s="34">
        <f t="shared" si="5"/>
        <v>46500000</v>
      </c>
    </row>
    <row r="162" spans="1:11">
      <c r="A162" s="35"/>
      <c r="B162" s="35"/>
      <c r="C162" s="35" t="s">
        <v>27</v>
      </c>
      <c r="D162" s="35"/>
      <c r="E162" s="35"/>
      <c r="F162" s="36"/>
      <c r="G162" s="37">
        <f>SUM(G158:G161)</f>
        <v>155000000</v>
      </c>
      <c r="H162" s="38">
        <f>SUM(H158:H161)</f>
        <v>36676118</v>
      </c>
      <c r="I162" s="38"/>
      <c r="J162" s="38">
        <f>SUM(J158:J161)</f>
        <v>30000</v>
      </c>
      <c r="K162" s="38">
        <f>SUM(K158:K161)</f>
        <v>118293882</v>
      </c>
    </row>
    <row r="163" spans="1:11">
      <c r="A163" s="39"/>
      <c r="B163" s="8"/>
      <c r="C163" s="8"/>
      <c r="D163" s="8"/>
      <c r="E163" s="8"/>
      <c r="F163" s="8"/>
      <c r="G163" s="40"/>
      <c r="H163" s="40"/>
      <c r="I163" s="40"/>
      <c r="J163" s="40"/>
      <c r="K163" s="40"/>
    </row>
    <row r="164" spans="1:11">
      <c r="A164" s="63" t="s">
        <v>28</v>
      </c>
      <c r="B164" s="63"/>
      <c r="C164" s="63"/>
      <c r="D164" s="11" t="s">
        <v>4</v>
      </c>
      <c r="E164" s="14">
        <f>J162</f>
        <v>30000</v>
      </c>
      <c r="F164" s="41"/>
      <c r="G164" s="42"/>
      <c r="H164" s="42"/>
      <c r="I164" s="42"/>
      <c r="J164" s="9"/>
      <c r="K164" s="9"/>
    </row>
    <row r="165" spans="1:11">
      <c r="A165" s="10" t="s">
        <v>29</v>
      </c>
      <c r="B165" s="10"/>
      <c r="C165" s="10"/>
      <c r="D165" s="11" t="s">
        <v>4</v>
      </c>
      <c r="E165" s="43"/>
      <c r="F165" s="43"/>
      <c r="G165" s="44"/>
      <c r="H165" s="12"/>
      <c r="I165" s="12"/>
      <c r="J165" s="9"/>
      <c r="K165" s="9"/>
    </row>
    <row r="166" spans="1:11">
      <c r="A166" s="10" t="s">
        <v>30</v>
      </c>
      <c r="B166" s="10"/>
      <c r="C166" s="10"/>
      <c r="D166" s="11" t="s">
        <v>4</v>
      </c>
      <c r="E166" s="45"/>
      <c r="F166" s="45"/>
      <c r="G166" s="44"/>
      <c r="H166" s="12"/>
      <c r="I166" s="12"/>
      <c r="J166" s="9"/>
      <c r="K166" s="9"/>
    </row>
    <row r="167" spans="1:11">
      <c r="A167" s="10" t="s">
        <v>31</v>
      </c>
      <c r="B167" s="10"/>
      <c r="C167" s="10"/>
      <c r="D167" s="11" t="s">
        <v>4</v>
      </c>
      <c r="E167" s="45">
        <f>E165+E166</f>
        <v>0</v>
      </c>
      <c r="F167" s="45"/>
      <c r="G167" s="10"/>
      <c r="H167" s="12"/>
      <c r="I167" s="12"/>
      <c r="J167" s="47"/>
      <c r="K167" s="47"/>
    </row>
    <row r="168" spans="1:11">
      <c r="A168" s="13"/>
      <c r="B168" s="13"/>
      <c r="C168" s="13"/>
      <c r="D168" s="11"/>
      <c r="E168" s="13"/>
      <c r="F168" s="13"/>
      <c r="G168" s="10"/>
      <c r="H168" s="12"/>
      <c r="I168" s="12"/>
      <c r="J168" s="47"/>
      <c r="K168" s="47"/>
    </row>
    <row r="169" spans="1:11">
      <c r="A169" s="63" t="s">
        <v>32</v>
      </c>
      <c r="B169" s="63"/>
      <c r="C169" s="63"/>
      <c r="D169" s="11" t="s">
        <v>4</v>
      </c>
      <c r="E169" s="41">
        <f>E164-E167</f>
        <v>30000</v>
      </c>
      <c r="F169" s="41"/>
      <c r="G169" s="10"/>
      <c r="H169" s="12"/>
      <c r="I169" s="12"/>
      <c r="J169" s="47"/>
      <c r="K169" s="47"/>
    </row>
    <row r="170" spans="1:11" ht="15.75">
      <c r="A170" s="13"/>
      <c r="B170" s="13"/>
      <c r="C170" s="10"/>
      <c r="D170" s="10"/>
      <c r="E170" s="16" t="str">
        <f>PROPER(IF(E169=0,"nol",IF(E169&lt;0,"minus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169),"000000000000000"),1,3)=0,"",MID(TEXT(ABS(E169),"000000000000000"),1,1)&amp;" ratus "&amp;MID(TEXT(ABS(E169),"000000000000000"),2,1)&amp;" puluh "&amp;MID(TEXT(ABS(E169),"000000000000000"),3,1)&amp;" trilyun ")&amp;IF(--MID(TEXT(ABS(E169),"000000000000000"),4,3)=0,"",MID(TEXT(ABS(E169),"000000000000000"),4,1)&amp;" ratus "&amp;MID(TEXT(ABS(E169),"000000000000000"),5,1)&amp;" puluh "&amp;MID(TEXT(ABS(E169),"000000000000000"),6,1)&amp;" milyar ")&amp;IF(--MID(TEXT(ABS(E169),"000000000000000"),7,3)=0,"",MID(TEXT(ABS(E169),"000000000000000"),7,1)&amp;" ratus "&amp;MID(TEXT(ABS(E169),"000000000000000"),8,1)&amp;" puluh "&amp;MID(TEXT(ABS(E169),"000000000000000"),9,1)&amp;" juta ")&amp;IF(--MID(TEXT(ABS(E169),"000000000000000"),10,3)=0,"",IF(--MID(TEXT(ABS(E169),"000000000000000"),10,3)=1,"*",MID(TEXT(ABS(E169),"000000000000000"),10,1)&amp;" ratus "&amp;MID(TEXT(ABS(E169),"000000000000000"),11,1)&amp;" puluh ")&amp;MID(TEXT(ABS(E169),"000000000000000"),12,1)&amp;" ribu ")&amp;IF(--MID(TEXT(ABS(E169),"000000000000000"),13,3)=0,"",MID(TEXT(ABS(E169),"000000000000000"),13,1)&amp;" ratus "&amp;MID(TEXT(ABS(E169),"000000000000000"),14,1)&amp;" puluh "&amp;MID(TEXT(ABS(E169),"000000000000000"),15,1)),1,"satu"),2,"dua"),3,"tiga"),4,"empat"),5,"lima"),6,"enam"),7,"tujuh"),8,"delapan"),9,"sembilan"),"0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Tiga Puluh Ribu Rupiah</v>
      </c>
      <c r="F170" s="10"/>
      <c r="G170" s="10"/>
      <c r="H170" s="10"/>
      <c r="I170" s="10"/>
      <c r="J170" s="47"/>
      <c r="K170" s="47"/>
    </row>
    <row r="171" spans="1:11">
      <c r="A171" s="46"/>
      <c r="B171" s="46"/>
      <c r="C171" s="46"/>
      <c r="D171" s="46"/>
      <c r="E171" s="46"/>
      <c r="F171" s="46"/>
      <c r="G171" s="29"/>
      <c r="H171" s="47"/>
      <c r="I171" s="47"/>
      <c r="J171" s="47"/>
      <c r="K171" s="47"/>
    </row>
    <row r="172" spans="1:11">
      <c r="A172" s="29"/>
      <c r="B172" s="29"/>
      <c r="C172" s="29"/>
      <c r="D172" s="29"/>
      <c r="E172" s="29"/>
      <c r="F172" s="29"/>
      <c r="G172" s="29"/>
      <c r="H172"/>
      <c r="I172"/>
      <c r="J172" s="47"/>
      <c r="K172" s="47"/>
    </row>
    <row r="173" spans="1:11">
      <c r="A173" s="13"/>
      <c r="B173" s="13"/>
      <c r="C173" s="10"/>
      <c r="D173" s="10"/>
      <c r="E173" s="10"/>
      <c r="F173" s="10"/>
      <c r="G173" s="10"/>
      <c r="I173" s="48"/>
      <c r="J173" s="48" t="s">
        <v>98</v>
      </c>
      <c r="K173" s="47"/>
    </row>
    <row r="174" spans="1:11">
      <c r="A174" s="12" t="s">
        <v>33</v>
      </c>
      <c r="B174" s="10"/>
      <c r="C174" s="10"/>
      <c r="D174" s="10"/>
      <c r="E174" s="10"/>
      <c r="F174" s="10"/>
      <c r="G174" s="10"/>
      <c r="I174" s="12"/>
      <c r="J174" s="12" t="s">
        <v>34</v>
      </c>
      <c r="K174" s="47"/>
    </row>
    <row r="175" spans="1:11">
      <c r="A175" s="10"/>
      <c r="B175" s="10"/>
      <c r="C175" s="10"/>
      <c r="D175" s="10"/>
      <c r="E175" s="10"/>
      <c r="F175" s="10"/>
      <c r="G175" s="10"/>
      <c r="I175" s="12"/>
      <c r="J175" s="12"/>
      <c r="K175" s="47"/>
    </row>
    <row r="176" spans="1:11">
      <c r="A176" s="10"/>
      <c r="B176" s="10"/>
      <c r="C176" s="10"/>
      <c r="D176" s="10"/>
      <c r="E176" s="10"/>
      <c r="F176" s="10"/>
      <c r="G176" s="10"/>
      <c r="I176" s="12"/>
      <c r="J176" s="12"/>
      <c r="K176" s="47"/>
    </row>
    <row r="177" spans="1:11">
      <c r="A177" s="10"/>
      <c r="B177" s="10"/>
      <c r="C177" s="10"/>
      <c r="D177" s="10"/>
      <c r="E177" s="10"/>
      <c r="F177" s="10"/>
      <c r="G177" s="10"/>
      <c r="I177" s="12"/>
      <c r="J177" s="12"/>
      <c r="K177" s="47"/>
    </row>
    <row r="178" spans="1:11">
      <c r="A178" s="10"/>
      <c r="B178" s="10"/>
      <c r="C178" s="10"/>
      <c r="D178" s="10"/>
      <c r="E178" s="10"/>
      <c r="F178" s="10"/>
      <c r="G178" s="10"/>
      <c r="I178" s="12"/>
      <c r="J178" s="12"/>
      <c r="K178" s="47"/>
    </row>
    <row r="179" spans="1:11">
      <c r="A179" s="49" t="s">
        <v>38</v>
      </c>
      <c r="B179" s="49"/>
      <c r="C179" s="50"/>
      <c r="D179" s="50"/>
      <c r="E179" s="50"/>
      <c r="F179" s="50"/>
      <c r="G179" s="10" t="s">
        <v>35</v>
      </c>
      <c r="I179" s="49"/>
      <c r="J179" s="49" t="s">
        <v>36</v>
      </c>
      <c r="K179" s="47"/>
    </row>
    <row r="184" spans="1:11" ht="15.75">
      <c r="C184" s="2"/>
      <c r="D184" s="2"/>
      <c r="E184" s="2"/>
      <c r="F184" s="2"/>
    </row>
    <row r="185" spans="1:11" ht="15.75">
      <c r="A185" s="3"/>
      <c r="B185" s="3"/>
      <c r="C185" s="2"/>
      <c r="D185" s="2"/>
      <c r="E185" s="2"/>
      <c r="F185" s="2"/>
      <c r="G185" s="3"/>
      <c r="H185" s="4"/>
      <c r="I185" s="4"/>
      <c r="J185" s="4"/>
      <c r="K185" s="5"/>
    </row>
    <row r="186" spans="1:11">
      <c r="H186" s="5"/>
      <c r="I186" s="5"/>
      <c r="J186" s="5"/>
      <c r="K186" s="5"/>
    </row>
    <row r="187" spans="1:11">
      <c r="H187" s="5"/>
      <c r="I187" s="5"/>
      <c r="J187" s="5"/>
      <c r="K187" s="5"/>
    </row>
    <row r="188" spans="1:11">
      <c r="A188" s="64" t="s">
        <v>0</v>
      </c>
      <c r="B188" s="64"/>
      <c r="C188" s="58"/>
      <c r="D188" s="58"/>
      <c r="E188" s="58"/>
      <c r="F188" s="58"/>
      <c r="G188" s="58"/>
      <c r="H188" s="58"/>
      <c r="I188" s="58"/>
      <c r="J188" s="58"/>
      <c r="K188" s="58"/>
    </row>
    <row r="189" spans="1:11">
      <c r="A189" s="58" t="s">
        <v>101</v>
      </c>
      <c r="B189" s="58"/>
      <c r="C189" s="58"/>
      <c r="D189" s="58"/>
      <c r="E189" s="58"/>
      <c r="F189" s="58"/>
      <c r="G189" s="58"/>
      <c r="H189" s="58"/>
      <c r="I189" s="58"/>
      <c r="J189" s="58"/>
      <c r="K189" s="58"/>
    </row>
    <row r="190" spans="1:11">
      <c r="A190" s="58" t="s">
        <v>1</v>
      </c>
      <c r="B190" s="58"/>
      <c r="C190" s="58"/>
      <c r="D190" s="58"/>
      <c r="E190" s="58"/>
      <c r="F190" s="58"/>
      <c r="G190" s="58"/>
      <c r="H190" s="58"/>
      <c r="I190" s="58"/>
      <c r="J190" s="58"/>
      <c r="K190" s="58"/>
    </row>
    <row r="191" spans="1:11">
      <c r="A191" s="58" t="s">
        <v>39</v>
      </c>
      <c r="B191" s="58"/>
      <c r="C191" s="58"/>
      <c r="D191" s="58"/>
      <c r="E191" s="58"/>
      <c r="F191" s="58"/>
      <c r="G191" s="58"/>
      <c r="H191" s="58"/>
      <c r="I191" s="58"/>
      <c r="J191" s="58"/>
      <c r="K191" s="58"/>
    </row>
    <row r="192" spans="1:11">
      <c r="A192" s="58" t="s">
        <v>2</v>
      </c>
      <c r="B192" s="58"/>
      <c r="C192" s="58"/>
      <c r="D192" s="58"/>
      <c r="E192" s="58"/>
      <c r="F192" s="58"/>
      <c r="G192" s="58"/>
      <c r="H192" s="58"/>
      <c r="I192" s="58"/>
      <c r="J192" s="58"/>
      <c r="K192" s="58"/>
    </row>
    <row r="193" spans="1:11">
      <c r="A193" s="6"/>
      <c r="B193" s="6"/>
      <c r="C193" s="7"/>
      <c r="D193" s="7"/>
      <c r="E193" s="7"/>
      <c r="F193" s="7"/>
      <c r="G193" s="8"/>
      <c r="H193" s="9"/>
      <c r="I193" s="9"/>
      <c r="J193" s="9"/>
      <c r="K193" s="9"/>
    </row>
    <row r="194" spans="1:11">
      <c r="A194" s="53" t="s">
        <v>3</v>
      </c>
      <c r="B194" s="10"/>
      <c r="C194" s="10"/>
      <c r="D194" s="54" t="s">
        <v>4</v>
      </c>
      <c r="E194" s="10" t="s">
        <v>5</v>
      </c>
      <c r="F194" s="11"/>
      <c r="G194" s="10"/>
      <c r="H194" s="12"/>
      <c r="I194" s="12"/>
      <c r="J194" s="12"/>
      <c r="K194" s="9"/>
    </row>
    <row r="195" spans="1:11">
      <c r="A195" s="53" t="s">
        <v>6</v>
      </c>
      <c r="B195" s="10"/>
      <c r="C195" s="10"/>
      <c r="D195" s="54" t="s">
        <v>4</v>
      </c>
      <c r="E195" s="10" t="s">
        <v>7</v>
      </c>
      <c r="F195" s="11"/>
      <c r="G195" s="10"/>
      <c r="H195" s="12"/>
      <c r="I195" s="12"/>
      <c r="J195" s="12"/>
      <c r="K195" s="9"/>
    </row>
    <row r="196" spans="1:11">
      <c r="A196" s="53" t="s">
        <v>8</v>
      </c>
      <c r="B196" s="10"/>
      <c r="C196" s="10"/>
      <c r="D196" s="54" t="s">
        <v>4</v>
      </c>
      <c r="E196" s="13">
        <v>2026</v>
      </c>
      <c r="F196" s="11"/>
      <c r="G196" s="13"/>
      <c r="H196" s="12"/>
      <c r="I196" s="12"/>
      <c r="J196" s="12"/>
      <c r="K196" s="9"/>
    </row>
    <row r="197" spans="1:11">
      <c r="A197" s="53" t="s">
        <v>9</v>
      </c>
      <c r="B197" s="10"/>
      <c r="C197" s="10"/>
      <c r="D197" s="54" t="s">
        <v>4</v>
      </c>
      <c r="E197" s="14">
        <f>J207</f>
        <v>1400000</v>
      </c>
      <c r="F197" s="11"/>
      <c r="G197" s="14"/>
      <c r="H197" s="12"/>
      <c r="I197" s="12"/>
      <c r="J197" s="12"/>
      <c r="K197" s="9"/>
    </row>
    <row r="198" spans="1:11" ht="15.75">
      <c r="A198" s="10"/>
      <c r="B198" s="10"/>
      <c r="C198" s="15" t="s">
        <v>10</v>
      </c>
      <c r="D198" s="54" t="s">
        <v>4</v>
      </c>
      <c r="E198" s="16" t="str">
        <f>PROPER(IF(E197=0,"nol",IF(E197&lt;0,"minus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197),"000000000000000"),1,3)=0,"",MID(TEXT(ABS(E197),"000000000000000"),1,1)&amp;" ratus "&amp;MID(TEXT(ABS(E197),"000000000000000"),2,1)&amp;" puluh "&amp;MID(TEXT(ABS(E197),"000000000000000"),3,1)&amp;" trilyun ")&amp;IF(--MID(TEXT(ABS(E197),"000000000000000"),4,3)=0,"",MID(TEXT(ABS(E197),"000000000000000"),4,1)&amp;" ratus "&amp;MID(TEXT(ABS(E197),"000000000000000"),5,1)&amp;" puluh "&amp;MID(TEXT(ABS(E197),"000000000000000"),6,1)&amp;" milyar ")&amp;IF(--MID(TEXT(ABS(E197),"000000000000000"),7,3)=0,"",MID(TEXT(ABS(E197),"000000000000000"),7,1)&amp;" ratus "&amp;MID(TEXT(ABS(E197),"000000000000000"),8,1)&amp;" puluh "&amp;MID(TEXT(ABS(E197),"000000000000000"),9,1)&amp;" juta ")&amp;IF(--MID(TEXT(ABS(E197),"000000000000000"),10,3)=0,"",IF(--MID(TEXT(ABS(E197),"000000000000000"),10,3)=1,"*",MID(TEXT(ABS(E197),"000000000000000"),10,1)&amp;" ratus "&amp;MID(TEXT(ABS(E197),"000000000000000"),11,1)&amp;" puluh ")&amp;MID(TEXT(ABS(E197),"000000000000000"),12,1)&amp;" ribu ")&amp;IF(--MID(TEXT(ABS(E197),"000000000000000"),13,3)=0,"",MID(TEXT(ABS(E197),"000000000000000"),13,1)&amp;" ratus "&amp;MID(TEXT(ABS(E197),"000000000000000"),14,1)&amp;" puluh "&amp;MID(TEXT(ABS(E197),"000000000000000"),15,1)),1,"satu"),2,"dua"),3,"tiga"),4,"empat"),5,"lima"),6,"enam"),7,"tujuh"),8,"delapan"),9,"sembilan"),"0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Satu Juta Empat Ratus Ribu Rupiah</v>
      </c>
      <c r="F198" s="11"/>
      <c r="G198" s="16"/>
      <c r="H198" s="12"/>
      <c r="I198" s="12"/>
      <c r="J198" s="12"/>
      <c r="K198" s="9"/>
    </row>
    <row r="199" spans="1:11" ht="15.75">
      <c r="A199" s="10"/>
      <c r="B199" s="10"/>
      <c r="C199" s="15"/>
      <c r="D199" s="15"/>
      <c r="E199" s="15"/>
      <c r="F199" s="11"/>
      <c r="G199" s="16"/>
      <c r="H199" s="12"/>
      <c r="I199" s="12"/>
      <c r="J199" s="12"/>
      <c r="K199" s="9"/>
    </row>
    <row r="200" spans="1:11">
      <c r="A200" s="10" t="s">
        <v>11</v>
      </c>
      <c r="B200" s="10"/>
      <c r="C200" s="10"/>
      <c r="D200" s="10"/>
      <c r="E200" s="10"/>
      <c r="F200" s="10"/>
      <c r="G200" s="10"/>
      <c r="H200" s="12"/>
      <c r="I200" s="12"/>
      <c r="J200" s="12"/>
      <c r="K200" s="9"/>
    </row>
    <row r="201" spans="1:11">
      <c r="A201" s="59" t="s">
        <v>12</v>
      </c>
      <c r="B201" s="59"/>
      <c r="C201" s="59"/>
      <c r="D201" s="59"/>
      <c r="E201" s="59"/>
      <c r="F201" s="59"/>
      <c r="G201" s="59"/>
      <c r="H201" s="59"/>
      <c r="I201" s="59"/>
      <c r="J201" s="59"/>
      <c r="K201" s="59"/>
    </row>
    <row r="202" spans="1:11" ht="60">
      <c r="A202" s="17" t="s">
        <v>13</v>
      </c>
      <c r="B202" s="18" t="s">
        <v>14</v>
      </c>
      <c r="C202" s="60" t="s">
        <v>15</v>
      </c>
      <c r="D202" s="61"/>
      <c r="E202" s="62"/>
      <c r="F202" s="19"/>
      <c r="G202" s="20" t="s">
        <v>16</v>
      </c>
      <c r="H202" s="21" t="s">
        <v>37</v>
      </c>
      <c r="I202" s="21"/>
      <c r="J202" s="31" t="s">
        <v>17</v>
      </c>
      <c r="K202" s="32" t="s">
        <v>18</v>
      </c>
    </row>
    <row r="203" spans="1:11">
      <c r="A203" s="27">
        <v>1</v>
      </c>
      <c r="B203" s="24"/>
      <c r="C203" s="28" t="s">
        <v>23</v>
      </c>
      <c r="D203" s="57"/>
      <c r="E203" s="26"/>
      <c r="F203" s="25"/>
      <c r="G203" s="55" t="s">
        <v>19</v>
      </c>
      <c r="H203" s="55" t="s">
        <v>19</v>
      </c>
      <c r="I203" s="55"/>
      <c r="J203" s="55" t="s">
        <v>19</v>
      </c>
      <c r="K203" s="55" t="s">
        <v>19</v>
      </c>
    </row>
    <row r="204" spans="1:11">
      <c r="A204" s="24"/>
      <c r="B204" s="56" t="s">
        <v>20</v>
      </c>
      <c r="C204" s="25" t="s">
        <v>24</v>
      </c>
      <c r="D204" s="10"/>
      <c r="E204" s="26"/>
      <c r="F204" s="25"/>
      <c r="G204" s="22">
        <v>75000000</v>
      </c>
      <c r="H204" s="23">
        <f>H159+J159</f>
        <v>25286344</v>
      </c>
      <c r="I204" s="23"/>
      <c r="J204" s="33">
        <v>1400000</v>
      </c>
      <c r="K204" s="34">
        <f>G204-H204-J204</f>
        <v>48313656</v>
      </c>
    </row>
    <row r="205" spans="1:11">
      <c r="A205" s="24"/>
      <c r="B205" s="56" t="s">
        <v>21</v>
      </c>
      <c r="C205" s="25" t="s">
        <v>25</v>
      </c>
      <c r="D205" s="10"/>
      <c r="E205" s="26"/>
      <c r="F205" s="25"/>
      <c r="G205" s="22">
        <v>30000000</v>
      </c>
      <c r="H205" s="23">
        <f t="shared" ref="H205:H206" si="7">H160+J160</f>
        <v>7919774</v>
      </c>
      <c r="I205" s="23"/>
      <c r="J205" s="33">
        <v>0</v>
      </c>
      <c r="K205" s="34">
        <f t="shared" ref="K205:K206" si="8">G205-H205-J205</f>
        <v>22080226</v>
      </c>
    </row>
    <row r="206" spans="1:11">
      <c r="A206" s="24"/>
      <c r="B206" s="56" t="s">
        <v>22</v>
      </c>
      <c r="C206" s="25" t="s">
        <v>26</v>
      </c>
      <c r="D206" s="10"/>
      <c r="E206" s="26"/>
      <c r="F206" s="25"/>
      <c r="G206" s="22">
        <v>50000000</v>
      </c>
      <c r="H206" s="23">
        <f t="shared" si="7"/>
        <v>3500000</v>
      </c>
      <c r="I206" s="23"/>
      <c r="J206" s="33">
        <v>0</v>
      </c>
      <c r="K206" s="34">
        <f t="shared" si="8"/>
        <v>46500000</v>
      </c>
    </row>
    <row r="207" spans="1:11">
      <c r="A207" s="35"/>
      <c r="B207" s="35"/>
      <c r="C207" s="35" t="s">
        <v>27</v>
      </c>
      <c r="D207" s="35"/>
      <c r="E207" s="35"/>
      <c r="F207" s="36"/>
      <c r="G207" s="37">
        <f>SUM(G203:G206)</f>
        <v>155000000</v>
      </c>
      <c r="H207" s="38">
        <f>SUM(H203:H206)</f>
        <v>36706118</v>
      </c>
      <c r="I207" s="38"/>
      <c r="J207" s="38">
        <f>SUM(J203:J206)</f>
        <v>1400000</v>
      </c>
      <c r="K207" s="38">
        <f>SUM(K203:K206)</f>
        <v>116893882</v>
      </c>
    </row>
    <row r="208" spans="1:11">
      <c r="A208" s="39"/>
      <c r="B208" s="8"/>
      <c r="C208" s="8"/>
      <c r="D208" s="8"/>
      <c r="E208" s="8"/>
      <c r="F208" s="8"/>
      <c r="G208" s="40"/>
      <c r="H208" s="40"/>
      <c r="I208" s="40"/>
      <c r="J208" s="40"/>
      <c r="K208" s="40"/>
    </row>
    <row r="209" spans="1:11">
      <c r="A209" s="63" t="s">
        <v>28</v>
      </c>
      <c r="B209" s="63"/>
      <c r="C209" s="63"/>
      <c r="D209" s="11" t="s">
        <v>4</v>
      </c>
      <c r="E209" s="14">
        <f>J207</f>
        <v>1400000</v>
      </c>
      <c r="F209" s="41"/>
      <c r="G209" s="42"/>
      <c r="H209" s="42"/>
      <c r="I209" s="42"/>
      <c r="J209" s="9"/>
      <c r="K209" s="9"/>
    </row>
    <row r="210" spans="1:11">
      <c r="A210" s="10" t="s">
        <v>29</v>
      </c>
      <c r="B210" s="10"/>
      <c r="C210" s="10"/>
      <c r="D210" s="11" t="s">
        <v>4</v>
      </c>
      <c r="E210" s="43"/>
      <c r="F210" s="43"/>
      <c r="G210" s="44"/>
      <c r="H210" s="12"/>
      <c r="I210" s="12"/>
      <c r="J210" s="9"/>
      <c r="K210" s="9"/>
    </row>
    <row r="211" spans="1:11">
      <c r="A211" s="10" t="s">
        <v>30</v>
      </c>
      <c r="B211" s="10"/>
      <c r="C211" s="10"/>
      <c r="D211" s="11" t="s">
        <v>4</v>
      </c>
      <c r="E211" s="45"/>
      <c r="F211" s="45"/>
      <c r="G211" s="44"/>
      <c r="H211" s="12"/>
      <c r="I211" s="12"/>
      <c r="J211" s="9"/>
      <c r="K211" s="9"/>
    </row>
    <row r="212" spans="1:11">
      <c r="A212" s="10" t="s">
        <v>31</v>
      </c>
      <c r="B212" s="10"/>
      <c r="C212" s="10"/>
      <c r="D212" s="11" t="s">
        <v>4</v>
      </c>
      <c r="E212" s="45">
        <f>E210+E211</f>
        <v>0</v>
      </c>
      <c r="F212" s="45"/>
      <c r="G212" s="10"/>
      <c r="H212" s="12"/>
      <c r="I212" s="12"/>
      <c r="J212" s="47"/>
      <c r="K212" s="47"/>
    </row>
    <row r="213" spans="1:11">
      <c r="A213" s="13"/>
      <c r="B213" s="13"/>
      <c r="C213" s="13"/>
      <c r="D213" s="11"/>
      <c r="E213" s="13"/>
      <c r="F213" s="13"/>
      <c r="G213" s="10"/>
      <c r="H213" s="12"/>
      <c r="I213" s="12"/>
      <c r="J213" s="47"/>
      <c r="K213" s="47"/>
    </row>
    <row r="214" spans="1:11">
      <c r="A214" s="63" t="s">
        <v>32</v>
      </c>
      <c r="B214" s="63"/>
      <c r="C214" s="63"/>
      <c r="D214" s="11" t="s">
        <v>4</v>
      </c>
      <c r="E214" s="41">
        <f>E209-E212</f>
        <v>1400000</v>
      </c>
      <c r="F214" s="41"/>
      <c r="G214" s="10"/>
      <c r="H214" s="12"/>
      <c r="I214" s="12"/>
      <c r="J214" s="47"/>
      <c r="K214" s="47"/>
    </row>
    <row r="215" spans="1:11" ht="15.75">
      <c r="A215" s="13"/>
      <c r="B215" s="13"/>
      <c r="C215" s="10"/>
      <c r="D215" s="10"/>
      <c r="E215" s="16" t="str">
        <f>PROPER(IF(E214=0,"nol",IF(E214&lt;0,"minus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214),"000000000000000"),1,3)=0,"",MID(TEXT(ABS(E214),"000000000000000"),1,1)&amp;" ratus "&amp;MID(TEXT(ABS(E214),"000000000000000"),2,1)&amp;" puluh "&amp;MID(TEXT(ABS(E214),"000000000000000"),3,1)&amp;" trilyun ")&amp;IF(--MID(TEXT(ABS(E214),"000000000000000"),4,3)=0,"",MID(TEXT(ABS(E214),"000000000000000"),4,1)&amp;" ratus "&amp;MID(TEXT(ABS(E214),"000000000000000"),5,1)&amp;" puluh "&amp;MID(TEXT(ABS(E214),"000000000000000"),6,1)&amp;" milyar ")&amp;IF(--MID(TEXT(ABS(E214),"000000000000000"),7,3)=0,"",MID(TEXT(ABS(E214),"000000000000000"),7,1)&amp;" ratus "&amp;MID(TEXT(ABS(E214),"000000000000000"),8,1)&amp;" puluh "&amp;MID(TEXT(ABS(E214),"000000000000000"),9,1)&amp;" juta ")&amp;IF(--MID(TEXT(ABS(E214),"000000000000000"),10,3)=0,"",IF(--MID(TEXT(ABS(E214),"000000000000000"),10,3)=1,"*",MID(TEXT(ABS(E214),"000000000000000"),10,1)&amp;" ratus "&amp;MID(TEXT(ABS(E214),"000000000000000"),11,1)&amp;" puluh ")&amp;MID(TEXT(ABS(E214),"000000000000000"),12,1)&amp;" ribu ")&amp;IF(--MID(TEXT(ABS(E214),"000000000000000"),13,3)=0,"",MID(TEXT(ABS(E214),"000000000000000"),13,1)&amp;" ratus "&amp;MID(TEXT(ABS(E214),"000000000000000"),14,1)&amp;" puluh "&amp;MID(TEXT(ABS(E214),"000000000000000"),15,1)),1,"satu"),2,"dua"),3,"tiga"),4,"empat"),5,"lima"),6,"enam"),7,"tujuh"),8,"delapan"),9,"sembilan"),"0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Satu Juta Empat Ratus Ribu Rupiah</v>
      </c>
      <c r="F215" s="10"/>
      <c r="G215" s="10"/>
      <c r="H215" s="10"/>
      <c r="I215" s="10"/>
      <c r="J215" s="47"/>
      <c r="K215" s="47"/>
    </row>
    <row r="216" spans="1:11">
      <c r="A216" s="46"/>
      <c r="B216" s="46"/>
      <c r="C216" s="46"/>
      <c r="D216" s="46"/>
      <c r="E216" s="46"/>
      <c r="F216" s="46"/>
      <c r="G216" s="29"/>
      <c r="H216" s="47"/>
      <c r="I216" s="47"/>
      <c r="J216" s="47"/>
      <c r="K216" s="47"/>
    </row>
    <row r="217" spans="1:11">
      <c r="A217" s="29"/>
      <c r="B217" s="29"/>
      <c r="C217" s="29"/>
      <c r="D217" s="29"/>
      <c r="E217" s="29"/>
      <c r="F217" s="29"/>
      <c r="G217" s="29"/>
      <c r="H217"/>
      <c r="I217"/>
      <c r="J217" s="47"/>
      <c r="K217" s="47"/>
    </row>
    <row r="218" spans="1:11">
      <c r="A218" s="13"/>
      <c r="B218" s="13"/>
      <c r="C218" s="10"/>
      <c r="D218" s="10"/>
      <c r="E218" s="10"/>
      <c r="F218" s="10"/>
      <c r="G218" s="10"/>
      <c r="I218" s="48"/>
      <c r="J218" s="48" t="s">
        <v>100</v>
      </c>
      <c r="K218" s="47"/>
    </row>
    <row r="219" spans="1:11">
      <c r="A219" s="12" t="s">
        <v>33</v>
      </c>
      <c r="B219" s="10"/>
      <c r="C219" s="10"/>
      <c r="D219" s="10"/>
      <c r="E219" s="10"/>
      <c r="F219" s="10"/>
      <c r="G219" s="10"/>
      <c r="I219" s="12"/>
      <c r="J219" s="12" t="s">
        <v>34</v>
      </c>
      <c r="K219" s="47"/>
    </row>
    <row r="220" spans="1:11">
      <c r="A220" s="10"/>
      <c r="B220" s="10"/>
      <c r="C220" s="10"/>
      <c r="D220" s="10"/>
      <c r="E220" s="10"/>
      <c r="F220" s="10"/>
      <c r="G220" s="10"/>
      <c r="I220" s="12"/>
      <c r="J220" s="12"/>
      <c r="K220" s="47"/>
    </row>
    <row r="221" spans="1:11">
      <c r="A221" s="10"/>
      <c r="B221" s="10"/>
      <c r="C221" s="10"/>
      <c r="D221" s="10"/>
      <c r="E221" s="10"/>
      <c r="F221" s="10"/>
      <c r="G221" s="10"/>
      <c r="I221" s="12"/>
      <c r="J221" s="12"/>
      <c r="K221" s="47"/>
    </row>
    <row r="222" spans="1:11">
      <c r="A222" s="10"/>
      <c r="B222" s="10"/>
      <c r="C222" s="10"/>
      <c r="D222" s="10"/>
      <c r="E222" s="10"/>
      <c r="F222" s="10"/>
      <c r="G222" s="10"/>
      <c r="I222" s="12"/>
      <c r="J222" s="12"/>
      <c r="K222" s="47"/>
    </row>
    <row r="223" spans="1:11">
      <c r="A223" s="10"/>
      <c r="B223" s="10"/>
      <c r="C223" s="10"/>
      <c r="D223" s="10"/>
      <c r="E223" s="10"/>
      <c r="F223" s="10"/>
      <c r="G223" s="10"/>
      <c r="I223" s="12"/>
      <c r="J223" s="12"/>
      <c r="K223" s="47"/>
    </row>
    <row r="224" spans="1:11">
      <c r="A224" s="49" t="s">
        <v>38</v>
      </c>
      <c r="B224" s="49"/>
      <c r="C224" s="50"/>
      <c r="D224" s="50"/>
      <c r="E224" s="50"/>
      <c r="F224" s="50"/>
      <c r="G224" s="10" t="s">
        <v>35</v>
      </c>
      <c r="I224" s="49"/>
      <c r="J224" s="49" t="s">
        <v>36</v>
      </c>
      <c r="K224" s="47"/>
    </row>
    <row r="229" spans="1:11" ht="15.75">
      <c r="C229" s="2"/>
      <c r="D229" s="2"/>
      <c r="E229" s="2"/>
      <c r="F229" s="2"/>
    </row>
    <row r="230" spans="1:11" ht="15.75">
      <c r="A230" s="3"/>
      <c r="B230" s="3"/>
      <c r="C230" s="2"/>
      <c r="D230" s="2"/>
      <c r="E230" s="2"/>
      <c r="F230" s="2"/>
      <c r="G230" s="3"/>
      <c r="H230" s="4"/>
      <c r="I230" s="4"/>
      <c r="J230" s="4"/>
      <c r="K230" s="5"/>
    </row>
    <row r="231" spans="1:11">
      <c r="H231" s="5"/>
      <c r="I231" s="5"/>
      <c r="J231" s="5"/>
      <c r="K231" s="5"/>
    </row>
    <row r="232" spans="1:11">
      <c r="H232" s="5"/>
      <c r="I232" s="5"/>
      <c r="J232" s="5"/>
      <c r="K232" s="5"/>
    </row>
    <row r="233" spans="1:11">
      <c r="A233" s="64" t="s">
        <v>0</v>
      </c>
      <c r="B233" s="64"/>
      <c r="C233" s="58"/>
      <c r="D233" s="58"/>
      <c r="E233" s="58"/>
      <c r="F233" s="58"/>
      <c r="G233" s="58"/>
      <c r="H233" s="58"/>
      <c r="I233" s="58"/>
      <c r="J233" s="58"/>
      <c r="K233" s="58"/>
    </row>
    <row r="234" spans="1:11">
      <c r="A234" s="58" t="s">
        <v>76</v>
      </c>
      <c r="B234" s="58"/>
      <c r="C234" s="58"/>
      <c r="D234" s="58"/>
      <c r="E234" s="58"/>
      <c r="F234" s="58"/>
      <c r="G234" s="58"/>
      <c r="H234" s="58"/>
      <c r="I234" s="58"/>
      <c r="J234" s="58"/>
      <c r="K234" s="58"/>
    </row>
    <row r="235" spans="1:11">
      <c r="A235" s="58" t="s">
        <v>1</v>
      </c>
      <c r="B235" s="58"/>
      <c r="C235" s="58"/>
      <c r="D235" s="58"/>
      <c r="E235" s="58"/>
      <c r="F235" s="58"/>
      <c r="G235" s="58"/>
      <c r="H235" s="58"/>
      <c r="I235" s="58"/>
      <c r="J235" s="58"/>
      <c r="K235" s="58"/>
    </row>
    <row r="236" spans="1:11">
      <c r="A236" s="58" t="s">
        <v>39</v>
      </c>
      <c r="B236" s="58"/>
      <c r="C236" s="58"/>
      <c r="D236" s="58"/>
      <c r="E236" s="58"/>
      <c r="F236" s="58"/>
      <c r="G236" s="58"/>
      <c r="H236" s="58"/>
      <c r="I236" s="58"/>
      <c r="J236" s="58"/>
      <c r="K236" s="58"/>
    </row>
    <row r="237" spans="1:11">
      <c r="A237" s="58" t="s">
        <v>2</v>
      </c>
      <c r="B237" s="58"/>
      <c r="C237" s="58"/>
      <c r="D237" s="58"/>
      <c r="E237" s="58"/>
      <c r="F237" s="58"/>
      <c r="G237" s="58"/>
      <c r="H237" s="58"/>
      <c r="I237" s="58"/>
      <c r="J237" s="58"/>
      <c r="K237" s="58"/>
    </row>
    <row r="238" spans="1:11">
      <c r="A238" s="6"/>
      <c r="B238" s="6"/>
      <c r="C238" s="7"/>
      <c r="D238" s="7"/>
      <c r="E238" s="7"/>
      <c r="F238" s="7"/>
      <c r="G238" s="8"/>
      <c r="H238" s="9"/>
      <c r="I238" s="9"/>
      <c r="J238" s="9"/>
      <c r="K238" s="9"/>
    </row>
    <row r="239" spans="1:11">
      <c r="A239" s="53" t="s">
        <v>3</v>
      </c>
      <c r="B239" s="10"/>
      <c r="C239" s="10"/>
      <c r="D239" s="54" t="s">
        <v>4</v>
      </c>
      <c r="E239" s="10" t="s">
        <v>5</v>
      </c>
      <c r="F239" s="11"/>
      <c r="G239" s="10"/>
      <c r="H239" s="12"/>
      <c r="I239" s="12"/>
      <c r="J239" s="12"/>
      <c r="K239" s="9"/>
    </row>
    <row r="240" spans="1:11">
      <c r="A240" s="53" t="s">
        <v>6</v>
      </c>
      <c r="B240" s="10"/>
      <c r="C240" s="10"/>
      <c r="D240" s="54" t="s">
        <v>4</v>
      </c>
      <c r="E240" s="10" t="s">
        <v>7</v>
      </c>
      <c r="F240" s="11"/>
      <c r="G240" s="10"/>
      <c r="H240" s="12"/>
      <c r="I240" s="12"/>
      <c r="J240" s="12"/>
      <c r="K240" s="9"/>
    </row>
    <row r="241" spans="1:11">
      <c r="A241" s="53" t="s">
        <v>8</v>
      </c>
      <c r="B241" s="10"/>
      <c r="C241" s="10"/>
      <c r="D241" s="54" t="s">
        <v>4</v>
      </c>
      <c r="E241" s="13">
        <v>2026</v>
      </c>
      <c r="F241" s="11"/>
      <c r="G241" s="13"/>
      <c r="H241" s="12"/>
      <c r="I241" s="12"/>
      <c r="J241" s="12"/>
      <c r="K241" s="9"/>
    </row>
    <row r="242" spans="1:11">
      <c r="A242" s="53" t="s">
        <v>9</v>
      </c>
      <c r="B242" s="10"/>
      <c r="C242" s="10"/>
      <c r="D242" s="54" t="s">
        <v>4</v>
      </c>
      <c r="E242" s="14">
        <f>J252</f>
        <v>1100000</v>
      </c>
      <c r="F242" s="11"/>
      <c r="G242" s="14"/>
      <c r="H242" s="12"/>
      <c r="I242" s="12"/>
      <c r="J242" s="12"/>
      <c r="K242" s="9"/>
    </row>
    <row r="243" spans="1:11" ht="15.75">
      <c r="A243" s="10"/>
      <c r="B243" s="10"/>
      <c r="C243" s="15" t="s">
        <v>10</v>
      </c>
      <c r="D243" s="54" t="s">
        <v>4</v>
      </c>
      <c r="E243" s="16" t="str">
        <f>PROPER(IF(E242=0,"nol",IF(E242&lt;0,"minus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242),"000000000000000"),1,3)=0,"",MID(TEXT(ABS(E242),"000000000000000"),1,1)&amp;" ratus "&amp;MID(TEXT(ABS(E242),"000000000000000"),2,1)&amp;" puluh "&amp;MID(TEXT(ABS(E242),"000000000000000"),3,1)&amp;" trilyun ")&amp;IF(--MID(TEXT(ABS(E242),"000000000000000"),4,3)=0,"",MID(TEXT(ABS(E242),"000000000000000"),4,1)&amp;" ratus "&amp;MID(TEXT(ABS(E242),"000000000000000"),5,1)&amp;" puluh "&amp;MID(TEXT(ABS(E242),"000000000000000"),6,1)&amp;" milyar ")&amp;IF(--MID(TEXT(ABS(E242),"000000000000000"),7,3)=0,"",MID(TEXT(ABS(E242),"000000000000000"),7,1)&amp;" ratus "&amp;MID(TEXT(ABS(E242),"000000000000000"),8,1)&amp;" puluh "&amp;MID(TEXT(ABS(E242),"000000000000000"),9,1)&amp;" juta ")&amp;IF(--MID(TEXT(ABS(E242),"000000000000000"),10,3)=0,"",IF(--MID(TEXT(ABS(E242),"000000000000000"),10,3)=1,"*",MID(TEXT(ABS(E242),"000000000000000"),10,1)&amp;" ratus "&amp;MID(TEXT(ABS(E242),"000000000000000"),11,1)&amp;" puluh ")&amp;MID(TEXT(ABS(E242),"000000000000000"),12,1)&amp;" ribu ")&amp;IF(--MID(TEXT(ABS(E242),"000000000000000"),13,3)=0,"",MID(TEXT(ABS(E242),"000000000000000"),13,1)&amp;" ratus "&amp;MID(TEXT(ABS(E242),"000000000000000"),14,1)&amp;" puluh "&amp;MID(TEXT(ABS(E242),"000000000000000"),15,1)),1,"satu"),2,"dua"),3,"tiga"),4,"empat"),5,"lima"),6,"enam"),7,"tujuh"),8,"delapan"),9,"sembilan"),"0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Satu Juta Seratus Ribu Rupiah</v>
      </c>
      <c r="F243" s="11"/>
      <c r="G243" s="16"/>
      <c r="H243" s="12"/>
      <c r="I243" s="12"/>
      <c r="J243" s="12"/>
      <c r="K243" s="9"/>
    </row>
    <row r="244" spans="1:11" ht="15.75">
      <c r="A244" s="10"/>
      <c r="B244" s="10"/>
      <c r="C244" s="15"/>
      <c r="D244" s="15"/>
      <c r="E244" s="15"/>
      <c r="F244" s="11"/>
      <c r="G244" s="16"/>
      <c r="H244" s="12"/>
      <c r="I244" s="12"/>
      <c r="J244" s="12"/>
      <c r="K244" s="9"/>
    </row>
    <row r="245" spans="1:11">
      <c r="A245" s="10" t="s">
        <v>11</v>
      </c>
      <c r="B245" s="10"/>
      <c r="C245" s="10"/>
      <c r="D245" s="10"/>
      <c r="E245" s="10"/>
      <c r="F245" s="10"/>
      <c r="G245" s="10"/>
      <c r="H245" s="12"/>
      <c r="I245" s="12"/>
      <c r="J245" s="12"/>
      <c r="K245" s="9"/>
    </row>
    <row r="246" spans="1:11">
      <c r="A246" s="59" t="s">
        <v>12</v>
      </c>
      <c r="B246" s="59"/>
      <c r="C246" s="59"/>
      <c r="D246" s="59"/>
      <c r="E246" s="59"/>
      <c r="F246" s="59"/>
      <c r="G246" s="59"/>
      <c r="H246" s="59"/>
      <c r="I246" s="59"/>
      <c r="J246" s="59"/>
      <c r="K246" s="59"/>
    </row>
    <row r="247" spans="1:11" ht="60">
      <c r="A247" s="17" t="s">
        <v>13</v>
      </c>
      <c r="B247" s="18" t="s">
        <v>14</v>
      </c>
      <c r="C247" s="60" t="s">
        <v>15</v>
      </c>
      <c r="D247" s="61"/>
      <c r="E247" s="62"/>
      <c r="F247" s="19"/>
      <c r="G247" s="20" t="s">
        <v>16</v>
      </c>
      <c r="H247" s="21" t="s">
        <v>37</v>
      </c>
      <c r="I247" s="21"/>
      <c r="J247" s="31" t="s">
        <v>17</v>
      </c>
      <c r="K247" s="32" t="s">
        <v>18</v>
      </c>
    </row>
    <row r="248" spans="1:11">
      <c r="A248" s="27">
        <v>1</v>
      </c>
      <c r="B248" s="24"/>
      <c r="C248" s="28" t="s">
        <v>23</v>
      </c>
      <c r="D248" s="57"/>
      <c r="E248" s="26"/>
      <c r="F248" s="25"/>
      <c r="G248" s="55" t="s">
        <v>19</v>
      </c>
      <c r="H248" s="55" t="s">
        <v>19</v>
      </c>
      <c r="I248" s="55"/>
      <c r="J248" s="55" t="s">
        <v>19</v>
      </c>
      <c r="K248" s="55" t="s">
        <v>19</v>
      </c>
    </row>
    <row r="249" spans="1:11">
      <c r="A249" s="24"/>
      <c r="B249" s="56" t="s">
        <v>20</v>
      </c>
      <c r="C249" s="25" t="s">
        <v>24</v>
      </c>
      <c r="D249" s="10"/>
      <c r="E249" s="26"/>
      <c r="F249" s="25"/>
      <c r="G249" s="22">
        <v>75000000</v>
      </c>
      <c r="H249" s="23">
        <f>H204+J204</f>
        <v>26686344</v>
      </c>
      <c r="I249" s="23"/>
      <c r="J249" s="33">
        <v>1100000</v>
      </c>
      <c r="K249" s="34">
        <f>G249-H249-J249</f>
        <v>47213656</v>
      </c>
    </row>
    <row r="250" spans="1:11">
      <c r="A250" s="24"/>
      <c r="B250" s="56" t="s">
        <v>21</v>
      </c>
      <c r="C250" s="25" t="s">
        <v>25</v>
      </c>
      <c r="D250" s="10"/>
      <c r="E250" s="26"/>
      <c r="F250" s="25"/>
      <c r="G250" s="22">
        <v>30000000</v>
      </c>
      <c r="H250" s="23">
        <f>H205+J205</f>
        <v>7919774</v>
      </c>
      <c r="I250" s="23"/>
      <c r="J250" s="33">
        <v>0</v>
      </c>
      <c r="K250" s="34">
        <f t="shared" ref="K250:K251" si="9">G250-H250-J250</f>
        <v>22080226</v>
      </c>
    </row>
    <row r="251" spans="1:11">
      <c r="A251" s="24"/>
      <c r="B251" s="56" t="s">
        <v>22</v>
      </c>
      <c r="C251" s="25" t="s">
        <v>26</v>
      </c>
      <c r="D251" s="10"/>
      <c r="E251" s="26"/>
      <c r="F251" s="25"/>
      <c r="G251" s="22">
        <v>50000000</v>
      </c>
      <c r="H251" s="23">
        <f t="shared" ref="H251" si="10">H206+J206</f>
        <v>3500000</v>
      </c>
      <c r="I251" s="23"/>
      <c r="J251" s="33">
        <v>0</v>
      </c>
      <c r="K251" s="34">
        <f t="shared" si="9"/>
        <v>46500000</v>
      </c>
    </row>
    <row r="252" spans="1:11">
      <c r="A252" s="35"/>
      <c r="B252" s="35"/>
      <c r="C252" s="35" t="s">
        <v>27</v>
      </c>
      <c r="D252" s="35"/>
      <c r="E252" s="35"/>
      <c r="F252" s="36"/>
      <c r="G252" s="37">
        <f>SUM(G248:G251)</f>
        <v>155000000</v>
      </c>
      <c r="H252" s="38">
        <f>SUM(H248:H251)</f>
        <v>38106118</v>
      </c>
      <c r="I252" s="38"/>
      <c r="J252" s="38">
        <f>SUM(J248:J251)</f>
        <v>1100000</v>
      </c>
      <c r="K252" s="38">
        <f>SUM(K248:K251)</f>
        <v>115793882</v>
      </c>
    </row>
    <row r="253" spans="1:11">
      <c r="A253" s="39"/>
      <c r="B253" s="8"/>
      <c r="C253" s="8"/>
      <c r="D253" s="8"/>
      <c r="E253" s="8"/>
      <c r="F253" s="8"/>
      <c r="G253" s="40"/>
      <c r="H253" s="40"/>
      <c r="I253" s="40"/>
      <c r="J253" s="40"/>
      <c r="K253" s="40"/>
    </row>
    <row r="254" spans="1:11">
      <c r="A254" s="63" t="s">
        <v>28</v>
      </c>
      <c r="B254" s="63"/>
      <c r="C254" s="63"/>
      <c r="D254" s="11" t="s">
        <v>4</v>
      </c>
      <c r="E254" s="14">
        <f>J252</f>
        <v>1100000</v>
      </c>
      <c r="F254" s="41"/>
      <c r="G254" s="42"/>
      <c r="H254" s="42"/>
      <c r="I254" s="42"/>
      <c r="J254" s="9"/>
      <c r="K254" s="9"/>
    </row>
    <row r="255" spans="1:11">
      <c r="A255" s="10" t="s">
        <v>29</v>
      </c>
      <c r="B255" s="10"/>
      <c r="C255" s="10"/>
      <c r="D255" s="11" t="s">
        <v>4</v>
      </c>
      <c r="E255" s="43"/>
      <c r="F255" s="43"/>
      <c r="G255" s="44"/>
      <c r="H255" s="12"/>
      <c r="I255" s="12"/>
      <c r="J255" s="9"/>
      <c r="K255" s="9"/>
    </row>
    <row r="256" spans="1:11">
      <c r="A256" s="10" t="s">
        <v>30</v>
      </c>
      <c r="B256" s="10"/>
      <c r="C256" s="10"/>
      <c r="D256" s="11" t="s">
        <v>4</v>
      </c>
      <c r="E256" s="45"/>
      <c r="F256" s="45"/>
      <c r="G256" s="44"/>
      <c r="H256" s="12"/>
      <c r="I256" s="12"/>
      <c r="J256" s="9"/>
      <c r="K256" s="9"/>
    </row>
    <row r="257" spans="1:11">
      <c r="A257" s="10" t="s">
        <v>31</v>
      </c>
      <c r="B257" s="10"/>
      <c r="C257" s="10"/>
      <c r="D257" s="11" t="s">
        <v>4</v>
      </c>
      <c r="E257" s="45">
        <f>E255+E256</f>
        <v>0</v>
      </c>
      <c r="F257" s="45"/>
      <c r="G257" s="10"/>
      <c r="H257" s="12"/>
      <c r="I257" s="12"/>
      <c r="J257" s="47"/>
      <c r="K257" s="47"/>
    </row>
    <row r="258" spans="1:11">
      <c r="A258" s="13"/>
      <c r="B258" s="13"/>
      <c r="C258" s="13"/>
      <c r="D258" s="11"/>
      <c r="E258" s="13"/>
      <c r="F258" s="13"/>
      <c r="G258" s="10"/>
      <c r="H258" s="12"/>
      <c r="I258" s="12"/>
      <c r="J258" s="47"/>
      <c r="K258" s="47"/>
    </row>
    <row r="259" spans="1:11">
      <c r="A259" s="63" t="s">
        <v>32</v>
      </c>
      <c r="B259" s="63"/>
      <c r="C259" s="63"/>
      <c r="D259" s="11" t="s">
        <v>4</v>
      </c>
      <c r="E259" s="41">
        <f>E254-E257</f>
        <v>1100000</v>
      </c>
      <c r="F259" s="41"/>
      <c r="G259" s="10"/>
      <c r="H259" s="12"/>
      <c r="I259" s="12"/>
      <c r="J259" s="47"/>
      <c r="K259" s="47"/>
    </row>
    <row r="260" spans="1:11" ht="15.75">
      <c r="A260" s="13"/>
      <c r="B260" s="13"/>
      <c r="C260" s="10"/>
      <c r="D260" s="10"/>
      <c r="E260" s="16" t="str">
        <f>PROPER(IF(E259=0,"nol",IF(E259&lt;0,"minus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259),"000000000000000"),1,3)=0,"",MID(TEXT(ABS(E259),"000000000000000"),1,1)&amp;" ratus "&amp;MID(TEXT(ABS(E259),"000000000000000"),2,1)&amp;" puluh "&amp;MID(TEXT(ABS(E259),"000000000000000"),3,1)&amp;" trilyun ")&amp;IF(--MID(TEXT(ABS(E259),"000000000000000"),4,3)=0,"",MID(TEXT(ABS(E259),"000000000000000"),4,1)&amp;" ratus "&amp;MID(TEXT(ABS(E259),"000000000000000"),5,1)&amp;" puluh "&amp;MID(TEXT(ABS(E259),"000000000000000"),6,1)&amp;" milyar ")&amp;IF(--MID(TEXT(ABS(E259),"000000000000000"),7,3)=0,"",MID(TEXT(ABS(E259),"000000000000000"),7,1)&amp;" ratus "&amp;MID(TEXT(ABS(E259),"000000000000000"),8,1)&amp;" puluh "&amp;MID(TEXT(ABS(E259),"000000000000000"),9,1)&amp;" juta ")&amp;IF(--MID(TEXT(ABS(E259),"000000000000000"),10,3)=0,"",IF(--MID(TEXT(ABS(E259),"000000000000000"),10,3)=1,"*",MID(TEXT(ABS(E259),"000000000000000"),10,1)&amp;" ratus "&amp;MID(TEXT(ABS(E259),"000000000000000"),11,1)&amp;" puluh ")&amp;MID(TEXT(ABS(E259),"000000000000000"),12,1)&amp;" ribu ")&amp;IF(--MID(TEXT(ABS(E259),"000000000000000"),13,3)=0,"",MID(TEXT(ABS(E259),"000000000000000"),13,1)&amp;" ratus "&amp;MID(TEXT(ABS(E259),"000000000000000"),14,1)&amp;" puluh "&amp;MID(TEXT(ABS(E259),"000000000000000"),15,1)),1,"satu"),2,"dua"),3,"tiga"),4,"empat"),5,"lima"),6,"enam"),7,"tujuh"),8,"delapan"),9,"sembilan"),"0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Satu Juta Seratus Ribu Rupiah</v>
      </c>
      <c r="F260" s="10"/>
      <c r="G260" s="10"/>
      <c r="H260" s="10"/>
      <c r="I260" s="10"/>
      <c r="J260" s="47"/>
      <c r="K260" s="47"/>
    </row>
    <row r="261" spans="1:11">
      <c r="A261" s="46"/>
      <c r="B261" s="46"/>
      <c r="C261" s="46"/>
      <c r="D261" s="46"/>
      <c r="E261" s="46"/>
      <c r="F261" s="46"/>
      <c r="G261" s="29"/>
      <c r="H261" s="47"/>
      <c r="I261" s="47"/>
      <c r="J261" s="47"/>
      <c r="K261" s="47"/>
    </row>
    <row r="262" spans="1:11">
      <c r="A262" s="29"/>
      <c r="B262" s="29"/>
      <c r="C262" s="29"/>
      <c r="D262" s="29"/>
      <c r="E262" s="29"/>
      <c r="F262" s="29"/>
      <c r="G262" s="29"/>
      <c r="H262"/>
      <c r="I262"/>
      <c r="J262" s="47"/>
      <c r="K262" s="47"/>
    </row>
    <row r="263" spans="1:11">
      <c r="A263" s="13"/>
      <c r="B263" s="13"/>
      <c r="C263" s="10"/>
      <c r="D263" s="10"/>
      <c r="E263" s="10"/>
      <c r="F263" s="10"/>
      <c r="G263" s="10"/>
      <c r="I263" s="48"/>
      <c r="J263" s="48" t="s">
        <v>75</v>
      </c>
      <c r="K263" s="47"/>
    </row>
    <row r="264" spans="1:11">
      <c r="A264" s="12" t="s">
        <v>33</v>
      </c>
      <c r="B264" s="10"/>
      <c r="C264" s="10"/>
      <c r="D264" s="10"/>
      <c r="E264" s="10"/>
      <c r="F264" s="10"/>
      <c r="G264" s="10"/>
      <c r="I264" s="12"/>
      <c r="J264" s="12" t="s">
        <v>34</v>
      </c>
      <c r="K264" s="47"/>
    </row>
    <row r="265" spans="1:11">
      <c r="A265" s="10"/>
      <c r="B265" s="10"/>
      <c r="C265" s="10"/>
      <c r="D265" s="10"/>
      <c r="E265" s="10"/>
      <c r="F265" s="10"/>
      <c r="G265" s="10"/>
      <c r="I265" s="12"/>
      <c r="J265" s="12"/>
      <c r="K265" s="47"/>
    </row>
    <row r="266" spans="1:11">
      <c r="A266" s="10"/>
      <c r="B266" s="10"/>
      <c r="C266" s="10"/>
      <c r="D266" s="10"/>
      <c r="E266" s="10"/>
      <c r="F266" s="10"/>
      <c r="G266" s="10"/>
      <c r="I266" s="12"/>
      <c r="J266" s="12"/>
      <c r="K266" s="47"/>
    </row>
    <row r="267" spans="1:11">
      <c r="A267" s="10"/>
      <c r="B267" s="10"/>
      <c r="C267" s="10"/>
      <c r="D267" s="10"/>
      <c r="E267" s="10"/>
      <c r="F267" s="10"/>
      <c r="G267" s="10"/>
      <c r="I267" s="12"/>
      <c r="J267" s="12"/>
      <c r="K267" s="47"/>
    </row>
    <row r="268" spans="1:11">
      <c r="A268" s="10"/>
      <c r="B268" s="10"/>
      <c r="C268" s="10"/>
      <c r="D268" s="10"/>
      <c r="E268" s="10"/>
      <c r="F268" s="10"/>
      <c r="G268" s="10"/>
      <c r="I268" s="12"/>
      <c r="J268" s="12"/>
      <c r="K268" s="47"/>
    </row>
    <row r="269" spans="1:11">
      <c r="A269" s="49" t="s">
        <v>38</v>
      </c>
      <c r="B269" s="49"/>
      <c r="C269" s="50"/>
      <c r="D269" s="50"/>
      <c r="E269" s="50"/>
      <c r="F269" s="50"/>
      <c r="G269" s="10" t="s">
        <v>35</v>
      </c>
      <c r="I269" s="49"/>
      <c r="J269" s="49" t="s">
        <v>36</v>
      </c>
      <c r="K269" s="47"/>
    </row>
    <row r="274" spans="1:11" ht="15.75">
      <c r="C274" s="2"/>
      <c r="D274" s="2"/>
      <c r="E274" s="2"/>
      <c r="F274" s="2"/>
    </row>
    <row r="275" spans="1:11" ht="15.75">
      <c r="A275" s="3"/>
      <c r="B275" s="3"/>
      <c r="C275" s="2"/>
      <c r="D275" s="2"/>
      <c r="E275" s="2"/>
      <c r="F275" s="2"/>
      <c r="G275" s="3"/>
      <c r="H275" s="4"/>
      <c r="I275" s="4"/>
      <c r="J275" s="4"/>
      <c r="K275" s="5"/>
    </row>
    <row r="276" spans="1:11">
      <c r="H276" s="5"/>
      <c r="I276" s="5"/>
      <c r="J276" s="5"/>
      <c r="K276" s="5"/>
    </row>
    <row r="277" spans="1:11">
      <c r="H277" s="5"/>
      <c r="I277" s="5"/>
      <c r="J277" s="5"/>
      <c r="K277" s="5"/>
    </row>
    <row r="278" spans="1:11">
      <c r="A278" s="64" t="s">
        <v>0</v>
      </c>
      <c r="B278" s="64"/>
      <c r="C278" s="58"/>
      <c r="D278" s="58"/>
      <c r="E278" s="58"/>
      <c r="F278" s="58"/>
      <c r="G278" s="58"/>
      <c r="H278" s="58"/>
      <c r="I278" s="58"/>
      <c r="J278" s="58"/>
      <c r="K278" s="58"/>
    </row>
    <row r="279" spans="1:11">
      <c r="A279" s="58" t="s">
        <v>77</v>
      </c>
      <c r="B279" s="58"/>
      <c r="C279" s="58"/>
      <c r="D279" s="58"/>
      <c r="E279" s="58"/>
      <c r="F279" s="58"/>
      <c r="G279" s="58"/>
      <c r="H279" s="58"/>
      <c r="I279" s="58"/>
      <c r="J279" s="58"/>
      <c r="K279" s="58"/>
    </row>
    <row r="280" spans="1:11">
      <c r="A280" s="58" t="s">
        <v>1</v>
      </c>
      <c r="B280" s="58"/>
      <c r="C280" s="58"/>
      <c r="D280" s="58"/>
      <c r="E280" s="58"/>
      <c r="F280" s="58"/>
      <c r="G280" s="58"/>
      <c r="H280" s="58"/>
      <c r="I280" s="58"/>
      <c r="J280" s="58"/>
      <c r="K280" s="58"/>
    </row>
    <row r="281" spans="1:11">
      <c r="A281" s="58" t="s">
        <v>39</v>
      </c>
      <c r="B281" s="58"/>
      <c r="C281" s="58"/>
      <c r="D281" s="58"/>
      <c r="E281" s="58"/>
      <c r="F281" s="58"/>
      <c r="G281" s="58"/>
      <c r="H281" s="58"/>
      <c r="I281" s="58"/>
      <c r="J281" s="58"/>
      <c r="K281" s="58"/>
    </row>
    <row r="282" spans="1:11">
      <c r="A282" s="58" t="s">
        <v>2</v>
      </c>
      <c r="B282" s="58"/>
      <c r="C282" s="58"/>
      <c r="D282" s="58"/>
      <c r="E282" s="58"/>
      <c r="F282" s="58"/>
      <c r="G282" s="58"/>
      <c r="H282" s="58"/>
      <c r="I282" s="58"/>
      <c r="J282" s="58"/>
      <c r="K282" s="58"/>
    </row>
    <row r="283" spans="1:11">
      <c r="A283" s="6"/>
      <c r="B283" s="6"/>
      <c r="C283" s="7"/>
      <c r="D283" s="7"/>
      <c r="E283" s="7"/>
      <c r="F283" s="7"/>
      <c r="G283" s="8"/>
      <c r="H283" s="9"/>
      <c r="I283" s="9"/>
      <c r="J283" s="9"/>
      <c r="K283" s="9"/>
    </row>
    <row r="284" spans="1:11">
      <c r="A284" s="53" t="s">
        <v>3</v>
      </c>
      <c r="B284" s="10"/>
      <c r="C284" s="10"/>
      <c r="D284" s="54" t="s">
        <v>4</v>
      </c>
      <c r="E284" s="10" t="s">
        <v>5</v>
      </c>
      <c r="F284" s="11"/>
      <c r="G284" s="10"/>
      <c r="H284" s="12"/>
      <c r="I284" s="12"/>
      <c r="J284" s="12"/>
      <c r="K284" s="9"/>
    </row>
    <row r="285" spans="1:11">
      <c r="A285" s="53" t="s">
        <v>6</v>
      </c>
      <c r="B285" s="10"/>
      <c r="C285" s="10"/>
      <c r="D285" s="54" t="s">
        <v>4</v>
      </c>
      <c r="E285" s="10" t="s">
        <v>7</v>
      </c>
      <c r="F285" s="11"/>
      <c r="G285" s="10"/>
      <c r="H285" s="12"/>
      <c r="I285" s="12"/>
      <c r="J285" s="12"/>
      <c r="K285" s="9"/>
    </row>
    <row r="286" spans="1:11">
      <c r="A286" s="53" t="s">
        <v>8</v>
      </c>
      <c r="B286" s="10"/>
      <c r="C286" s="10"/>
      <c r="D286" s="54" t="s">
        <v>4</v>
      </c>
      <c r="E286" s="13">
        <v>2026</v>
      </c>
      <c r="F286" s="11"/>
      <c r="G286" s="13"/>
      <c r="H286" s="12"/>
      <c r="I286" s="12"/>
      <c r="J286" s="12"/>
      <c r="K286" s="9"/>
    </row>
    <row r="287" spans="1:11">
      <c r="A287" s="53" t="s">
        <v>9</v>
      </c>
      <c r="B287" s="10"/>
      <c r="C287" s="10"/>
      <c r="D287" s="54" t="s">
        <v>4</v>
      </c>
      <c r="E287" s="14">
        <f>J297</f>
        <v>3500000</v>
      </c>
      <c r="F287" s="11"/>
      <c r="G287" s="14"/>
      <c r="H287" s="12"/>
      <c r="I287" s="12"/>
      <c r="J287" s="12"/>
      <c r="K287" s="9"/>
    </row>
    <row r="288" spans="1:11" ht="15.75">
      <c r="A288" s="10"/>
      <c r="B288" s="10"/>
      <c r="C288" s="15" t="s">
        <v>10</v>
      </c>
      <c r="D288" s="54" t="s">
        <v>4</v>
      </c>
      <c r="E288" s="16" t="str">
        <f>PROPER(IF(E287=0,"nol",IF(E287&lt;0,"minus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287),"000000000000000"),1,3)=0,"",MID(TEXT(ABS(E287),"000000000000000"),1,1)&amp;" ratus "&amp;MID(TEXT(ABS(E287),"000000000000000"),2,1)&amp;" puluh "&amp;MID(TEXT(ABS(E287),"000000000000000"),3,1)&amp;" trilyun ")&amp;IF(--MID(TEXT(ABS(E287),"000000000000000"),4,3)=0,"",MID(TEXT(ABS(E287),"000000000000000"),4,1)&amp;" ratus "&amp;MID(TEXT(ABS(E287),"000000000000000"),5,1)&amp;" puluh "&amp;MID(TEXT(ABS(E287),"000000000000000"),6,1)&amp;" milyar ")&amp;IF(--MID(TEXT(ABS(E287),"000000000000000"),7,3)=0,"",MID(TEXT(ABS(E287),"000000000000000"),7,1)&amp;" ratus "&amp;MID(TEXT(ABS(E287),"000000000000000"),8,1)&amp;" puluh "&amp;MID(TEXT(ABS(E287),"000000000000000"),9,1)&amp;" juta ")&amp;IF(--MID(TEXT(ABS(E287),"000000000000000"),10,3)=0,"",IF(--MID(TEXT(ABS(E287),"000000000000000"),10,3)=1,"*",MID(TEXT(ABS(E287),"000000000000000"),10,1)&amp;" ratus "&amp;MID(TEXT(ABS(E287),"000000000000000"),11,1)&amp;" puluh ")&amp;MID(TEXT(ABS(E287),"000000000000000"),12,1)&amp;" ribu ")&amp;IF(--MID(TEXT(ABS(E287),"000000000000000"),13,3)=0,"",MID(TEXT(ABS(E287),"000000000000000"),13,1)&amp;" ratus "&amp;MID(TEXT(ABS(E287),"000000000000000"),14,1)&amp;" puluh "&amp;MID(TEXT(ABS(E287),"000000000000000"),15,1)),1,"satu"),2,"dua"),3,"tiga"),4,"empat"),5,"lima"),6,"enam"),7,"tujuh"),8,"delapan"),9,"sembilan"),"0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Tiga Juta Lima Ratus Ribu Rupiah</v>
      </c>
      <c r="F288" s="11"/>
      <c r="G288" s="16"/>
      <c r="H288" s="12"/>
      <c r="I288" s="12"/>
      <c r="J288" s="12"/>
      <c r="K288" s="9"/>
    </row>
    <row r="289" spans="1:11" ht="15.75">
      <c r="A289" s="10"/>
      <c r="B289" s="10"/>
      <c r="C289" s="15"/>
      <c r="D289" s="15"/>
      <c r="E289" s="15"/>
      <c r="F289" s="11"/>
      <c r="G289" s="16"/>
      <c r="H289" s="12"/>
      <c r="I289" s="12"/>
      <c r="J289" s="12"/>
      <c r="K289" s="9"/>
    </row>
    <row r="290" spans="1:11">
      <c r="A290" s="10" t="s">
        <v>11</v>
      </c>
      <c r="B290" s="10"/>
      <c r="C290" s="10"/>
      <c r="D290" s="10"/>
      <c r="E290" s="10"/>
      <c r="F290" s="10"/>
      <c r="G290" s="10"/>
      <c r="H290" s="12"/>
      <c r="I290" s="12"/>
      <c r="J290" s="12"/>
      <c r="K290" s="9"/>
    </row>
    <row r="291" spans="1:11">
      <c r="A291" s="59" t="s">
        <v>12</v>
      </c>
      <c r="B291" s="59"/>
      <c r="C291" s="59"/>
      <c r="D291" s="59"/>
      <c r="E291" s="59"/>
      <c r="F291" s="59"/>
      <c r="G291" s="59"/>
      <c r="H291" s="59"/>
      <c r="I291" s="59"/>
      <c r="J291" s="59"/>
      <c r="K291" s="59"/>
    </row>
    <row r="292" spans="1:11" ht="60">
      <c r="A292" s="17" t="s">
        <v>13</v>
      </c>
      <c r="B292" s="18" t="s">
        <v>14</v>
      </c>
      <c r="C292" s="60" t="s">
        <v>15</v>
      </c>
      <c r="D292" s="61"/>
      <c r="E292" s="62"/>
      <c r="F292" s="19"/>
      <c r="G292" s="20" t="s">
        <v>16</v>
      </c>
      <c r="H292" s="21" t="s">
        <v>37</v>
      </c>
      <c r="I292" s="21"/>
      <c r="J292" s="31" t="s">
        <v>17</v>
      </c>
      <c r="K292" s="32" t="s">
        <v>18</v>
      </c>
    </row>
    <row r="293" spans="1:11">
      <c r="A293" s="27">
        <v>1</v>
      </c>
      <c r="B293" s="24"/>
      <c r="C293" s="28" t="s">
        <v>23</v>
      </c>
      <c r="D293" s="57"/>
      <c r="E293" s="26"/>
      <c r="F293" s="25"/>
      <c r="G293" s="55" t="s">
        <v>19</v>
      </c>
      <c r="H293" s="55" t="s">
        <v>19</v>
      </c>
      <c r="I293" s="55"/>
      <c r="J293" s="55" t="s">
        <v>19</v>
      </c>
      <c r="K293" s="55" t="s">
        <v>19</v>
      </c>
    </row>
    <row r="294" spans="1:11">
      <c r="A294" s="24"/>
      <c r="B294" s="56" t="s">
        <v>20</v>
      </c>
      <c r="C294" s="25" t="s">
        <v>24</v>
      </c>
      <c r="D294" s="10"/>
      <c r="E294" s="26"/>
      <c r="F294" s="25"/>
      <c r="G294" s="22">
        <v>75000000</v>
      </c>
      <c r="H294" s="23">
        <f>H249+J249</f>
        <v>27786344</v>
      </c>
      <c r="I294" s="23"/>
      <c r="J294" s="33">
        <v>0</v>
      </c>
      <c r="K294" s="34">
        <f>G294-H294-J294</f>
        <v>47213656</v>
      </c>
    </row>
    <row r="295" spans="1:11">
      <c r="A295" s="24"/>
      <c r="B295" s="56" t="s">
        <v>21</v>
      </c>
      <c r="C295" s="25" t="s">
        <v>25</v>
      </c>
      <c r="D295" s="10"/>
      <c r="E295" s="26"/>
      <c r="F295" s="25"/>
      <c r="G295" s="22">
        <v>30000000</v>
      </c>
      <c r="H295" s="23">
        <f t="shared" ref="H295:H296" si="11">H250+J250</f>
        <v>7919774</v>
      </c>
      <c r="I295" s="23"/>
      <c r="J295" s="33">
        <v>0</v>
      </c>
      <c r="K295" s="34">
        <f t="shared" ref="K295:K296" si="12">G295-H295-J295</f>
        <v>22080226</v>
      </c>
    </row>
    <row r="296" spans="1:11">
      <c r="A296" s="24"/>
      <c r="B296" s="56" t="s">
        <v>22</v>
      </c>
      <c r="C296" s="25" t="s">
        <v>26</v>
      </c>
      <c r="D296" s="10"/>
      <c r="E296" s="26"/>
      <c r="F296" s="25"/>
      <c r="G296" s="22">
        <v>50000000</v>
      </c>
      <c r="H296" s="23">
        <f t="shared" si="11"/>
        <v>3500000</v>
      </c>
      <c r="I296" s="23"/>
      <c r="J296" s="33">
        <v>3500000</v>
      </c>
      <c r="K296" s="34">
        <f t="shared" si="12"/>
        <v>43000000</v>
      </c>
    </row>
    <row r="297" spans="1:11">
      <c r="A297" s="35"/>
      <c r="B297" s="35"/>
      <c r="C297" s="35" t="s">
        <v>27</v>
      </c>
      <c r="D297" s="35"/>
      <c r="E297" s="35"/>
      <c r="F297" s="36"/>
      <c r="G297" s="37">
        <f>SUM(G293:G296)</f>
        <v>155000000</v>
      </c>
      <c r="H297" s="38">
        <f>SUM(H293:H296)</f>
        <v>39206118</v>
      </c>
      <c r="I297" s="38"/>
      <c r="J297" s="38">
        <f>SUM(J293:J296)</f>
        <v>3500000</v>
      </c>
      <c r="K297" s="38">
        <f>SUM(K293:K296)</f>
        <v>112293882</v>
      </c>
    </row>
    <row r="298" spans="1:11">
      <c r="A298" s="39"/>
      <c r="B298" s="8"/>
      <c r="C298" s="8"/>
      <c r="D298" s="8"/>
      <c r="E298" s="8"/>
      <c r="F298" s="8"/>
      <c r="G298" s="40"/>
      <c r="H298" s="40"/>
      <c r="I298" s="40"/>
      <c r="J298" s="40"/>
      <c r="K298" s="40"/>
    </row>
    <row r="299" spans="1:11">
      <c r="A299" s="63" t="s">
        <v>28</v>
      </c>
      <c r="B299" s="63"/>
      <c r="C299" s="63"/>
      <c r="D299" s="11" t="s">
        <v>4</v>
      </c>
      <c r="E299" s="14">
        <f>J297</f>
        <v>3500000</v>
      </c>
      <c r="F299" s="41"/>
      <c r="G299" s="42"/>
      <c r="H299" s="42"/>
      <c r="I299" s="42"/>
      <c r="J299" s="9"/>
      <c r="K299" s="9"/>
    </row>
    <row r="300" spans="1:11">
      <c r="A300" s="10" t="s">
        <v>29</v>
      </c>
      <c r="B300" s="10"/>
      <c r="C300" s="10"/>
      <c r="D300" s="11" t="s">
        <v>4</v>
      </c>
      <c r="E300" s="43"/>
      <c r="F300" s="43"/>
      <c r="G300" s="44"/>
      <c r="H300" s="12"/>
      <c r="I300" s="12"/>
      <c r="J300" s="9"/>
      <c r="K300" s="9"/>
    </row>
    <row r="301" spans="1:11">
      <c r="A301" s="10" t="s">
        <v>30</v>
      </c>
      <c r="B301" s="10"/>
      <c r="C301" s="10"/>
      <c r="D301" s="11" t="s">
        <v>4</v>
      </c>
      <c r="E301" s="45"/>
      <c r="F301" s="45"/>
      <c r="G301" s="44"/>
      <c r="H301" s="12"/>
      <c r="I301" s="12"/>
      <c r="J301" s="9"/>
      <c r="K301" s="9"/>
    </row>
    <row r="302" spans="1:11">
      <c r="A302" s="10" t="s">
        <v>31</v>
      </c>
      <c r="B302" s="10"/>
      <c r="C302" s="10"/>
      <c r="D302" s="11" t="s">
        <v>4</v>
      </c>
      <c r="E302" s="45">
        <f>E300+E301</f>
        <v>0</v>
      </c>
      <c r="F302" s="45"/>
      <c r="G302" s="10"/>
      <c r="H302" s="12"/>
      <c r="I302" s="12"/>
      <c r="J302" s="47"/>
      <c r="K302" s="47"/>
    </row>
    <row r="303" spans="1:11">
      <c r="A303" s="13"/>
      <c r="B303" s="13"/>
      <c r="C303" s="13"/>
      <c r="D303" s="11"/>
      <c r="E303" s="13"/>
      <c r="F303" s="13"/>
      <c r="G303" s="10"/>
      <c r="H303" s="12"/>
      <c r="I303" s="12"/>
      <c r="J303" s="47"/>
      <c r="K303" s="47"/>
    </row>
    <row r="304" spans="1:11">
      <c r="A304" s="63" t="s">
        <v>32</v>
      </c>
      <c r="B304" s="63"/>
      <c r="C304" s="63"/>
      <c r="D304" s="11" t="s">
        <v>4</v>
      </c>
      <c r="E304" s="41">
        <f>E299-E302</f>
        <v>3500000</v>
      </c>
      <c r="F304" s="41"/>
      <c r="G304" s="10"/>
      <c r="H304" s="12"/>
      <c r="I304" s="12"/>
      <c r="J304" s="47"/>
      <c r="K304" s="47"/>
    </row>
    <row r="305" spans="1:11" ht="15.75">
      <c r="A305" s="13"/>
      <c r="B305" s="13"/>
      <c r="C305" s="10"/>
      <c r="D305" s="10"/>
      <c r="E305" s="16" t="str">
        <f>PROPER(IF(E304=0,"nol",IF(E304&lt;0,"minus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304),"000000000000000"),1,3)=0,"",MID(TEXT(ABS(E304),"000000000000000"),1,1)&amp;" ratus "&amp;MID(TEXT(ABS(E304),"000000000000000"),2,1)&amp;" puluh "&amp;MID(TEXT(ABS(E304),"000000000000000"),3,1)&amp;" trilyun ")&amp;IF(--MID(TEXT(ABS(E304),"000000000000000"),4,3)=0,"",MID(TEXT(ABS(E304),"000000000000000"),4,1)&amp;" ratus "&amp;MID(TEXT(ABS(E304),"000000000000000"),5,1)&amp;" puluh "&amp;MID(TEXT(ABS(E304),"000000000000000"),6,1)&amp;" milyar ")&amp;IF(--MID(TEXT(ABS(E304),"000000000000000"),7,3)=0,"",MID(TEXT(ABS(E304),"000000000000000"),7,1)&amp;" ratus "&amp;MID(TEXT(ABS(E304),"000000000000000"),8,1)&amp;" puluh "&amp;MID(TEXT(ABS(E304),"000000000000000"),9,1)&amp;" juta ")&amp;IF(--MID(TEXT(ABS(E304),"000000000000000"),10,3)=0,"",IF(--MID(TEXT(ABS(E304),"000000000000000"),10,3)=1,"*",MID(TEXT(ABS(E304),"000000000000000"),10,1)&amp;" ratus "&amp;MID(TEXT(ABS(E304),"000000000000000"),11,1)&amp;" puluh ")&amp;MID(TEXT(ABS(E304),"000000000000000"),12,1)&amp;" ribu ")&amp;IF(--MID(TEXT(ABS(E304),"000000000000000"),13,3)=0,"",MID(TEXT(ABS(E304),"000000000000000"),13,1)&amp;" ratus "&amp;MID(TEXT(ABS(E304),"000000000000000"),14,1)&amp;" puluh "&amp;MID(TEXT(ABS(E304),"000000000000000"),15,1)),1,"satu"),2,"dua"),3,"tiga"),4,"empat"),5,"lima"),6,"enam"),7,"tujuh"),8,"delapan"),9,"sembilan"),"0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Tiga Juta Lima Ratus Ribu Rupiah</v>
      </c>
      <c r="F305" s="10"/>
      <c r="G305" s="10"/>
      <c r="H305" s="10"/>
      <c r="I305" s="10"/>
      <c r="J305" s="47"/>
      <c r="K305" s="47"/>
    </row>
    <row r="306" spans="1:11">
      <c r="A306" s="46"/>
      <c r="B306" s="46"/>
      <c r="C306" s="46"/>
      <c r="D306" s="46"/>
      <c r="E306" s="46"/>
      <c r="F306" s="46"/>
      <c r="G306" s="29"/>
      <c r="H306" s="47"/>
      <c r="I306" s="47"/>
      <c r="J306" s="47"/>
      <c r="K306" s="47"/>
    </row>
    <row r="307" spans="1:11">
      <c r="A307" s="29"/>
      <c r="B307" s="29"/>
      <c r="C307" s="29"/>
      <c r="D307" s="29"/>
      <c r="E307" s="29"/>
      <c r="F307" s="29"/>
      <c r="G307" s="29"/>
      <c r="H307"/>
      <c r="I307"/>
      <c r="J307" s="47"/>
      <c r="K307" s="47"/>
    </row>
    <row r="308" spans="1:11">
      <c r="A308" s="13"/>
      <c r="B308" s="13"/>
      <c r="C308" s="10"/>
      <c r="D308" s="10"/>
      <c r="E308" s="10"/>
      <c r="F308" s="10"/>
      <c r="G308" s="10"/>
      <c r="I308" s="48"/>
      <c r="J308" s="48" t="s">
        <v>78</v>
      </c>
      <c r="K308" s="47"/>
    </row>
    <row r="309" spans="1:11">
      <c r="A309" s="12" t="s">
        <v>33</v>
      </c>
      <c r="B309" s="10"/>
      <c r="C309" s="10"/>
      <c r="D309" s="10"/>
      <c r="E309" s="10"/>
      <c r="F309" s="10"/>
      <c r="G309" s="10"/>
      <c r="I309" s="12"/>
      <c r="J309" s="12" t="s">
        <v>34</v>
      </c>
      <c r="K309" s="47"/>
    </row>
    <row r="310" spans="1:11">
      <c r="A310" s="10"/>
      <c r="B310" s="10"/>
      <c r="C310" s="10"/>
      <c r="D310" s="10"/>
      <c r="E310" s="10"/>
      <c r="F310" s="10"/>
      <c r="G310" s="10"/>
      <c r="I310" s="12"/>
      <c r="J310" s="12"/>
      <c r="K310" s="47"/>
    </row>
    <row r="311" spans="1:11">
      <c r="A311" s="10"/>
      <c r="B311" s="10"/>
      <c r="C311" s="10"/>
      <c r="D311" s="10"/>
      <c r="E311" s="10"/>
      <c r="F311" s="10"/>
      <c r="G311" s="10"/>
      <c r="I311" s="12"/>
      <c r="J311" s="12"/>
      <c r="K311" s="47"/>
    </row>
    <row r="312" spans="1:11">
      <c r="A312" s="10"/>
      <c r="B312" s="10"/>
      <c r="C312" s="10"/>
      <c r="D312" s="10"/>
      <c r="E312" s="10"/>
      <c r="F312" s="10"/>
      <c r="G312" s="10"/>
      <c r="I312" s="12"/>
      <c r="J312" s="12"/>
      <c r="K312" s="47"/>
    </row>
    <row r="313" spans="1:11">
      <c r="A313" s="10"/>
      <c r="B313" s="10"/>
      <c r="C313" s="10"/>
      <c r="D313" s="10"/>
      <c r="E313" s="10"/>
      <c r="F313" s="10"/>
      <c r="G313" s="10"/>
      <c r="I313" s="12"/>
      <c r="J313" s="12"/>
      <c r="K313" s="47"/>
    </row>
    <row r="314" spans="1:11">
      <c r="A314" s="49" t="s">
        <v>38</v>
      </c>
      <c r="B314" s="49"/>
      <c r="C314" s="50"/>
      <c r="D314" s="50"/>
      <c r="E314" s="50"/>
      <c r="F314" s="50"/>
      <c r="G314" s="10" t="s">
        <v>35</v>
      </c>
      <c r="I314" s="49"/>
      <c r="J314" s="49" t="s">
        <v>36</v>
      </c>
      <c r="K314" s="47"/>
    </row>
    <row r="319" spans="1:11" ht="15.75">
      <c r="C319" s="2"/>
      <c r="D319" s="2"/>
      <c r="E319" s="2"/>
      <c r="F319" s="2"/>
    </row>
    <row r="320" spans="1:11" ht="15.75">
      <c r="A320" s="3"/>
      <c r="B320" s="3"/>
      <c r="C320" s="2"/>
      <c r="D320" s="2"/>
      <c r="E320" s="2"/>
      <c r="F320" s="2"/>
      <c r="G320" s="3"/>
      <c r="H320" s="4"/>
      <c r="I320" s="4"/>
      <c r="J320" s="4"/>
      <c r="K320" s="5"/>
    </row>
    <row r="321" spans="1:11">
      <c r="H321" s="5"/>
      <c r="I321" s="5"/>
      <c r="J321" s="5"/>
      <c r="K321" s="5"/>
    </row>
    <row r="322" spans="1:11">
      <c r="H322" s="5"/>
      <c r="I322" s="5"/>
      <c r="J322" s="5"/>
      <c r="K322" s="5"/>
    </row>
    <row r="323" spans="1:11">
      <c r="A323" s="64" t="s">
        <v>0</v>
      </c>
      <c r="B323" s="64"/>
      <c r="C323" s="58"/>
      <c r="D323" s="58"/>
      <c r="E323" s="58"/>
      <c r="F323" s="58"/>
      <c r="G323" s="58"/>
      <c r="H323" s="58"/>
      <c r="I323" s="58"/>
      <c r="J323" s="58"/>
      <c r="K323" s="58"/>
    </row>
    <row r="324" spans="1:11">
      <c r="A324" s="58" t="s">
        <v>79</v>
      </c>
      <c r="B324" s="58"/>
      <c r="C324" s="58"/>
      <c r="D324" s="58"/>
      <c r="E324" s="58"/>
      <c r="F324" s="58"/>
      <c r="G324" s="58"/>
      <c r="H324" s="58"/>
      <c r="I324" s="58"/>
      <c r="J324" s="58"/>
      <c r="K324" s="58"/>
    </row>
    <row r="325" spans="1:11">
      <c r="A325" s="58" t="s">
        <v>1</v>
      </c>
      <c r="B325" s="58"/>
      <c r="C325" s="58"/>
      <c r="D325" s="58"/>
      <c r="E325" s="58"/>
      <c r="F325" s="58"/>
      <c r="G325" s="58"/>
      <c r="H325" s="58"/>
      <c r="I325" s="58"/>
      <c r="J325" s="58"/>
      <c r="K325" s="58"/>
    </row>
    <row r="326" spans="1:11">
      <c r="A326" s="58" t="s">
        <v>39</v>
      </c>
      <c r="B326" s="58"/>
      <c r="C326" s="58"/>
      <c r="D326" s="58"/>
      <c r="E326" s="58"/>
      <c r="F326" s="58"/>
      <c r="G326" s="58"/>
      <c r="H326" s="58"/>
      <c r="I326" s="58"/>
      <c r="J326" s="58"/>
      <c r="K326" s="58"/>
    </row>
    <row r="327" spans="1:11">
      <c r="A327" s="58" t="s">
        <v>2</v>
      </c>
      <c r="B327" s="58"/>
      <c r="C327" s="58"/>
      <c r="D327" s="58"/>
      <c r="E327" s="58"/>
      <c r="F327" s="58"/>
      <c r="G327" s="58"/>
      <c r="H327" s="58"/>
      <c r="I327" s="58"/>
      <c r="J327" s="58"/>
      <c r="K327" s="58"/>
    </row>
    <row r="328" spans="1:11">
      <c r="A328" s="6"/>
      <c r="B328" s="6"/>
      <c r="C328" s="7"/>
      <c r="D328" s="7"/>
      <c r="E328" s="7"/>
      <c r="F328" s="7"/>
      <c r="G328" s="8"/>
      <c r="H328" s="9"/>
      <c r="I328" s="9"/>
      <c r="J328" s="9"/>
      <c r="K328" s="9"/>
    </row>
    <row r="329" spans="1:11">
      <c r="A329" s="53" t="s">
        <v>3</v>
      </c>
      <c r="B329" s="10"/>
      <c r="C329" s="10"/>
      <c r="D329" s="54" t="s">
        <v>4</v>
      </c>
      <c r="E329" s="10" t="s">
        <v>5</v>
      </c>
      <c r="F329" s="11"/>
      <c r="G329" s="10"/>
      <c r="H329" s="12"/>
      <c r="I329" s="12"/>
      <c r="J329" s="12"/>
      <c r="K329" s="9"/>
    </row>
    <row r="330" spans="1:11">
      <c r="A330" s="53" t="s">
        <v>6</v>
      </c>
      <c r="B330" s="10"/>
      <c r="C330" s="10"/>
      <c r="D330" s="54" t="s">
        <v>4</v>
      </c>
      <c r="E330" s="10" t="s">
        <v>7</v>
      </c>
      <c r="F330" s="11"/>
      <c r="G330" s="10"/>
      <c r="H330" s="12"/>
      <c r="I330" s="12"/>
      <c r="J330" s="12"/>
      <c r="K330" s="9"/>
    </row>
    <row r="331" spans="1:11">
      <c r="A331" s="53" t="s">
        <v>8</v>
      </c>
      <c r="B331" s="10"/>
      <c r="C331" s="10"/>
      <c r="D331" s="54" t="s">
        <v>4</v>
      </c>
      <c r="E331" s="13">
        <v>2026</v>
      </c>
      <c r="F331" s="11"/>
      <c r="G331" s="13"/>
      <c r="H331" s="12"/>
      <c r="I331" s="12"/>
      <c r="J331" s="12"/>
      <c r="K331" s="9"/>
    </row>
    <row r="332" spans="1:11">
      <c r="A332" s="53" t="s">
        <v>9</v>
      </c>
      <c r="B332" s="10"/>
      <c r="C332" s="10"/>
      <c r="D332" s="54" t="s">
        <v>4</v>
      </c>
      <c r="E332" s="14">
        <f>J342</f>
        <v>250000</v>
      </c>
      <c r="F332" s="11"/>
      <c r="G332" s="14"/>
      <c r="H332" s="12"/>
      <c r="I332" s="12"/>
      <c r="J332" s="12"/>
      <c r="K332" s="9"/>
    </row>
    <row r="333" spans="1:11" ht="15.75">
      <c r="A333" s="10"/>
      <c r="B333" s="10"/>
      <c r="C333" s="15" t="s">
        <v>10</v>
      </c>
      <c r="D333" s="54" t="s">
        <v>4</v>
      </c>
      <c r="E333" s="16" t="str">
        <f>PROPER(IF(E332=0,"nol",IF(E332&lt;0,"minus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332),"000000000000000"),1,3)=0,"",MID(TEXT(ABS(E332),"000000000000000"),1,1)&amp;" ratus "&amp;MID(TEXT(ABS(E332),"000000000000000"),2,1)&amp;" puluh "&amp;MID(TEXT(ABS(E332),"000000000000000"),3,1)&amp;" trilyun ")&amp;IF(--MID(TEXT(ABS(E332),"000000000000000"),4,3)=0,"",MID(TEXT(ABS(E332),"000000000000000"),4,1)&amp;" ratus "&amp;MID(TEXT(ABS(E332),"000000000000000"),5,1)&amp;" puluh "&amp;MID(TEXT(ABS(E332),"000000000000000"),6,1)&amp;" milyar ")&amp;IF(--MID(TEXT(ABS(E332),"000000000000000"),7,3)=0,"",MID(TEXT(ABS(E332),"000000000000000"),7,1)&amp;" ratus "&amp;MID(TEXT(ABS(E332),"000000000000000"),8,1)&amp;" puluh "&amp;MID(TEXT(ABS(E332),"000000000000000"),9,1)&amp;" juta ")&amp;IF(--MID(TEXT(ABS(E332),"000000000000000"),10,3)=0,"",IF(--MID(TEXT(ABS(E332),"000000000000000"),10,3)=1,"*",MID(TEXT(ABS(E332),"000000000000000"),10,1)&amp;" ratus "&amp;MID(TEXT(ABS(E332),"000000000000000"),11,1)&amp;" puluh ")&amp;MID(TEXT(ABS(E332),"000000000000000"),12,1)&amp;" ribu ")&amp;IF(--MID(TEXT(ABS(E332),"000000000000000"),13,3)=0,"",MID(TEXT(ABS(E332),"000000000000000"),13,1)&amp;" ratus "&amp;MID(TEXT(ABS(E332),"000000000000000"),14,1)&amp;" puluh "&amp;MID(TEXT(ABS(E332),"000000000000000"),15,1)),1,"satu"),2,"dua"),3,"tiga"),4,"empat"),5,"lima"),6,"enam"),7,"tujuh"),8,"delapan"),9,"sembilan"),"0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Dua Ratus Lima Puluh Ribu Rupiah</v>
      </c>
      <c r="F333" s="11"/>
      <c r="G333" s="16"/>
      <c r="H333" s="12"/>
      <c r="I333" s="12"/>
      <c r="J333" s="12"/>
      <c r="K333" s="9"/>
    </row>
    <row r="334" spans="1:11" ht="15.75">
      <c r="A334" s="10"/>
      <c r="B334" s="10"/>
      <c r="C334" s="15"/>
      <c r="D334" s="15"/>
      <c r="E334" s="15"/>
      <c r="F334" s="11"/>
      <c r="G334" s="16"/>
      <c r="H334" s="12"/>
      <c r="I334" s="12"/>
      <c r="J334" s="12"/>
      <c r="K334" s="9"/>
    </row>
    <row r="335" spans="1:11">
      <c r="A335" s="10" t="s">
        <v>11</v>
      </c>
      <c r="B335" s="10"/>
      <c r="C335" s="10"/>
      <c r="D335" s="10"/>
      <c r="E335" s="10"/>
      <c r="F335" s="10"/>
      <c r="G335" s="10"/>
      <c r="H335" s="12"/>
      <c r="I335" s="12"/>
      <c r="J335" s="12"/>
      <c r="K335" s="9"/>
    </row>
    <row r="336" spans="1:11">
      <c r="A336" s="59" t="s">
        <v>12</v>
      </c>
      <c r="B336" s="59"/>
      <c r="C336" s="59"/>
      <c r="D336" s="59"/>
      <c r="E336" s="59"/>
      <c r="F336" s="59"/>
      <c r="G336" s="59"/>
      <c r="H336" s="59"/>
      <c r="I336" s="59"/>
      <c r="J336" s="59"/>
      <c r="K336" s="59"/>
    </row>
    <row r="337" spans="1:11" ht="60">
      <c r="A337" s="17" t="s">
        <v>13</v>
      </c>
      <c r="B337" s="18" t="s">
        <v>14</v>
      </c>
      <c r="C337" s="60" t="s">
        <v>15</v>
      </c>
      <c r="D337" s="61"/>
      <c r="E337" s="62"/>
      <c r="F337" s="19"/>
      <c r="G337" s="20" t="s">
        <v>16</v>
      </c>
      <c r="H337" s="21" t="s">
        <v>37</v>
      </c>
      <c r="I337" s="21"/>
      <c r="J337" s="31" t="s">
        <v>17</v>
      </c>
      <c r="K337" s="32" t="s">
        <v>18</v>
      </c>
    </row>
    <row r="338" spans="1:11">
      <c r="A338" s="27">
        <v>1</v>
      </c>
      <c r="B338" s="24"/>
      <c r="C338" s="28" t="s">
        <v>23</v>
      </c>
      <c r="D338" s="57"/>
      <c r="E338" s="26"/>
      <c r="F338" s="25"/>
      <c r="G338" s="55" t="s">
        <v>19</v>
      </c>
      <c r="H338" s="55" t="s">
        <v>19</v>
      </c>
      <c r="I338" s="55"/>
      <c r="J338" s="55" t="s">
        <v>19</v>
      </c>
      <c r="K338" s="55" t="s">
        <v>19</v>
      </c>
    </row>
    <row r="339" spans="1:11">
      <c r="A339" s="24"/>
      <c r="B339" s="56" t="s">
        <v>20</v>
      </c>
      <c r="C339" s="25" t="s">
        <v>24</v>
      </c>
      <c r="D339" s="10"/>
      <c r="E339" s="26"/>
      <c r="F339" s="25"/>
      <c r="G339" s="22">
        <v>75000000</v>
      </c>
      <c r="H339" s="23">
        <f>H294+J294</f>
        <v>27786344</v>
      </c>
      <c r="I339" s="23"/>
      <c r="J339" s="33">
        <v>250000</v>
      </c>
      <c r="K339" s="34">
        <f>G339-H339-J339</f>
        <v>46963656</v>
      </c>
    </row>
    <row r="340" spans="1:11">
      <c r="A340" s="24"/>
      <c r="B340" s="56" t="s">
        <v>21</v>
      </c>
      <c r="C340" s="25" t="s">
        <v>25</v>
      </c>
      <c r="D340" s="10"/>
      <c r="E340" s="26"/>
      <c r="F340" s="25"/>
      <c r="G340" s="22">
        <v>30000000</v>
      </c>
      <c r="H340" s="23">
        <f t="shared" ref="H340:H341" si="13">H295+J295</f>
        <v>7919774</v>
      </c>
      <c r="I340" s="23"/>
      <c r="J340" s="33">
        <v>0</v>
      </c>
      <c r="K340" s="34">
        <f t="shared" ref="K340:K341" si="14">G340-H340-J340</f>
        <v>22080226</v>
      </c>
    </row>
    <row r="341" spans="1:11">
      <c r="A341" s="24"/>
      <c r="B341" s="56" t="s">
        <v>22</v>
      </c>
      <c r="C341" s="25" t="s">
        <v>26</v>
      </c>
      <c r="D341" s="10"/>
      <c r="E341" s="26"/>
      <c r="F341" s="25"/>
      <c r="G341" s="22">
        <v>50000000</v>
      </c>
      <c r="H341" s="23">
        <f t="shared" si="13"/>
        <v>7000000</v>
      </c>
      <c r="I341" s="23"/>
      <c r="J341" s="33">
        <v>0</v>
      </c>
      <c r="K341" s="34">
        <f t="shared" si="14"/>
        <v>43000000</v>
      </c>
    </row>
    <row r="342" spans="1:11">
      <c r="A342" s="35"/>
      <c r="B342" s="35"/>
      <c r="C342" s="35" t="s">
        <v>27</v>
      </c>
      <c r="D342" s="35"/>
      <c r="E342" s="35"/>
      <c r="F342" s="36"/>
      <c r="G342" s="37">
        <f>SUM(G338:G341)</f>
        <v>155000000</v>
      </c>
      <c r="H342" s="38">
        <f>SUM(H338:H341)</f>
        <v>42706118</v>
      </c>
      <c r="I342" s="38"/>
      <c r="J342" s="38">
        <f>SUM(J338:J341)</f>
        <v>250000</v>
      </c>
      <c r="K342" s="38">
        <f>SUM(K338:K341)</f>
        <v>112043882</v>
      </c>
    </row>
    <row r="343" spans="1:11">
      <c r="A343" s="39"/>
      <c r="B343" s="8"/>
      <c r="C343" s="8"/>
      <c r="D343" s="8"/>
      <c r="E343" s="8"/>
      <c r="F343" s="8"/>
      <c r="G343" s="40"/>
      <c r="H343" s="40"/>
      <c r="I343" s="40"/>
      <c r="J343" s="40"/>
      <c r="K343" s="40"/>
    </row>
    <row r="344" spans="1:11">
      <c r="A344" s="63" t="s">
        <v>28</v>
      </c>
      <c r="B344" s="63"/>
      <c r="C344" s="63"/>
      <c r="D344" s="11" t="s">
        <v>4</v>
      </c>
      <c r="E344" s="14">
        <f>J342</f>
        <v>250000</v>
      </c>
      <c r="F344" s="41"/>
      <c r="G344" s="42"/>
      <c r="H344" s="42"/>
      <c r="I344" s="42"/>
      <c r="J344" s="9"/>
      <c r="K344" s="9"/>
    </row>
    <row r="345" spans="1:11">
      <c r="A345" s="10" t="s">
        <v>29</v>
      </c>
      <c r="B345" s="10"/>
      <c r="C345" s="10"/>
      <c r="D345" s="11" t="s">
        <v>4</v>
      </c>
      <c r="E345" s="43"/>
      <c r="F345" s="43"/>
      <c r="G345" s="44"/>
      <c r="H345" s="12"/>
      <c r="I345" s="12"/>
      <c r="J345" s="9"/>
      <c r="K345" s="9"/>
    </row>
    <row r="346" spans="1:11">
      <c r="A346" s="10" t="s">
        <v>30</v>
      </c>
      <c r="B346" s="10"/>
      <c r="C346" s="10"/>
      <c r="D346" s="11" t="s">
        <v>4</v>
      </c>
      <c r="E346" s="45"/>
      <c r="F346" s="45"/>
      <c r="G346" s="44"/>
      <c r="H346" s="12"/>
      <c r="I346" s="12"/>
      <c r="J346" s="9"/>
      <c r="K346" s="9"/>
    </row>
    <row r="347" spans="1:11">
      <c r="A347" s="10" t="s">
        <v>31</v>
      </c>
      <c r="B347" s="10"/>
      <c r="C347" s="10"/>
      <c r="D347" s="11" t="s">
        <v>4</v>
      </c>
      <c r="E347" s="45">
        <f>E345+E346</f>
        <v>0</v>
      </c>
      <c r="F347" s="45"/>
      <c r="G347" s="10"/>
      <c r="H347" s="12"/>
      <c r="I347" s="12"/>
      <c r="J347" s="47"/>
      <c r="K347" s="47"/>
    </row>
    <row r="348" spans="1:11">
      <c r="A348" s="13"/>
      <c r="B348" s="13"/>
      <c r="C348" s="13"/>
      <c r="D348" s="11"/>
      <c r="E348" s="13"/>
      <c r="F348" s="13"/>
      <c r="G348" s="10"/>
      <c r="H348" s="12"/>
      <c r="I348" s="12"/>
      <c r="J348" s="47"/>
      <c r="K348" s="47"/>
    </row>
    <row r="349" spans="1:11">
      <c r="A349" s="63" t="s">
        <v>32</v>
      </c>
      <c r="B349" s="63"/>
      <c r="C349" s="63"/>
      <c r="D349" s="11" t="s">
        <v>4</v>
      </c>
      <c r="E349" s="41">
        <f>E344-E347</f>
        <v>250000</v>
      </c>
      <c r="F349" s="41"/>
      <c r="G349" s="10"/>
      <c r="H349" s="12"/>
      <c r="I349" s="12"/>
      <c r="J349" s="47"/>
      <c r="K349" s="47"/>
    </row>
    <row r="350" spans="1:11" ht="15.75">
      <c r="A350" s="13"/>
      <c r="B350" s="13"/>
      <c r="C350" s="10"/>
      <c r="D350" s="10"/>
      <c r="E350" s="16" t="str">
        <f>PROPER(IF(E349=0,"nol",IF(E349&lt;0,"minus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349),"000000000000000"),1,3)=0,"",MID(TEXT(ABS(E349),"000000000000000"),1,1)&amp;" ratus "&amp;MID(TEXT(ABS(E349),"000000000000000"),2,1)&amp;" puluh "&amp;MID(TEXT(ABS(E349),"000000000000000"),3,1)&amp;" trilyun ")&amp;IF(--MID(TEXT(ABS(E349),"000000000000000"),4,3)=0,"",MID(TEXT(ABS(E349),"000000000000000"),4,1)&amp;" ratus "&amp;MID(TEXT(ABS(E349),"000000000000000"),5,1)&amp;" puluh "&amp;MID(TEXT(ABS(E349),"000000000000000"),6,1)&amp;" milyar ")&amp;IF(--MID(TEXT(ABS(E349),"000000000000000"),7,3)=0,"",MID(TEXT(ABS(E349),"000000000000000"),7,1)&amp;" ratus "&amp;MID(TEXT(ABS(E349),"000000000000000"),8,1)&amp;" puluh "&amp;MID(TEXT(ABS(E349),"000000000000000"),9,1)&amp;" juta ")&amp;IF(--MID(TEXT(ABS(E349),"000000000000000"),10,3)=0,"",IF(--MID(TEXT(ABS(E349),"000000000000000"),10,3)=1,"*",MID(TEXT(ABS(E349),"000000000000000"),10,1)&amp;" ratus "&amp;MID(TEXT(ABS(E349),"000000000000000"),11,1)&amp;" puluh ")&amp;MID(TEXT(ABS(E349),"000000000000000"),12,1)&amp;" ribu ")&amp;IF(--MID(TEXT(ABS(E349),"000000000000000"),13,3)=0,"",MID(TEXT(ABS(E349),"000000000000000"),13,1)&amp;" ratus "&amp;MID(TEXT(ABS(E349),"000000000000000"),14,1)&amp;" puluh "&amp;MID(TEXT(ABS(E349),"000000000000000"),15,1)),1,"satu"),2,"dua"),3,"tiga"),4,"empat"),5,"lima"),6,"enam"),7,"tujuh"),8,"delapan"),9,"sembilan"),"0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Dua Ratus Lima Puluh Ribu Rupiah</v>
      </c>
      <c r="F350" s="10"/>
      <c r="G350" s="10"/>
      <c r="H350" s="10"/>
      <c r="I350" s="10"/>
      <c r="J350" s="47"/>
      <c r="K350" s="47"/>
    </row>
    <row r="351" spans="1:11">
      <c r="A351" s="46"/>
      <c r="B351" s="46"/>
      <c r="C351" s="46"/>
      <c r="D351" s="46"/>
      <c r="E351" s="46"/>
      <c r="F351" s="46"/>
      <c r="G351" s="29"/>
      <c r="H351" s="47"/>
      <c r="I351" s="47"/>
      <c r="J351" s="47"/>
      <c r="K351" s="47"/>
    </row>
    <row r="352" spans="1:11">
      <c r="A352" s="29"/>
      <c r="B352" s="29"/>
      <c r="C352" s="29"/>
      <c r="D352" s="29"/>
      <c r="E352" s="29"/>
      <c r="F352" s="29"/>
      <c r="G352" s="29"/>
      <c r="H352"/>
      <c r="I352"/>
      <c r="J352" s="47"/>
      <c r="K352" s="47"/>
    </row>
    <row r="353" spans="1:11">
      <c r="A353" s="13"/>
      <c r="B353" s="13"/>
      <c r="C353" s="10"/>
      <c r="D353" s="10"/>
      <c r="E353" s="10"/>
      <c r="F353" s="10"/>
      <c r="G353" s="10"/>
      <c r="I353" s="48"/>
      <c r="J353" s="48" t="s">
        <v>78</v>
      </c>
      <c r="K353" s="47"/>
    </row>
    <row r="354" spans="1:11">
      <c r="A354" s="12" t="s">
        <v>33</v>
      </c>
      <c r="B354" s="10"/>
      <c r="C354" s="10"/>
      <c r="D354" s="10"/>
      <c r="E354" s="10"/>
      <c r="F354" s="10"/>
      <c r="G354" s="10"/>
      <c r="I354" s="12"/>
      <c r="J354" s="12" t="s">
        <v>34</v>
      </c>
      <c r="K354" s="47"/>
    </row>
    <row r="355" spans="1:11">
      <c r="A355" s="10"/>
      <c r="B355" s="10"/>
      <c r="C355" s="10"/>
      <c r="D355" s="10"/>
      <c r="E355" s="10"/>
      <c r="F355" s="10"/>
      <c r="G355" s="10"/>
      <c r="I355" s="12"/>
      <c r="J355" s="12"/>
      <c r="K355" s="47"/>
    </row>
    <row r="356" spans="1:11">
      <c r="A356" s="10"/>
      <c r="B356" s="10"/>
      <c r="C356" s="10"/>
      <c r="D356" s="10"/>
      <c r="E356" s="10"/>
      <c r="F356" s="10"/>
      <c r="G356" s="10"/>
      <c r="I356" s="12"/>
      <c r="J356" s="12"/>
      <c r="K356" s="47"/>
    </row>
    <row r="357" spans="1:11">
      <c r="A357" s="10"/>
      <c r="B357" s="10"/>
      <c r="C357" s="10"/>
      <c r="D357" s="10"/>
      <c r="E357" s="10"/>
      <c r="F357" s="10"/>
      <c r="G357" s="10"/>
      <c r="I357" s="12"/>
      <c r="J357" s="12"/>
      <c r="K357" s="47"/>
    </row>
    <row r="358" spans="1:11">
      <c r="A358" s="10"/>
      <c r="B358" s="10"/>
      <c r="C358" s="10"/>
      <c r="D358" s="10"/>
      <c r="E358" s="10"/>
      <c r="F358" s="10"/>
      <c r="G358" s="10"/>
      <c r="I358" s="12"/>
      <c r="J358" s="12"/>
      <c r="K358" s="47"/>
    </row>
    <row r="359" spans="1:11">
      <c r="A359" s="49" t="s">
        <v>38</v>
      </c>
      <c r="B359" s="49"/>
      <c r="C359" s="50"/>
      <c r="D359" s="50"/>
      <c r="E359" s="50"/>
      <c r="F359" s="50"/>
      <c r="G359" s="10" t="s">
        <v>35</v>
      </c>
      <c r="I359" s="49"/>
      <c r="J359" s="49" t="s">
        <v>36</v>
      </c>
      <c r="K359" s="47"/>
    </row>
    <row r="364" spans="1:11" ht="15.75">
      <c r="C364" s="2"/>
      <c r="D364" s="2"/>
      <c r="E364" s="2"/>
      <c r="F364" s="2"/>
    </row>
    <row r="365" spans="1:11" ht="15.75">
      <c r="A365" s="3"/>
      <c r="B365" s="3"/>
      <c r="C365" s="2"/>
      <c r="D365" s="2"/>
      <c r="E365" s="2"/>
      <c r="F365" s="2"/>
      <c r="G365" s="3"/>
      <c r="H365" s="4"/>
      <c r="I365" s="4"/>
      <c r="J365" s="4"/>
      <c r="K365" s="5"/>
    </row>
    <row r="366" spans="1:11">
      <c r="H366" s="5"/>
      <c r="I366" s="5"/>
      <c r="J366" s="5"/>
      <c r="K366" s="5"/>
    </row>
    <row r="367" spans="1:11">
      <c r="H367" s="5"/>
      <c r="I367" s="5"/>
      <c r="J367" s="5"/>
      <c r="K367" s="5"/>
    </row>
    <row r="368" spans="1:11">
      <c r="A368" s="64" t="s">
        <v>0</v>
      </c>
      <c r="B368" s="64"/>
      <c r="C368" s="58"/>
      <c r="D368" s="58"/>
      <c r="E368" s="58"/>
      <c r="F368" s="58"/>
      <c r="G368" s="58"/>
      <c r="H368" s="58"/>
      <c r="I368" s="58"/>
      <c r="J368" s="58"/>
      <c r="K368" s="58"/>
    </row>
    <row r="369" spans="1:11">
      <c r="A369" s="58" t="s">
        <v>81</v>
      </c>
      <c r="B369" s="58"/>
      <c r="C369" s="58"/>
      <c r="D369" s="58"/>
      <c r="E369" s="58"/>
      <c r="F369" s="58"/>
      <c r="G369" s="58"/>
      <c r="H369" s="58"/>
      <c r="I369" s="58"/>
      <c r="J369" s="58"/>
      <c r="K369" s="58"/>
    </row>
    <row r="370" spans="1:11">
      <c r="A370" s="58" t="s">
        <v>1</v>
      </c>
      <c r="B370" s="58"/>
      <c r="C370" s="58"/>
      <c r="D370" s="58"/>
      <c r="E370" s="58"/>
      <c r="F370" s="58"/>
      <c r="G370" s="58"/>
      <c r="H370" s="58"/>
      <c r="I370" s="58"/>
      <c r="J370" s="58"/>
      <c r="K370" s="58"/>
    </row>
    <row r="371" spans="1:11">
      <c r="A371" s="58" t="s">
        <v>39</v>
      </c>
      <c r="B371" s="58"/>
      <c r="C371" s="58"/>
      <c r="D371" s="58"/>
      <c r="E371" s="58"/>
      <c r="F371" s="58"/>
      <c r="G371" s="58"/>
      <c r="H371" s="58"/>
      <c r="I371" s="58"/>
      <c r="J371" s="58"/>
      <c r="K371" s="58"/>
    </row>
    <row r="372" spans="1:11">
      <c r="A372" s="58" t="s">
        <v>2</v>
      </c>
      <c r="B372" s="58"/>
      <c r="C372" s="58"/>
      <c r="D372" s="58"/>
      <c r="E372" s="58"/>
      <c r="F372" s="58"/>
      <c r="G372" s="58"/>
      <c r="H372" s="58"/>
      <c r="I372" s="58"/>
      <c r="J372" s="58"/>
      <c r="K372" s="58"/>
    </row>
    <row r="373" spans="1:11">
      <c r="A373" s="6"/>
      <c r="B373" s="6"/>
      <c r="C373" s="7"/>
      <c r="D373" s="7"/>
      <c r="E373" s="7"/>
      <c r="F373" s="7"/>
      <c r="G373" s="8"/>
      <c r="H373" s="9"/>
      <c r="I373" s="9"/>
      <c r="J373" s="9"/>
      <c r="K373" s="9"/>
    </row>
    <row r="374" spans="1:11">
      <c r="A374" s="53" t="s">
        <v>3</v>
      </c>
      <c r="B374" s="10"/>
      <c r="C374" s="10"/>
      <c r="D374" s="54" t="s">
        <v>4</v>
      </c>
      <c r="E374" s="10" t="s">
        <v>5</v>
      </c>
      <c r="F374" s="11"/>
      <c r="G374" s="10"/>
      <c r="H374" s="12"/>
      <c r="I374" s="12"/>
      <c r="J374" s="12"/>
      <c r="K374" s="9"/>
    </row>
    <row r="375" spans="1:11">
      <c r="A375" s="53" t="s">
        <v>6</v>
      </c>
      <c r="B375" s="10"/>
      <c r="C375" s="10"/>
      <c r="D375" s="54" t="s">
        <v>4</v>
      </c>
      <c r="E375" s="10" t="s">
        <v>7</v>
      </c>
      <c r="F375" s="11"/>
      <c r="G375" s="10"/>
      <c r="H375" s="12"/>
      <c r="I375" s="12"/>
      <c r="J375" s="12"/>
      <c r="K375" s="9"/>
    </row>
    <row r="376" spans="1:11">
      <c r="A376" s="53" t="s">
        <v>8</v>
      </c>
      <c r="B376" s="10"/>
      <c r="C376" s="10"/>
      <c r="D376" s="54" t="s">
        <v>4</v>
      </c>
      <c r="E376" s="13">
        <v>2026</v>
      </c>
      <c r="F376" s="11"/>
      <c r="G376" s="13"/>
      <c r="H376" s="12"/>
      <c r="I376" s="12"/>
      <c r="J376" s="12"/>
      <c r="K376" s="9"/>
    </row>
    <row r="377" spans="1:11">
      <c r="A377" s="53" t="s">
        <v>9</v>
      </c>
      <c r="B377" s="10"/>
      <c r="C377" s="10"/>
      <c r="D377" s="54" t="s">
        <v>4</v>
      </c>
      <c r="E377" s="14">
        <f>J387</f>
        <v>150000</v>
      </c>
      <c r="F377" s="11"/>
      <c r="G377" s="14"/>
      <c r="H377" s="12"/>
      <c r="I377" s="12"/>
      <c r="J377" s="12"/>
      <c r="K377" s="9"/>
    </row>
    <row r="378" spans="1:11" ht="15.75">
      <c r="A378" s="10"/>
      <c r="B378" s="10"/>
      <c r="C378" s="15" t="s">
        <v>10</v>
      </c>
      <c r="D378" s="54" t="s">
        <v>4</v>
      </c>
      <c r="E378" s="16" t="str">
        <f>PROPER(IF(E377=0,"nol",IF(E377&lt;0,"minus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377),"000000000000000"),1,3)=0,"",MID(TEXT(ABS(E377),"000000000000000"),1,1)&amp;" ratus "&amp;MID(TEXT(ABS(E377),"000000000000000"),2,1)&amp;" puluh "&amp;MID(TEXT(ABS(E377),"000000000000000"),3,1)&amp;" trilyun ")&amp;IF(--MID(TEXT(ABS(E377),"000000000000000"),4,3)=0,"",MID(TEXT(ABS(E377),"000000000000000"),4,1)&amp;" ratus "&amp;MID(TEXT(ABS(E377),"000000000000000"),5,1)&amp;" puluh "&amp;MID(TEXT(ABS(E377),"000000000000000"),6,1)&amp;" milyar ")&amp;IF(--MID(TEXT(ABS(E377),"000000000000000"),7,3)=0,"",MID(TEXT(ABS(E377),"000000000000000"),7,1)&amp;" ratus "&amp;MID(TEXT(ABS(E377),"000000000000000"),8,1)&amp;" puluh "&amp;MID(TEXT(ABS(E377),"000000000000000"),9,1)&amp;" juta ")&amp;IF(--MID(TEXT(ABS(E377),"000000000000000"),10,3)=0,"",IF(--MID(TEXT(ABS(E377),"000000000000000"),10,3)=1,"*",MID(TEXT(ABS(E377),"000000000000000"),10,1)&amp;" ratus "&amp;MID(TEXT(ABS(E377),"000000000000000"),11,1)&amp;" puluh ")&amp;MID(TEXT(ABS(E377),"000000000000000"),12,1)&amp;" ribu ")&amp;IF(--MID(TEXT(ABS(E377),"000000000000000"),13,3)=0,"",MID(TEXT(ABS(E377),"000000000000000"),13,1)&amp;" ratus "&amp;MID(TEXT(ABS(E377),"000000000000000"),14,1)&amp;" puluh "&amp;MID(TEXT(ABS(E377),"000000000000000"),15,1)),1,"satu"),2,"dua"),3,"tiga"),4,"empat"),5,"lima"),6,"enam"),7,"tujuh"),8,"delapan"),9,"sembilan"),"0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Seratus Lima Puluh Ribu Rupiah</v>
      </c>
      <c r="F378" s="11"/>
      <c r="G378" s="16"/>
      <c r="H378" s="12"/>
      <c r="I378" s="12"/>
      <c r="J378" s="12"/>
      <c r="K378" s="9"/>
    </row>
    <row r="379" spans="1:11" ht="15.75">
      <c r="A379" s="10"/>
      <c r="B379" s="10"/>
      <c r="C379" s="15"/>
      <c r="D379" s="15"/>
      <c r="E379" s="15"/>
      <c r="F379" s="11"/>
      <c r="G379" s="16"/>
      <c r="H379" s="12"/>
      <c r="I379" s="12"/>
      <c r="J379" s="12"/>
      <c r="K379" s="9"/>
    </row>
    <row r="380" spans="1:11">
      <c r="A380" s="10" t="s">
        <v>11</v>
      </c>
      <c r="B380" s="10"/>
      <c r="C380" s="10"/>
      <c r="D380" s="10"/>
      <c r="E380" s="10"/>
      <c r="F380" s="10"/>
      <c r="G380" s="10"/>
      <c r="H380" s="12"/>
      <c r="I380" s="12"/>
      <c r="J380" s="12"/>
      <c r="K380" s="9"/>
    </row>
    <row r="381" spans="1:11">
      <c r="A381" s="59" t="s">
        <v>12</v>
      </c>
      <c r="B381" s="59"/>
      <c r="C381" s="59"/>
      <c r="D381" s="59"/>
      <c r="E381" s="59"/>
      <c r="F381" s="59"/>
      <c r="G381" s="59"/>
      <c r="H381" s="59"/>
      <c r="I381" s="59"/>
      <c r="J381" s="59"/>
      <c r="K381" s="59"/>
    </row>
    <row r="382" spans="1:11" ht="60">
      <c r="A382" s="17" t="s">
        <v>13</v>
      </c>
      <c r="B382" s="18" t="s">
        <v>14</v>
      </c>
      <c r="C382" s="60" t="s">
        <v>15</v>
      </c>
      <c r="D382" s="61"/>
      <c r="E382" s="62"/>
      <c r="F382" s="19"/>
      <c r="G382" s="20" t="s">
        <v>16</v>
      </c>
      <c r="H382" s="21" t="s">
        <v>37</v>
      </c>
      <c r="I382" s="21"/>
      <c r="J382" s="31" t="s">
        <v>17</v>
      </c>
      <c r="K382" s="32" t="s">
        <v>18</v>
      </c>
    </row>
    <row r="383" spans="1:11">
      <c r="A383" s="27">
        <v>1</v>
      </c>
      <c r="B383" s="24"/>
      <c r="C383" s="28" t="s">
        <v>23</v>
      </c>
      <c r="D383" s="57"/>
      <c r="E383" s="26"/>
      <c r="F383" s="25"/>
      <c r="G383" s="55" t="s">
        <v>19</v>
      </c>
      <c r="H383" s="55" t="s">
        <v>19</v>
      </c>
      <c r="I383" s="55"/>
      <c r="J383" s="55" t="s">
        <v>19</v>
      </c>
      <c r="K383" s="55" t="s">
        <v>19</v>
      </c>
    </row>
    <row r="384" spans="1:11">
      <c r="A384" s="24"/>
      <c r="B384" s="56" t="s">
        <v>20</v>
      </c>
      <c r="C384" s="25" t="s">
        <v>24</v>
      </c>
      <c r="D384" s="10"/>
      <c r="E384" s="26"/>
      <c r="F384" s="25"/>
      <c r="G384" s="22">
        <v>75000000</v>
      </c>
      <c r="H384" s="23">
        <f>H339+J339</f>
        <v>28036344</v>
      </c>
      <c r="I384" s="23"/>
      <c r="J384" s="33">
        <v>150000</v>
      </c>
      <c r="K384" s="34">
        <f>G384-H384-J384</f>
        <v>46813656</v>
      </c>
    </row>
    <row r="385" spans="1:11">
      <c r="A385" s="24"/>
      <c r="B385" s="56" t="s">
        <v>21</v>
      </c>
      <c r="C385" s="25" t="s">
        <v>25</v>
      </c>
      <c r="D385" s="10"/>
      <c r="E385" s="26"/>
      <c r="F385" s="25"/>
      <c r="G385" s="22">
        <v>30000000</v>
      </c>
      <c r="H385" s="23">
        <f t="shared" ref="H385:H386" si="15">H340+J340</f>
        <v>7919774</v>
      </c>
      <c r="I385" s="23"/>
      <c r="J385" s="33">
        <v>0</v>
      </c>
      <c r="K385" s="34">
        <f t="shared" ref="K385:K386" si="16">G385-H385-J385</f>
        <v>22080226</v>
      </c>
    </row>
    <row r="386" spans="1:11">
      <c r="A386" s="24"/>
      <c r="B386" s="56" t="s">
        <v>22</v>
      </c>
      <c r="C386" s="25" t="s">
        <v>26</v>
      </c>
      <c r="D386" s="10"/>
      <c r="E386" s="26"/>
      <c r="F386" s="25"/>
      <c r="G386" s="22">
        <v>50000000</v>
      </c>
      <c r="H386" s="23">
        <f t="shared" si="15"/>
        <v>7000000</v>
      </c>
      <c r="I386" s="23"/>
      <c r="J386" s="33">
        <v>0</v>
      </c>
      <c r="K386" s="34">
        <f t="shared" si="16"/>
        <v>43000000</v>
      </c>
    </row>
    <row r="387" spans="1:11">
      <c r="A387" s="35"/>
      <c r="B387" s="35"/>
      <c r="C387" s="35" t="s">
        <v>27</v>
      </c>
      <c r="D387" s="35"/>
      <c r="E387" s="35"/>
      <c r="F387" s="36"/>
      <c r="G387" s="37">
        <f>SUM(G383:G386)</f>
        <v>155000000</v>
      </c>
      <c r="H387" s="38">
        <f>SUM(H383:H386)</f>
        <v>42956118</v>
      </c>
      <c r="I387" s="38"/>
      <c r="J387" s="38">
        <f>SUM(J383:J386)</f>
        <v>150000</v>
      </c>
      <c r="K387" s="38">
        <f>SUM(K383:K386)</f>
        <v>111893882</v>
      </c>
    </row>
    <row r="388" spans="1:11">
      <c r="A388" s="39"/>
      <c r="B388" s="8"/>
      <c r="C388" s="8"/>
      <c r="D388" s="8"/>
      <c r="E388" s="8"/>
      <c r="F388" s="8"/>
      <c r="G388" s="40"/>
      <c r="H388" s="40"/>
      <c r="I388" s="40"/>
      <c r="J388" s="40"/>
      <c r="K388" s="40"/>
    </row>
    <row r="389" spans="1:11">
      <c r="A389" s="63" t="s">
        <v>28</v>
      </c>
      <c r="B389" s="63"/>
      <c r="C389" s="63"/>
      <c r="D389" s="11" t="s">
        <v>4</v>
      </c>
      <c r="E389" s="14">
        <f>J387</f>
        <v>150000</v>
      </c>
      <c r="F389" s="41"/>
      <c r="G389" s="42"/>
      <c r="H389" s="42"/>
      <c r="I389" s="42"/>
      <c r="J389" s="9"/>
      <c r="K389" s="9"/>
    </row>
    <row r="390" spans="1:11">
      <c r="A390" s="10" t="s">
        <v>29</v>
      </c>
      <c r="B390" s="10"/>
      <c r="C390" s="10"/>
      <c r="D390" s="11" t="s">
        <v>4</v>
      </c>
      <c r="E390" s="43"/>
      <c r="F390" s="43"/>
      <c r="G390" s="44"/>
      <c r="H390" s="12"/>
      <c r="I390" s="12"/>
      <c r="J390" s="9"/>
      <c r="K390" s="9"/>
    </row>
    <row r="391" spans="1:11">
      <c r="A391" s="10" t="s">
        <v>30</v>
      </c>
      <c r="B391" s="10"/>
      <c r="C391" s="10"/>
      <c r="D391" s="11" t="s">
        <v>4</v>
      </c>
      <c r="E391" s="45"/>
      <c r="F391" s="45"/>
      <c r="G391" s="44"/>
      <c r="H391" s="12"/>
      <c r="I391" s="12"/>
      <c r="J391" s="9"/>
      <c r="K391" s="9"/>
    </row>
    <row r="392" spans="1:11">
      <c r="A392" s="10" t="s">
        <v>31</v>
      </c>
      <c r="B392" s="10"/>
      <c r="C392" s="10"/>
      <c r="D392" s="11" t="s">
        <v>4</v>
      </c>
      <c r="E392" s="45">
        <f>E390+E391</f>
        <v>0</v>
      </c>
      <c r="F392" s="45"/>
      <c r="G392" s="10"/>
      <c r="H392" s="12"/>
      <c r="I392" s="12"/>
      <c r="J392" s="47"/>
      <c r="K392" s="47"/>
    </row>
    <row r="393" spans="1:11">
      <c r="A393" s="13"/>
      <c r="B393" s="13"/>
      <c r="C393" s="13"/>
      <c r="D393" s="11"/>
      <c r="E393" s="13"/>
      <c r="F393" s="13"/>
      <c r="G393" s="10"/>
      <c r="H393" s="12"/>
      <c r="I393" s="12"/>
      <c r="J393" s="47"/>
      <c r="K393" s="47"/>
    </row>
    <row r="394" spans="1:11">
      <c r="A394" s="63" t="s">
        <v>32</v>
      </c>
      <c r="B394" s="63"/>
      <c r="C394" s="63"/>
      <c r="D394" s="11" t="s">
        <v>4</v>
      </c>
      <c r="E394" s="41">
        <f>E389-E392</f>
        <v>150000</v>
      </c>
      <c r="F394" s="41"/>
      <c r="G394" s="10"/>
      <c r="H394" s="12"/>
      <c r="I394" s="12"/>
      <c r="J394" s="47"/>
      <c r="K394" s="47"/>
    </row>
    <row r="395" spans="1:11" ht="15.75">
      <c r="A395" s="13"/>
      <c r="B395" s="13"/>
      <c r="C395" s="10"/>
      <c r="D395" s="10"/>
      <c r="E395" s="16" t="str">
        <f>PROPER(IF(E394=0,"nol",IF(E394&lt;0,"minus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394),"000000000000000"),1,3)=0,"",MID(TEXT(ABS(E394),"000000000000000"),1,1)&amp;" ratus "&amp;MID(TEXT(ABS(E394),"000000000000000"),2,1)&amp;" puluh "&amp;MID(TEXT(ABS(E394),"000000000000000"),3,1)&amp;" trilyun ")&amp;IF(--MID(TEXT(ABS(E394),"000000000000000"),4,3)=0,"",MID(TEXT(ABS(E394),"000000000000000"),4,1)&amp;" ratus "&amp;MID(TEXT(ABS(E394),"000000000000000"),5,1)&amp;" puluh "&amp;MID(TEXT(ABS(E394),"000000000000000"),6,1)&amp;" milyar ")&amp;IF(--MID(TEXT(ABS(E394),"000000000000000"),7,3)=0,"",MID(TEXT(ABS(E394),"000000000000000"),7,1)&amp;" ratus "&amp;MID(TEXT(ABS(E394),"000000000000000"),8,1)&amp;" puluh "&amp;MID(TEXT(ABS(E394),"000000000000000"),9,1)&amp;" juta ")&amp;IF(--MID(TEXT(ABS(E394),"000000000000000"),10,3)=0,"",IF(--MID(TEXT(ABS(E394),"000000000000000"),10,3)=1,"*",MID(TEXT(ABS(E394),"000000000000000"),10,1)&amp;" ratus "&amp;MID(TEXT(ABS(E394),"000000000000000"),11,1)&amp;" puluh ")&amp;MID(TEXT(ABS(E394),"000000000000000"),12,1)&amp;" ribu ")&amp;IF(--MID(TEXT(ABS(E394),"000000000000000"),13,3)=0,"",MID(TEXT(ABS(E394),"000000000000000"),13,1)&amp;" ratus "&amp;MID(TEXT(ABS(E394),"000000000000000"),14,1)&amp;" puluh "&amp;MID(TEXT(ABS(E394),"000000000000000"),15,1)),1,"satu"),2,"dua"),3,"tiga"),4,"empat"),5,"lima"),6,"enam"),7,"tujuh"),8,"delapan"),9,"sembilan"),"0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Seratus Lima Puluh Ribu Rupiah</v>
      </c>
      <c r="F395" s="10"/>
      <c r="G395" s="10"/>
      <c r="H395" s="10"/>
      <c r="I395" s="10"/>
      <c r="J395" s="47"/>
      <c r="K395" s="47"/>
    </row>
    <row r="396" spans="1:11">
      <c r="A396" s="46"/>
      <c r="B396" s="46"/>
      <c r="C396" s="46"/>
      <c r="D396" s="46"/>
      <c r="E396" s="46"/>
      <c r="F396" s="46"/>
      <c r="G396" s="29"/>
      <c r="H396" s="47"/>
      <c r="I396" s="47"/>
      <c r="J396" s="47"/>
      <c r="K396" s="47"/>
    </row>
    <row r="397" spans="1:11">
      <c r="A397" s="29"/>
      <c r="B397" s="29"/>
      <c r="C397" s="29"/>
      <c r="D397" s="29"/>
      <c r="E397" s="29"/>
      <c r="F397" s="29"/>
      <c r="G397" s="29"/>
      <c r="H397"/>
      <c r="I397"/>
      <c r="J397" s="47"/>
      <c r="K397" s="47"/>
    </row>
    <row r="398" spans="1:11">
      <c r="A398" s="13"/>
      <c r="B398" s="13"/>
      <c r="C398" s="10"/>
      <c r="D398" s="10"/>
      <c r="E398" s="10"/>
      <c r="F398" s="10"/>
      <c r="G398" s="10"/>
      <c r="I398" s="48"/>
      <c r="J398" s="48" t="s">
        <v>80</v>
      </c>
      <c r="K398" s="47"/>
    </row>
    <row r="399" spans="1:11">
      <c r="A399" s="12" t="s">
        <v>33</v>
      </c>
      <c r="B399" s="10"/>
      <c r="C399" s="10"/>
      <c r="D399" s="10"/>
      <c r="E399" s="10"/>
      <c r="F399" s="10"/>
      <c r="G399" s="10"/>
      <c r="I399" s="12"/>
      <c r="J399" s="12" t="s">
        <v>34</v>
      </c>
      <c r="K399" s="47"/>
    </row>
    <row r="400" spans="1:11">
      <c r="A400" s="10"/>
      <c r="B400" s="10"/>
      <c r="C400" s="10"/>
      <c r="D400" s="10"/>
      <c r="E400" s="10"/>
      <c r="F400" s="10"/>
      <c r="G400" s="10"/>
      <c r="I400" s="12"/>
      <c r="J400" s="12"/>
      <c r="K400" s="47"/>
    </row>
    <row r="401" spans="1:11">
      <c r="A401" s="10"/>
      <c r="B401" s="10"/>
      <c r="C401" s="10"/>
      <c r="D401" s="10"/>
      <c r="E401" s="10"/>
      <c r="F401" s="10"/>
      <c r="G401" s="10"/>
      <c r="I401" s="12"/>
      <c r="J401" s="12"/>
      <c r="K401" s="47"/>
    </row>
    <row r="402" spans="1:11">
      <c r="A402" s="10"/>
      <c r="B402" s="10"/>
      <c r="C402" s="10"/>
      <c r="D402" s="10"/>
      <c r="E402" s="10"/>
      <c r="F402" s="10"/>
      <c r="G402" s="10"/>
      <c r="I402" s="12"/>
      <c r="J402" s="12"/>
      <c r="K402" s="47"/>
    </row>
    <row r="403" spans="1:11">
      <c r="A403" s="10"/>
      <c r="B403" s="10"/>
      <c r="C403" s="10"/>
      <c r="D403" s="10"/>
      <c r="E403" s="10"/>
      <c r="F403" s="10"/>
      <c r="G403" s="10"/>
      <c r="I403" s="12"/>
      <c r="J403" s="12"/>
      <c r="K403" s="47"/>
    </row>
    <row r="404" spans="1:11">
      <c r="A404" s="49" t="s">
        <v>38</v>
      </c>
      <c r="B404" s="49"/>
      <c r="C404" s="50"/>
      <c r="D404" s="50"/>
      <c r="E404" s="50"/>
      <c r="F404" s="50"/>
      <c r="G404" s="10" t="s">
        <v>35</v>
      </c>
      <c r="I404" s="49"/>
      <c r="J404" s="49" t="s">
        <v>36</v>
      </c>
      <c r="K404" s="47"/>
    </row>
    <row r="409" spans="1:11" ht="15.75">
      <c r="C409" s="2"/>
      <c r="D409" s="2"/>
      <c r="E409" s="2"/>
      <c r="F409" s="2"/>
    </row>
    <row r="410" spans="1:11" ht="15.75">
      <c r="A410" s="3"/>
      <c r="B410" s="3"/>
      <c r="C410" s="2"/>
      <c r="D410" s="2"/>
      <c r="E410" s="2"/>
      <c r="F410" s="2"/>
      <c r="G410" s="3"/>
      <c r="H410" s="4"/>
      <c r="I410" s="4"/>
      <c r="J410" s="4"/>
      <c r="K410" s="5"/>
    </row>
    <row r="411" spans="1:11">
      <c r="H411" s="5"/>
      <c r="I411" s="5"/>
      <c r="J411" s="5"/>
      <c r="K411" s="5"/>
    </row>
    <row r="412" spans="1:11">
      <c r="H412" s="5"/>
      <c r="I412" s="5"/>
      <c r="J412" s="5"/>
      <c r="K412" s="5"/>
    </row>
    <row r="413" spans="1:11">
      <c r="A413" s="64" t="s">
        <v>0</v>
      </c>
      <c r="B413" s="64"/>
      <c r="C413" s="58"/>
      <c r="D413" s="58"/>
      <c r="E413" s="58"/>
      <c r="F413" s="58"/>
      <c r="G413" s="58"/>
      <c r="H413" s="58"/>
      <c r="I413" s="58"/>
      <c r="J413" s="58"/>
      <c r="K413" s="58"/>
    </row>
    <row r="414" spans="1:11">
      <c r="A414" s="58" t="s">
        <v>82</v>
      </c>
      <c r="B414" s="58"/>
      <c r="C414" s="58"/>
      <c r="D414" s="58"/>
      <c r="E414" s="58"/>
      <c r="F414" s="58"/>
      <c r="G414" s="58"/>
      <c r="H414" s="58"/>
      <c r="I414" s="58"/>
      <c r="J414" s="58"/>
      <c r="K414" s="58"/>
    </row>
    <row r="415" spans="1:11">
      <c r="A415" s="58" t="s">
        <v>1</v>
      </c>
      <c r="B415" s="58"/>
      <c r="C415" s="58"/>
      <c r="D415" s="58"/>
      <c r="E415" s="58"/>
      <c r="F415" s="58"/>
      <c r="G415" s="58"/>
      <c r="H415" s="58"/>
      <c r="I415" s="58"/>
      <c r="J415" s="58"/>
      <c r="K415" s="58"/>
    </row>
    <row r="416" spans="1:11">
      <c r="A416" s="58" t="s">
        <v>39</v>
      </c>
      <c r="B416" s="58"/>
      <c r="C416" s="58"/>
      <c r="D416" s="58"/>
      <c r="E416" s="58"/>
      <c r="F416" s="58"/>
      <c r="G416" s="58"/>
      <c r="H416" s="58"/>
      <c r="I416" s="58"/>
      <c r="J416" s="58"/>
      <c r="K416" s="58"/>
    </row>
    <row r="417" spans="1:11">
      <c r="A417" s="58" t="s">
        <v>2</v>
      </c>
      <c r="B417" s="58"/>
      <c r="C417" s="58"/>
      <c r="D417" s="58"/>
      <c r="E417" s="58"/>
      <c r="F417" s="58"/>
      <c r="G417" s="58"/>
      <c r="H417" s="58"/>
      <c r="I417" s="58"/>
      <c r="J417" s="58"/>
      <c r="K417" s="58"/>
    </row>
    <row r="418" spans="1:11">
      <c r="A418" s="6"/>
      <c r="B418" s="6"/>
      <c r="C418" s="7"/>
      <c r="D418" s="7"/>
      <c r="E418" s="7"/>
      <c r="F418" s="7"/>
      <c r="G418" s="8"/>
      <c r="H418" s="9"/>
      <c r="I418" s="9"/>
      <c r="J418" s="9"/>
      <c r="K418" s="9"/>
    </row>
    <row r="419" spans="1:11">
      <c r="A419" s="53" t="s">
        <v>3</v>
      </c>
      <c r="B419" s="10"/>
      <c r="C419" s="10"/>
      <c r="D419" s="54" t="s">
        <v>4</v>
      </c>
      <c r="E419" s="10" t="s">
        <v>5</v>
      </c>
      <c r="F419" s="11"/>
      <c r="G419" s="10"/>
      <c r="H419" s="12"/>
      <c r="I419" s="12"/>
      <c r="J419" s="12"/>
      <c r="K419" s="9"/>
    </row>
    <row r="420" spans="1:11">
      <c r="A420" s="53" t="s">
        <v>6</v>
      </c>
      <c r="B420" s="10"/>
      <c r="C420" s="10"/>
      <c r="D420" s="54" t="s">
        <v>4</v>
      </c>
      <c r="E420" s="10" t="s">
        <v>7</v>
      </c>
      <c r="F420" s="11"/>
      <c r="G420" s="10"/>
      <c r="H420" s="12"/>
      <c r="I420" s="12"/>
      <c r="J420" s="12"/>
      <c r="K420" s="9"/>
    </row>
    <row r="421" spans="1:11">
      <c r="A421" s="53" t="s">
        <v>8</v>
      </c>
      <c r="B421" s="10"/>
      <c r="C421" s="10"/>
      <c r="D421" s="54" t="s">
        <v>4</v>
      </c>
      <c r="E421" s="13">
        <v>2026</v>
      </c>
      <c r="F421" s="11"/>
      <c r="G421" s="13"/>
      <c r="H421" s="12"/>
      <c r="I421" s="12"/>
      <c r="J421" s="12"/>
      <c r="K421" s="9"/>
    </row>
    <row r="422" spans="1:11">
      <c r="A422" s="53" t="s">
        <v>9</v>
      </c>
      <c r="B422" s="10"/>
      <c r="C422" s="10"/>
      <c r="D422" s="54" t="s">
        <v>4</v>
      </c>
      <c r="E422" s="14">
        <f>J432</f>
        <v>3500000</v>
      </c>
      <c r="F422" s="11"/>
      <c r="G422" s="14"/>
      <c r="H422" s="12"/>
      <c r="I422" s="12"/>
      <c r="J422" s="12"/>
      <c r="K422" s="9"/>
    </row>
    <row r="423" spans="1:11" ht="15.75">
      <c r="A423" s="10"/>
      <c r="B423" s="10"/>
      <c r="C423" s="15" t="s">
        <v>10</v>
      </c>
      <c r="D423" s="54" t="s">
        <v>4</v>
      </c>
      <c r="E423" s="16" t="str">
        <f>PROPER(IF(E422=0,"nol",IF(E422&lt;0,"minus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422),"000000000000000"),1,3)=0,"",MID(TEXT(ABS(E422),"000000000000000"),1,1)&amp;" ratus "&amp;MID(TEXT(ABS(E422),"000000000000000"),2,1)&amp;" puluh "&amp;MID(TEXT(ABS(E422),"000000000000000"),3,1)&amp;" trilyun ")&amp;IF(--MID(TEXT(ABS(E422),"000000000000000"),4,3)=0,"",MID(TEXT(ABS(E422),"000000000000000"),4,1)&amp;" ratus "&amp;MID(TEXT(ABS(E422),"000000000000000"),5,1)&amp;" puluh "&amp;MID(TEXT(ABS(E422),"000000000000000"),6,1)&amp;" milyar ")&amp;IF(--MID(TEXT(ABS(E422),"000000000000000"),7,3)=0,"",MID(TEXT(ABS(E422),"000000000000000"),7,1)&amp;" ratus "&amp;MID(TEXT(ABS(E422),"000000000000000"),8,1)&amp;" puluh "&amp;MID(TEXT(ABS(E422),"000000000000000"),9,1)&amp;" juta ")&amp;IF(--MID(TEXT(ABS(E422),"000000000000000"),10,3)=0,"",IF(--MID(TEXT(ABS(E422),"000000000000000"),10,3)=1,"*",MID(TEXT(ABS(E422),"000000000000000"),10,1)&amp;" ratus "&amp;MID(TEXT(ABS(E422),"000000000000000"),11,1)&amp;" puluh ")&amp;MID(TEXT(ABS(E422),"000000000000000"),12,1)&amp;" ribu ")&amp;IF(--MID(TEXT(ABS(E422),"000000000000000"),13,3)=0,"",MID(TEXT(ABS(E422),"000000000000000"),13,1)&amp;" ratus "&amp;MID(TEXT(ABS(E422),"000000000000000"),14,1)&amp;" puluh "&amp;MID(TEXT(ABS(E422),"000000000000000"),15,1)),1,"satu"),2,"dua"),3,"tiga"),4,"empat"),5,"lima"),6,"enam"),7,"tujuh"),8,"delapan"),9,"sembilan"),"0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Tiga Juta Lima Ratus Ribu Rupiah</v>
      </c>
      <c r="F423" s="11"/>
      <c r="G423" s="16"/>
      <c r="H423" s="12"/>
      <c r="I423" s="12"/>
      <c r="J423" s="12"/>
      <c r="K423" s="9"/>
    </row>
    <row r="424" spans="1:11" ht="15.75">
      <c r="A424" s="10"/>
      <c r="B424" s="10"/>
      <c r="C424" s="15"/>
      <c r="D424" s="15"/>
      <c r="E424" s="15"/>
      <c r="F424" s="11"/>
      <c r="G424" s="16"/>
      <c r="H424" s="12"/>
      <c r="I424" s="12"/>
      <c r="J424" s="12"/>
      <c r="K424" s="9"/>
    </row>
    <row r="425" spans="1:11">
      <c r="A425" s="10" t="s">
        <v>11</v>
      </c>
      <c r="B425" s="10"/>
      <c r="C425" s="10"/>
      <c r="D425" s="10"/>
      <c r="E425" s="10"/>
      <c r="F425" s="10"/>
      <c r="G425" s="10"/>
      <c r="H425" s="12"/>
      <c r="I425" s="12"/>
      <c r="J425" s="12"/>
      <c r="K425" s="9"/>
    </row>
    <row r="426" spans="1:11">
      <c r="A426" s="59" t="s">
        <v>12</v>
      </c>
      <c r="B426" s="59"/>
      <c r="C426" s="59"/>
      <c r="D426" s="59"/>
      <c r="E426" s="59"/>
      <c r="F426" s="59"/>
      <c r="G426" s="59"/>
      <c r="H426" s="59"/>
      <c r="I426" s="59"/>
      <c r="J426" s="59"/>
      <c r="K426" s="59"/>
    </row>
    <row r="427" spans="1:11" ht="60">
      <c r="A427" s="17" t="s">
        <v>13</v>
      </c>
      <c r="B427" s="18" t="s">
        <v>14</v>
      </c>
      <c r="C427" s="60" t="s">
        <v>15</v>
      </c>
      <c r="D427" s="61"/>
      <c r="E427" s="62"/>
      <c r="F427" s="19"/>
      <c r="G427" s="20" t="s">
        <v>16</v>
      </c>
      <c r="H427" s="21" t="s">
        <v>37</v>
      </c>
      <c r="I427" s="21"/>
      <c r="J427" s="31" t="s">
        <v>17</v>
      </c>
      <c r="K427" s="32" t="s">
        <v>18</v>
      </c>
    </row>
    <row r="428" spans="1:11">
      <c r="A428" s="27">
        <v>1</v>
      </c>
      <c r="B428" s="24"/>
      <c r="C428" s="28" t="s">
        <v>23</v>
      </c>
      <c r="D428" s="57"/>
      <c r="E428" s="26"/>
      <c r="F428" s="25"/>
      <c r="G428" s="55" t="s">
        <v>19</v>
      </c>
      <c r="H428" s="55" t="s">
        <v>19</v>
      </c>
      <c r="I428" s="55"/>
      <c r="J428" s="55" t="s">
        <v>19</v>
      </c>
      <c r="K428" s="55" t="s">
        <v>19</v>
      </c>
    </row>
    <row r="429" spans="1:11">
      <c r="A429" s="24"/>
      <c r="B429" s="56" t="s">
        <v>20</v>
      </c>
      <c r="C429" s="25" t="s">
        <v>24</v>
      </c>
      <c r="D429" s="10"/>
      <c r="E429" s="26"/>
      <c r="F429" s="25"/>
      <c r="G429" s="22">
        <v>75000000</v>
      </c>
      <c r="H429" s="23">
        <f>H384+J384</f>
        <v>28186344</v>
      </c>
      <c r="I429" s="23"/>
      <c r="J429" s="33">
        <v>3500000</v>
      </c>
      <c r="K429" s="34">
        <f>G429-H429-J429</f>
        <v>43313656</v>
      </c>
    </row>
    <row r="430" spans="1:11">
      <c r="A430" s="24"/>
      <c r="B430" s="56" t="s">
        <v>21</v>
      </c>
      <c r="C430" s="25" t="s">
        <v>25</v>
      </c>
      <c r="D430" s="10"/>
      <c r="E430" s="26"/>
      <c r="F430" s="25"/>
      <c r="G430" s="22">
        <v>30000000</v>
      </c>
      <c r="H430" s="23">
        <f t="shared" ref="H430:H431" si="17">H385+J385</f>
        <v>7919774</v>
      </c>
      <c r="I430" s="23"/>
      <c r="J430" s="33">
        <v>0</v>
      </c>
      <c r="K430" s="34">
        <f t="shared" ref="K430:K431" si="18">G430-H430-J430</f>
        <v>22080226</v>
      </c>
    </row>
    <row r="431" spans="1:11">
      <c r="A431" s="24"/>
      <c r="B431" s="56" t="s">
        <v>22</v>
      </c>
      <c r="C431" s="25" t="s">
        <v>26</v>
      </c>
      <c r="D431" s="10"/>
      <c r="E431" s="26"/>
      <c r="F431" s="25"/>
      <c r="G431" s="22">
        <v>50000000</v>
      </c>
      <c r="H431" s="23">
        <f t="shared" si="17"/>
        <v>7000000</v>
      </c>
      <c r="I431" s="23"/>
      <c r="J431" s="33">
        <v>0</v>
      </c>
      <c r="K431" s="34">
        <f t="shared" si="18"/>
        <v>43000000</v>
      </c>
    </row>
    <row r="432" spans="1:11">
      <c r="A432" s="35"/>
      <c r="B432" s="35"/>
      <c r="C432" s="35" t="s">
        <v>27</v>
      </c>
      <c r="D432" s="35"/>
      <c r="E432" s="35"/>
      <c r="F432" s="36"/>
      <c r="G432" s="37">
        <f>SUM(G428:G431)</f>
        <v>155000000</v>
      </c>
      <c r="H432" s="38">
        <f>SUM(H428:H431)</f>
        <v>43106118</v>
      </c>
      <c r="I432" s="38"/>
      <c r="J432" s="38">
        <f>SUM(J428:J431)</f>
        <v>3500000</v>
      </c>
      <c r="K432" s="38">
        <f>SUM(K428:K431)</f>
        <v>108393882</v>
      </c>
    </row>
    <row r="433" spans="1:11">
      <c r="A433" s="39"/>
      <c r="B433" s="8"/>
      <c r="C433" s="8"/>
      <c r="D433" s="8"/>
      <c r="E433" s="8"/>
      <c r="F433" s="8"/>
      <c r="G433" s="40"/>
      <c r="H433" s="40"/>
      <c r="I433" s="40"/>
      <c r="J433" s="40"/>
      <c r="K433" s="40"/>
    </row>
    <row r="434" spans="1:11">
      <c r="A434" s="63" t="s">
        <v>28</v>
      </c>
      <c r="B434" s="63"/>
      <c r="C434" s="63"/>
      <c r="D434" s="11" t="s">
        <v>4</v>
      </c>
      <c r="E434" s="14">
        <f>J432</f>
        <v>3500000</v>
      </c>
      <c r="F434" s="41"/>
      <c r="G434" s="42"/>
      <c r="H434" s="42"/>
      <c r="I434" s="42"/>
      <c r="J434" s="9"/>
      <c r="K434" s="9"/>
    </row>
    <row r="435" spans="1:11">
      <c r="A435" s="10" t="s">
        <v>29</v>
      </c>
      <c r="B435" s="10"/>
      <c r="C435" s="10"/>
      <c r="D435" s="11" t="s">
        <v>4</v>
      </c>
      <c r="E435" s="43"/>
      <c r="F435" s="43"/>
      <c r="G435" s="44"/>
      <c r="H435" s="12"/>
      <c r="I435" s="12"/>
      <c r="J435" s="9"/>
      <c r="K435" s="9"/>
    </row>
    <row r="436" spans="1:11">
      <c r="A436" s="10" t="s">
        <v>30</v>
      </c>
      <c r="B436" s="10"/>
      <c r="C436" s="10"/>
      <c r="D436" s="11" t="s">
        <v>4</v>
      </c>
      <c r="E436" s="45"/>
      <c r="F436" s="45"/>
      <c r="G436" s="44"/>
      <c r="H436" s="12"/>
      <c r="I436" s="12"/>
      <c r="J436" s="9"/>
      <c r="K436" s="9"/>
    </row>
    <row r="437" spans="1:11">
      <c r="A437" s="10" t="s">
        <v>31</v>
      </c>
      <c r="B437" s="10"/>
      <c r="C437" s="10"/>
      <c r="D437" s="11" t="s">
        <v>4</v>
      </c>
      <c r="E437" s="45">
        <f>E435+E436</f>
        <v>0</v>
      </c>
      <c r="F437" s="45"/>
      <c r="G437" s="10"/>
      <c r="H437" s="12"/>
      <c r="I437" s="12"/>
      <c r="J437" s="47"/>
      <c r="K437" s="47"/>
    </row>
    <row r="438" spans="1:11">
      <c r="A438" s="13"/>
      <c r="B438" s="13"/>
      <c r="C438" s="13"/>
      <c r="D438" s="11"/>
      <c r="E438" s="13"/>
      <c r="F438" s="13"/>
      <c r="G438" s="10"/>
      <c r="H438" s="12"/>
      <c r="I438" s="12"/>
      <c r="J438" s="47"/>
      <c r="K438" s="47"/>
    </row>
    <row r="439" spans="1:11">
      <c r="A439" s="63" t="s">
        <v>32</v>
      </c>
      <c r="B439" s="63"/>
      <c r="C439" s="63"/>
      <c r="D439" s="11" t="s">
        <v>4</v>
      </c>
      <c r="E439" s="41">
        <f>E434-E437</f>
        <v>3500000</v>
      </c>
      <c r="F439" s="41"/>
      <c r="G439" s="10"/>
      <c r="H439" s="12"/>
      <c r="I439" s="12"/>
      <c r="J439" s="47"/>
      <c r="K439" s="47"/>
    </row>
    <row r="440" spans="1:11" ht="15.75">
      <c r="A440" s="13"/>
      <c r="B440" s="13"/>
      <c r="C440" s="10"/>
      <c r="D440" s="10"/>
      <c r="E440" s="16" t="str">
        <f>PROPER(IF(E439=0,"nol",IF(E439&lt;0,"minus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439),"000000000000000"),1,3)=0,"",MID(TEXT(ABS(E439),"000000000000000"),1,1)&amp;" ratus "&amp;MID(TEXT(ABS(E439),"000000000000000"),2,1)&amp;" puluh "&amp;MID(TEXT(ABS(E439),"000000000000000"),3,1)&amp;" trilyun ")&amp;IF(--MID(TEXT(ABS(E439),"000000000000000"),4,3)=0,"",MID(TEXT(ABS(E439),"000000000000000"),4,1)&amp;" ratus "&amp;MID(TEXT(ABS(E439),"000000000000000"),5,1)&amp;" puluh "&amp;MID(TEXT(ABS(E439),"000000000000000"),6,1)&amp;" milyar ")&amp;IF(--MID(TEXT(ABS(E439),"000000000000000"),7,3)=0,"",MID(TEXT(ABS(E439),"000000000000000"),7,1)&amp;" ratus "&amp;MID(TEXT(ABS(E439),"000000000000000"),8,1)&amp;" puluh "&amp;MID(TEXT(ABS(E439),"000000000000000"),9,1)&amp;" juta ")&amp;IF(--MID(TEXT(ABS(E439),"000000000000000"),10,3)=0,"",IF(--MID(TEXT(ABS(E439),"000000000000000"),10,3)=1,"*",MID(TEXT(ABS(E439),"000000000000000"),10,1)&amp;" ratus "&amp;MID(TEXT(ABS(E439),"000000000000000"),11,1)&amp;" puluh ")&amp;MID(TEXT(ABS(E439),"000000000000000"),12,1)&amp;" ribu ")&amp;IF(--MID(TEXT(ABS(E439),"000000000000000"),13,3)=0,"",MID(TEXT(ABS(E439),"000000000000000"),13,1)&amp;" ratus "&amp;MID(TEXT(ABS(E439),"000000000000000"),14,1)&amp;" puluh "&amp;MID(TEXT(ABS(E439),"000000000000000"),15,1)),1,"satu"),2,"dua"),3,"tiga"),4,"empat"),5,"lima"),6,"enam"),7,"tujuh"),8,"delapan"),9,"sembilan"),"0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Tiga Juta Lima Ratus Ribu Rupiah</v>
      </c>
      <c r="F440" s="10"/>
      <c r="G440" s="10"/>
      <c r="H440" s="10"/>
      <c r="I440" s="10"/>
      <c r="J440" s="47"/>
      <c r="K440" s="47"/>
    </row>
    <row r="441" spans="1:11">
      <c r="A441" s="46"/>
      <c r="B441" s="46"/>
      <c r="C441" s="46"/>
      <c r="D441" s="46"/>
      <c r="E441" s="46"/>
      <c r="F441" s="46"/>
      <c r="G441" s="29"/>
      <c r="H441" s="47"/>
      <c r="I441" s="47"/>
      <c r="J441" s="47"/>
      <c r="K441" s="47"/>
    </row>
    <row r="442" spans="1:11">
      <c r="A442" s="29"/>
      <c r="B442" s="29"/>
      <c r="C442" s="29"/>
      <c r="D442" s="29"/>
      <c r="E442" s="29"/>
      <c r="F442" s="29"/>
      <c r="G442" s="29"/>
      <c r="H442"/>
      <c r="I442"/>
      <c r="J442" s="47"/>
      <c r="K442" s="47"/>
    </row>
    <row r="443" spans="1:11">
      <c r="A443" s="13"/>
      <c r="B443" s="13"/>
      <c r="C443" s="10"/>
      <c r="D443" s="10"/>
      <c r="E443" s="10"/>
      <c r="F443" s="10"/>
      <c r="G443" s="10"/>
      <c r="I443" s="48"/>
      <c r="J443" s="48" t="s">
        <v>80</v>
      </c>
      <c r="K443" s="47"/>
    </row>
    <row r="444" spans="1:11">
      <c r="A444" s="12" t="s">
        <v>33</v>
      </c>
      <c r="B444" s="10"/>
      <c r="C444" s="10"/>
      <c r="D444" s="10"/>
      <c r="E444" s="10"/>
      <c r="F444" s="10"/>
      <c r="G444" s="10"/>
      <c r="I444" s="12"/>
      <c r="J444" s="12" t="s">
        <v>34</v>
      </c>
      <c r="K444" s="47"/>
    </row>
    <row r="445" spans="1:11">
      <c r="A445" s="10"/>
      <c r="B445" s="10"/>
      <c r="C445" s="10"/>
      <c r="D445" s="10"/>
      <c r="E445" s="10"/>
      <c r="F445" s="10"/>
      <c r="G445" s="10"/>
      <c r="I445" s="12"/>
      <c r="J445" s="12"/>
      <c r="K445" s="47"/>
    </row>
    <row r="446" spans="1:11">
      <c r="A446" s="10"/>
      <c r="B446" s="10"/>
      <c r="C446" s="10"/>
      <c r="D446" s="10"/>
      <c r="E446" s="10"/>
      <c r="F446" s="10"/>
      <c r="G446" s="10"/>
      <c r="I446" s="12"/>
      <c r="J446" s="12"/>
      <c r="K446" s="47"/>
    </row>
    <row r="447" spans="1:11">
      <c r="A447" s="10"/>
      <c r="B447" s="10"/>
      <c r="C447" s="10"/>
      <c r="D447" s="10"/>
      <c r="E447" s="10"/>
      <c r="F447" s="10"/>
      <c r="G447" s="10"/>
      <c r="I447" s="12"/>
      <c r="J447" s="12"/>
      <c r="K447" s="47"/>
    </row>
    <row r="448" spans="1:11">
      <c r="A448" s="10"/>
      <c r="B448" s="10"/>
      <c r="C448" s="10"/>
      <c r="D448" s="10"/>
      <c r="E448" s="10"/>
      <c r="F448" s="10"/>
      <c r="G448" s="10"/>
      <c r="I448" s="12"/>
      <c r="J448" s="12"/>
      <c r="K448" s="47"/>
    </row>
    <row r="449" spans="1:11">
      <c r="A449" s="49" t="s">
        <v>38</v>
      </c>
      <c r="B449" s="49"/>
      <c r="C449" s="50"/>
      <c r="D449" s="50"/>
      <c r="E449" s="50"/>
      <c r="F449" s="50"/>
      <c r="G449" s="10" t="s">
        <v>35</v>
      </c>
      <c r="I449" s="49"/>
      <c r="J449" s="49" t="s">
        <v>36</v>
      </c>
      <c r="K449" s="47"/>
    </row>
    <row r="454" spans="1:11" ht="15.75">
      <c r="C454" s="2"/>
      <c r="D454" s="2"/>
      <c r="E454" s="2"/>
      <c r="F454" s="2"/>
    </row>
    <row r="455" spans="1:11" ht="15.75">
      <c r="A455" s="3"/>
      <c r="B455" s="3"/>
      <c r="C455" s="2"/>
      <c r="D455" s="2"/>
      <c r="E455" s="2"/>
      <c r="F455" s="2"/>
      <c r="G455" s="3"/>
      <c r="H455" s="4"/>
      <c r="I455" s="4"/>
      <c r="J455" s="4"/>
      <c r="K455" s="5"/>
    </row>
    <row r="456" spans="1:11">
      <c r="H456" s="5"/>
      <c r="I456" s="5"/>
      <c r="J456" s="5"/>
      <c r="K456" s="5"/>
    </row>
    <row r="457" spans="1:11">
      <c r="H457" s="5"/>
      <c r="I457" s="5"/>
      <c r="J457" s="5"/>
      <c r="K457" s="5"/>
    </row>
    <row r="458" spans="1:11">
      <c r="A458" s="64" t="s">
        <v>0</v>
      </c>
      <c r="B458" s="64"/>
      <c r="C458" s="58"/>
      <c r="D458" s="58"/>
      <c r="E458" s="58"/>
      <c r="F458" s="58"/>
      <c r="G458" s="58"/>
      <c r="H458" s="58"/>
      <c r="I458" s="58"/>
      <c r="J458" s="58"/>
      <c r="K458" s="58"/>
    </row>
    <row r="459" spans="1:11">
      <c r="A459" s="58" t="s">
        <v>83</v>
      </c>
      <c r="B459" s="58"/>
      <c r="C459" s="58"/>
      <c r="D459" s="58"/>
      <c r="E459" s="58"/>
      <c r="F459" s="58"/>
      <c r="G459" s="58"/>
      <c r="H459" s="58"/>
      <c r="I459" s="58"/>
      <c r="J459" s="58"/>
      <c r="K459" s="58"/>
    </row>
    <row r="460" spans="1:11">
      <c r="A460" s="58" t="s">
        <v>1</v>
      </c>
      <c r="B460" s="58"/>
      <c r="C460" s="58"/>
      <c r="D460" s="58"/>
      <c r="E460" s="58"/>
      <c r="F460" s="58"/>
      <c r="G460" s="58"/>
      <c r="H460" s="58"/>
      <c r="I460" s="58"/>
      <c r="J460" s="58"/>
      <c r="K460" s="58"/>
    </row>
    <row r="461" spans="1:11">
      <c r="A461" s="58" t="s">
        <v>39</v>
      </c>
      <c r="B461" s="58"/>
      <c r="C461" s="58"/>
      <c r="D461" s="58"/>
      <c r="E461" s="58"/>
      <c r="F461" s="58"/>
      <c r="G461" s="58"/>
      <c r="H461" s="58"/>
      <c r="I461" s="58"/>
      <c r="J461" s="58"/>
      <c r="K461" s="58"/>
    </row>
    <row r="462" spans="1:11">
      <c r="A462" s="58" t="s">
        <v>2</v>
      </c>
      <c r="B462" s="58"/>
      <c r="C462" s="58"/>
      <c r="D462" s="58"/>
      <c r="E462" s="58"/>
      <c r="F462" s="58"/>
      <c r="G462" s="58"/>
      <c r="H462" s="58"/>
      <c r="I462" s="58"/>
      <c r="J462" s="58"/>
      <c r="K462" s="58"/>
    </row>
    <row r="463" spans="1:11">
      <c r="A463" s="6"/>
      <c r="B463" s="6"/>
      <c r="C463" s="7"/>
      <c r="D463" s="7"/>
      <c r="E463" s="7"/>
      <c r="F463" s="7"/>
      <c r="G463" s="8"/>
      <c r="H463" s="9"/>
      <c r="I463" s="9"/>
      <c r="J463" s="9"/>
      <c r="K463" s="9"/>
    </row>
    <row r="464" spans="1:11">
      <c r="A464" s="53" t="s">
        <v>3</v>
      </c>
      <c r="B464" s="10"/>
      <c r="C464" s="10"/>
      <c r="D464" s="54" t="s">
        <v>4</v>
      </c>
      <c r="E464" s="10" t="s">
        <v>5</v>
      </c>
      <c r="F464" s="11"/>
      <c r="G464" s="10"/>
      <c r="H464" s="12"/>
      <c r="I464" s="12"/>
      <c r="J464" s="12"/>
      <c r="K464" s="9"/>
    </row>
    <row r="465" spans="1:11">
      <c r="A465" s="53" t="s">
        <v>6</v>
      </c>
      <c r="B465" s="10"/>
      <c r="C465" s="10"/>
      <c r="D465" s="54" t="s">
        <v>4</v>
      </c>
      <c r="E465" s="10" t="s">
        <v>7</v>
      </c>
      <c r="F465" s="11"/>
      <c r="G465" s="10"/>
      <c r="H465" s="12"/>
      <c r="I465" s="12"/>
      <c r="J465" s="12"/>
      <c r="K465" s="9"/>
    </row>
    <row r="466" spans="1:11">
      <c r="A466" s="53" t="s">
        <v>8</v>
      </c>
      <c r="B466" s="10"/>
      <c r="C466" s="10"/>
      <c r="D466" s="54" t="s">
        <v>4</v>
      </c>
      <c r="E466" s="13">
        <v>2026</v>
      </c>
      <c r="F466" s="11"/>
      <c r="G466" s="13"/>
      <c r="H466" s="12"/>
      <c r="I466" s="12"/>
      <c r="J466" s="12"/>
      <c r="K466" s="9"/>
    </row>
    <row r="467" spans="1:11">
      <c r="A467" s="53" t="s">
        <v>9</v>
      </c>
      <c r="B467" s="10"/>
      <c r="C467" s="10"/>
      <c r="D467" s="54" t="s">
        <v>4</v>
      </c>
      <c r="E467" s="14">
        <f>J477</f>
        <v>3650000</v>
      </c>
      <c r="F467" s="11"/>
      <c r="G467" s="14"/>
      <c r="H467" s="12"/>
      <c r="I467" s="12"/>
      <c r="J467" s="12"/>
      <c r="K467" s="9"/>
    </row>
    <row r="468" spans="1:11" ht="15.75">
      <c r="A468" s="10"/>
      <c r="B468" s="10"/>
      <c r="C468" s="15" t="s">
        <v>10</v>
      </c>
      <c r="D468" s="54" t="s">
        <v>4</v>
      </c>
      <c r="E468" s="16" t="str">
        <f>PROPER(IF(E467=0,"nol",IF(E467&lt;0,"minus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467),"000000000000000"),1,3)=0,"",MID(TEXT(ABS(E467),"000000000000000"),1,1)&amp;" ratus "&amp;MID(TEXT(ABS(E467),"000000000000000"),2,1)&amp;" puluh "&amp;MID(TEXT(ABS(E467),"000000000000000"),3,1)&amp;" trilyun ")&amp;IF(--MID(TEXT(ABS(E467),"000000000000000"),4,3)=0,"",MID(TEXT(ABS(E467),"000000000000000"),4,1)&amp;" ratus "&amp;MID(TEXT(ABS(E467),"000000000000000"),5,1)&amp;" puluh "&amp;MID(TEXT(ABS(E467),"000000000000000"),6,1)&amp;" milyar ")&amp;IF(--MID(TEXT(ABS(E467),"000000000000000"),7,3)=0,"",MID(TEXT(ABS(E467),"000000000000000"),7,1)&amp;" ratus "&amp;MID(TEXT(ABS(E467),"000000000000000"),8,1)&amp;" puluh "&amp;MID(TEXT(ABS(E467),"000000000000000"),9,1)&amp;" juta ")&amp;IF(--MID(TEXT(ABS(E467),"000000000000000"),10,3)=0,"",IF(--MID(TEXT(ABS(E467),"000000000000000"),10,3)=1,"*",MID(TEXT(ABS(E467),"000000000000000"),10,1)&amp;" ratus "&amp;MID(TEXT(ABS(E467),"000000000000000"),11,1)&amp;" puluh ")&amp;MID(TEXT(ABS(E467),"000000000000000"),12,1)&amp;" ribu ")&amp;IF(--MID(TEXT(ABS(E467),"000000000000000"),13,3)=0,"",MID(TEXT(ABS(E467),"000000000000000"),13,1)&amp;" ratus "&amp;MID(TEXT(ABS(E467),"000000000000000"),14,1)&amp;" puluh "&amp;MID(TEXT(ABS(E467),"000000000000000"),15,1)),1,"satu"),2,"dua"),3,"tiga"),4,"empat"),5,"lima"),6,"enam"),7,"tujuh"),8,"delapan"),9,"sembilan"),"0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Tiga Juta Enam Ratus Lima Puluh Ribu Rupiah</v>
      </c>
      <c r="F468" s="11"/>
      <c r="G468" s="16"/>
      <c r="H468" s="12"/>
      <c r="I468" s="12"/>
      <c r="J468" s="12"/>
      <c r="K468" s="9"/>
    </row>
    <row r="469" spans="1:11" ht="15.75">
      <c r="A469" s="10"/>
      <c r="B469" s="10"/>
      <c r="C469" s="15"/>
      <c r="D469" s="15"/>
      <c r="E469" s="15"/>
      <c r="F469" s="11"/>
      <c r="G469" s="16"/>
      <c r="H469" s="12"/>
      <c r="I469" s="12"/>
      <c r="J469" s="12"/>
      <c r="K469" s="9"/>
    </row>
    <row r="470" spans="1:11">
      <c r="A470" s="10" t="s">
        <v>11</v>
      </c>
      <c r="B470" s="10"/>
      <c r="C470" s="10"/>
      <c r="D470" s="10"/>
      <c r="E470" s="10"/>
      <c r="F470" s="10"/>
      <c r="G470" s="10"/>
      <c r="H470" s="12"/>
      <c r="I470" s="12"/>
      <c r="J470" s="12"/>
      <c r="K470" s="9"/>
    </row>
    <row r="471" spans="1:11">
      <c r="A471" s="59" t="s">
        <v>12</v>
      </c>
      <c r="B471" s="59"/>
      <c r="C471" s="59"/>
      <c r="D471" s="59"/>
      <c r="E471" s="59"/>
      <c r="F471" s="59"/>
      <c r="G471" s="59"/>
      <c r="H471" s="59"/>
      <c r="I471" s="59"/>
      <c r="J471" s="59"/>
      <c r="K471" s="59"/>
    </row>
    <row r="472" spans="1:11" ht="60">
      <c r="A472" s="17" t="s">
        <v>13</v>
      </c>
      <c r="B472" s="18" t="s">
        <v>14</v>
      </c>
      <c r="C472" s="60" t="s">
        <v>15</v>
      </c>
      <c r="D472" s="61"/>
      <c r="E472" s="62"/>
      <c r="F472" s="19"/>
      <c r="G472" s="20" t="s">
        <v>16</v>
      </c>
      <c r="H472" s="21" t="s">
        <v>37</v>
      </c>
      <c r="I472" s="21"/>
      <c r="J472" s="31" t="s">
        <v>17</v>
      </c>
      <c r="K472" s="32" t="s">
        <v>18</v>
      </c>
    </row>
    <row r="473" spans="1:11">
      <c r="A473" s="27">
        <v>1</v>
      </c>
      <c r="B473" s="24"/>
      <c r="C473" s="28" t="s">
        <v>23</v>
      </c>
      <c r="D473" s="57"/>
      <c r="E473" s="26"/>
      <c r="F473" s="25"/>
      <c r="G473" s="55" t="s">
        <v>19</v>
      </c>
      <c r="H473" s="55" t="s">
        <v>19</v>
      </c>
      <c r="I473" s="55"/>
      <c r="J473" s="55" t="s">
        <v>19</v>
      </c>
      <c r="K473" s="55" t="s">
        <v>19</v>
      </c>
    </row>
    <row r="474" spans="1:11">
      <c r="A474" s="24"/>
      <c r="B474" s="56" t="s">
        <v>20</v>
      </c>
      <c r="C474" s="25" t="s">
        <v>24</v>
      </c>
      <c r="D474" s="10"/>
      <c r="E474" s="26"/>
      <c r="F474" s="25"/>
      <c r="G474" s="22">
        <v>75000000</v>
      </c>
      <c r="H474" s="23">
        <f>H429+J429</f>
        <v>31686344</v>
      </c>
      <c r="I474" s="23"/>
      <c r="J474" s="33">
        <v>3650000</v>
      </c>
      <c r="K474" s="34">
        <f>G474-H474-J474</f>
        <v>39663656</v>
      </c>
    </row>
    <row r="475" spans="1:11">
      <c r="A475" s="24"/>
      <c r="B475" s="56" t="s">
        <v>21</v>
      </c>
      <c r="C475" s="25" t="s">
        <v>25</v>
      </c>
      <c r="D475" s="10"/>
      <c r="E475" s="26"/>
      <c r="F475" s="25"/>
      <c r="G475" s="22">
        <v>30000000</v>
      </c>
      <c r="H475" s="23">
        <f t="shared" ref="H475:H476" si="19">H430+J430</f>
        <v>7919774</v>
      </c>
      <c r="I475" s="23"/>
      <c r="J475" s="33">
        <v>0</v>
      </c>
      <c r="K475" s="34">
        <f t="shared" ref="K475:K476" si="20">G475-H475-J475</f>
        <v>22080226</v>
      </c>
    </row>
    <row r="476" spans="1:11">
      <c r="A476" s="24"/>
      <c r="B476" s="56" t="s">
        <v>22</v>
      </c>
      <c r="C476" s="25" t="s">
        <v>26</v>
      </c>
      <c r="D476" s="10"/>
      <c r="E476" s="26"/>
      <c r="F476" s="25"/>
      <c r="G476" s="22">
        <v>50000000</v>
      </c>
      <c r="H476" s="23">
        <f t="shared" si="19"/>
        <v>7000000</v>
      </c>
      <c r="I476" s="23"/>
      <c r="J476" s="33">
        <v>0</v>
      </c>
      <c r="K476" s="34">
        <f t="shared" si="20"/>
        <v>43000000</v>
      </c>
    </row>
    <row r="477" spans="1:11">
      <c r="A477" s="35"/>
      <c r="B477" s="35"/>
      <c r="C477" s="35" t="s">
        <v>27</v>
      </c>
      <c r="D477" s="35"/>
      <c r="E477" s="35"/>
      <c r="F477" s="36"/>
      <c r="G477" s="37">
        <f>SUM(G473:G476)</f>
        <v>155000000</v>
      </c>
      <c r="H477" s="38">
        <f>SUM(H473:H476)</f>
        <v>46606118</v>
      </c>
      <c r="I477" s="38"/>
      <c r="J477" s="38">
        <f>SUM(J473:J476)</f>
        <v>3650000</v>
      </c>
      <c r="K477" s="38">
        <f>SUM(K473:K476)</f>
        <v>104743882</v>
      </c>
    </row>
    <row r="478" spans="1:11">
      <c r="A478" s="39"/>
      <c r="B478" s="8"/>
      <c r="C478" s="8"/>
      <c r="D478" s="8"/>
      <c r="E478" s="8"/>
      <c r="F478" s="8"/>
      <c r="G478" s="40"/>
      <c r="H478" s="40"/>
      <c r="I478" s="40"/>
      <c r="J478" s="40"/>
      <c r="K478" s="40"/>
    </row>
    <row r="479" spans="1:11">
      <c r="A479" s="63" t="s">
        <v>28</v>
      </c>
      <c r="B479" s="63"/>
      <c r="C479" s="63"/>
      <c r="D479" s="11" t="s">
        <v>4</v>
      </c>
      <c r="E479" s="14">
        <f>J477</f>
        <v>3650000</v>
      </c>
      <c r="F479" s="41"/>
      <c r="G479" s="42"/>
      <c r="H479" s="42"/>
      <c r="I479" s="42"/>
      <c r="J479" s="9"/>
      <c r="K479" s="9"/>
    </row>
    <row r="480" spans="1:11">
      <c r="A480" s="10" t="s">
        <v>29</v>
      </c>
      <c r="B480" s="10"/>
      <c r="C480" s="10"/>
      <c r="D480" s="11" t="s">
        <v>4</v>
      </c>
      <c r="E480" s="43"/>
      <c r="F480" s="43"/>
      <c r="G480" s="44"/>
      <c r="H480" s="12"/>
      <c r="I480" s="12"/>
      <c r="J480" s="9"/>
      <c r="K480" s="9"/>
    </row>
    <row r="481" spans="1:11">
      <c r="A481" s="10" t="s">
        <v>30</v>
      </c>
      <c r="B481" s="10"/>
      <c r="C481" s="10"/>
      <c r="D481" s="11" t="s">
        <v>4</v>
      </c>
      <c r="E481" s="45"/>
      <c r="F481" s="45"/>
      <c r="G481" s="44"/>
      <c r="H481" s="12"/>
      <c r="I481" s="12"/>
      <c r="J481" s="9"/>
      <c r="K481" s="9"/>
    </row>
    <row r="482" spans="1:11">
      <c r="A482" s="10" t="s">
        <v>31</v>
      </c>
      <c r="B482" s="10"/>
      <c r="C482" s="10"/>
      <c r="D482" s="11" t="s">
        <v>4</v>
      </c>
      <c r="E482" s="45">
        <f>E480+E481</f>
        <v>0</v>
      </c>
      <c r="F482" s="45"/>
      <c r="G482" s="10"/>
      <c r="H482" s="12"/>
      <c r="I482" s="12"/>
      <c r="J482" s="47"/>
      <c r="K482" s="47"/>
    </row>
    <row r="483" spans="1:11">
      <c r="A483" s="13"/>
      <c r="B483" s="13"/>
      <c r="C483" s="13"/>
      <c r="D483" s="11"/>
      <c r="E483" s="13"/>
      <c r="F483" s="13"/>
      <c r="G483" s="10"/>
      <c r="H483" s="12"/>
      <c r="I483" s="12"/>
      <c r="J483" s="47"/>
      <c r="K483" s="47"/>
    </row>
    <row r="484" spans="1:11">
      <c r="A484" s="63" t="s">
        <v>32</v>
      </c>
      <c r="B484" s="63"/>
      <c r="C484" s="63"/>
      <c r="D484" s="11" t="s">
        <v>4</v>
      </c>
      <c r="E484" s="41">
        <f>E479-E482</f>
        <v>3650000</v>
      </c>
      <c r="F484" s="41"/>
      <c r="G484" s="10"/>
      <c r="H484" s="12"/>
      <c r="I484" s="12"/>
      <c r="J484" s="47"/>
      <c r="K484" s="47"/>
    </row>
    <row r="485" spans="1:11" ht="15.75">
      <c r="A485" s="13"/>
      <c r="B485" s="13"/>
      <c r="C485" s="10"/>
      <c r="D485" s="10"/>
      <c r="E485" s="16" t="str">
        <f>PROPER(IF(E484=0,"nol",IF(E484&lt;0,"minus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484),"000000000000000"),1,3)=0,"",MID(TEXT(ABS(E484),"000000000000000"),1,1)&amp;" ratus "&amp;MID(TEXT(ABS(E484),"000000000000000"),2,1)&amp;" puluh "&amp;MID(TEXT(ABS(E484),"000000000000000"),3,1)&amp;" trilyun ")&amp;IF(--MID(TEXT(ABS(E484),"000000000000000"),4,3)=0,"",MID(TEXT(ABS(E484),"000000000000000"),4,1)&amp;" ratus "&amp;MID(TEXT(ABS(E484),"000000000000000"),5,1)&amp;" puluh "&amp;MID(TEXT(ABS(E484),"000000000000000"),6,1)&amp;" milyar ")&amp;IF(--MID(TEXT(ABS(E484),"000000000000000"),7,3)=0,"",MID(TEXT(ABS(E484),"000000000000000"),7,1)&amp;" ratus "&amp;MID(TEXT(ABS(E484),"000000000000000"),8,1)&amp;" puluh "&amp;MID(TEXT(ABS(E484),"000000000000000"),9,1)&amp;" juta ")&amp;IF(--MID(TEXT(ABS(E484),"000000000000000"),10,3)=0,"",IF(--MID(TEXT(ABS(E484),"000000000000000"),10,3)=1,"*",MID(TEXT(ABS(E484),"000000000000000"),10,1)&amp;" ratus "&amp;MID(TEXT(ABS(E484),"000000000000000"),11,1)&amp;" puluh ")&amp;MID(TEXT(ABS(E484),"000000000000000"),12,1)&amp;" ribu ")&amp;IF(--MID(TEXT(ABS(E484),"000000000000000"),13,3)=0,"",MID(TEXT(ABS(E484),"000000000000000"),13,1)&amp;" ratus "&amp;MID(TEXT(ABS(E484),"000000000000000"),14,1)&amp;" puluh "&amp;MID(TEXT(ABS(E484),"000000000000000"),15,1)),1,"satu"),2,"dua"),3,"tiga"),4,"empat"),5,"lima"),6,"enam"),7,"tujuh"),8,"delapan"),9,"sembilan"),"0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Tiga Juta Enam Ratus Lima Puluh Ribu Rupiah</v>
      </c>
      <c r="F485" s="10"/>
      <c r="G485" s="10"/>
      <c r="H485" s="10"/>
      <c r="I485" s="10"/>
      <c r="J485" s="47"/>
      <c r="K485" s="47"/>
    </row>
    <row r="486" spans="1:11">
      <c r="A486" s="46"/>
      <c r="B486" s="46"/>
      <c r="C486" s="46"/>
      <c r="D486" s="46"/>
      <c r="E486" s="46"/>
      <c r="F486" s="46"/>
      <c r="G486" s="29"/>
      <c r="H486" s="47"/>
      <c r="I486" s="47"/>
      <c r="J486" s="47"/>
      <c r="K486" s="47"/>
    </row>
    <row r="487" spans="1:11">
      <c r="A487" s="29"/>
      <c r="B487" s="29"/>
      <c r="C487" s="29"/>
      <c r="D487" s="29"/>
      <c r="E487" s="29"/>
      <c r="F487" s="29"/>
      <c r="G487" s="29"/>
      <c r="H487"/>
      <c r="I487"/>
      <c r="J487" s="47"/>
      <c r="K487" s="47"/>
    </row>
    <row r="488" spans="1:11">
      <c r="A488" s="13"/>
      <c r="B488" s="13"/>
      <c r="C488" s="10"/>
      <c r="D488" s="10"/>
      <c r="E488" s="10"/>
      <c r="F488" s="10"/>
      <c r="G488" s="10"/>
      <c r="I488" s="48"/>
      <c r="J488" s="48" t="s">
        <v>80</v>
      </c>
      <c r="K488" s="47"/>
    </row>
    <row r="489" spans="1:11">
      <c r="A489" s="12" t="s">
        <v>33</v>
      </c>
      <c r="B489" s="10"/>
      <c r="C489" s="10"/>
      <c r="D489" s="10"/>
      <c r="E489" s="10"/>
      <c r="F489" s="10"/>
      <c r="G489" s="10"/>
      <c r="I489" s="12"/>
      <c r="J489" s="12" t="s">
        <v>34</v>
      </c>
      <c r="K489" s="47"/>
    </row>
    <row r="490" spans="1:11">
      <c r="A490" s="10"/>
      <c r="B490" s="10"/>
      <c r="C490" s="10"/>
      <c r="D490" s="10"/>
      <c r="E490" s="10"/>
      <c r="F490" s="10"/>
      <c r="G490" s="10"/>
      <c r="I490" s="12"/>
      <c r="J490" s="12"/>
      <c r="K490" s="47"/>
    </row>
    <row r="491" spans="1:11">
      <c r="A491" s="10"/>
      <c r="B491" s="10"/>
      <c r="C491" s="10"/>
      <c r="D491" s="10"/>
      <c r="E491" s="10"/>
      <c r="F491" s="10"/>
      <c r="G491" s="10"/>
      <c r="I491" s="12"/>
      <c r="J491" s="12"/>
      <c r="K491" s="47"/>
    </row>
    <row r="492" spans="1:11">
      <c r="A492" s="10"/>
      <c r="B492" s="10"/>
      <c r="C492" s="10"/>
      <c r="D492" s="10"/>
      <c r="E492" s="10"/>
      <c r="F492" s="10"/>
      <c r="G492" s="10"/>
      <c r="I492" s="12"/>
      <c r="J492" s="12"/>
      <c r="K492" s="47"/>
    </row>
    <row r="493" spans="1:11">
      <c r="A493" s="10"/>
      <c r="B493" s="10"/>
      <c r="C493" s="10"/>
      <c r="D493" s="10"/>
      <c r="E493" s="10"/>
      <c r="F493" s="10"/>
      <c r="G493" s="10"/>
      <c r="I493" s="12"/>
      <c r="J493" s="12"/>
      <c r="K493" s="47"/>
    </row>
    <row r="494" spans="1:11">
      <c r="A494" s="49" t="s">
        <v>38</v>
      </c>
      <c r="B494" s="49"/>
      <c r="C494" s="50"/>
      <c r="D494" s="50"/>
      <c r="E494" s="50"/>
      <c r="F494" s="50"/>
      <c r="G494" s="10" t="s">
        <v>35</v>
      </c>
      <c r="I494" s="49"/>
      <c r="J494" s="49" t="s">
        <v>36</v>
      </c>
      <c r="K494" s="47"/>
    </row>
    <row r="499" spans="1:11" ht="15.75">
      <c r="C499" s="2"/>
      <c r="D499" s="2"/>
      <c r="E499" s="2"/>
      <c r="F499" s="2"/>
    </row>
    <row r="500" spans="1:11" ht="15.75">
      <c r="A500" s="3"/>
      <c r="B500" s="3"/>
      <c r="C500" s="2"/>
      <c r="D500" s="2"/>
      <c r="E500" s="2"/>
      <c r="F500" s="2"/>
      <c r="G500" s="3"/>
      <c r="H500" s="4"/>
      <c r="I500" s="4"/>
      <c r="J500" s="4"/>
      <c r="K500" s="5"/>
    </row>
    <row r="501" spans="1:11">
      <c r="H501" s="5"/>
      <c r="I501" s="5"/>
      <c r="J501" s="5"/>
      <c r="K501" s="5"/>
    </row>
    <row r="502" spans="1:11">
      <c r="H502" s="5"/>
      <c r="I502" s="5"/>
      <c r="J502" s="5"/>
      <c r="K502" s="5"/>
    </row>
    <row r="503" spans="1:11">
      <c r="A503" s="64" t="s">
        <v>0</v>
      </c>
      <c r="B503" s="64"/>
      <c r="C503" s="58"/>
      <c r="D503" s="58"/>
      <c r="E503" s="58"/>
      <c r="F503" s="58"/>
      <c r="G503" s="58"/>
      <c r="H503" s="58"/>
      <c r="I503" s="58"/>
      <c r="J503" s="58"/>
      <c r="K503" s="58"/>
    </row>
    <row r="504" spans="1:11">
      <c r="A504" s="58" t="s">
        <v>84</v>
      </c>
      <c r="B504" s="58"/>
      <c r="C504" s="58"/>
      <c r="D504" s="58"/>
      <c r="E504" s="58"/>
      <c r="F504" s="58"/>
      <c r="G504" s="58"/>
      <c r="H504" s="58"/>
      <c r="I504" s="58"/>
      <c r="J504" s="58"/>
      <c r="K504" s="58"/>
    </row>
    <row r="505" spans="1:11">
      <c r="A505" s="58" t="s">
        <v>1</v>
      </c>
      <c r="B505" s="58"/>
      <c r="C505" s="58"/>
      <c r="D505" s="58"/>
      <c r="E505" s="58"/>
      <c r="F505" s="58"/>
      <c r="G505" s="58"/>
      <c r="H505" s="58"/>
      <c r="I505" s="58"/>
      <c r="J505" s="58"/>
      <c r="K505" s="58"/>
    </row>
    <row r="506" spans="1:11">
      <c r="A506" s="58" t="s">
        <v>39</v>
      </c>
      <c r="B506" s="58"/>
      <c r="C506" s="58"/>
      <c r="D506" s="58"/>
      <c r="E506" s="58"/>
      <c r="F506" s="58"/>
      <c r="G506" s="58"/>
      <c r="H506" s="58"/>
      <c r="I506" s="58"/>
      <c r="J506" s="58"/>
      <c r="K506" s="58"/>
    </row>
    <row r="507" spans="1:11">
      <c r="A507" s="58" t="s">
        <v>2</v>
      </c>
      <c r="B507" s="58"/>
      <c r="C507" s="58"/>
      <c r="D507" s="58"/>
      <c r="E507" s="58"/>
      <c r="F507" s="58"/>
      <c r="G507" s="58"/>
      <c r="H507" s="58"/>
      <c r="I507" s="58"/>
      <c r="J507" s="58"/>
      <c r="K507" s="58"/>
    </row>
    <row r="508" spans="1:11">
      <c r="A508" s="6"/>
      <c r="B508" s="6"/>
      <c r="C508" s="7"/>
      <c r="D508" s="7"/>
      <c r="E508" s="7"/>
      <c r="F508" s="7"/>
      <c r="G508" s="8"/>
      <c r="H508" s="9"/>
      <c r="I508" s="9"/>
      <c r="J508" s="9"/>
      <c r="K508" s="9"/>
    </row>
    <row r="509" spans="1:11">
      <c r="A509" s="53" t="s">
        <v>3</v>
      </c>
      <c r="B509" s="10"/>
      <c r="C509" s="10"/>
      <c r="D509" s="54" t="s">
        <v>4</v>
      </c>
      <c r="E509" s="10" t="s">
        <v>5</v>
      </c>
      <c r="F509" s="11"/>
      <c r="G509" s="10"/>
      <c r="H509" s="12"/>
      <c r="I509" s="12"/>
      <c r="J509" s="12"/>
      <c r="K509" s="9"/>
    </row>
    <row r="510" spans="1:11">
      <c r="A510" s="53" t="s">
        <v>6</v>
      </c>
      <c r="B510" s="10"/>
      <c r="C510" s="10"/>
      <c r="D510" s="54" t="s">
        <v>4</v>
      </c>
      <c r="E510" s="10" t="s">
        <v>7</v>
      </c>
      <c r="F510" s="11"/>
      <c r="G510" s="10"/>
      <c r="H510" s="12"/>
      <c r="I510" s="12"/>
      <c r="J510" s="12"/>
      <c r="K510" s="9"/>
    </row>
    <row r="511" spans="1:11">
      <c r="A511" s="53" t="s">
        <v>8</v>
      </c>
      <c r="B511" s="10"/>
      <c r="C511" s="10"/>
      <c r="D511" s="54" t="s">
        <v>4</v>
      </c>
      <c r="E511" s="13">
        <v>2026</v>
      </c>
      <c r="F511" s="11"/>
      <c r="G511" s="13"/>
      <c r="H511" s="12"/>
      <c r="I511" s="12"/>
      <c r="J511" s="12"/>
      <c r="K511" s="9"/>
    </row>
    <row r="512" spans="1:11">
      <c r="A512" s="53" t="s">
        <v>9</v>
      </c>
      <c r="B512" s="10"/>
      <c r="C512" s="10"/>
      <c r="D512" s="54" t="s">
        <v>4</v>
      </c>
      <c r="E512" s="14">
        <f>J522</f>
        <v>51500</v>
      </c>
      <c r="F512" s="11"/>
      <c r="G512" s="14"/>
      <c r="H512" s="12"/>
      <c r="I512" s="12"/>
      <c r="J512" s="12"/>
      <c r="K512" s="9"/>
    </row>
    <row r="513" spans="1:11" ht="15.75">
      <c r="A513" s="10"/>
      <c r="B513" s="10"/>
      <c r="C513" s="15" t="s">
        <v>10</v>
      </c>
      <c r="D513" s="54" t="s">
        <v>4</v>
      </c>
      <c r="E513" s="16" t="str">
        <f>PROPER(IF(E512=0,"nol",IF(E512&lt;0,"minus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512),"000000000000000"),1,3)=0,"",MID(TEXT(ABS(E512),"000000000000000"),1,1)&amp;" ratus "&amp;MID(TEXT(ABS(E512),"000000000000000"),2,1)&amp;" puluh "&amp;MID(TEXT(ABS(E512),"000000000000000"),3,1)&amp;" trilyun ")&amp;IF(--MID(TEXT(ABS(E512),"000000000000000"),4,3)=0,"",MID(TEXT(ABS(E512),"000000000000000"),4,1)&amp;" ratus "&amp;MID(TEXT(ABS(E512),"000000000000000"),5,1)&amp;" puluh "&amp;MID(TEXT(ABS(E512),"000000000000000"),6,1)&amp;" milyar ")&amp;IF(--MID(TEXT(ABS(E512),"000000000000000"),7,3)=0,"",MID(TEXT(ABS(E512),"000000000000000"),7,1)&amp;" ratus "&amp;MID(TEXT(ABS(E512),"000000000000000"),8,1)&amp;" puluh "&amp;MID(TEXT(ABS(E512),"000000000000000"),9,1)&amp;" juta ")&amp;IF(--MID(TEXT(ABS(E512),"000000000000000"),10,3)=0,"",IF(--MID(TEXT(ABS(E512),"000000000000000"),10,3)=1,"*",MID(TEXT(ABS(E512),"000000000000000"),10,1)&amp;" ratus "&amp;MID(TEXT(ABS(E512),"000000000000000"),11,1)&amp;" puluh ")&amp;MID(TEXT(ABS(E512),"000000000000000"),12,1)&amp;" ribu ")&amp;IF(--MID(TEXT(ABS(E512),"000000000000000"),13,3)=0,"",MID(TEXT(ABS(E512),"000000000000000"),13,1)&amp;" ratus "&amp;MID(TEXT(ABS(E512),"000000000000000"),14,1)&amp;" puluh "&amp;MID(TEXT(ABS(E512),"000000000000000"),15,1)),1,"satu"),2,"dua"),3,"tiga"),4,"empat"),5,"lima"),6,"enam"),7,"tujuh"),8,"delapan"),9,"sembilan"),"0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Lima Puluh Satu Ribu Lima Ratus Rupiah</v>
      </c>
      <c r="F513" s="11"/>
      <c r="G513" s="16"/>
      <c r="H513" s="12"/>
      <c r="I513" s="12"/>
      <c r="J513" s="12"/>
      <c r="K513" s="9"/>
    </row>
    <row r="514" spans="1:11" ht="15.75">
      <c r="A514" s="10"/>
      <c r="B514" s="10"/>
      <c r="C514" s="15"/>
      <c r="D514" s="15"/>
      <c r="E514" s="15"/>
      <c r="F514" s="11"/>
      <c r="G514" s="16"/>
      <c r="H514" s="12"/>
      <c r="I514" s="12"/>
      <c r="J514" s="12"/>
      <c r="K514" s="9"/>
    </row>
    <row r="515" spans="1:11">
      <c r="A515" s="10" t="s">
        <v>11</v>
      </c>
      <c r="B515" s="10"/>
      <c r="C515" s="10"/>
      <c r="D515" s="10"/>
      <c r="E515" s="10"/>
      <c r="F515" s="10"/>
      <c r="G515" s="10"/>
      <c r="H515" s="12"/>
      <c r="I515" s="12"/>
      <c r="J515" s="12"/>
      <c r="K515" s="9"/>
    </row>
    <row r="516" spans="1:11">
      <c r="A516" s="59" t="s">
        <v>12</v>
      </c>
      <c r="B516" s="59"/>
      <c r="C516" s="59"/>
      <c r="D516" s="59"/>
      <c r="E516" s="59"/>
      <c r="F516" s="59"/>
      <c r="G516" s="59"/>
      <c r="H516" s="59"/>
      <c r="I516" s="59"/>
      <c r="J516" s="59"/>
      <c r="K516" s="59"/>
    </row>
    <row r="517" spans="1:11" ht="60">
      <c r="A517" s="17" t="s">
        <v>13</v>
      </c>
      <c r="B517" s="18" t="s">
        <v>14</v>
      </c>
      <c r="C517" s="60" t="s">
        <v>15</v>
      </c>
      <c r="D517" s="61"/>
      <c r="E517" s="62"/>
      <c r="F517" s="19"/>
      <c r="G517" s="20" t="s">
        <v>16</v>
      </c>
      <c r="H517" s="21" t="s">
        <v>37</v>
      </c>
      <c r="I517" s="21"/>
      <c r="J517" s="31" t="s">
        <v>17</v>
      </c>
      <c r="K517" s="32" t="s">
        <v>18</v>
      </c>
    </row>
    <row r="518" spans="1:11">
      <c r="A518" s="27">
        <v>1</v>
      </c>
      <c r="B518" s="24"/>
      <c r="C518" s="28" t="s">
        <v>23</v>
      </c>
      <c r="D518" s="57"/>
      <c r="E518" s="26"/>
      <c r="F518" s="25"/>
      <c r="G518" s="55" t="s">
        <v>19</v>
      </c>
      <c r="H518" s="55" t="s">
        <v>19</v>
      </c>
      <c r="I518" s="55"/>
      <c r="J518" s="55" t="s">
        <v>19</v>
      </c>
      <c r="K518" s="55" t="s">
        <v>19</v>
      </c>
    </row>
    <row r="519" spans="1:11">
      <c r="A519" s="24"/>
      <c r="B519" s="56" t="s">
        <v>20</v>
      </c>
      <c r="C519" s="25" t="s">
        <v>24</v>
      </c>
      <c r="D519" s="10"/>
      <c r="E519" s="26"/>
      <c r="F519" s="25"/>
      <c r="G519" s="22">
        <v>75000000</v>
      </c>
      <c r="H519" s="23">
        <f>H474+J474</f>
        <v>35336344</v>
      </c>
      <c r="I519" s="23"/>
      <c r="J519" s="33">
        <v>51500</v>
      </c>
      <c r="K519" s="34">
        <f>G519-H519-J519</f>
        <v>39612156</v>
      </c>
    </row>
    <row r="520" spans="1:11">
      <c r="A520" s="24"/>
      <c r="B520" s="56" t="s">
        <v>21</v>
      </c>
      <c r="C520" s="25" t="s">
        <v>25</v>
      </c>
      <c r="D520" s="10"/>
      <c r="E520" s="26"/>
      <c r="F520" s="25"/>
      <c r="G520" s="22">
        <v>30000000</v>
      </c>
      <c r="H520" s="23">
        <f t="shared" ref="H520:H521" si="21">H475+J475</f>
        <v>7919774</v>
      </c>
      <c r="I520" s="23"/>
      <c r="J520" s="33">
        <v>0</v>
      </c>
      <c r="K520" s="34">
        <f t="shared" ref="K520:K521" si="22">G520-H520-J520</f>
        <v>22080226</v>
      </c>
    </row>
    <row r="521" spans="1:11">
      <c r="A521" s="24"/>
      <c r="B521" s="56" t="s">
        <v>22</v>
      </c>
      <c r="C521" s="25" t="s">
        <v>26</v>
      </c>
      <c r="D521" s="10"/>
      <c r="E521" s="26"/>
      <c r="F521" s="25"/>
      <c r="G521" s="22">
        <v>50000000</v>
      </c>
      <c r="H521" s="23">
        <f t="shared" si="21"/>
        <v>7000000</v>
      </c>
      <c r="I521" s="23"/>
      <c r="J521" s="33">
        <v>0</v>
      </c>
      <c r="K521" s="34">
        <f t="shared" si="22"/>
        <v>43000000</v>
      </c>
    </row>
    <row r="522" spans="1:11">
      <c r="A522" s="35"/>
      <c r="B522" s="35"/>
      <c r="C522" s="35" t="s">
        <v>27</v>
      </c>
      <c r="D522" s="35"/>
      <c r="E522" s="35"/>
      <c r="F522" s="36"/>
      <c r="G522" s="37">
        <f>SUM(G518:G521)</f>
        <v>155000000</v>
      </c>
      <c r="H522" s="38">
        <f>SUM(H518:H521)</f>
        <v>50256118</v>
      </c>
      <c r="I522" s="38"/>
      <c r="J522" s="38">
        <f>SUM(J518:J521)</f>
        <v>51500</v>
      </c>
      <c r="K522" s="38">
        <f>SUM(K518:K521)</f>
        <v>104692382</v>
      </c>
    </row>
    <row r="523" spans="1:11">
      <c r="A523" s="39"/>
      <c r="B523" s="8"/>
      <c r="C523" s="8"/>
      <c r="D523" s="8"/>
      <c r="E523" s="8"/>
      <c r="F523" s="8"/>
      <c r="G523" s="40"/>
      <c r="H523" s="40"/>
      <c r="I523" s="40"/>
      <c r="J523" s="40"/>
      <c r="K523" s="40"/>
    </row>
    <row r="524" spans="1:11">
      <c r="A524" s="63" t="s">
        <v>28</v>
      </c>
      <c r="B524" s="63"/>
      <c r="C524" s="63"/>
      <c r="D524" s="11" t="s">
        <v>4</v>
      </c>
      <c r="E524" s="14">
        <f>J522</f>
        <v>51500</v>
      </c>
      <c r="F524" s="41"/>
      <c r="G524" s="42"/>
      <c r="H524" s="42"/>
      <c r="I524" s="42"/>
      <c r="J524" s="9"/>
      <c r="K524" s="9"/>
    </row>
    <row r="525" spans="1:11">
      <c r="A525" s="10" t="s">
        <v>29</v>
      </c>
      <c r="B525" s="10"/>
      <c r="C525" s="10"/>
      <c r="D525" s="11" t="s">
        <v>4</v>
      </c>
      <c r="E525" s="43"/>
      <c r="F525" s="43"/>
      <c r="G525" s="44"/>
      <c r="H525" s="12"/>
      <c r="I525" s="12"/>
      <c r="J525" s="9"/>
      <c r="K525" s="9"/>
    </row>
    <row r="526" spans="1:11">
      <c r="A526" s="10" t="s">
        <v>30</v>
      </c>
      <c r="B526" s="10"/>
      <c r="C526" s="10"/>
      <c r="D526" s="11" t="s">
        <v>4</v>
      </c>
      <c r="E526" s="45"/>
      <c r="F526" s="45"/>
      <c r="G526" s="44"/>
      <c r="H526" s="12"/>
      <c r="I526" s="12"/>
      <c r="J526" s="9"/>
      <c r="K526" s="9"/>
    </row>
    <row r="527" spans="1:11">
      <c r="A527" s="10" t="s">
        <v>31</v>
      </c>
      <c r="B527" s="10"/>
      <c r="C527" s="10"/>
      <c r="D527" s="11" t="s">
        <v>4</v>
      </c>
      <c r="E527" s="45">
        <f>E525+E526</f>
        <v>0</v>
      </c>
      <c r="F527" s="45"/>
      <c r="G527" s="10"/>
      <c r="H527" s="12"/>
      <c r="I527" s="12"/>
      <c r="J527" s="47"/>
      <c r="K527" s="47"/>
    </row>
    <row r="528" spans="1:11">
      <c r="A528" s="13"/>
      <c r="B528" s="13"/>
      <c r="C528" s="13"/>
      <c r="D528" s="11"/>
      <c r="E528" s="13"/>
      <c r="F528" s="13"/>
      <c r="G528" s="10"/>
      <c r="H528" s="12"/>
      <c r="I528" s="12"/>
      <c r="J528" s="47"/>
      <c r="K528" s="47"/>
    </row>
    <row r="529" spans="1:11">
      <c r="A529" s="63" t="s">
        <v>32</v>
      </c>
      <c r="B529" s="63"/>
      <c r="C529" s="63"/>
      <c r="D529" s="11" t="s">
        <v>4</v>
      </c>
      <c r="E529" s="41">
        <f>E524-E527</f>
        <v>51500</v>
      </c>
      <c r="F529" s="41"/>
      <c r="G529" s="10"/>
      <c r="H529" s="12"/>
      <c r="I529" s="12"/>
      <c r="J529" s="47"/>
      <c r="K529" s="47"/>
    </row>
    <row r="530" spans="1:11" ht="15.75">
      <c r="A530" s="13"/>
      <c r="B530" s="13"/>
      <c r="C530" s="10"/>
      <c r="D530" s="10"/>
      <c r="E530" s="16" t="str">
        <f>PROPER(IF(E529=0,"nol",IF(E529&lt;0,"minus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529),"000000000000000"),1,3)=0,"",MID(TEXT(ABS(E529),"000000000000000"),1,1)&amp;" ratus "&amp;MID(TEXT(ABS(E529),"000000000000000"),2,1)&amp;" puluh "&amp;MID(TEXT(ABS(E529),"000000000000000"),3,1)&amp;" trilyun ")&amp;IF(--MID(TEXT(ABS(E529),"000000000000000"),4,3)=0,"",MID(TEXT(ABS(E529),"000000000000000"),4,1)&amp;" ratus "&amp;MID(TEXT(ABS(E529),"000000000000000"),5,1)&amp;" puluh "&amp;MID(TEXT(ABS(E529),"000000000000000"),6,1)&amp;" milyar ")&amp;IF(--MID(TEXT(ABS(E529),"000000000000000"),7,3)=0,"",MID(TEXT(ABS(E529),"000000000000000"),7,1)&amp;" ratus "&amp;MID(TEXT(ABS(E529),"000000000000000"),8,1)&amp;" puluh "&amp;MID(TEXT(ABS(E529),"000000000000000"),9,1)&amp;" juta ")&amp;IF(--MID(TEXT(ABS(E529),"000000000000000"),10,3)=0,"",IF(--MID(TEXT(ABS(E529),"000000000000000"),10,3)=1,"*",MID(TEXT(ABS(E529),"000000000000000"),10,1)&amp;" ratus "&amp;MID(TEXT(ABS(E529),"000000000000000"),11,1)&amp;" puluh ")&amp;MID(TEXT(ABS(E529),"000000000000000"),12,1)&amp;" ribu ")&amp;IF(--MID(TEXT(ABS(E529),"000000000000000"),13,3)=0,"",MID(TEXT(ABS(E529),"000000000000000"),13,1)&amp;" ratus "&amp;MID(TEXT(ABS(E529),"000000000000000"),14,1)&amp;" puluh "&amp;MID(TEXT(ABS(E529),"000000000000000"),15,1)),1,"satu"),2,"dua"),3,"tiga"),4,"empat"),5,"lima"),6,"enam"),7,"tujuh"),8,"delapan"),9,"sembilan"),"0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Lima Puluh Satu Ribu Lima Ratus Rupiah</v>
      </c>
      <c r="F530" s="10"/>
      <c r="G530" s="10"/>
      <c r="H530" s="10"/>
      <c r="I530" s="10"/>
      <c r="J530" s="47"/>
      <c r="K530" s="47"/>
    </row>
    <row r="531" spans="1:11">
      <c r="A531" s="46"/>
      <c r="B531" s="46"/>
      <c r="C531" s="46"/>
      <c r="D531" s="46"/>
      <c r="E531" s="46"/>
      <c r="F531" s="46"/>
      <c r="G531" s="29"/>
      <c r="H531" s="47"/>
      <c r="I531" s="47"/>
      <c r="J531" s="47"/>
      <c r="K531" s="47"/>
    </row>
    <row r="532" spans="1:11">
      <c r="A532" s="29"/>
      <c r="B532" s="29"/>
      <c r="C532" s="29"/>
      <c r="D532" s="29"/>
      <c r="E532" s="29"/>
      <c r="F532" s="29"/>
      <c r="G532" s="29"/>
      <c r="H532"/>
      <c r="I532"/>
      <c r="J532" s="47"/>
      <c r="K532" s="47"/>
    </row>
    <row r="533" spans="1:11">
      <c r="A533" s="13"/>
      <c r="B533" s="13"/>
      <c r="C533" s="10"/>
      <c r="D533" s="10"/>
      <c r="E533" s="10"/>
      <c r="F533" s="10"/>
      <c r="G533" s="10"/>
      <c r="I533" s="48"/>
      <c r="J533" s="48" t="s">
        <v>85</v>
      </c>
      <c r="K533" s="47"/>
    </row>
    <row r="534" spans="1:11">
      <c r="A534" s="12" t="s">
        <v>33</v>
      </c>
      <c r="B534" s="10"/>
      <c r="C534" s="10"/>
      <c r="D534" s="10"/>
      <c r="E534" s="10"/>
      <c r="F534" s="10"/>
      <c r="G534" s="10"/>
      <c r="I534" s="12"/>
      <c r="J534" s="12" t="s">
        <v>34</v>
      </c>
      <c r="K534" s="47"/>
    </row>
    <row r="535" spans="1:11">
      <c r="A535" s="10"/>
      <c r="B535" s="10"/>
      <c r="C535" s="10"/>
      <c r="D535" s="10"/>
      <c r="E535" s="10"/>
      <c r="F535" s="10"/>
      <c r="G535" s="10"/>
      <c r="I535" s="12"/>
      <c r="J535" s="12"/>
      <c r="K535" s="47"/>
    </row>
    <row r="536" spans="1:11">
      <c r="A536" s="10"/>
      <c r="B536" s="10"/>
      <c r="C536" s="10"/>
      <c r="D536" s="10"/>
      <c r="E536" s="10"/>
      <c r="F536" s="10"/>
      <c r="G536" s="10"/>
      <c r="I536" s="12"/>
      <c r="J536" s="12"/>
      <c r="K536" s="47"/>
    </row>
    <row r="537" spans="1:11">
      <c r="A537" s="10"/>
      <c r="B537" s="10"/>
      <c r="C537" s="10"/>
      <c r="D537" s="10"/>
      <c r="E537" s="10"/>
      <c r="F537" s="10"/>
      <c r="G537" s="10"/>
      <c r="I537" s="12"/>
      <c r="J537" s="12"/>
      <c r="K537" s="47"/>
    </row>
    <row r="538" spans="1:11">
      <c r="A538" s="10"/>
      <c r="B538" s="10"/>
      <c r="C538" s="10"/>
      <c r="D538" s="10"/>
      <c r="E538" s="10"/>
      <c r="F538" s="10"/>
      <c r="G538" s="10"/>
      <c r="I538" s="12"/>
      <c r="J538" s="12"/>
      <c r="K538" s="47"/>
    </row>
    <row r="539" spans="1:11">
      <c r="A539" s="49" t="s">
        <v>38</v>
      </c>
      <c r="B539" s="49"/>
      <c r="C539" s="50"/>
      <c r="D539" s="50"/>
      <c r="E539" s="50"/>
      <c r="F539" s="50"/>
      <c r="G539" s="10" t="s">
        <v>35</v>
      </c>
      <c r="I539" s="49"/>
      <c r="J539" s="49" t="s">
        <v>36</v>
      </c>
      <c r="K539" s="47"/>
    </row>
    <row r="544" spans="1:11" ht="15.75">
      <c r="C544" s="2"/>
      <c r="D544" s="2"/>
      <c r="E544" s="2"/>
      <c r="F544" s="2"/>
    </row>
    <row r="545" spans="1:11" ht="15.75">
      <c r="A545" s="3"/>
      <c r="B545" s="3"/>
      <c r="C545" s="2"/>
      <c r="D545" s="2"/>
      <c r="E545" s="2"/>
      <c r="F545" s="2"/>
      <c r="G545" s="3"/>
      <c r="H545" s="4"/>
      <c r="I545" s="4"/>
      <c r="J545" s="4"/>
      <c r="K545" s="5"/>
    </row>
    <row r="546" spans="1:11">
      <c r="H546" s="5"/>
      <c r="I546" s="5"/>
      <c r="J546" s="5"/>
      <c r="K546" s="5"/>
    </row>
    <row r="547" spans="1:11">
      <c r="H547" s="5"/>
      <c r="I547" s="5"/>
      <c r="J547" s="5"/>
      <c r="K547" s="5"/>
    </row>
    <row r="548" spans="1:11">
      <c r="A548" s="64" t="s">
        <v>0</v>
      </c>
      <c r="B548" s="64"/>
      <c r="C548" s="58"/>
      <c r="D548" s="58"/>
      <c r="E548" s="58"/>
      <c r="F548" s="58"/>
      <c r="G548" s="58"/>
      <c r="H548" s="58"/>
      <c r="I548" s="58"/>
      <c r="J548" s="58"/>
      <c r="K548" s="58"/>
    </row>
    <row r="549" spans="1:11">
      <c r="A549" s="58" t="s">
        <v>86</v>
      </c>
      <c r="B549" s="58"/>
      <c r="C549" s="58"/>
      <c r="D549" s="58"/>
      <c r="E549" s="58"/>
      <c r="F549" s="58"/>
      <c r="G549" s="58"/>
      <c r="H549" s="58"/>
      <c r="I549" s="58"/>
      <c r="J549" s="58"/>
      <c r="K549" s="58"/>
    </row>
    <row r="550" spans="1:11">
      <c r="A550" s="58" t="s">
        <v>1</v>
      </c>
      <c r="B550" s="58"/>
      <c r="C550" s="58"/>
      <c r="D550" s="58"/>
      <c r="E550" s="58"/>
      <c r="F550" s="58"/>
      <c r="G550" s="58"/>
      <c r="H550" s="58"/>
      <c r="I550" s="58"/>
      <c r="J550" s="58"/>
      <c r="K550" s="58"/>
    </row>
    <row r="551" spans="1:11">
      <c r="A551" s="58" t="s">
        <v>39</v>
      </c>
      <c r="B551" s="58"/>
      <c r="C551" s="58"/>
      <c r="D551" s="58"/>
      <c r="E551" s="58"/>
      <c r="F551" s="58"/>
      <c r="G551" s="58"/>
      <c r="H551" s="58"/>
      <c r="I551" s="58"/>
      <c r="J551" s="58"/>
      <c r="K551" s="58"/>
    </row>
    <row r="552" spans="1:11">
      <c r="A552" s="58" t="s">
        <v>2</v>
      </c>
      <c r="B552" s="58"/>
      <c r="C552" s="58"/>
      <c r="D552" s="58"/>
      <c r="E552" s="58"/>
      <c r="F552" s="58"/>
      <c r="G552" s="58"/>
      <c r="H552" s="58"/>
      <c r="I552" s="58"/>
      <c r="J552" s="58"/>
      <c r="K552" s="58"/>
    </row>
    <row r="553" spans="1:11">
      <c r="A553" s="6"/>
      <c r="B553" s="6"/>
      <c r="C553" s="7"/>
      <c r="D553" s="7"/>
      <c r="E553" s="7"/>
      <c r="F553" s="7"/>
      <c r="G553" s="8"/>
      <c r="H553" s="9"/>
      <c r="I553" s="9"/>
      <c r="J553" s="9"/>
      <c r="K553" s="9"/>
    </row>
    <row r="554" spans="1:11">
      <c r="A554" s="53" t="s">
        <v>3</v>
      </c>
      <c r="B554" s="10"/>
      <c r="C554" s="10"/>
      <c r="D554" s="54" t="s">
        <v>4</v>
      </c>
      <c r="E554" s="10" t="s">
        <v>5</v>
      </c>
      <c r="F554" s="11"/>
      <c r="G554" s="10"/>
      <c r="H554" s="12"/>
      <c r="I554" s="12"/>
      <c r="J554" s="12"/>
      <c r="K554" s="9"/>
    </row>
    <row r="555" spans="1:11">
      <c r="A555" s="53" t="s">
        <v>6</v>
      </c>
      <c r="B555" s="10"/>
      <c r="C555" s="10"/>
      <c r="D555" s="54" t="s">
        <v>4</v>
      </c>
      <c r="E555" s="10" t="s">
        <v>7</v>
      </c>
      <c r="F555" s="11"/>
      <c r="G555" s="10"/>
      <c r="H555" s="12"/>
      <c r="I555" s="12"/>
      <c r="J555" s="12"/>
      <c r="K555" s="9"/>
    </row>
    <row r="556" spans="1:11">
      <c r="A556" s="53" t="s">
        <v>8</v>
      </c>
      <c r="B556" s="10"/>
      <c r="C556" s="10"/>
      <c r="D556" s="54" t="s">
        <v>4</v>
      </c>
      <c r="E556" s="13">
        <v>2026</v>
      </c>
      <c r="F556" s="11"/>
      <c r="G556" s="13"/>
      <c r="H556" s="12"/>
      <c r="I556" s="12"/>
      <c r="J556" s="12"/>
      <c r="K556" s="9"/>
    </row>
    <row r="557" spans="1:11">
      <c r="A557" s="53" t="s">
        <v>9</v>
      </c>
      <c r="B557" s="10"/>
      <c r="C557" s="10"/>
      <c r="D557" s="54" t="s">
        <v>4</v>
      </c>
      <c r="E557" s="14">
        <f>J567</f>
        <v>1500000</v>
      </c>
      <c r="F557" s="11"/>
      <c r="G557" s="14"/>
      <c r="H557" s="12"/>
      <c r="I557" s="12"/>
      <c r="J557" s="12"/>
      <c r="K557" s="9"/>
    </row>
    <row r="558" spans="1:11" ht="15.75">
      <c r="A558" s="10"/>
      <c r="B558" s="10"/>
      <c r="C558" s="15" t="s">
        <v>10</v>
      </c>
      <c r="D558" s="54" t="s">
        <v>4</v>
      </c>
      <c r="E558" s="16" t="str">
        <f>PROPER(IF(E557=0,"nol",IF(E557&lt;0,"minus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557),"000000000000000"),1,3)=0,"",MID(TEXT(ABS(E557),"000000000000000"),1,1)&amp;" ratus "&amp;MID(TEXT(ABS(E557),"000000000000000"),2,1)&amp;" puluh "&amp;MID(TEXT(ABS(E557),"000000000000000"),3,1)&amp;" trilyun ")&amp;IF(--MID(TEXT(ABS(E557),"000000000000000"),4,3)=0,"",MID(TEXT(ABS(E557),"000000000000000"),4,1)&amp;" ratus "&amp;MID(TEXT(ABS(E557),"000000000000000"),5,1)&amp;" puluh "&amp;MID(TEXT(ABS(E557),"000000000000000"),6,1)&amp;" milyar ")&amp;IF(--MID(TEXT(ABS(E557),"000000000000000"),7,3)=0,"",MID(TEXT(ABS(E557),"000000000000000"),7,1)&amp;" ratus "&amp;MID(TEXT(ABS(E557),"000000000000000"),8,1)&amp;" puluh "&amp;MID(TEXT(ABS(E557),"000000000000000"),9,1)&amp;" juta ")&amp;IF(--MID(TEXT(ABS(E557),"000000000000000"),10,3)=0,"",IF(--MID(TEXT(ABS(E557),"000000000000000"),10,3)=1,"*",MID(TEXT(ABS(E557),"000000000000000"),10,1)&amp;" ratus "&amp;MID(TEXT(ABS(E557),"000000000000000"),11,1)&amp;" puluh ")&amp;MID(TEXT(ABS(E557),"000000000000000"),12,1)&amp;" ribu ")&amp;IF(--MID(TEXT(ABS(E557),"000000000000000"),13,3)=0,"",MID(TEXT(ABS(E557),"000000000000000"),13,1)&amp;" ratus "&amp;MID(TEXT(ABS(E557),"000000000000000"),14,1)&amp;" puluh "&amp;MID(TEXT(ABS(E557),"000000000000000"),15,1)),1,"satu"),2,"dua"),3,"tiga"),4,"empat"),5,"lima"),6,"enam"),7,"tujuh"),8,"delapan"),9,"sembilan"),"0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Satu Juta Lima Ratus Ribu Rupiah</v>
      </c>
      <c r="F558" s="11"/>
      <c r="G558" s="16"/>
      <c r="H558" s="12"/>
      <c r="I558" s="12"/>
      <c r="J558" s="12"/>
      <c r="K558" s="9"/>
    </row>
    <row r="559" spans="1:11" ht="15.75">
      <c r="A559" s="10"/>
      <c r="B559" s="10"/>
      <c r="C559" s="15"/>
      <c r="D559" s="15"/>
      <c r="E559" s="15"/>
      <c r="F559" s="11"/>
      <c r="G559" s="16"/>
      <c r="H559" s="12"/>
      <c r="I559" s="12"/>
      <c r="J559" s="12"/>
      <c r="K559" s="9"/>
    </row>
    <row r="560" spans="1:11">
      <c r="A560" s="10" t="s">
        <v>11</v>
      </c>
      <c r="B560" s="10"/>
      <c r="C560" s="10"/>
      <c r="D560" s="10"/>
      <c r="E560" s="10"/>
      <c r="F560" s="10"/>
      <c r="G560" s="10"/>
      <c r="H560" s="12"/>
      <c r="I560" s="12"/>
      <c r="J560" s="12"/>
      <c r="K560" s="9"/>
    </row>
    <row r="561" spans="1:11">
      <c r="A561" s="59" t="s">
        <v>12</v>
      </c>
      <c r="B561" s="59"/>
      <c r="C561" s="59"/>
      <c r="D561" s="59"/>
      <c r="E561" s="59"/>
      <c r="F561" s="59"/>
      <c r="G561" s="59"/>
      <c r="H561" s="59"/>
      <c r="I561" s="59"/>
      <c r="J561" s="59"/>
      <c r="K561" s="59"/>
    </row>
    <row r="562" spans="1:11" ht="60">
      <c r="A562" s="17" t="s">
        <v>13</v>
      </c>
      <c r="B562" s="18" t="s">
        <v>14</v>
      </c>
      <c r="C562" s="60" t="s">
        <v>15</v>
      </c>
      <c r="D562" s="61"/>
      <c r="E562" s="62"/>
      <c r="F562" s="19"/>
      <c r="G562" s="20" t="s">
        <v>16</v>
      </c>
      <c r="H562" s="21" t="s">
        <v>37</v>
      </c>
      <c r="I562" s="21"/>
      <c r="J562" s="31" t="s">
        <v>17</v>
      </c>
      <c r="K562" s="32" t="s">
        <v>18</v>
      </c>
    </row>
    <row r="563" spans="1:11">
      <c r="A563" s="27">
        <v>1</v>
      </c>
      <c r="B563" s="24"/>
      <c r="C563" s="28" t="s">
        <v>23</v>
      </c>
      <c r="D563" s="57"/>
      <c r="E563" s="26"/>
      <c r="F563" s="25"/>
      <c r="G563" s="55" t="s">
        <v>19</v>
      </c>
      <c r="H563" s="55" t="s">
        <v>19</v>
      </c>
      <c r="I563" s="55"/>
      <c r="J563" s="55" t="s">
        <v>19</v>
      </c>
      <c r="K563" s="55" t="s">
        <v>19</v>
      </c>
    </row>
    <row r="564" spans="1:11">
      <c r="A564" s="24"/>
      <c r="B564" s="56" t="s">
        <v>20</v>
      </c>
      <c r="C564" s="25" t="s">
        <v>24</v>
      </c>
      <c r="D564" s="10"/>
      <c r="E564" s="26"/>
      <c r="F564" s="25"/>
      <c r="G564" s="22">
        <v>75000000</v>
      </c>
      <c r="H564" s="23">
        <f>H519+J519</f>
        <v>35387844</v>
      </c>
      <c r="I564" s="23"/>
      <c r="J564" s="33">
        <v>1500000</v>
      </c>
      <c r="K564" s="34">
        <f>G564-H564-J564</f>
        <v>38112156</v>
      </c>
    </row>
    <row r="565" spans="1:11">
      <c r="A565" s="24"/>
      <c r="B565" s="56" t="s">
        <v>21</v>
      </c>
      <c r="C565" s="25" t="s">
        <v>25</v>
      </c>
      <c r="D565" s="10"/>
      <c r="E565" s="26"/>
      <c r="F565" s="25"/>
      <c r="G565" s="22">
        <v>30000000</v>
      </c>
      <c r="H565" s="23">
        <f t="shared" ref="H565:H566" si="23">H520+J520</f>
        <v>7919774</v>
      </c>
      <c r="I565" s="23"/>
      <c r="J565" s="33">
        <v>0</v>
      </c>
      <c r="K565" s="34">
        <f t="shared" ref="K565:K566" si="24">G565-H565-J565</f>
        <v>22080226</v>
      </c>
    </row>
    <row r="566" spans="1:11">
      <c r="A566" s="24"/>
      <c r="B566" s="56" t="s">
        <v>22</v>
      </c>
      <c r="C566" s="25" t="s">
        <v>26</v>
      </c>
      <c r="D566" s="10"/>
      <c r="E566" s="26"/>
      <c r="F566" s="25"/>
      <c r="G566" s="22">
        <v>50000000</v>
      </c>
      <c r="H566" s="23">
        <f t="shared" si="23"/>
        <v>7000000</v>
      </c>
      <c r="I566" s="23"/>
      <c r="J566" s="33">
        <v>0</v>
      </c>
      <c r="K566" s="34">
        <f t="shared" si="24"/>
        <v>43000000</v>
      </c>
    </row>
    <row r="567" spans="1:11">
      <c r="A567" s="35"/>
      <c r="B567" s="35"/>
      <c r="C567" s="35" t="s">
        <v>27</v>
      </c>
      <c r="D567" s="35"/>
      <c r="E567" s="35"/>
      <c r="F567" s="36"/>
      <c r="G567" s="37">
        <f>SUM(G563:G566)</f>
        <v>155000000</v>
      </c>
      <c r="H567" s="38">
        <f>SUM(H563:H566)</f>
        <v>50307618</v>
      </c>
      <c r="I567" s="38"/>
      <c r="J567" s="38">
        <f>SUM(J563:J566)</f>
        <v>1500000</v>
      </c>
      <c r="K567" s="38">
        <f>SUM(K563:K566)</f>
        <v>103192382</v>
      </c>
    </row>
    <row r="568" spans="1:11">
      <c r="A568" s="39"/>
      <c r="B568" s="8"/>
      <c r="C568" s="8"/>
      <c r="D568" s="8"/>
      <c r="E568" s="8"/>
      <c r="F568" s="8"/>
      <c r="G568" s="40"/>
      <c r="H568" s="40"/>
      <c r="I568" s="40"/>
      <c r="J568" s="40"/>
      <c r="K568" s="40"/>
    </row>
    <row r="569" spans="1:11">
      <c r="A569" s="63" t="s">
        <v>28</v>
      </c>
      <c r="B569" s="63"/>
      <c r="C569" s="63"/>
      <c r="D569" s="11" t="s">
        <v>4</v>
      </c>
      <c r="E569" s="14">
        <f>J567</f>
        <v>1500000</v>
      </c>
      <c r="F569" s="41"/>
      <c r="G569" s="42"/>
      <c r="H569" s="42"/>
      <c r="I569" s="42"/>
      <c r="J569" s="9"/>
      <c r="K569" s="9"/>
    </row>
    <row r="570" spans="1:11">
      <c r="A570" s="10" t="s">
        <v>29</v>
      </c>
      <c r="B570" s="10"/>
      <c r="C570" s="10"/>
      <c r="D570" s="11" t="s">
        <v>4</v>
      </c>
      <c r="E570" s="43"/>
      <c r="F570" s="43"/>
      <c r="G570" s="44"/>
      <c r="H570" s="12"/>
      <c r="I570" s="12"/>
      <c r="J570" s="9"/>
      <c r="K570" s="9"/>
    </row>
    <row r="571" spans="1:11">
      <c r="A571" s="10" t="s">
        <v>30</v>
      </c>
      <c r="B571" s="10"/>
      <c r="C571" s="10"/>
      <c r="D571" s="11" t="s">
        <v>4</v>
      </c>
      <c r="E571" s="45"/>
      <c r="F571" s="45"/>
      <c r="G571" s="44"/>
      <c r="H571" s="12"/>
      <c r="I571" s="12"/>
      <c r="J571" s="9"/>
      <c r="K571" s="9"/>
    </row>
    <row r="572" spans="1:11">
      <c r="A572" s="10" t="s">
        <v>31</v>
      </c>
      <c r="B572" s="10"/>
      <c r="C572" s="10"/>
      <c r="D572" s="11" t="s">
        <v>4</v>
      </c>
      <c r="E572" s="45">
        <f>E570+E571</f>
        <v>0</v>
      </c>
      <c r="F572" s="45"/>
      <c r="G572" s="10"/>
      <c r="H572" s="12"/>
      <c r="I572" s="12"/>
      <c r="J572" s="47"/>
      <c r="K572" s="47"/>
    </row>
    <row r="573" spans="1:11">
      <c r="A573" s="13"/>
      <c r="B573" s="13"/>
      <c r="C573" s="13"/>
      <c r="D573" s="11"/>
      <c r="E573" s="13"/>
      <c r="F573" s="13"/>
      <c r="G573" s="10"/>
      <c r="H573" s="12"/>
      <c r="I573" s="12"/>
      <c r="J573" s="47"/>
      <c r="K573" s="47"/>
    </row>
    <row r="574" spans="1:11">
      <c r="A574" s="63" t="s">
        <v>32</v>
      </c>
      <c r="B574" s="63"/>
      <c r="C574" s="63"/>
      <c r="D574" s="11" t="s">
        <v>4</v>
      </c>
      <c r="E574" s="41">
        <f>E569-E572</f>
        <v>1500000</v>
      </c>
      <c r="F574" s="41"/>
      <c r="G574" s="10"/>
      <c r="H574" s="12"/>
      <c r="I574" s="12"/>
      <c r="J574" s="47"/>
      <c r="K574" s="47"/>
    </row>
    <row r="575" spans="1:11" ht="15.75">
      <c r="A575" s="13"/>
      <c r="B575" s="13"/>
      <c r="C575" s="10"/>
      <c r="D575" s="10"/>
      <c r="E575" s="16" t="str">
        <f>PROPER(IF(E574=0,"nol",IF(E574&lt;0,"minus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574),"000000000000000"),1,3)=0,"",MID(TEXT(ABS(E574),"000000000000000"),1,1)&amp;" ratus "&amp;MID(TEXT(ABS(E574),"000000000000000"),2,1)&amp;" puluh "&amp;MID(TEXT(ABS(E574),"000000000000000"),3,1)&amp;" trilyun ")&amp;IF(--MID(TEXT(ABS(E574),"000000000000000"),4,3)=0,"",MID(TEXT(ABS(E574),"000000000000000"),4,1)&amp;" ratus "&amp;MID(TEXT(ABS(E574),"000000000000000"),5,1)&amp;" puluh "&amp;MID(TEXT(ABS(E574),"000000000000000"),6,1)&amp;" milyar ")&amp;IF(--MID(TEXT(ABS(E574),"000000000000000"),7,3)=0,"",MID(TEXT(ABS(E574),"000000000000000"),7,1)&amp;" ratus "&amp;MID(TEXT(ABS(E574),"000000000000000"),8,1)&amp;" puluh "&amp;MID(TEXT(ABS(E574),"000000000000000"),9,1)&amp;" juta ")&amp;IF(--MID(TEXT(ABS(E574),"000000000000000"),10,3)=0,"",IF(--MID(TEXT(ABS(E574),"000000000000000"),10,3)=1,"*",MID(TEXT(ABS(E574),"000000000000000"),10,1)&amp;" ratus "&amp;MID(TEXT(ABS(E574),"000000000000000"),11,1)&amp;" puluh ")&amp;MID(TEXT(ABS(E574),"000000000000000"),12,1)&amp;" ribu ")&amp;IF(--MID(TEXT(ABS(E574),"000000000000000"),13,3)=0,"",MID(TEXT(ABS(E574),"000000000000000"),13,1)&amp;" ratus "&amp;MID(TEXT(ABS(E574),"000000000000000"),14,1)&amp;" puluh "&amp;MID(TEXT(ABS(E574),"000000000000000"),15,1)),1,"satu"),2,"dua"),3,"tiga"),4,"empat"),5,"lima"),6,"enam"),7,"tujuh"),8,"delapan"),9,"sembilan"),"0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Satu Juta Lima Ratus Ribu Rupiah</v>
      </c>
      <c r="F575" s="10"/>
      <c r="G575" s="10"/>
      <c r="H575" s="10"/>
      <c r="I575" s="10"/>
      <c r="J575" s="47"/>
      <c r="K575" s="47"/>
    </row>
    <row r="576" spans="1:11">
      <c r="A576" s="46"/>
      <c r="B576" s="46"/>
      <c r="C576" s="46"/>
      <c r="D576" s="46"/>
      <c r="E576" s="46"/>
      <c r="F576" s="46"/>
      <c r="G576" s="29"/>
      <c r="H576" s="47"/>
      <c r="I576" s="47"/>
      <c r="J576" s="47"/>
      <c r="K576" s="47"/>
    </row>
    <row r="577" spans="1:11">
      <c r="A577" s="29"/>
      <c r="B577" s="29"/>
      <c r="C577" s="29"/>
      <c r="D577" s="29"/>
      <c r="E577" s="29"/>
      <c r="F577" s="29"/>
      <c r="G577" s="29"/>
      <c r="H577"/>
      <c r="I577"/>
      <c r="J577" s="47"/>
      <c r="K577" s="47"/>
    </row>
    <row r="578" spans="1:11">
      <c r="A578" s="13"/>
      <c r="B578" s="13"/>
      <c r="C578" s="10"/>
      <c r="D578" s="10"/>
      <c r="E578" s="10"/>
      <c r="F578" s="10"/>
      <c r="G578" s="10"/>
      <c r="I578" s="48"/>
      <c r="J578" s="48" t="s">
        <v>87</v>
      </c>
      <c r="K578" s="47"/>
    </row>
    <row r="579" spans="1:11">
      <c r="A579" s="12" t="s">
        <v>33</v>
      </c>
      <c r="B579" s="10"/>
      <c r="C579" s="10"/>
      <c r="D579" s="10"/>
      <c r="E579" s="10"/>
      <c r="F579" s="10"/>
      <c r="G579" s="10"/>
      <c r="I579" s="12"/>
      <c r="J579" s="12" t="s">
        <v>34</v>
      </c>
      <c r="K579" s="47"/>
    </row>
    <row r="580" spans="1:11">
      <c r="A580" s="10"/>
      <c r="B580" s="10"/>
      <c r="C580" s="10"/>
      <c r="D580" s="10"/>
      <c r="E580" s="10"/>
      <c r="F580" s="10"/>
      <c r="G580" s="10"/>
      <c r="I580" s="12"/>
      <c r="J580" s="12"/>
      <c r="K580" s="47"/>
    </row>
    <row r="581" spans="1:11">
      <c r="A581" s="10"/>
      <c r="B581" s="10"/>
      <c r="C581" s="10"/>
      <c r="D581" s="10"/>
      <c r="E581" s="10"/>
      <c r="F581" s="10"/>
      <c r="G581" s="10"/>
      <c r="I581" s="12"/>
      <c r="J581" s="12"/>
      <c r="K581" s="47"/>
    </row>
    <row r="582" spans="1:11">
      <c r="A582" s="10"/>
      <c r="B582" s="10"/>
      <c r="C582" s="10"/>
      <c r="D582" s="10"/>
      <c r="E582" s="10"/>
      <c r="F582" s="10"/>
      <c r="G582" s="10"/>
      <c r="I582" s="12"/>
      <c r="J582" s="12"/>
      <c r="K582" s="47"/>
    </row>
    <row r="583" spans="1:11">
      <c r="A583" s="10"/>
      <c r="B583" s="10"/>
      <c r="C583" s="10"/>
      <c r="D583" s="10"/>
      <c r="E583" s="10"/>
      <c r="F583" s="10"/>
      <c r="G583" s="10"/>
      <c r="I583" s="12"/>
      <c r="J583" s="12"/>
      <c r="K583" s="47"/>
    </row>
    <row r="584" spans="1:11">
      <c r="A584" s="49" t="s">
        <v>38</v>
      </c>
      <c r="B584" s="49"/>
      <c r="C584" s="50"/>
      <c r="D584" s="50"/>
      <c r="E584" s="50"/>
      <c r="F584" s="50"/>
      <c r="G584" s="10" t="s">
        <v>35</v>
      </c>
      <c r="I584" s="49"/>
      <c r="J584" s="49" t="s">
        <v>36</v>
      </c>
      <c r="K584" s="47"/>
    </row>
    <row r="589" spans="1:11" ht="15.75">
      <c r="C589" s="2"/>
      <c r="D589" s="2"/>
      <c r="E589" s="2"/>
      <c r="F589" s="2"/>
    </row>
    <row r="590" spans="1:11" ht="15.75">
      <c r="A590" s="3"/>
      <c r="B590" s="3"/>
      <c r="C590" s="2"/>
      <c r="D590" s="2"/>
      <c r="E590" s="2"/>
      <c r="F590" s="2"/>
      <c r="G590" s="3"/>
      <c r="H590" s="4"/>
      <c r="I590" s="4"/>
      <c r="J590" s="4"/>
      <c r="K590" s="5"/>
    </row>
    <row r="591" spans="1:11">
      <c r="H591" s="5"/>
      <c r="I591" s="5"/>
      <c r="J591" s="5"/>
      <c r="K591" s="5"/>
    </row>
    <row r="592" spans="1:11">
      <c r="H592" s="5"/>
      <c r="I592" s="5"/>
      <c r="J592" s="5"/>
      <c r="K592" s="5"/>
    </row>
    <row r="593" spans="1:11">
      <c r="A593" s="64" t="s">
        <v>0</v>
      </c>
      <c r="B593" s="64"/>
      <c r="C593" s="58"/>
      <c r="D593" s="58"/>
      <c r="E593" s="58"/>
      <c r="F593" s="58"/>
      <c r="G593" s="58"/>
      <c r="H593" s="58"/>
      <c r="I593" s="58"/>
      <c r="J593" s="58"/>
      <c r="K593" s="58"/>
    </row>
    <row r="594" spans="1:11">
      <c r="A594" s="58" t="s">
        <v>88</v>
      </c>
      <c r="B594" s="58"/>
      <c r="C594" s="58"/>
      <c r="D594" s="58"/>
      <c r="E594" s="58"/>
      <c r="F594" s="58"/>
      <c r="G594" s="58"/>
      <c r="H594" s="58"/>
      <c r="I594" s="58"/>
      <c r="J594" s="58"/>
      <c r="K594" s="58"/>
    </row>
    <row r="595" spans="1:11">
      <c r="A595" s="58" t="s">
        <v>1</v>
      </c>
      <c r="B595" s="58"/>
      <c r="C595" s="58"/>
      <c r="D595" s="58"/>
      <c r="E595" s="58"/>
      <c r="F595" s="58"/>
      <c r="G595" s="58"/>
      <c r="H595" s="58"/>
      <c r="I595" s="58"/>
      <c r="J595" s="58"/>
      <c r="K595" s="58"/>
    </row>
    <row r="596" spans="1:11">
      <c r="A596" s="58" t="s">
        <v>39</v>
      </c>
      <c r="B596" s="58"/>
      <c r="C596" s="58"/>
      <c r="D596" s="58"/>
      <c r="E596" s="58"/>
      <c r="F596" s="58"/>
      <c r="G596" s="58"/>
      <c r="H596" s="58"/>
      <c r="I596" s="58"/>
      <c r="J596" s="58"/>
      <c r="K596" s="58"/>
    </row>
    <row r="597" spans="1:11">
      <c r="A597" s="58" t="s">
        <v>2</v>
      </c>
      <c r="B597" s="58"/>
      <c r="C597" s="58"/>
      <c r="D597" s="58"/>
      <c r="E597" s="58"/>
      <c r="F597" s="58"/>
      <c r="G597" s="58"/>
      <c r="H597" s="58"/>
      <c r="I597" s="58"/>
      <c r="J597" s="58"/>
      <c r="K597" s="58"/>
    </row>
    <row r="598" spans="1:11">
      <c r="A598" s="6"/>
      <c r="B598" s="6"/>
      <c r="C598" s="7"/>
      <c r="D598" s="7"/>
      <c r="E598" s="7"/>
      <c r="F598" s="7"/>
      <c r="G598" s="8"/>
      <c r="H598" s="9"/>
      <c r="I598" s="9"/>
      <c r="J598" s="9"/>
      <c r="K598" s="9"/>
    </row>
    <row r="599" spans="1:11">
      <c r="A599" s="53" t="s">
        <v>3</v>
      </c>
      <c r="B599" s="10"/>
      <c r="C599" s="10"/>
      <c r="D599" s="54" t="s">
        <v>4</v>
      </c>
      <c r="E599" s="10" t="s">
        <v>5</v>
      </c>
      <c r="F599" s="11"/>
      <c r="G599" s="10"/>
      <c r="H599" s="12"/>
      <c r="I599" s="12"/>
      <c r="J599" s="12"/>
      <c r="K599" s="9"/>
    </row>
    <row r="600" spans="1:11">
      <c r="A600" s="53" t="s">
        <v>6</v>
      </c>
      <c r="B600" s="10"/>
      <c r="C600" s="10"/>
      <c r="D600" s="54" t="s">
        <v>4</v>
      </c>
      <c r="E600" s="10" t="s">
        <v>7</v>
      </c>
      <c r="F600" s="11"/>
      <c r="G600" s="10"/>
      <c r="H600" s="12"/>
      <c r="I600" s="12"/>
      <c r="J600" s="12"/>
      <c r="K600" s="9"/>
    </row>
    <row r="601" spans="1:11">
      <c r="A601" s="53" t="s">
        <v>8</v>
      </c>
      <c r="B601" s="10"/>
      <c r="C601" s="10"/>
      <c r="D601" s="54" t="s">
        <v>4</v>
      </c>
      <c r="E601" s="13">
        <v>2026</v>
      </c>
      <c r="F601" s="11"/>
      <c r="G601" s="13"/>
      <c r="H601" s="12"/>
      <c r="I601" s="12"/>
      <c r="J601" s="12"/>
      <c r="K601" s="9"/>
    </row>
    <row r="602" spans="1:11">
      <c r="A602" s="53" t="s">
        <v>9</v>
      </c>
      <c r="B602" s="10"/>
      <c r="C602" s="10"/>
      <c r="D602" s="54" t="s">
        <v>4</v>
      </c>
      <c r="E602" s="14">
        <f>J612</f>
        <v>1000000</v>
      </c>
      <c r="F602" s="11"/>
      <c r="G602" s="14"/>
      <c r="H602" s="12"/>
      <c r="I602" s="12"/>
      <c r="J602" s="12"/>
      <c r="K602" s="9"/>
    </row>
    <row r="603" spans="1:11" ht="15.75">
      <c r="A603" s="10"/>
      <c r="B603" s="10"/>
      <c r="C603" s="15" t="s">
        <v>10</v>
      </c>
      <c r="D603" s="54" t="s">
        <v>4</v>
      </c>
      <c r="E603" s="16" t="str">
        <f>PROPER(IF(E602=0,"nol",IF(E602&lt;0,"minus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602),"000000000000000"),1,3)=0,"",MID(TEXT(ABS(E602),"000000000000000"),1,1)&amp;" ratus "&amp;MID(TEXT(ABS(E602),"000000000000000"),2,1)&amp;" puluh "&amp;MID(TEXT(ABS(E602),"000000000000000"),3,1)&amp;" trilyun ")&amp;IF(--MID(TEXT(ABS(E602),"000000000000000"),4,3)=0,"",MID(TEXT(ABS(E602),"000000000000000"),4,1)&amp;" ratus "&amp;MID(TEXT(ABS(E602),"000000000000000"),5,1)&amp;" puluh "&amp;MID(TEXT(ABS(E602),"000000000000000"),6,1)&amp;" milyar ")&amp;IF(--MID(TEXT(ABS(E602),"000000000000000"),7,3)=0,"",MID(TEXT(ABS(E602),"000000000000000"),7,1)&amp;" ratus "&amp;MID(TEXT(ABS(E602),"000000000000000"),8,1)&amp;" puluh "&amp;MID(TEXT(ABS(E602),"000000000000000"),9,1)&amp;" juta ")&amp;IF(--MID(TEXT(ABS(E602),"000000000000000"),10,3)=0,"",IF(--MID(TEXT(ABS(E602),"000000000000000"),10,3)=1,"*",MID(TEXT(ABS(E602),"000000000000000"),10,1)&amp;" ratus "&amp;MID(TEXT(ABS(E602),"000000000000000"),11,1)&amp;" puluh ")&amp;MID(TEXT(ABS(E602),"000000000000000"),12,1)&amp;" ribu ")&amp;IF(--MID(TEXT(ABS(E602),"000000000000000"),13,3)=0,"",MID(TEXT(ABS(E602),"000000000000000"),13,1)&amp;" ratus "&amp;MID(TEXT(ABS(E602),"000000000000000"),14,1)&amp;" puluh "&amp;MID(TEXT(ABS(E602),"000000000000000"),15,1)),1,"satu"),2,"dua"),3,"tiga"),4,"empat"),5,"lima"),6,"enam"),7,"tujuh"),8,"delapan"),9,"sembilan"),"0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Satu Juta Rupiah</v>
      </c>
      <c r="F603" s="11"/>
      <c r="G603" s="16"/>
      <c r="H603" s="12"/>
      <c r="I603" s="12"/>
      <c r="J603" s="12"/>
      <c r="K603" s="9"/>
    </row>
    <row r="604" spans="1:11" ht="15.75">
      <c r="A604" s="10"/>
      <c r="B604" s="10"/>
      <c r="C604" s="15"/>
      <c r="D604" s="15"/>
      <c r="E604" s="15"/>
      <c r="F604" s="11"/>
      <c r="G604" s="16"/>
      <c r="H604" s="12"/>
      <c r="I604" s="12"/>
      <c r="J604" s="12"/>
      <c r="K604" s="9"/>
    </row>
    <row r="605" spans="1:11">
      <c r="A605" s="10" t="s">
        <v>11</v>
      </c>
      <c r="B605" s="10"/>
      <c r="C605" s="10"/>
      <c r="D605" s="10"/>
      <c r="E605" s="10"/>
      <c r="F605" s="10"/>
      <c r="G605" s="10"/>
      <c r="H605" s="12"/>
      <c r="I605" s="12"/>
      <c r="J605" s="12"/>
      <c r="K605" s="9"/>
    </row>
    <row r="606" spans="1:11">
      <c r="A606" s="59" t="s">
        <v>12</v>
      </c>
      <c r="B606" s="59"/>
      <c r="C606" s="59"/>
      <c r="D606" s="59"/>
      <c r="E606" s="59"/>
      <c r="F606" s="59"/>
      <c r="G606" s="59"/>
      <c r="H606" s="59"/>
      <c r="I606" s="59"/>
      <c r="J606" s="59"/>
      <c r="K606" s="59"/>
    </row>
    <row r="607" spans="1:11" ht="60">
      <c r="A607" s="17" t="s">
        <v>13</v>
      </c>
      <c r="B607" s="18" t="s">
        <v>14</v>
      </c>
      <c r="C607" s="60" t="s">
        <v>15</v>
      </c>
      <c r="D607" s="61"/>
      <c r="E607" s="62"/>
      <c r="F607" s="19"/>
      <c r="G607" s="20" t="s">
        <v>16</v>
      </c>
      <c r="H607" s="21" t="s">
        <v>37</v>
      </c>
      <c r="I607" s="21"/>
      <c r="J607" s="31" t="s">
        <v>17</v>
      </c>
      <c r="K607" s="32" t="s">
        <v>18</v>
      </c>
    </row>
    <row r="608" spans="1:11">
      <c r="A608" s="27">
        <v>1</v>
      </c>
      <c r="B608" s="24"/>
      <c r="C608" s="28" t="s">
        <v>23</v>
      </c>
      <c r="D608" s="57"/>
      <c r="E608" s="26"/>
      <c r="F608" s="25"/>
      <c r="G608" s="55" t="s">
        <v>19</v>
      </c>
      <c r="H608" s="55" t="s">
        <v>19</v>
      </c>
      <c r="I608" s="55"/>
      <c r="J608" s="55" t="s">
        <v>19</v>
      </c>
      <c r="K608" s="55" t="s">
        <v>19</v>
      </c>
    </row>
    <row r="609" spans="1:11">
      <c r="A609" s="24"/>
      <c r="B609" s="56" t="s">
        <v>20</v>
      </c>
      <c r="C609" s="25" t="s">
        <v>24</v>
      </c>
      <c r="D609" s="10"/>
      <c r="E609" s="26"/>
      <c r="F609" s="25"/>
      <c r="G609" s="22">
        <v>75000000</v>
      </c>
      <c r="H609" s="23">
        <f>H564+J564</f>
        <v>36887844</v>
      </c>
      <c r="I609" s="23"/>
      <c r="J609" s="33">
        <v>0</v>
      </c>
      <c r="K609" s="34">
        <f>G609-H609-J609</f>
        <v>38112156</v>
      </c>
    </row>
    <row r="610" spans="1:11">
      <c r="A610" s="24"/>
      <c r="B610" s="56" t="s">
        <v>21</v>
      </c>
      <c r="C610" s="25" t="s">
        <v>25</v>
      </c>
      <c r="D610" s="10"/>
      <c r="E610" s="26"/>
      <c r="F610" s="25"/>
      <c r="G610" s="22">
        <v>30000000</v>
      </c>
      <c r="H610" s="23">
        <f t="shared" ref="H610:H611" si="25">H565+J565</f>
        <v>7919774</v>
      </c>
      <c r="I610" s="23"/>
      <c r="J610" s="33">
        <v>1000000</v>
      </c>
      <c r="K610" s="34">
        <f t="shared" ref="K610:K611" si="26">G610-H610-J610</f>
        <v>21080226</v>
      </c>
    </row>
    <row r="611" spans="1:11">
      <c r="A611" s="24"/>
      <c r="B611" s="56" t="s">
        <v>22</v>
      </c>
      <c r="C611" s="25" t="s">
        <v>26</v>
      </c>
      <c r="D611" s="10"/>
      <c r="E611" s="26"/>
      <c r="F611" s="25"/>
      <c r="G611" s="22">
        <v>50000000</v>
      </c>
      <c r="H611" s="23">
        <f t="shared" si="25"/>
        <v>7000000</v>
      </c>
      <c r="I611" s="23"/>
      <c r="J611" s="33">
        <v>0</v>
      </c>
      <c r="K611" s="34">
        <f t="shared" si="26"/>
        <v>43000000</v>
      </c>
    </row>
    <row r="612" spans="1:11">
      <c r="A612" s="35"/>
      <c r="B612" s="35"/>
      <c r="C612" s="35" t="s">
        <v>27</v>
      </c>
      <c r="D612" s="35"/>
      <c r="E612" s="35"/>
      <c r="F612" s="36"/>
      <c r="G612" s="37">
        <f>SUM(G608:G611)</f>
        <v>155000000</v>
      </c>
      <c r="H612" s="38">
        <f>SUM(H608:H611)</f>
        <v>51807618</v>
      </c>
      <c r="I612" s="38"/>
      <c r="J612" s="38">
        <f>SUM(J608:J611)</f>
        <v>1000000</v>
      </c>
      <c r="K612" s="38">
        <f>SUM(K608:K611)</f>
        <v>102192382</v>
      </c>
    </row>
    <row r="613" spans="1:11">
      <c r="A613" s="39"/>
      <c r="B613" s="8"/>
      <c r="C613" s="8"/>
      <c r="D613" s="8"/>
      <c r="E613" s="8"/>
      <c r="F613" s="8"/>
      <c r="G613" s="40"/>
      <c r="H613" s="40"/>
      <c r="I613" s="40"/>
      <c r="J613" s="40"/>
      <c r="K613" s="40"/>
    </row>
    <row r="614" spans="1:11">
      <c r="A614" s="63" t="s">
        <v>28</v>
      </c>
      <c r="B614" s="63"/>
      <c r="C614" s="63"/>
      <c r="D614" s="11" t="s">
        <v>4</v>
      </c>
      <c r="E614" s="14">
        <f>J612</f>
        <v>1000000</v>
      </c>
      <c r="F614" s="41"/>
      <c r="G614" s="42"/>
      <c r="H614" s="42"/>
      <c r="I614" s="42"/>
      <c r="J614" s="9"/>
      <c r="K614" s="9"/>
    </row>
    <row r="615" spans="1:11">
      <c r="A615" s="10" t="s">
        <v>29</v>
      </c>
      <c r="B615" s="10"/>
      <c r="C615" s="10"/>
      <c r="D615" s="11" t="s">
        <v>4</v>
      </c>
      <c r="E615" s="43"/>
      <c r="F615" s="43"/>
      <c r="G615" s="44"/>
      <c r="H615" s="12"/>
      <c r="I615" s="12"/>
      <c r="J615" s="9"/>
      <c r="K615" s="9"/>
    </row>
    <row r="616" spans="1:11">
      <c r="A616" s="10" t="s">
        <v>30</v>
      </c>
      <c r="B616" s="10"/>
      <c r="C616" s="10"/>
      <c r="D616" s="11" t="s">
        <v>4</v>
      </c>
      <c r="E616" s="45"/>
      <c r="F616" s="45"/>
      <c r="G616" s="44"/>
      <c r="H616" s="12"/>
      <c r="I616" s="12"/>
      <c r="J616" s="9"/>
      <c r="K616" s="9"/>
    </row>
    <row r="617" spans="1:11">
      <c r="A617" s="10" t="s">
        <v>31</v>
      </c>
      <c r="B617" s="10"/>
      <c r="C617" s="10"/>
      <c r="D617" s="11" t="s">
        <v>4</v>
      </c>
      <c r="E617" s="45">
        <f>E615+E616</f>
        <v>0</v>
      </c>
      <c r="F617" s="45"/>
      <c r="G617" s="10"/>
      <c r="H617" s="12"/>
      <c r="I617" s="12"/>
      <c r="J617" s="47"/>
      <c r="K617" s="47"/>
    </row>
    <row r="618" spans="1:11">
      <c r="A618" s="13"/>
      <c r="B618" s="13"/>
      <c r="C618" s="13"/>
      <c r="D618" s="11"/>
      <c r="E618" s="13"/>
      <c r="F618" s="13"/>
      <c r="G618" s="10"/>
      <c r="H618" s="12"/>
      <c r="I618" s="12"/>
      <c r="J618" s="47"/>
      <c r="K618" s="47"/>
    </row>
    <row r="619" spans="1:11">
      <c r="A619" s="63" t="s">
        <v>32</v>
      </c>
      <c r="B619" s="63"/>
      <c r="C619" s="63"/>
      <c r="D619" s="11" t="s">
        <v>4</v>
      </c>
      <c r="E619" s="41">
        <f>E614-E617</f>
        <v>1000000</v>
      </c>
      <c r="F619" s="41"/>
      <c r="G619" s="10"/>
      <c r="H619" s="12"/>
      <c r="I619" s="12"/>
      <c r="J619" s="47"/>
      <c r="K619" s="47"/>
    </row>
    <row r="620" spans="1:11" ht="15.75">
      <c r="A620" s="13"/>
      <c r="B620" s="13"/>
      <c r="C620" s="10"/>
      <c r="D620" s="10"/>
      <c r="E620" s="16" t="str">
        <f>PROPER(IF(E619=0,"nol",IF(E619&lt;0,"minus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619),"000000000000000"),1,3)=0,"",MID(TEXT(ABS(E619),"000000000000000"),1,1)&amp;" ratus "&amp;MID(TEXT(ABS(E619),"000000000000000"),2,1)&amp;" puluh "&amp;MID(TEXT(ABS(E619),"000000000000000"),3,1)&amp;" trilyun ")&amp;IF(--MID(TEXT(ABS(E619),"000000000000000"),4,3)=0,"",MID(TEXT(ABS(E619),"000000000000000"),4,1)&amp;" ratus "&amp;MID(TEXT(ABS(E619),"000000000000000"),5,1)&amp;" puluh "&amp;MID(TEXT(ABS(E619),"000000000000000"),6,1)&amp;" milyar ")&amp;IF(--MID(TEXT(ABS(E619),"000000000000000"),7,3)=0,"",MID(TEXT(ABS(E619),"000000000000000"),7,1)&amp;" ratus "&amp;MID(TEXT(ABS(E619),"000000000000000"),8,1)&amp;" puluh "&amp;MID(TEXT(ABS(E619),"000000000000000"),9,1)&amp;" juta ")&amp;IF(--MID(TEXT(ABS(E619),"000000000000000"),10,3)=0,"",IF(--MID(TEXT(ABS(E619),"000000000000000"),10,3)=1,"*",MID(TEXT(ABS(E619),"000000000000000"),10,1)&amp;" ratus "&amp;MID(TEXT(ABS(E619),"000000000000000"),11,1)&amp;" puluh ")&amp;MID(TEXT(ABS(E619),"000000000000000"),12,1)&amp;" ribu ")&amp;IF(--MID(TEXT(ABS(E619),"000000000000000"),13,3)=0,"",MID(TEXT(ABS(E619),"000000000000000"),13,1)&amp;" ratus "&amp;MID(TEXT(ABS(E619),"000000000000000"),14,1)&amp;" puluh "&amp;MID(TEXT(ABS(E619),"000000000000000"),15,1)),1,"satu"),2,"dua"),3,"tiga"),4,"empat"),5,"lima"),6,"enam"),7,"tujuh"),8,"delapan"),9,"sembilan"),"0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Satu Juta Rupiah</v>
      </c>
      <c r="F620" s="10"/>
      <c r="G620" s="10"/>
      <c r="H620" s="10"/>
      <c r="I620" s="10"/>
      <c r="J620" s="47"/>
      <c r="K620" s="47"/>
    </row>
    <row r="621" spans="1:11">
      <c r="A621" s="46"/>
      <c r="B621" s="46"/>
      <c r="C621" s="46"/>
      <c r="D621" s="46"/>
      <c r="E621" s="46"/>
      <c r="F621" s="46"/>
      <c r="G621" s="29"/>
      <c r="H621" s="47"/>
      <c r="I621" s="47"/>
      <c r="J621" s="47"/>
      <c r="K621" s="47"/>
    </row>
    <row r="622" spans="1:11">
      <c r="A622" s="29"/>
      <c r="B622" s="29"/>
      <c r="C622" s="29"/>
      <c r="D622" s="29"/>
      <c r="E622" s="29"/>
      <c r="F622" s="29"/>
      <c r="G622" s="29"/>
      <c r="H622"/>
      <c r="I622"/>
      <c r="J622" s="47"/>
      <c r="K622" s="47"/>
    </row>
    <row r="623" spans="1:11">
      <c r="A623" s="13"/>
      <c r="B623" s="13"/>
      <c r="C623" s="10"/>
      <c r="D623" s="10"/>
      <c r="E623" s="10"/>
      <c r="F623" s="10"/>
      <c r="G623" s="10"/>
      <c r="I623" s="48"/>
      <c r="J623" s="48" t="s">
        <v>89</v>
      </c>
      <c r="K623" s="47"/>
    </row>
    <row r="624" spans="1:11">
      <c r="A624" s="12" t="s">
        <v>33</v>
      </c>
      <c r="B624" s="10"/>
      <c r="C624" s="10"/>
      <c r="D624" s="10"/>
      <c r="E624" s="10"/>
      <c r="F624" s="10"/>
      <c r="G624" s="10"/>
      <c r="I624" s="12"/>
      <c r="J624" s="12" t="s">
        <v>34</v>
      </c>
      <c r="K624" s="47"/>
    </row>
    <row r="625" spans="1:11">
      <c r="A625" s="10"/>
      <c r="B625" s="10"/>
      <c r="C625" s="10"/>
      <c r="D625" s="10"/>
      <c r="E625" s="10"/>
      <c r="F625" s="10"/>
      <c r="G625" s="10"/>
      <c r="I625" s="12"/>
      <c r="J625" s="12"/>
      <c r="K625" s="47"/>
    </row>
    <row r="626" spans="1:11">
      <c r="A626" s="10"/>
      <c r="B626" s="10"/>
      <c r="C626" s="10"/>
      <c r="D626" s="10"/>
      <c r="E626" s="10"/>
      <c r="F626" s="10"/>
      <c r="G626" s="10"/>
      <c r="I626" s="12"/>
      <c r="J626" s="12"/>
      <c r="K626" s="47"/>
    </row>
    <row r="627" spans="1:11">
      <c r="A627" s="10"/>
      <c r="B627" s="10"/>
      <c r="C627" s="10"/>
      <c r="D627" s="10"/>
      <c r="E627" s="10"/>
      <c r="F627" s="10"/>
      <c r="G627" s="10"/>
      <c r="I627" s="12"/>
      <c r="J627" s="12"/>
      <c r="K627" s="47"/>
    </row>
    <row r="628" spans="1:11">
      <c r="A628" s="10"/>
      <c r="B628" s="10"/>
      <c r="C628" s="10"/>
      <c r="D628" s="10"/>
      <c r="E628" s="10"/>
      <c r="F628" s="10"/>
      <c r="G628" s="10"/>
      <c r="I628" s="12"/>
      <c r="J628" s="12"/>
      <c r="K628" s="47"/>
    </row>
    <row r="629" spans="1:11">
      <c r="A629" s="49" t="s">
        <v>38</v>
      </c>
      <c r="B629" s="49"/>
      <c r="C629" s="50"/>
      <c r="D629" s="50"/>
      <c r="E629" s="50"/>
      <c r="F629" s="50"/>
      <c r="G629" s="10" t="s">
        <v>35</v>
      </c>
      <c r="I629" s="49"/>
      <c r="J629" s="49" t="s">
        <v>36</v>
      </c>
      <c r="K629" s="47"/>
    </row>
    <row r="634" spans="1:11" ht="15.75">
      <c r="C634" s="2"/>
      <c r="D634" s="2"/>
      <c r="E634" s="2"/>
      <c r="F634" s="2"/>
    </row>
    <row r="635" spans="1:11" ht="15.75">
      <c r="A635" s="3"/>
      <c r="B635" s="3"/>
      <c r="C635" s="2"/>
      <c r="D635" s="2"/>
      <c r="E635" s="2"/>
      <c r="F635" s="2"/>
      <c r="G635" s="3"/>
      <c r="H635" s="4"/>
      <c r="I635" s="4"/>
      <c r="J635" s="4"/>
      <c r="K635" s="5"/>
    </row>
    <row r="636" spans="1:11">
      <c r="H636" s="5"/>
      <c r="I636" s="5"/>
      <c r="J636" s="5"/>
      <c r="K636" s="5"/>
    </row>
    <row r="637" spans="1:11">
      <c r="H637" s="5"/>
      <c r="I637" s="5"/>
      <c r="J637" s="5"/>
      <c r="K637" s="5"/>
    </row>
    <row r="638" spans="1:11">
      <c r="A638" s="64" t="s">
        <v>0</v>
      </c>
      <c r="B638" s="64"/>
      <c r="C638" s="58"/>
      <c r="D638" s="58"/>
      <c r="E638" s="58"/>
      <c r="F638" s="58"/>
      <c r="G638" s="58"/>
      <c r="H638" s="58"/>
      <c r="I638" s="58"/>
      <c r="J638" s="58"/>
      <c r="K638" s="58"/>
    </row>
    <row r="639" spans="1:11">
      <c r="A639" s="58" t="s">
        <v>91</v>
      </c>
      <c r="B639" s="58"/>
      <c r="C639" s="58"/>
      <c r="D639" s="58"/>
      <c r="E639" s="58"/>
      <c r="F639" s="58"/>
      <c r="G639" s="58"/>
      <c r="H639" s="58"/>
      <c r="I639" s="58"/>
      <c r="J639" s="58"/>
      <c r="K639" s="58"/>
    </row>
    <row r="640" spans="1:11">
      <c r="A640" s="58" t="s">
        <v>1</v>
      </c>
      <c r="B640" s="58"/>
      <c r="C640" s="58"/>
      <c r="D640" s="58"/>
      <c r="E640" s="58"/>
      <c r="F640" s="58"/>
      <c r="G640" s="58"/>
      <c r="H640" s="58"/>
      <c r="I640" s="58"/>
      <c r="J640" s="58"/>
      <c r="K640" s="58"/>
    </row>
    <row r="641" spans="1:11">
      <c r="A641" s="58" t="s">
        <v>39</v>
      </c>
      <c r="B641" s="58"/>
      <c r="C641" s="58"/>
      <c r="D641" s="58"/>
      <c r="E641" s="58"/>
      <c r="F641" s="58"/>
      <c r="G641" s="58"/>
      <c r="H641" s="58"/>
      <c r="I641" s="58"/>
      <c r="J641" s="58"/>
      <c r="K641" s="58"/>
    </row>
    <row r="642" spans="1:11">
      <c r="A642" s="58" t="s">
        <v>2</v>
      </c>
      <c r="B642" s="58"/>
      <c r="C642" s="58"/>
      <c r="D642" s="58"/>
      <c r="E642" s="58"/>
      <c r="F642" s="58"/>
      <c r="G642" s="58"/>
      <c r="H642" s="58"/>
      <c r="I642" s="58"/>
      <c r="J642" s="58"/>
      <c r="K642" s="58"/>
    </row>
    <row r="643" spans="1:11">
      <c r="A643" s="6"/>
      <c r="B643" s="6"/>
      <c r="C643" s="7"/>
      <c r="D643" s="7"/>
      <c r="E643" s="7"/>
      <c r="F643" s="7"/>
      <c r="G643" s="8"/>
      <c r="H643" s="9"/>
      <c r="I643" s="9"/>
      <c r="J643" s="9"/>
      <c r="K643" s="9"/>
    </row>
    <row r="644" spans="1:11">
      <c r="A644" s="53" t="s">
        <v>3</v>
      </c>
      <c r="B644" s="10"/>
      <c r="C644" s="10"/>
      <c r="D644" s="54" t="s">
        <v>4</v>
      </c>
      <c r="E644" s="10" t="s">
        <v>5</v>
      </c>
      <c r="F644" s="11"/>
      <c r="G644" s="10"/>
      <c r="H644" s="12"/>
      <c r="I644" s="12"/>
      <c r="J644" s="12"/>
      <c r="K644" s="9"/>
    </row>
    <row r="645" spans="1:11">
      <c r="A645" s="53" t="s">
        <v>6</v>
      </c>
      <c r="B645" s="10"/>
      <c r="C645" s="10"/>
      <c r="D645" s="54" t="s">
        <v>4</v>
      </c>
      <c r="E645" s="10" t="s">
        <v>7</v>
      </c>
      <c r="F645" s="11"/>
      <c r="G645" s="10"/>
      <c r="H645" s="12"/>
      <c r="I645" s="12"/>
      <c r="J645" s="12"/>
      <c r="K645" s="9"/>
    </row>
    <row r="646" spans="1:11">
      <c r="A646" s="53" t="s">
        <v>8</v>
      </c>
      <c r="B646" s="10"/>
      <c r="C646" s="10"/>
      <c r="D646" s="54" t="s">
        <v>4</v>
      </c>
      <c r="E646" s="13">
        <v>2026</v>
      </c>
      <c r="F646" s="11"/>
      <c r="G646" s="13"/>
      <c r="H646" s="12"/>
      <c r="I646" s="12"/>
      <c r="J646" s="12"/>
      <c r="K646" s="9"/>
    </row>
    <row r="647" spans="1:11">
      <c r="A647" s="53" t="s">
        <v>9</v>
      </c>
      <c r="B647" s="10"/>
      <c r="C647" s="10"/>
      <c r="D647" s="54" t="s">
        <v>4</v>
      </c>
      <c r="E647" s="14">
        <f>J657</f>
        <v>1084990</v>
      </c>
      <c r="F647" s="11"/>
      <c r="G647" s="14"/>
      <c r="H647" s="12"/>
      <c r="I647" s="12"/>
      <c r="J647" s="12"/>
      <c r="K647" s="9"/>
    </row>
    <row r="648" spans="1:11" ht="15.75">
      <c r="A648" s="10"/>
      <c r="B648" s="10"/>
      <c r="C648" s="15" t="s">
        <v>10</v>
      </c>
      <c r="D648" s="54" t="s">
        <v>4</v>
      </c>
      <c r="E648" s="16" t="str">
        <f>PROPER(IF(E647=0,"nol",IF(E647&lt;0,"minus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647),"000000000000000"),1,3)=0,"",MID(TEXT(ABS(E647),"000000000000000"),1,1)&amp;" ratus "&amp;MID(TEXT(ABS(E647),"000000000000000"),2,1)&amp;" puluh "&amp;MID(TEXT(ABS(E647),"000000000000000"),3,1)&amp;" trilyun ")&amp;IF(--MID(TEXT(ABS(E647),"000000000000000"),4,3)=0,"",MID(TEXT(ABS(E647),"000000000000000"),4,1)&amp;" ratus "&amp;MID(TEXT(ABS(E647),"000000000000000"),5,1)&amp;" puluh "&amp;MID(TEXT(ABS(E647),"000000000000000"),6,1)&amp;" milyar ")&amp;IF(--MID(TEXT(ABS(E647),"000000000000000"),7,3)=0,"",MID(TEXT(ABS(E647),"000000000000000"),7,1)&amp;" ratus "&amp;MID(TEXT(ABS(E647),"000000000000000"),8,1)&amp;" puluh "&amp;MID(TEXT(ABS(E647),"000000000000000"),9,1)&amp;" juta ")&amp;IF(--MID(TEXT(ABS(E647),"000000000000000"),10,3)=0,"",IF(--MID(TEXT(ABS(E647),"000000000000000"),10,3)=1,"*",MID(TEXT(ABS(E647),"000000000000000"),10,1)&amp;" ratus "&amp;MID(TEXT(ABS(E647),"000000000000000"),11,1)&amp;" puluh ")&amp;MID(TEXT(ABS(E647),"000000000000000"),12,1)&amp;" ribu ")&amp;IF(--MID(TEXT(ABS(E647),"000000000000000"),13,3)=0,"",MID(TEXT(ABS(E647),"000000000000000"),13,1)&amp;" ratus "&amp;MID(TEXT(ABS(E647),"000000000000000"),14,1)&amp;" puluh "&amp;MID(TEXT(ABS(E647),"000000000000000"),15,1)),1,"satu"),2,"dua"),3,"tiga"),4,"empat"),5,"lima"),6,"enam"),7,"tujuh"),8,"delapan"),9,"sembilan"),"0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Satu Juta Delapan Puluh Empat Ribu Sembilan Ratus Sembilan Puluh Rupiah</v>
      </c>
      <c r="F648" s="11"/>
      <c r="G648" s="16"/>
      <c r="H648" s="12"/>
      <c r="I648" s="12"/>
      <c r="J648" s="12"/>
      <c r="K648" s="9"/>
    </row>
    <row r="649" spans="1:11" ht="15.75">
      <c r="A649" s="10"/>
      <c r="B649" s="10"/>
      <c r="C649" s="15"/>
      <c r="D649" s="15"/>
      <c r="E649" s="15"/>
      <c r="F649" s="11"/>
      <c r="G649" s="16"/>
      <c r="H649" s="12"/>
      <c r="I649" s="12"/>
      <c r="J649" s="12"/>
      <c r="K649" s="9"/>
    </row>
    <row r="650" spans="1:11">
      <c r="A650" s="10" t="s">
        <v>11</v>
      </c>
      <c r="B650" s="10"/>
      <c r="C650" s="10"/>
      <c r="D650" s="10"/>
      <c r="E650" s="10"/>
      <c r="F650" s="10"/>
      <c r="G650" s="10"/>
      <c r="H650" s="12"/>
      <c r="I650" s="12"/>
      <c r="J650" s="12"/>
      <c r="K650" s="9"/>
    </row>
    <row r="651" spans="1:11">
      <c r="A651" s="59" t="s">
        <v>12</v>
      </c>
      <c r="B651" s="59"/>
      <c r="C651" s="59"/>
      <c r="D651" s="59"/>
      <c r="E651" s="59"/>
      <c r="F651" s="59"/>
      <c r="G651" s="59"/>
      <c r="H651" s="59"/>
      <c r="I651" s="59"/>
      <c r="J651" s="59"/>
      <c r="K651" s="59"/>
    </row>
    <row r="652" spans="1:11" ht="60">
      <c r="A652" s="17" t="s">
        <v>13</v>
      </c>
      <c r="B652" s="18" t="s">
        <v>14</v>
      </c>
      <c r="C652" s="60" t="s">
        <v>15</v>
      </c>
      <c r="D652" s="61"/>
      <c r="E652" s="62"/>
      <c r="F652" s="19"/>
      <c r="G652" s="20" t="s">
        <v>16</v>
      </c>
      <c r="H652" s="21" t="s">
        <v>37</v>
      </c>
      <c r="I652" s="21"/>
      <c r="J652" s="31" t="s">
        <v>17</v>
      </c>
      <c r="K652" s="32" t="s">
        <v>18</v>
      </c>
    </row>
    <row r="653" spans="1:11">
      <c r="A653" s="27">
        <v>1</v>
      </c>
      <c r="B653" s="24"/>
      <c r="C653" s="28" t="s">
        <v>23</v>
      </c>
      <c r="D653" s="57"/>
      <c r="E653" s="26"/>
      <c r="F653" s="25"/>
      <c r="G653" s="55" t="s">
        <v>19</v>
      </c>
      <c r="H653" s="55" t="s">
        <v>19</v>
      </c>
      <c r="I653" s="55"/>
      <c r="J653" s="55" t="s">
        <v>19</v>
      </c>
      <c r="K653" s="55" t="s">
        <v>19</v>
      </c>
    </row>
    <row r="654" spans="1:11">
      <c r="A654" s="24"/>
      <c r="B654" s="56" t="s">
        <v>20</v>
      </c>
      <c r="C654" s="25" t="s">
        <v>24</v>
      </c>
      <c r="D654" s="10"/>
      <c r="E654" s="26"/>
      <c r="F654" s="25"/>
      <c r="G654" s="22">
        <v>75000000</v>
      </c>
      <c r="H654" s="23">
        <f>H609+J609</f>
        <v>36887844</v>
      </c>
      <c r="I654" s="23"/>
      <c r="J654" s="33">
        <v>0</v>
      </c>
      <c r="K654" s="34">
        <f>G654-H654-J654</f>
        <v>38112156</v>
      </c>
    </row>
    <row r="655" spans="1:11">
      <c r="A655" s="24"/>
      <c r="B655" s="56" t="s">
        <v>21</v>
      </c>
      <c r="C655" s="25" t="s">
        <v>25</v>
      </c>
      <c r="D655" s="10"/>
      <c r="E655" s="26"/>
      <c r="F655" s="25"/>
      <c r="G655" s="22">
        <v>30000000</v>
      </c>
      <c r="H655" s="23">
        <f t="shared" ref="H655:H656" si="27">H610+J610</f>
        <v>8919774</v>
      </c>
      <c r="I655" s="23"/>
      <c r="J655" s="33">
        <v>1084990</v>
      </c>
      <c r="K655" s="34">
        <f t="shared" ref="K655:K656" si="28">G655-H655-J655</f>
        <v>19995236</v>
      </c>
    </row>
    <row r="656" spans="1:11">
      <c r="A656" s="24"/>
      <c r="B656" s="56" t="s">
        <v>22</v>
      </c>
      <c r="C656" s="25" t="s">
        <v>26</v>
      </c>
      <c r="D656" s="10"/>
      <c r="E656" s="26"/>
      <c r="F656" s="25"/>
      <c r="G656" s="22">
        <v>50000000</v>
      </c>
      <c r="H656" s="23">
        <f t="shared" si="27"/>
        <v>7000000</v>
      </c>
      <c r="I656" s="23"/>
      <c r="J656" s="33">
        <v>0</v>
      </c>
      <c r="K656" s="34">
        <f t="shared" si="28"/>
        <v>43000000</v>
      </c>
    </row>
    <row r="657" spans="1:11">
      <c r="A657" s="35"/>
      <c r="B657" s="35"/>
      <c r="C657" s="35" t="s">
        <v>27</v>
      </c>
      <c r="D657" s="35"/>
      <c r="E657" s="35"/>
      <c r="F657" s="36"/>
      <c r="G657" s="37">
        <f>SUM(G653:G656)</f>
        <v>155000000</v>
      </c>
      <c r="H657" s="38">
        <f>SUM(H653:H656)</f>
        <v>52807618</v>
      </c>
      <c r="I657" s="38"/>
      <c r="J657" s="38">
        <f>SUM(J653:J656)</f>
        <v>1084990</v>
      </c>
      <c r="K657" s="38">
        <f>SUM(K653:K656)</f>
        <v>101107392</v>
      </c>
    </row>
    <row r="658" spans="1:11">
      <c r="A658" s="39"/>
      <c r="B658" s="8"/>
      <c r="C658" s="8"/>
      <c r="D658" s="8"/>
      <c r="E658" s="8"/>
      <c r="F658" s="8"/>
      <c r="G658" s="40"/>
      <c r="H658" s="40"/>
      <c r="I658" s="40"/>
      <c r="J658" s="40"/>
      <c r="K658" s="40"/>
    </row>
    <row r="659" spans="1:11">
      <c r="A659" s="63" t="s">
        <v>28</v>
      </c>
      <c r="B659" s="63"/>
      <c r="C659" s="63"/>
      <c r="D659" s="11" t="s">
        <v>4</v>
      </c>
      <c r="E659" s="14">
        <f>J657</f>
        <v>1084990</v>
      </c>
      <c r="F659" s="41"/>
      <c r="G659" s="42"/>
      <c r="H659" s="42"/>
      <c r="I659" s="42"/>
      <c r="J659" s="9"/>
      <c r="K659" s="9"/>
    </row>
    <row r="660" spans="1:11">
      <c r="A660" s="10" t="s">
        <v>29</v>
      </c>
      <c r="B660" s="10"/>
      <c r="C660" s="10"/>
      <c r="D660" s="11" t="s">
        <v>4</v>
      </c>
      <c r="E660" s="43"/>
      <c r="F660" s="43"/>
      <c r="G660" s="44"/>
      <c r="H660" s="12"/>
      <c r="I660" s="12"/>
      <c r="J660" s="9"/>
      <c r="K660" s="9"/>
    </row>
    <row r="661" spans="1:11">
      <c r="A661" s="10" t="s">
        <v>30</v>
      </c>
      <c r="B661" s="10"/>
      <c r="C661" s="10"/>
      <c r="D661" s="11" t="s">
        <v>4</v>
      </c>
      <c r="E661" s="45"/>
      <c r="F661" s="45"/>
      <c r="G661" s="44"/>
      <c r="H661" s="12"/>
      <c r="I661" s="12"/>
      <c r="J661" s="9"/>
      <c r="K661" s="9"/>
    </row>
    <row r="662" spans="1:11">
      <c r="A662" s="10" t="s">
        <v>31</v>
      </c>
      <c r="B662" s="10"/>
      <c r="C662" s="10"/>
      <c r="D662" s="11" t="s">
        <v>4</v>
      </c>
      <c r="E662" s="45">
        <f>E660+E661</f>
        <v>0</v>
      </c>
      <c r="F662" s="45"/>
      <c r="G662" s="10"/>
      <c r="H662" s="12"/>
      <c r="I662" s="12"/>
      <c r="J662" s="47"/>
      <c r="K662" s="47"/>
    </row>
    <row r="663" spans="1:11">
      <c r="A663" s="13"/>
      <c r="B663" s="13"/>
      <c r="C663" s="13"/>
      <c r="D663" s="11"/>
      <c r="E663" s="13"/>
      <c r="F663" s="13"/>
      <c r="G663" s="10"/>
      <c r="H663" s="12"/>
      <c r="I663" s="12"/>
      <c r="J663" s="47"/>
      <c r="K663" s="47"/>
    </row>
    <row r="664" spans="1:11">
      <c r="A664" s="63" t="s">
        <v>32</v>
      </c>
      <c r="B664" s="63"/>
      <c r="C664" s="63"/>
      <c r="D664" s="11" t="s">
        <v>4</v>
      </c>
      <c r="E664" s="41">
        <f>E659-E662</f>
        <v>1084990</v>
      </c>
      <c r="F664" s="41"/>
      <c r="G664" s="10"/>
      <c r="H664" s="12"/>
      <c r="I664" s="12"/>
      <c r="J664" s="47"/>
      <c r="K664" s="47"/>
    </row>
    <row r="665" spans="1:11" ht="15.75">
      <c r="A665" s="13"/>
      <c r="B665" s="13"/>
      <c r="C665" s="10"/>
      <c r="D665" s="10"/>
      <c r="E665" s="16" t="str">
        <f>PROPER(IF(E664=0,"nol",IF(E664&lt;0,"minus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664),"000000000000000"),1,3)=0,"",MID(TEXT(ABS(E664),"000000000000000"),1,1)&amp;" ratus "&amp;MID(TEXT(ABS(E664),"000000000000000"),2,1)&amp;" puluh "&amp;MID(TEXT(ABS(E664),"000000000000000"),3,1)&amp;" trilyun ")&amp;IF(--MID(TEXT(ABS(E664),"000000000000000"),4,3)=0,"",MID(TEXT(ABS(E664),"000000000000000"),4,1)&amp;" ratus "&amp;MID(TEXT(ABS(E664),"000000000000000"),5,1)&amp;" puluh "&amp;MID(TEXT(ABS(E664),"000000000000000"),6,1)&amp;" milyar ")&amp;IF(--MID(TEXT(ABS(E664),"000000000000000"),7,3)=0,"",MID(TEXT(ABS(E664),"000000000000000"),7,1)&amp;" ratus "&amp;MID(TEXT(ABS(E664),"000000000000000"),8,1)&amp;" puluh "&amp;MID(TEXT(ABS(E664),"000000000000000"),9,1)&amp;" juta ")&amp;IF(--MID(TEXT(ABS(E664),"000000000000000"),10,3)=0,"",IF(--MID(TEXT(ABS(E664),"000000000000000"),10,3)=1,"*",MID(TEXT(ABS(E664),"000000000000000"),10,1)&amp;" ratus "&amp;MID(TEXT(ABS(E664),"000000000000000"),11,1)&amp;" puluh ")&amp;MID(TEXT(ABS(E664),"000000000000000"),12,1)&amp;" ribu ")&amp;IF(--MID(TEXT(ABS(E664),"000000000000000"),13,3)=0,"",MID(TEXT(ABS(E664),"000000000000000"),13,1)&amp;" ratus "&amp;MID(TEXT(ABS(E664),"000000000000000"),14,1)&amp;" puluh "&amp;MID(TEXT(ABS(E664),"000000000000000"),15,1)),1,"satu"),2,"dua"),3,"tiga"),4,"empat"),5,"lima"),6,"enam"),7,"tujuh"),8,"delapan"),9,"sembilan"),"0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Satu Juta Delapan Puluh Empat Ribu Sembilan Ratus Sembilan Puluh Rupiah</v>
      </c>
      <c r="F665" s="10"/>
      <c r="G665" s="10"/>
      <c r="H665" s="10"/>
      <c r="I665" s="10"/>
      <c r="J665" s="47"/>
      <c r="K665" s="47"/>
    </row>
    <row r="666" spans="1:11">
      <c r="A666" s="46"/>
      <c r="B666" s="46"/>
      <c r="C666" s="46"/>
      <c r="D666" s="46"/>
      <c r="E666" s="46"/>
      <c r="F666" s="46"/>
      <c r="G666" s="29"/>
      <c r="H666" s="47"/>
      <c r="I666" s="47"/>
      <c r="J666" s="47"/>
      <c r="K666" s="47"/>
    </row>
    <row r="667" spans="1:11">
      <c r="A667" s="29"/>
      <c r="B667" s="29"/>
      <c r="C667" s="29"/>
      <c r="D667" s="29"/>
      <c r="E667" s="29"/>
      <c r="F667" s="29"/>
      <c r="G667" s="29"/>
      <c r="H667"/>
      <c r="I667"/>
      <c r="J667" s="47"/>
      <c r="K667" s="47"/>
    </row>
    <row r="668" spans="1:11">
      <c r="A668" s="13"/>
      <c r="B668" s="13"/>
      <c r="C668" s="10"/>
      <c r="D668" s="10"/>
      <c r="E668" s="10"/>
      <c r="F668" s="10"/>
      <c r="G668" s="10"/>
      <c r="I668" s="48"/>
      <c r="J668" s="48" t="s">
        <v>90</v>
      </c>
      <c r="K668" s="47"/>
    </row>
    <row r="669" spans="1:11">
      <c r="A669" s="12" t="s">
        <v>33</v>
      </c>
      <c r="B669" s="10"/>
      <c r="C669" s="10"/>
      <c r="D669" s="10"/>
      <c r="E669" s="10"/>
      <c r="F669" s="10"/>
      <c r="G669" s="10"/>
      <c r="I669" s="12"/>
      <c r="J669" s="12" t="s">
        <v>34</v>
      </c>
      <c r="K669" s="47"/>
    </row>
    <row r="670" spans="1:11">
      <c r="A670" s="10"/>
      <c r="B670" s="10"/>
      <c r="C670" s="10"/>
      <c r="D670" s="10"/>
      <c r="E670" s="10"/>
      <c r="F670" s="10"/>
      <c r="G670" s="10"/>
      <c r="I670" s="12"/>
      <c r="J670" s="12"/>
      <c r="K670" s="47"/>
    </row>
    <row r="671" spans="1:11">
      <c r="A671" s="10"/>
      <c r="B671" s="10"/>
      <c r="C671" s="10"/>
      <c r="D671" s="10"/>
      <c r="E671" s="10"/>
      <c r="F671" s="10"/>
      <c r="G671" s="10"/>
      <c r="I671" s="12"/>
      <c r="J671" s="12"/>
      <c r="K671" s="47"/>
    </row>
    <row r="672" spans="1:11">
      <c r="A672" s="10"/>
      <c r="B672" s="10"/>
      <c r="C672" s="10"/>
      <c r="D672" s="10"/>
      <c r="E672" s="10"/>
      <c r="F672" s="10"/>
      <c r="G672" s="10"/>
      <c r="I672" s="12"/>
      <c r="J672" s="12"/>
      <c r="K672" s="47"/>
    </row>
    <row r="673" spans="1:11">
      <c r="A673" s="10"/>
      <c r="B673" s="10"/>
      <c r="C673" s="10"/>
      <c r="D673" s="10"/>
      <c r="E673" s="10"/>
      <c r="F673" s="10"/>
      <c r="G673" s="10"/>
      <c r="I673" s="12"/>
      <c r="J673" s="12"/>
      <c r="K673" s="47"/>
    </row>
    <row r="674" spans="1:11">
      <c r="A674" s="49" t="s">
        <v>38</v>
      </c>
      <c r="B674" s="49"/>
      <c r="C674" s="50"/>
      <c r="D674" s="50"/>
      <c r="E674" s="50"/>
      <c r="F674" s="50"/>
      <c r="G674" s="10" t="s">
        <v>35</v>
      </c>
      <c r="I674" s="49"/>
      <c r="J674" s="49" t="s">
        <v>36</v>
      </c>
      <c r="K674" s="47"/>
    </row>
    <row r="679" spans="1:11" ht="15.75">
      <c r="C679" s="2"/>
      <c r="D679" s="2"/>
      <c r="E679" s="2"/>
      <c r="F679" s="2"/>
    </row>
    <row r="680" spans="1:11" ht="15.75">
      <c r="A680" s="3"/>
      <c r="B680" s="3"/>
      <c r="C680" s="2"/>
      <c r="D680" s="2"/>
      <c r="E680" s="2"/>
      <c r="F680" s="2"/>
      <c r="G680" s="3"/>
      <c r="H680" s="4"/>
      <c r="I680" s="4"/>
      <c r="J680" s="4"/>
      <c r="K680" s="5"/>
    </row>
    <row r="681" spans="1:11">
      <c r="H681" s="5"/>
      <c r="I681" s="5"/>
      <c r="J681" s="5"/>
      <c r="K681" s="5"/>
    </row>
    <row r="682" spans="1:11">
      <c r="H682" s="5"/>
      <c r="I682" s="5"/>
      <c r="J682" s="5"/>
      <c r="K682" s="5"/>
    </row>
    <row r="683" spans="1:11">
      <c r="A683" s="64" t="s">
        <v>0</v>
      </c>
      <c r="B683" s="64"/>
      <c r="C683" s="64"/>
      <c r="D683" s="64"/>
      <c r="E683" s="64"/>
      <c r="F683" s="64"/>
      <c r="G683" s="64"/>
      <c r="H683" s="64"/>
      <c r="I683" s="64"/>
      <c r="J683" s="64"/>
      <c r="K683" s="64"/>
    </row>
    <row r="684" spans="1:11">
      <c r="A684" s="58" t="s">
        <v>61</v>
      </c>
      <c r="B684" s="58"/>
      <c r="C684" s="58"/>
      <c r="D684" s="58"/>
      <c r="E684" s="58"/>
      <c r="F684" s="58"/>
      <c r="G684" s="58"/>
      <c r="H684" s="58"/>
      <c r="I684" s="58"/>
      <c r="J684" s="58"/>
      <c r="K684" s="58"/>
    </row>
    <row r="685" spans="1:11">
      <c r="A685" s="58" t="s">
        <v>1</v>
      </c>
      <c r="B685" s="58"/>
      <c r="C685" s="58"/>
      <c r="D685" s="58"/>
      <c r="E685" s="58"/>
      <c r="F685" s="58"/>
      <c r="G685" s="58"/>
      <c r="H685" s="58"/>
      <c r="I685" s="58"/>
      <c r="J685" s="58"/>
      <c r="K685" s="58"/>
    </row>
    <row r="686" spans="1:11">
      <c r="A686" s="58" t="s">
        <v>39</v>
      </c>
      <c r="B686" s="58"/>
      <c r="C686" s="58"/>
      <c r="D686" s="58"/>
      <c r="E686" s="58"/>
      <c r="F686" s="58"/>
      <c r="G686" s="58"/>
      <c r="H686" s="58"/>
      <c r="I686" s="58"/>
      <c r="J686" s="58"/>
      <c r="K686" s="58"/>
    </row>
    <row r="687" spans="1:11">
      <c r="A687" s="58" t="s">
        <v>2</v>
      </c>
      <c r="B687" s="58"/>
      <c r="C687" s="58"/>
      <c r="D687" s="58"/>
      <c r="E687" s="58"/>
      <c r="F687" s="58"/>
      <c r="G687" s="58"/>
      <c r="H687" s="58"/>
      <c r="I687" s="58"/>
      <c r="J687" s="58"/>
      <c r="K687" s="58"/>
    </row>
    <row r="688" spans="1:11">
      <c r="A688" s="6"/>
      <c r="B688" s="6"/>
      <c r="C688" s="7"/>
      <c r="D688" s="7"/>
      <c r="E688" s="7"/>
      <c r="F688" s="7"/>
      <c r="G688" s="8"/>
      <c r="H688" s="9"/>
      <c r="I688" s="9"/>
      <c r="J688" s="9"/>
      <c r="K688" s="9"/>
    </row>
    <row r="689" spans="1:11">
      <c r="A689" s="53" t="s">
        <v>3</v>
      </c>
      <c r="B689" s="10"/>
      <c r="C689" s="10"/>
      <c r="D689" s="54" t="s">
        <v>4</v>
      </c>
      <c r="E689" s="10" t="s">
        <v>5</v>
      </c>
      <c r="F689" s="11"/>
      <c r="G689" s="10"/>
      <c r="H689" s="12"/>
      <c r="I689" s="12"/>
      <c r="J689" s="12"/>
      <c r="K689" s="9"/>
    </row>
    <row r="690" spans="1:11">
      <c r="A690" s="53" t="s">
        <v>6</v>
      </c>
      <c r="B690" s="10"/>
      <c r="C690" s="10"/>
      <c r="D690" s="54" t="s">
        <v>4</v>
      </c>
      <c r="E690" s="10" t="s">
        <v>7</v>
      </c>
      <c r="F690" s="11"/>
      <c r="G690" s="10"/>
      <c r="H690" s="12"/>
      <c r="I690" s="12"/>
      <c r="J690" s="12"/>
      <c r="K690" s="9"/>
    </row>
    <row r="691" spans="1:11">
      <c r="A691" s="53" t="s">
        <v>8</v>
      </c>
      <c r="B691" s="10"/>
      <c r="C691" s="10"/>
      <c r="D691" s="54" t="s">
        <v>4</v>
      </c>
      <c r="E691" s="13">
        <v>2026</v>
      </c>
      <c r="F691" s="11"/>
      <c r="G691" s="13"/>
      <c r="H691" s="12"/>
      <c r="I691" s="12"/>
      <c r="J691" s="12"/>
      <c r="K691" s="9"/>
    </row>
    <row r="692" spans="1:11">
      <c r="A692" s="53" t="s">
        <v>9</v>
      </c>
      <c r="B692" s="10"/>
      <c r="C692" s="10"/>
      <c r="D692" s="54" t="s">
        <v>4</v>
      </c>
      <c r="E692" s="14">
        <f>J702</f>
        <v>75000</v>
      </c>
      <c r="F692" s="11"/>
      <c r="G692" s="14"/>
      <c r="H692" s="12"/>
      <c r="I692" s="12"/>
      <c r="J692" s="12"/>
      <c r="K692" s="9"/>
    </row>
    <row r="693" spans="1:11" ht="15.75">
      <c r="A693" s="10"/>
      <c r="B693" s="10"/>
      <c r="C693" s="15" t="s">
        <v>10</v>
      </c>
      <c r="D693" s="54" t="s">
        <v>4</v>
      </c>
      <c r="E693" s="16" t="str">
        <f>PROPER(IF(E692=0,"nol",IF(E692&lt;0,"minus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692),"000000000000000"),1,3)=0,"",MID(TEXT(ABS(E692),"000000000000000"),1,1)&amp;" ratus "&amp;MID(TEXT(ABS(E692),"000000000000000"),2,1)&amp;" puluh "&amp;MID(TEXT(ABS(E692),"000000000000000"),3,1)&amp;" trilyun ")&amp;IF(--MID(TEXT(ABS(E692),"000000000000000"),4,3)=0,"",MID(TEXT(ABS(E692),"000000000000000"),4,1)&amp;" ratus "&amp;MID(TEXT(ABS(E692),"000000000000000"),5,1)&amp;" puluh "&amp;MID(TEXT(ABS(E692),"000000000000000"),6,1)&amp;" milyar ")&amp;IF(--MID(TEXT(ABS(E692),"000000000000000"),7,3)=0,"",MID(TEXT(ABS(E692),"000000000000000"),7,1)&amp;" ratus "&amp;MID(TEXT(ABS(E692),"000000000000000"),8,1)&amp;" puluh "&amp;MID(TEXT(ABS(E692),"000000000000000"),9,1)&amp;" juta ")&amp;IF(--MID(TEXT(ABS(E692),"000000000000000"),10,3)=0,"",IF(--MID(TEXT(ABS(E692),"000000000000000"),10,3)=1,"*",MID(TEXT(ABS(E692),"000000000000000"),10,1)&amp;" ratus "&amp;MID(TEXT(ABS(E692),"000000000000000"),11,1)&amp;" puluh ")&amp;MID(TEXT(ABS(E692),"000000000000000"),12,1)&amp;" ribu ")&amp;IF(--MID(TEXT(ABS(E692),"000000000000000"),13,3)=0,"",MID(TEXT(ABS(E692),"000000000000000"),13,1)&amp;" ratus "&amp;MID(TEXT(ABS(E692),"000000000000000"),14,1)&amp;" puluh "&amp;MID(TEXT(ABS(E692),"000000000000000"),15,1)),1,"satu"),2,"dua"),3,"tiga"),4,"empat"),5,"lima"),6,"enam"),7,"tujuh"),8,"delapan"),9,"sembilan"),"0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Tujuh Puluh Lima Ribu Rupiah</v>
      </c>
      <c r="F693" s="11"/>
      <c r="G693" s="16"/>
      <c r="H693" s="12"/>
      <c r="I693" s="12"/>
      <c r="J693" s="12"/>
      <c r="K693" s="9"/>
    </row>
    <row r="694" spans="1:11" ht="15.75">
      <c r="A694" s="10"/>
      <c r="B694" s="10"/>
      <c r="C694" s="15"/>
      <c r="D694" s="15"/>
      <c r="E694" s="15"/>
      <c r="F694" s="11"/>
      <c r="G694" s="16"/>
      <c r="H694" s="12"/>
      <c r="I694" s="12"/>
      <c r="J694" s="12"/>
      <c r="K694" s="9"/>
    </row>
    <row r="695" spans="1:11">
      <c r="A695" s="10" t="s">
        <v>11</v>
      </c>
      <c r="B695" s="10"/>
      <c r="C695" s="10"/>
      <c r="D695" s="10"/>
      <c r="E695" s="10"/>
      <c r="F695" s="10"/>
      <c r="G695" s="10"/>
      <c r="H695" s="12"/>
      <c r="I695" s="12"/>
      <c r="J695" s="12"/>
      <c r="K695" s="9"/>
    </row>
    <row r="696" spans="1:11">
      <c r="A696" s="59" t="s">
        <v>12</v>
      </c>
      <c r="B696" s="59"/>
      <c r="C696" s="59"/>
      <c r="D696" s="59"/>
      <c r="E696" s="59"/>
      <c r="F696" s="59"/>
      <c r="G696" s="59"/>
      <c r="H696" s="59"/>
      <c r="I696" s="59"/>
      <c r="J696" s="59"/>
      <c r="K696" s="59"/>
    </row>
    <row r="697" spans="1:11" ht="60">
      <c r="A697" s="17" t="s">
        <v>13</v>
      </c>
      <c r="B697" s="18" t="s">
        <v>14</v>
      </c>
      <c r="C697" s="60" t="s">
        <v>15</v>
      </c>
      <c r="D697" s="65"/>
      <c r="E697" s="62"/>
      <c r="F697" s="19"/>
      <c r="G697" s="20" t="s">
        <v>16</v>
      </c>
      <c r="H697" s="21" t="s">
        <v>37</v>
      </c>
      <c r="I697" s="21"/>
      <c r="J697" s="31" t="s">
        <v>17</v>
      </c>
      <c r="K697" s="32" t="s">
        <v>18</v>
      </c>
    </row>
    <row r="698" spans="1:11">
      <c r="A698" s="27">
        <v>1</v>
      </c>
      <c r="B698" s="24"/>
      <c r="C698" s="28" t="s">
        <v>23</v>
      </c>
      <c r="D698" s="57"/>
      <c r="E698" s="26"/>
      <c r="F698" s="25"/>
      <c r="G698" s="55" t="s">
        <v>19</v>
      </c>
      <c r="H698" s="55" t="s">
        <v>19</v>
      </c>
      <c r="I698" s="55"/>
      <c r="J698" s="55" t="s">
        <v>19</v>
      </c>
      <c r="K698" s="55" t="s">
        <v>19</v>
      </c>
    </row>
    <row r="699" spans="1:11">
      <c r="A699" s="24"/>
      <c r="B699" s="56" t="s">
        <v>20</v>
      </c>
      <c r="C699" s="25" t="s">
        <v>24</v>
      </c>
      <c r="D699" s="10"/>
      <c r="E699" s="26"/>
      <c r="F699" s="25"/>
      <c r="G699" s="22">
        <v>75000000</v>
      </c>
      <c r="H699" s="23">
        <f>H654+J654</f>
        <v>36887844</v>
      </c>
      <c r="I699" s="23"/>
      <c r="J699" s="33">
        <v>75000</v>
      </c>
      <c r="K699" s="34">
        <f>G699-H699-J699</f>
        <v>38037156</v>
      </c>
    </row>
    <row r="700" spans="1:11">
      <c r="A700" s="24"/>
      <c r="B700" s="56" t="s">
        <v>21</v>
      </c>
      <c r="C700" s="25" t="s">
        <v>25</v>
      </c>
      <c r="D700" s="10"/>
      <c r="E700" s="26"/>
      <c r="F700" s="25"/>
      <c r="G700" s="22">
        <v>30000000</v>
      </c>
      <c r="H700" s="23">
        <f t="shared" ref="H700:H701" si="29">H655+J655</f>
        <v>10004764</v>
      </c>
      <c r="I700" s="23"/>
      <c r="J700" s="33">
        <v>0</v>
      </c>
      <c r="K700" s="34">
        <f t="shared" ref="K700:K701" si="30">G700-H700-J700</f>
        <v>19995236</v>
      </c>
    </row>
    <row r="701" spans="1:11">
      <c r="A701" s="24"/>
      <c r="B701" s="56" t="s">
        <v>22</v>
      </c>
      <c r="C701" s="25" t="s">
        <v>26</v>
      </c>
      <c r="D701" s="10"/>
      <c r="E701" s="26"/>
      <c r="F701" s="25"/>
      <c r="G701" s="22">
        <v>50000000</v>
      </c>
      <c r="H701" s="23">
        <f t="shared" si="29"/>
        <v>7000000</v>
      </c>
      <c r="I701" s="23"/>
      <c r="J701" s="33">
        <v>0</v>
      </c>
      <c r="K701" s="34">
        <f t="shared" si="30"/>
        <v>43000000</v>
      </c>
    </row>
    <row r="702" spans="1:11">
      <c r="A702" s="35"/>
      <c r="B702" s="35"/>
      <c r="C702" s="35" t="s">
        <v>27</v>
      </c>
      <c r="D702" s="35"/>
      <c r="E702" s="35"/>
      <c r="F702" s="36"/>
      <c r="G702" s="37">
        <f>SUM(G698:G701)</f>
        <v>155000000</v>
      </c>
      <c r="H702" s="38">
        <f>SUM(H698:H701)</f>
        <v>53892608</v>
      </c>
      <c r="I702" s="38"/>
      <c r="J702" s="38">
        <f>SUM(J698:J701)</f>
        <v>75000</v>
      </c>
      <c r="K702" s="38">
        <f>SUM(K698:K701)</f>
        <v>101032392</v>
      </c>
    </row>
    <row r="703" spans="1:11">
      <c r="A703" s="39"/>
      <c r="B703" s="8"/>
      <c r="C703" s="8"/>
      <c r="D703" s="8"/>
      <c r="E703" s="8"/>
      <c r="F703" s="8"/>
      <c r="G703" s="40"/>
      <c r="H703" s="40"/>
      <c r="I703" s="40"/>
      <c r="J703" s="40"/>
      <c r="K703" s="40"/>
    </row>
    <row r="704" spans="1:11">
      <c r="A704" s="63" t="s">
        <v>28</v>
      </c>
      <c r="B704" s="63"/>
      <c r="C704" s="63"/>
      <c r="D704" s="11" t="s">
        <v>4</v>
      </c>
      <c r="E704" s="14">
        <f>J702</f>
        <v>75000</v>
      </c>
      <c r="F704" s="41"/>
      <c r="G704" s="42"/>
      <c r="H704" s="42"/>
      <c r="I704" s="42"/>
      <c r="J704" s="9"/>
      <c r="K704" s="9"/>
    </row>
    <row r="705" spans="1:11">
      <c r="A705" s="10" t="s">
        <v>29</v>
      </c>
      <c r="B705" s="10"/>
      <c r="C705" s="10"/>
      <c r="D705" s="11" t="s">
        <v>4</v>
      </c>
      <c r="E705" s="43"/>
      <c r="F705" s="43"/>
      <c r="G705" s="44"/>
      <c r="H705" s="12"/>
      <c r="I705" s="12"/>
      <c r="J705" s="9"/>
      <c r="K705" s="9"/>
    </row>
    <row r="706" spans="1:11">
      <c r="A706" s="10" t="s">
        <v>30</v>
      </c>
      <c r="B706" s="10"/>
      <c r="C706" s="10"/>
      <c r="D706" s="11" t="s">
        <v>4</v>
      </c>
      <c r="E706" s="45"/>
      <c r="F706" s="45"/>
      <c r="G706" s="44"/>
      <c r="H706" s="12"/>
      <c r="I706" s="12"/>
      <c r="J706" s="9"/>
      <c r="K706" s="9"/>
    </row>
    <row r="707" spans="1:11">
      <c r="A707" s="10" t="s">
        <v>31</v>
      </c>
      <c r="B707" s="10"/>
      <c r="C707" s="10"/>
      <c r="D707" s="11" t="s">
        <v>4</v>
      </c>
      <c r="E707" s="45">
        <f>E705+E706</f>
        <v>0</v>
      </c>
      <c r="F707" s="45"/>
      <c r="G707" s="10"/>
      <c r="H707" s="12"/>
      <c r="I707" s="12"/>
      <c r="J707" s="47"/>
      <c r="K707" s="47"/>
    </row>
    <row r="708" spans="1:11">
      <c r="A708" s="13"/>
      <c r="B708" s="13"/>
      <c r="C708" s="13"/>
      <c r="D708" s="11"/>
      <c r="E708" s="13"/>
      <c r="F708" s="13"/>
      <c r="G708" s="10"/>
      <c r="H708" s="12"/>
      <c r="I708" s="12"/>
      <c r="J708" s="47"/>
      <c r="K708" s="47"/>
    </row>
    <row r="709" spans="1:11">
      <c r="A709" s="63" t="s">
        <v>32</v>
      </c>
      <c r="B709" s="63"/>
      <c r="C709" s="63"/>
      <c r="D709" s="11" t="s">
        <v>4</v>
      </c>
      <c r="E709" s="41">
        <f>E704-E707</f>
        <v>75000</v>
      </c>
      <c r="F709" s="41"/>
      <c r="G709" s="10"/>
      <c r="H709" s="12"/>
      <c r="I709" s="12"/>
      <c r="J709" s="47"/>
      <c r="K709" s="47"/>
    </row>
    <row r="710" spans="1:11" ht="15.75">
      <c r="A710" s="13"/>
      <c r="B710" s="13"/>
      <c r="C710" s="10"/>
      <c r="D710" s="10"/>
      <c r="E710" s="16" t="str">
        <f>PROPER(IF(E709=0,"nol",IF(E709&lt;0,"minus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709),"000000000000000"),1,3)=0,"",MID(TEXT(ABS(E709),"000000000000000"),1,1)&amp;" ratus "&amp;MID(TEXT(ABS(E709),"000000000000000"),2,1)&amp;" puluh "&amp;MID(TEXT(ABS(E709),"000000000000000"),3,1)&amp;" trilyun ")&amp;IF(--MID(TEXT(ABS(E709),"000000000000000"),4,3)=0,"",MID(TEXT(ABS(E709),"000000000000000"),4,1)&amp;" ratus "&amp;MID(TEXT(ABS(E709),"000000000000000"),5,1)&amp;" puluh "&amp;MID(TEXT(ABS(E709),"000000000000000"),6,1)&amp;" milyar ")&amp;IF(--MID(TEXT(ABS(E709),"000000000000000"),7,3)=0,"",MID(TEXT(ABS(E709),"000000000000000"),7,1)&amp;" ratus "&amp;MID(TEXT(ABS(E709),"000000000000000"),8,1)&amp;" puluh "&amp;MID(TEXT(ABS(E709),"000000000000000"),9,1)&amp;" juta ")&amp;IF(--MID(TEXT(ABS(E709),"000000000000000"),10,3)=0,"",IF(--MID(TEXT(ABS(E709),"000000000000000"),10,3)=1,"*",MID(TEXT(ABS(E709),"000000000000000"),10,1)&amp;" ratus "&amp;MID(TEXT(ABS(E709),"000000000000000"),11,1)&amp;" puluh ")&amp;MID(TEXT(ABS(E709),"000000000000000"),12,1)&amp;" ribu ")&amp;IF(--MID(TEXT(ABS(E709),"000000000000000"),13,3)=0,"",MID(TEXT(ABS(E709),"000000000000000"),13,1)&amp;" ratus "&amp;MID(TEXT(ABS(E709),"000000000000000"),14,1)&amp;" puluh "&amp;MID(TEXT(ABS(E709),"000000000000000"),15,1)),1,"satu"),2,"dua"),3,"tiga"),4,"empat"),5,"lima"),6,"enam"),7,"tujuh"),8,"delapan"),9,"sembilan"),"0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Tujuh Puluh Lima Ribu Rupiah</v>
      </c>
      <c r="F710" s="10"/>
      <c r="G710" s="10"/>
      <c r="H710" s="10"/>
      <c r="I710" s="10"/>
      <c r="J710" s="47"/>
      <c r="K710" s="47"/>
    </row>
    <row r="711" spans="1:11">
      <c r="A711" s="46"/>
      <c r="B711" s="46"/>
      <c r="C711" s="46"/>
      <c r="D711" s="46"/>
      <c r="E711" s="46"/>
      <c r="F711" s="46"/>
      <c r="G711" s="29"/>
      <c r="H711" s="47"/>
      <c r="I711" s="47"/>
      <c r="J711" s="47"/>
      <c r="K711" s="47"/>
    </row>
    <row r="712" spans="1:11">
      <c r="A712" s="29"/>
      <c r="B712" s="29"/>
      <c r="C712" s="29"/>
      <c r="D712" s="29"/>
      <c r="E712" s="29"/>
      <c r="F712" s="29"/>
      <c r="G712" s="29"/>
      <c r="H712"/>
      <c r="I712"/>
      <c r="J712" s="47"/>
      <c r="K712" s="47"/>
    </row>
    <row r="713" spans="1:11">
      <c r="A713" s="13"/>
      <c r="B713" s="13"/>
      <c r="C713" s="10"/>
      <c r="D713" s="10"/>
      <c r="E713" s="10"/>
      <c r="F713" s="10"/>
      <c r="G713" s="10"/>
      <c r="I713" s="48"/>
      <c r="J713" s="48" t="s">
        <v>62</v>
      </c>
      <c r="K713" s="47"/>
    </row>
    <row r="714" spans="1:11">
      <c r="A714" s="12" t="s">
        <v>33</v>
      </c>
      <c r="B714" s="10"/>
      <c r="C714" s="10"/>
      <c r="D714" s="10"/>
      <c r="E714" s="10"/>
      <c r="F714" s="10"/>
      <c r="G714" s="10"/>
      <c r="I714" s="12"/>
      <c r="J714" s="12" t="s">
        <v>34</v>
      </c>
      <c r="K714" s="47"/>
    </row>
    <row r="715" spans="1:11">
      <c r="A715" s="10"/>
      <c r="B715" s="10"/>
      <c r="C715" s="10"/>
      <c r="D715" s="10"/>
      <c r="E715" s="10"/>
      <c r="F715" s="10"/>
      <c r="G715" s="10"/>
      <c r="I715" s="12"/>
      <c r="J715" s="12"/>
      <c r="K715" s="47"/>
    </row>
    <row r="716" spans="1:11">
      <c r="A716" s="10"/>
      <c r="B716" s="10"/>
      <c r="C716" s="10"/>
      <c r="D716" s="10"/>
      <c r="E716" s="10"/>
      <c r="F716" s="10"/>
      <c r="G716" s="10"/>
      <c r="I716" s="12"/>
      <c r="J716" s="12"/>
      <c r="K716" s="47"/>
    </row>
    <row r="717" spans="1:11">
      <c r="A717" s="10"/>
      <c r="B717" s="10"/>
      <c r="C717" s="10"/>
      <c r="D717" s="10"/>
      <c r="E717" s="10"/>
      <c r="F717" s="10"/>
      <c r="G717" s="10"/>
      <c r="I717" s="12"/>
      <c r="J717" s="12"/>
      <c r="K717" s="47"/>
    </row>
    <row r="718" spans="1:11">
      <c r="A718" s="10"/>
      <c r="B718" s="10"/>
      <c r="C718" s="10"/>
      <c r="D718" s="10"/>
      <c r="E718" s="10"/>
      <c r="F718" s="10"/>
      <c r="G718" s="10"/>
      <c r="I718" s="12"/>
      <c r="J718" s="12"/>
      <c r="K718" s="47"/>
    </row>
    <row r="719" spans="1:11">
      <c r="A719" s="49" t="s">
        <v>38</v>
      </c>
      <c r="B719" s="49"/>
      <c r="C719" s="50"/>
      <c r="D719" s="50"/>
      <c r="E719" s="50"/>
      <c r="F719" s="50"/>
      <c r="G719" s="10" t="s">
        <v>35</v>
      </c>
      <c r="I719" s="49"/>
      <c r="J719" s="49" t="s">
        <v>36</v>
      </c>
      <c r="K719" s="47"/>
    </row>
    <row r="724" spans="1:11" ht="15.75">
      <c r="C724" s="2"/>
      <c r="D724" s="2"/>
      <c r="E724" s="2"/>
      <c r="F724" s="2"/>
    </row>
    <row r="725" spans="1:11" ht="15.75">
      <c r="A725" s="3"/>
      <c r="B725" s="3"/>
      <c r="C725" s="2"/>
      <c r="D725" s="2"/>
      <c r="E725" s="2"/>
      <c r="F725" s="2"/>
      <c r="G725" s="3"/>
      <c r="H725" s="4"/>
      <c r="I725" s="4"/>
      <c r="J725" s="4"/>
      <c r="K725" s="5"/>
    </row>
    <row r="726" spans="1:11">
      <c r="H726" s="5"/>
      <c r="I726" s="5"/>
      <c r="J726" s="5"/>
      <c r="K726" s="5"/>
    </row>
    <row r="727" spans="1:11">
      <c r="H727" s="5"/>
      <c r="I727" s="5"/>
      <c r="J727" s="5"/>
      <c r="K727" s="5"/>
    </row>
    <row r="728" spans="1:11">
      <c r="A728" s="64" t="s">
        <v>0</v>
      </c>
      <c r="B728" s="64"/>
      <c r="C728" s="64"/>
      <c r="D728" s="64"/>
      <c r="E728" s="64"/>
      <c r="F728" s="64"/>
      <c r="G728" s="64"/>
      <c r="H728" s="64"/>
      <c r="I728" s="64"/>
      <c r="J728" s="64"/>
      <c r="K728" s="64"/>
    </row>
    <row r="729" spans="1:11">
      <c r="A729" s="58" t="s">
        <v>63</v>
      </c>
      <c r="B729" s="58"/>
      <c r="C729" s="58"/>
      <c r="D729" s="58"/>
      <c r="E729" s="58"/>
      <c r="F729" s="58"/>
      <c r="G729" s="58"/>
      <c r="H729" s="58"/>
      <c r="I729" s="58"/>
      <c r="J729" s="58"/>
      <c r="K729" s="58"/>
    </row>
    <row r="730" spans="1:11">
      <c r="A730" s="58" t="s">
        <v>1</v>
      </c>
      <c r="B730" s="58"/>
      <c r="C730" s="58"/>
      <c r="D730" s="58"/>
      <c r="E730" s="58"/>
      <c r="F730" s="58"/>
      <c r="G730" s="58"/>
      <c r="H730" s="58"/>
      <c r="I730" s="58"/>
      <c r="J730" s="58"/>
      <c r="K730" s="58"/>
    </row>
    <row r="731" spans="1:11">
      <c r="A731" s="58" t="s">
        <v>39</v>
      </c>
      <c r="B731" s="58"/>
      <c r="C731" s="58"/>
      <c r="D731" s="58"/>
      <c r="E731" s="58"/>
      <c r="F731" s="58"/>
      <c r="G731" s="58"/>
      <c r="H731" s="58"/>
      <c r="I731" s="58"/>
      <c r="J731" s="58"/>
      <c r="K731" s="58"/>
    </row>
    <row r="732" spans="1:11">
      <c r="A732" s="58" t="s">
        <v>2</v>
      </c>
      <c r="B732" s="58"/>
      <c r="C732" s="58"/>
      <c r="D732" s="58"/>
      <c r="E732" s="58"/>
      <c r="F732" s="58"/>
      <c r="G732" s="58"/>
      <c r="H732" s="58"/>
      <c r="I732" s="58"/>
      <c r="J732" s="58"/>
      <c r="K732" s="58"/>
    </row>
    <row r="733" spans="1:11">
      <c r="A733" s="6"/>
      <c r="B733" s="6"/>
      <c r="C733" s="7"/>
      <c r="D733" s="7"/>
      <c r="E733" s="7"/>
      <c r="F733" s="7"/>
      <c r="G733" s="8"/>
      <c r="H733" s="9"/>
      <c r="I733" s="9"/>
      <c r="J733" s="9"/>
      <c r="K733" s="9"/>
    </row>
    <row r="734" spans="1:11">
      <c r="A734" s="53" t="s">
        <v>3</v>
      </c>
      <c r="B734" s="10"/>
      <c r="C734" s="10"/>
      <c r="D734" s="54" t="s">
        <v>4</v>
      </c>
      <c r="E734" s="10" t="s">
        <v>5</v>
      </c>
      <c r="F734" s="11"/>
      <c r="G734" s="10"/>
      <c r="H734" s="12"/>
      <c r="I734" s="12"/>
      <c r="J734" s="12"/>
      <c r="K734" s="9"/>
    </row>
    <row r="735" spans="1:11">
      <c r="A735" s="53" t="s">
        <v>6</v>
      </c>
      <c r="B735" s="10"/>
      <c r="C735" s="10"/>
      <c r="D735" s="54" t="s">
        <v>4</v>
      </c>
      <c r="E735" s="10" t="s">
        <v>7</v>
      </c>
      <c r="F735" s="11"/>
      <c r="G735" s="10"/>
      <c r="H735" s="12"/>
      <c r="I735" s="12"/>
      <c r="J735" s="12"/>
      <c r="K735" s="9"/>
    </row>
    <row r="736" spans="1:11">
      <c r="A736" s="53" t="s">
        <v>8</v>
      </c>
      <c r="B736" s="10"/>
      <c r="C736" s="10"/>
      <c r="D736" s="54" t="s">
        <v>4</v>
      </c>
      <c r="E736" s="13">
        <v>2026</v>
      </c>
      <c r="F736" s="11"/>
      <c r="G736" s="13"/>
      <c r="H736" s="12"/>
      <c r="I736" s="12"/>
      <c r="J736" s="12"/>
      <c r="K736" s="9"/>
    </row>
    <row r="737" spans="1:11">
      <c r="A737" s="53" t="s">
        <v>9</v>
      </c>
      <c r="B737" s="10"/>
      <c r="C737" s="10"/>
      <c r="D737" s="54" t="s">
        <v>4</v>
      </c>
      <c r="E737" s="14">
        <f>J747</f>
        <v>362500</v>
      </c>
      <c r="F737" s="11"/>
      <c r="G737" s="14"/>
      <c r="H737" s="12"/>
      <c r="I737" s="12"/>
      <c r="J737" s="12"/>
      <c r="K737" s="9"/>
    </row>
    <row r="738" spans="1:11" ht="15.75">
      <c r="A738" s="10"/>
      <c r="B738" s="10"/>
      <c r="C738" s="15" t="s">
        <v>10</v>
      </c>
      <c r="D738" s="54" t="s">
        <v>4</v>
      </c>
      <c r="E738" s="16" t="str">
        <f>PROPER(IF(E737=0,"nol",IF(E737&lt;0,"minus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737),"000000000000000"),1,3)=0,"",MID(TEXT(ABS(E737),"000000000000000"),1,1)&amp;" ratus "&amp;MID(TEXT(ABS(E737),"000000000000000"),2,1)&amp;" puluh "&amp;MID(TEXT(ABS(E737),"000000000000000"),3,1)&amp;" trilyun ")&amp;IF(--MID(TEXT(ABS(E737),"000000000000000"),4,3)=0,"",MID(TEXT(ABS(E737),"000000000000000"),4,1)&amp;" ratus "&amp;MID(TEXT(ABS(E737),"000000000000000"),5,1)&amp;" puluh "&amp;MID(TEXT(ABS(E737),"000000000000000"),6,1)&amp;" milyar ")&amp;IF(--MID(TEXT(ABS(E737),"000000000000000"),7,3)=0,"",MID(TEXT(ABS(E737),"000000000000000"),7,1)&amp;" ratus "&amp;MID(TEXT(ABS(E737),"000000000000000"),8,1)&amp;" puluh "&amp;MID(TEXT(ABS(E737),"000000000000000"),9,1)&amp;" juta ")&amp;IF(--MID(TEXT(ABS(E737),"000000000000000"),10,3)=0,"",IF(--MID(TEXT(ABS(E737),"000000000000000"),10,3)=1,"*",MID(TEXT(ABS(E737),"000000000000000"),10,1)&amp;" ratus "&amp;MID(TEXT(ABS(E737),"000000000000000"),11,1)&amp;" puluh ")&amp;MID(TEXT(ABS(E737),"000000000000000"),12,1)&amp;" ribu ")&amp;IF(--MID(TEXT(ABS(E737),"000000000000000"),13,3)=0,"",MID(TEXT(ABS(E737),"000000000000000"),13,1)&amp;" ratus "&amp;MID(TEXT(ABS(E737),"000000000000000"),14,1)&amp;" puluh "&amp;MID(TEXT(ABS(E737),"000000000000000"),15,1)),1,"satu"),2,"dua"),3,"tiga"),4,"empat"),5,"lima"),6,"enam"),7,"tujuh"),8,"delapan"),9,"sembilan"),"0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Tiga Ratus Enam Puluh Dua Ribu Lima Ratus Rupiah</v>
      </c>
      <c r="F738" s="11"/>
      <c r="G738" s="16"/>
      <c r="H738" s="12"/>
      <c r="I738" s="12"/>
      <c r="J738" s="12"/>
      <c r="K738" s="9"/>
    </row>
    <row r="739" spans="1:11" ht="15.75">
      <c r="A739" s="10"/>
      <c r="B739" s="10"/>
      <c r="C739" s="15"/>
      <c r="D739" s="15"/>
      <c r="E739" s="15"/>
      <c r="F739" s="11"/>
      <c r="G739" s="16"/>
      <c r="H739" s="12"/>
      <c r="I739" s="12"/>
      <c r="J739" s="12"/>
      <c r="K739" s="9"/>
    </row>
    <row r="740" spans="1:11">
      <c r="A740" s="10" t="s">
        <v>11</v>
      </c>
      <c r="B740" s="10"/>
      <c r="C740" s="10"/>
      <c r="D740" s="10"/>
      <c r="E740" s="10"/>
      <c r="F740" s="10"/>
      <c r="G740" s="10"/>
      <c r="H740" s="12"/>
      <c r="I740" s="12"/>
      <c r="J740" s="12"/>
      <c r="K740" s="9"/>
    </row>
    <row r="741" spans="1:11">
      <c r="A741" s="59" t="s">
        <v>12</v>
      </c>
      <c r="B741" s="59"/>
      <c r="C741" s="59"/>
      <c r="D741" s="59"/>
      <c r="E741" s="59"/>
      <c r="F741" s="59"/>
      <c r="G741" s="59"/>
      <c r="H741" s="59"/>
      <c r="I741" s="59"/>
      <c r="J741" s="59"/>
      <c r="K741" s="59"/>
    </row>
    <row r="742" spans="1:11" ht="60">
      <c r="A742" s="17" t="s">
        <v>13</v>
      </c>
      <c r="B742" s="18" t="s">
        <v>14</v>
      </c>
      <c r="C742" s="60" t="s">
        <v>15</v>
      </c>
      <c r="D742" s="65"/>
      <c r="E742" s="62"/>
      <c r="F742" s="19"/>
      <c r="G742" s="20" t="s">
        <v>16</v>
      </c>
      <c r="H742" s="21" t="s">
        <v>37</v>
      </c>
      <c r="I742" s="21"/>
      <c r="J742" s="31" t="s">
        <v>17</v>
      </c>
      <c r="K742" s="32" t="s">
        <v>18</v>
      </c>
    </row>
    <row r="743" spans="1:11">
      <c r="A743" s="27">
        <v>1</v>
      </c>
      <c r="B743" s="24"/>
      <c r="C743" s="28" t="s">
        <v>23</v>
      </c>
      <c r="D743" s="57"/>
      <c r="E743" s="26"/>
      <c r="F743" s="25"/>
      <c r="G743" s="55" t="s">
        <v>19</v>
      </c>
      <c r="H743" s="55" t="s">
        <v>19</v>
      </c>
      <c r="I743" s="55"/>
      <c r="J743" s="55" t="s">
        <v>19</v>
      </c>
      <c r="K743" s="55" t="s">
        <v>19</v>
      </c>
    </row>
    <row r="744" spans="1:11">
      <c r="A744" s="24"/>
      <c r="B744" s="56" t="s">
        <v>20</v>
      </c>
      <c r="C744" s="25" t="s">
        <v>24</v>
      </c>
      <c r="D744" s="10"/>
      <c r="E744" s="26"/>
      <c r="F744" s="25"/>
      <c r="G744" s="22">
        <v>75000000</v>
      </c>
      <c r="H744" s="23">
        <f>H699+J699</f>
        <v>36962844</v>
      </c>
      <c r="I744" s="23"/>
      <c r="J744" s="33">
        <v>362500</v>
      </c>
      <c r="K744" s="34">
        <f>G744-H744-J744</f>
        <v>37674656</v>
      </c>
    </row>
    <row r="745" spans="1:11">
      <c r="A745" s="24"/>
      <c r="B745" s="56" t="s">
        <v>21</v>
      </c>
      <c r="C745" s="25" t="s">
        <v>25</v>
      </c>
      <c r="D745" s="10"/>
      <c r="E745" s="26"/>
      <c r="F745" s="25"/>
      <c r="G745" s="22">
        <v>30000000</v>
      </c>
      <c r="H745" s="23">
        <f t="shared" ref="H745:H746" si="31">H700+J700</f>
        <v>10004764</v>
      </c>
      <c r="I745" s="23"/>
      <c r="J745" s="33">
        <v>0</v>
      </c>
      <c r="K745" s="34">
        <f t="shared" ref="K745:K746" si="32">G745-H745-J745</f>
        <v>19995236</v>
      </c>
    </row>
    <row r="746" spans="1:11">
      <c r="A746" s="24"/>
      <c r="B746" s="56" t="s">
        <v>22</v>
      </c>
      <c r="C746" s="25" t="s">
        <v>26</v>
      </c>
      <c r="D746" s="10"/>
      <c r="E746" s="26"/>
      <c r="F746" s="25"/>
      <c r="G746" s="22">
        <v>50000000</v>
      </c>
      <c r="H746" s="23">
        <f t="shared" si="31"/>
        <v>7000000</v>
      </c>
      <c r="I746" s="23"/>
      <c r="J746" s="33">
        <v>0</v>
      </c>
      <c r="K746" s="34">
        <f t="shared" si="32"/>
        <v>43000000</v>
      </c>
    </row>
    <row r="747" spans="1:11">
      <c r="A747" s="35"/>
      <c r="B747" s="35"/>
      <c r="C747" s="35" t="s">
        <v>27</v>
      </c>
      <c r="D747" s="35"/>
      <c r="E747" s="35"/>
      <c r="F747" s="36"/>
      <c r="G747" s="37">
        <f>SUM(G743:G746)</f>
        <v>155000000</v>
      </c>
      <c r="H747" s="38">
        <f>SUM(H743:H746)</f>
        <v>53967608</v>
      </c>
      <c r="I747" s="38"/>
      <c r="J747" s="38">
        <f>SUM(J743:J746)</f>
        <v>362500</v>
      </c>
      <c r="K747" s="38">
        <f>SUM(K743:K746)</f>
        <v>100669892</v>
      </c>
    </row>
    <row r="748" spans="1:11">
      <c r="A748" s="39"/>
      <c r="B748" s="8"/>
      <c r="C748" s="8"/>
      <c r="D748" s="8"/>
      <c r="E748" s="8"/>
      <c r="F748" s="8"/>
      <c r="G748" s="40"/>
      <c r="H748" s="40"/>
      <c r="I748" s="40"/>
      <c r="J748" s="40"/>
      <c r="K748" s="40"/>
    </row>
    <row r="749" spans="1:11">
      <c r="A749" s="63" t="s">
        <v>28</v>
      </c>
      <c r="B749" s="63"/>
      <c r="C749" s="63"/>
      <c r="D749" s="11" t="s">
        <v>4</v>
      </c>
      <c r="E749" s="14">
        <f>J747</f>
        <v>362500</v>
      </c>
      <c r="F749" s="41"/>
      <c r="G749" s="42"/>
      <c r="H749" s="42"/>
      <c r="I749" s="42"/>
      <c r="J749" s="9"/>
      <c r="K749" s="9"/>
    </row>
    <row r="750" spans="1:11">
      <c r="A750" s="10" t="s">
        <v>29</v>
      </c>
      <c r="B750" s="10"/>
      <c r="C750" s="10"/>
      <c r="D750" s="11" t="s">
        <v>4</v>
      </c>
      <c r="E750" s="43"/>
      <c r="F750" s="43"/>
      <c r="G750" s="44"/>
      <c r="H750" s="12"/>
      <c r="I750" s="12"/>
      <c r="J750" s="9"/>
      <c r="K750" s="9"/>
    </row>
    <row r="751" spans="1:11">
      <c r="A751" s="10" t="s">
        <v>30</v>
      </c>
      <c r="B751" s="10"/>
      <c r="C751" s="10"/>
      <c r="D751" s="11" t="s">
        <v>4</v>
      </c>
      <c r="E751" s="45"/>
      <c r="F751" s="45"/>
      <c r="G751" s="44"/>
      <c r="H751" s="12"/>
      <c r="I751" s="12"/>
      <c r="J751" s="9"/>
      <c r="K751" s="9"/>
    </row>
    <row r="752" spans="1:11">
      <c r="A752" s="10" t="s">
        <v>31</v>
      </c>
      <c r="B752" s="10"/>
      <c r="C752" s="10"/>
      <c r="D752" s="11" t="s">
        <v>4</v>
      </c>
      <c r="E752" s="45">
        <f>E750+E751</f>
        <v>0</v>
      </c>
      <c r="F752" s="45"/>
      <c r="G752" s="10"/>
      <c r="H752" s="12"/>
      <c r="I752" s="12"/>
      <c r="J752" s="47"/>
      <c r="K752" s="47"/>
    </row>
    <row r="753" spans="1:11">
      <c r="A753" s="13"/>
      <c r="B753" s="13"/>
      <c r="C753" s="13"/>
      <c r="D753" s="11"/>
      <c r="E753" s="13"/>
      <c r="F753" s="13"/>
      <c r="G753" s="10"/>
      <c r="H753" s="12"/>
      <c r="I753" s="12"/>
      <c r="J753" s="47"/>
      <c r="K753" s="47"/>
    </row>
    <row r="754" spans="1:11">
      <c r="A754" s="63" t="s">
        <v>32</v>
      </c>
      <c r="B754" s="63"/>
      <c r="C754" s="63"/>
      <c r="D754" s="11" t="s">
        <v>4</v>
      </c>
      <c r="E754" s="41">
        <f>E749-E752</f>
        <v>362500</v>
      </c>
      <c r="F754" s="41"/>
      <c r="G754" s="10"/>
      <c r="H754" s="12"/>
      <c r="I754" s="12"/>
      <c r="J754" s="47"/>
      <c r="K754" s="47"/>
    </row>
    <row r="755" spans="1:11" ht="15.75">
      <c r="A755" s="13"/>
      <c r="B755" s="13"/>
      <c r="C755" s="10"/>
      <c r="D755" s="10"/>
      <c r="E755" s="16" t="str">
        <f>PROPER(IF(E754=0,"nol",IF(E754&lt;0,"minus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754),"000000000000000"),1,3)=0,"",MID(TEXT(ABS(E754),"000000000000000"),1,1)&amp;" ratus "&amp;MID(TEXT(ABS(E754),"000000000000000"),2,1)&amp;" puluh "&amp;MID(TEXT(ABS(E754),"000000000000000"),3,1)&amp;" trilyun ")&amp;IF(--MID(TEXT(ABS(E754),"000000000000000"),4,3)=0,"",MID(TEXT(ABS(E754),"000000000000000"),4,1)&amp;" ratus "&amp;MID(TEXT(ABS(E754),"000000000000000"),5,1)&amp;" puluh "&amp;MID(TEXT(ABS(E754),"000000000000000"),6,1)&amp;" milyar ")&amp;IF(--MID(TEXT(ABS(E754),"000000000000000"),7,3)=0,"",MID(TEXT(ABS(E754),"000000000000000"),7,1)&amp;" ratus "&amp;MID(TEXT(ABS(E754),"000000000000000"),8,1)&amp;" puluh "&amp;MID(TEXT(ABS(E754),"000000000000000"),9,1)&amp;" juta ")&amp;IF(--MID(TEXT(ABS(E754),"000000000000000"),10,3)=0,"",IF(--MID(TEXT(ABS(E754),"000000000000000"),10,3)=1,"*",MID(TEXT(ABS(E754),"000000000000000"),10,1)&amp;" ratus "&amp;MID(TEXT(ABS(E754),"000000000000000"),11,1)&amp;" puluh ")&amp;MID(TEXT(ABS(E754),"000000000000000"),12,1)&amp;" ribu ")&amp;IF(--MID(TEXT(ABS(E754),"000000000000000"),13,3)=0,"",MID(TEXT(ABS(E754),"000000000000000"),13,1)&amp;" ratus "&amp;MID(TEXT(ABS(E754),"000000000000000"),14,1)&amp;" puluh "&amp;MID(TEXT(ABS(E754),"000000000000000"),15,1)),1,"satu"),2,"dua"),3,"tiga"),4,"empat"),5,"lima"),6,"enam"),7,"tujuh"),8,"delapan"),9,"sembilan"),"0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Tiga Ratus Enam Puluh Dua Ribu Lima Ratus Rupiah</v>
      </c>
      <c r="F755" s="10"/>
      <c r="G755" s="10"/>
      <c r="H755" s="10"/>
      <c r="I755" s="10"/>
      <c r="J755" s="47"/>
      <c r="K755" s="47"/>
    </row>
    <row r="756" spans="1:11">
      <c r="A756" s="46"/>
      <c r="B756" s="46"/>
      <c r="C756" s="46"/>
      <c r="D756" s="46"/>
      <c r="E756" s="46"/>
      <c r="F756" s="46"/>
      <c r="G756" s="29"/>
      <c r="H756" s="47"/>
      <c r="I756" s="47"/>
      <c r="J756" s="47"/>
      <c r="K756" s="47"/>
    </row>
    <row r="757" spans="1:11">
      <c r="A757" s="29"/>
      <c r="B757" s="29"/>
      <c r="C757" s="29"/>
      <c r="D757" s="29"/>
      <c r="E757" s="29"/>
      <c r="F757" s="29"/>
      <c r="G757" s="29"/>
      <c r="H757"/>
      <c r="I757"/>
      <c r="J757" s="47"/>
      <c r="K757" s="47"/>
    </row>
    <row r="758" spans="1:11">
      <c r="A758" s="13"/>
      <c r="B758" s="13"/>
      <c r="C758" s="10"/>
      <c r="D758" s="10"/>
      <c r="E758" s="10"/>
      <c r="F758" s="10"/>
      <c r="G758" s="10"/>
      <c r="I758" s="48"/>
      <c r="J758" s="48" t="s">
        <v>64</v>
      </c>
      <c r="K758" s="47"/>
    </row>
    <row r="759" spans="1:11">
      <c r="A759" s="12" t="s">
        <v>33</v>
      </c>
      <c r="B759" s="10"/>
      <c r="C759" s="10"/>
      <c r="D759" s="10"/>
      <c r="E759" s="10"/>
      <c r="F759" s="10"/>
      <c r="G759" s="10"/>
      <c r="I759" s="12"/>
      <c r="J759" s="12" t="s">
        <v>34</v>
      </c>
      <c r="K759" s="47"/>
    </row>
    <row r="760" spans="1:11">
      <c r="A760" s="10"/>
      <c r="B760" s="10"/>
      <c r="C760" s="10"/>
      <c r="D760" s="10"/>
      <c r="E760" s="10"/>
      <c r="F760" s="10"/>
      <c r="G760" s="10"/>
      <c r="I760" s="12"/>
      <c r="J760" s="12"/>
      <c r="K760" s="47"/>
    </row>
    <row r="761" spans="1:11">
      <c r="A761" s="10"/>
      <c r="B761" s="10"/>
      <c r="C761" s="10"/>
      <c r="D761" s="10"/>
      <c r="E761" s="10"/>
      <c r="F761" s="10"/>
      <c r="G761" s="10"/>
      <c r="I761" s="12"/>
      <c r="J761" s="12"/>
      <c r="K761" s="47"/>
    </row>
    <row r="762" spans="1:11">
      <c r="A762" s="10"/>
      <c r="B762" s="10"/>
      <c r="C762" s="10"/>
      <c r="D762" s="10"/>
      <c r="E762" s="10"/>
      <c r="F762" s="10"/>
      <c r="G762" s="10"/>
      <c r="I762" s="12"/>
      <c r="J762" s="12"/>
      <c r="K762" s="47"/>
    </row>
    <row r="763" spans="1:11">
      <c r="A763" s="10"/>
      <c r="B763" s="10"/>
      <c r="C763" s="10"/>
      <c r="D763" s="10"/>
      <c r="E763" s="10"/>
      <c r="F763" s="10"/>
      <c r="G763" s="10"/>
      <c r="I763" s="12"/>
      <c r="J763" s="12"/>
      <c r="K763" s="47"/>
    </row>
    <row r="764" spans="1:11">
      <c r="A764" s="49" t="s">
        <v>38</v>
      </c>
      <c r="B764" s="49"/>
      <c r="C764" s="50"/>
      <c r="D764" s="50"/>
      <c r="E764" s="50"/>
      <c r="F764" s="50"/>
      <c r="G764" s="10" t="s">
        <v>35</v>
      </c>
      <c r="I764" s="49"/>
      <c r="J764" s="49" t="s">
        <v>36</v>
      </c>
      <c r="K764" s="47"/>
    </row>
    <row r="769" spans="1:11" ht="15.75">
      <c r="C769" s="2"/>
      <c r="D769" s="2"/>
      <c r="E769" s="2"/>
      <c r="F769" s="2"/>
    </row>
    <row r="770" spans="1:11" ht="15.75">
      <c r="A770" s="3"/>
      <c r="B770" s="3"/>
      <c r="C770" s="2"/>
      <c r="D770" s="2"/>
      <c r="E770" s="2"/>
      <c r="F770" s="2"/>
      <c r="G770" s="3"/>
      <c r="H770" s="4"/>
      <c r="I770" s="4"/>
      <c r="J770" s="4"/>
      <c r="K770" s="5"/>
    </row>
    <row r="771" spans="1:11">
      <c r="H771" s="5"/>
      <c r="I771" s="5"/>
      <c r="J771" s="5"/>
      <c r="K771" s="5"/>
    </row>
    <row r="772" spans="1:11">
      <c r="H772" s="5"/>
      <c r="I772" s="5"/>
      <c r="J772" s="5"/>
      <c r="K772" s="5"/>
    </row>
    <row r="773" spans="1:11">
      <c r="A773" s="64" t="s">
        <v>0</v>
      </c>
      <c r="B773" s="64"/>
      <c r="C773" s="64"/>
      <c r="D773" s="64"/>
      <c r="E773" s="64"/>
      <c r="F773" s="64"/>
      <c r="G773" s="64"/>
      <c r="H773" s="64"/>
      <c r="I773" s="64"/>
      <c r="J773" s="64"/>
      <c r="K773" s="64"/>
    </row>
    <row r="774" spans="1:11">
      <c r="A774" s="58" t="s">
        <v>65</v>
      </c>
      <c r="B774" s="58"/>
      <c r="C774" s="58"/>
      <c r="D774" s="58"/>
      <c r="E774" s="58"/>
      <c r="F774" s="58"/>
      <c r="G774" s="58"/>
      <c r="H774" s="58"/>
      <c r="I774" s="58"/>
      <c r="J774" s="58"/>
      <c r="K774" s="58"/>
    </row>
    <row r="775" spans="1:11">
      <c r="A775" s="58" t="s">
        <v>1</v>
      </c>
      <c r="B775" s="58"/>
      <c r="C775" s="58"/>
      <c r="D775" s="58"/>
      <c r="E775" s="58"/>
      <c r="F775" s="58"/>
      <c r="G775" s="58"/>
      <c r="H775" s="58"/>
      <c r="I775" s="58"/>
      <c r="J775" s="58"/>
      <c r="K775" s="58"/>
    </row>
    <row r="776" spans="1:11">
      <c r="A776" s="58" t="s">
        <v>39</v>
      </c>
      <c r="B776" s="58"/>
      <c r="C776" s="58"/>
      <c r="D776" s="58"/>
      <c r="E776" s="58"/>
      <c r="F776" s="58"/>
      <c r="G776" s="58"/>
      <c r="H776" s="58"/>
      <c r="I776" s="58"/>
      <c r="J776" s="58"/>
      <c r="K776" s="58"/>
    </row>
    <row r="777" spans="1:11">
      <c r="A777" s="58" t="s">
        <v>2</v>
      </c>
      <c r="B777" s="58"/>
      <c r="C777" s="58"/>
      <c r="D777" s="58"/>
      <c r="E777" s="58"/>
      <c r="F777" s="58"/>
      <c r="G777" s="58"/>
      <c r="H777" s="58"/>
      <c r="I777" s="58"/>
      <c r="J777" s="58"/>
      <c r="K777" s="58"/>
    </row>
    <row r="778" spans="1:11">
      <c r="A778" s="6"/>
      <c r="B778" s="6"/>
      <c r="C778" s="7"/>
      <c r="D778" s="7"/>
      <c r="E778" s="7"/>
      <c r="F778" s="7"/>
      <c r="G778" s="8"/>
      <c r="H778" s="9"/>
      <c r="I778" s="9"/>
      <c r="J778" s="9"/>
      <c r="K778" s="9"/>
    </row>
    <row r="779" spans="1:11">
      <c r="A779" s="53" t="s">
        <v>3</v>
      </c>
      <c r="B779" s="10"/>
      <c r="C779" s="10"/>
      <c r="D779" s="54" t="s">
        <v>4</v>
      </c>
      <c r="E779" s="10" t="s">
        <v>5</v>
      </c>
      <c r="F779" s="11"/>
      <c r="G779" s="10"/>
      <c r="H779" s="12"/>
      <c r="I779" s="12"/>
      <c r="J779" s="12"/>
      <c r="K779" s="9"/>
    </row>
    <row r="780" spans="1:11">
      <c r="A780" s="53" t="s">
        <v>6</v>
      </c>
      <c r="B780" s="10"/>
      <c r="C780" s="10"/>
      <c r="D780" s="54" t="s">
        <v>4</v>
      </c>
      <c r="E780" s="10" t="s">
        <v>7</v>
      </c>
      <c r="F780" s="11"/>
      <c r="G780" s="10"/>
      <c r="H780" s="12"/>
      <c r="I780" s="12"/>
      <c r="J780" s="12"/>
      <c r="K780" s="9"/>
    </row>
    <row r="781" spans="1:11">
      <c r="A781" s="53" t="s">
        <v>8</v>
      </c>
      <c r="B781" s="10"/>
      <c r="C781" s="10"/>
      <c r="D781" s="54" t="s">
        <v>4</v>
      </c>
      <c r="E781" s="13">
        <v>2026</v>
      </c>
      <c r="F781" s="11"/>
      <c r="G781" s="13"/>
      <c r="H781" s="12"/>
      <c r="I781" s="12"/>
      <c r="J781" s="12"/>
      <c r="K781" s="9"/>
    </row>
    <row r="782" spans="1:11">
      <c r="A782" s="53" t="s">
        <v>9</v>
      </c>
      <c r="B782" s="10"/>
      <c r="C782" s="10"/>
      <c r="D782" s="54" t="s">
        <v>4</v>
      </c>
      <c r="E782" s="14">
        <f>J792</f>
        <v>20000</v>
      </c>
      <c r="F782" s="11"/>
      <c r="G782" s="14"/>
      <c r="H782" s="12"/>
      <c r="I782" s="12"/>
      <c r="J782" s="12"/>
      <c r="K782" s="9"/>
    </row>
    <row r="783" spans="1:11" ht="15.75">
      <c r="A783" s="10"/>
      <c r="B783" s="10"/>
      <c r="C783" s="15" t="s">
        <v>10</v>
      </c>
      <c r="D783" s="54" t="s">
        <v>4</v>
      </c>
      <c r="E783" s="16" t="str">
        <f>PROPER(IF(E782=0,"nol",IF(E782&lt;0,"minus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782),"000000000000000"),1,3)=0,"",MID(TEXT(ABS(E782),"000000000000000"),1,1)&amp;" ratus "&amp;MID(TEXT(ABS(E782),"000000000000000"),2,1)&amp;" puluh "&amp;MID(TEXT(ABS(E782),"000000000000000"),3,1)&amp;" trilyun ")&amp;IF(--MID(TEXT(ABS(E782),"000000000000000"),4,3)=0,"",MID(TEXT(ABS(E782),"000000000000000"),4,1)&amp;" ratus "&amp;MID(TEXT(ABS(E782),"000000000000000"),5,1)&amp;" puluh "&amp;MID(TEXT(ABS(E782),"000000000000000"),6,1)&amp;" milyar ")&amp;IF(--MID(TEXT(ABS(E782),"000000000000000"),7,3)=0,"",MID(TEXT(ABS(E782),"000000000000000"),7,1)&amp;" ratus "&amp;MID(TEXT(ABS(E782),"000000000000000"),8,1)&amp;" puluh "&amp;MID(TEXT(ABS(E782),"000000000000000"),9,1)&amp;" juta ")&amp;IF(--MID(TEXT(ABS(E782),"000000000000000"),10,3)=0,"",IF(--MID(TEXT(ABS(E782),"000000000000000"),10,3)=1,"*",MID(TEXT(ABS(E782),"000000000000000"),10,1)&amp;" ratus "&amp;MID(TEXT(ABS(E782),"000000000000000"),11,1)&amp;" puluh ")&amp;MID(TEXT(ABS(E782),"000000000000000"),12,1)&amp;" ribu ")&amp;IF(--MID(TEXT(ABS(E782),"000000000000000"),13,3)=0,"",MID(TEXT(ABS(E782),"000000000000000"),13,1)&amp;" ratus "&amp;MID(TEXT(ABS(E782),"000000000000000"),14,1)&amp;" puluh "&amp;MID(TEXT(ABS(E782),"000000000000000"),15,1)),1,"satu"),2,"dua"),3,"tiga"),4,"empat"),5,"lima"),6,"enam"),7,"tujuh"),8,"delapan"),9,"sembilan"),"0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Dua Puluh Ribu Rupiah</v>
      </c>
      <c r="F783" s="11"/>
      <c r="G783" s="16"/>
      <c r="H783" s="12"/>
      <c r="I783" s="12"/>
      <c r="J783" s="12"/>
      <c r="K783" s="9"/>
    </row>
    <row r="784" spans="1:11" ht="15.75">
      <c r="A784" s="10"/>
      <c r="B784" s="10"/>
      <c r="C784" s="15"/>
      <c r="D784" s="15"/>
      <c r="E784" s="15"/>
      <c r="F784" s="11"/>
      <c r="G784" s="16"/>
      <c r="H784" s="12"/>
      <c r="I784" s="12"/>
      <c r="J784" s="12"/>
      <c r="K784" s="9"/>
    </row>
    <row r="785" spans="1:11">
      <c r="A785" s="10" t="s">
        <v>11</v>
      </c>
      <c r="B785" s="10"/>
      <c r="C785" s="10"/>
      <c r="D785" s="10"/>
      <c r="E785" s="10"/>
      <c r="F785" s="10"/>
      <c r="G785" s="10"/>
      <c r="H785" s="12"/>
      <c r="I785" s="12"/>
      <c r="J785" s="12"/>
      <c r="K785" s="9"/>
    </row>
    <row r="786" spans="1:11">
      <c r="A786" s="59" t="s">
        <v>12</v>
      </c>
      <c r="B786" s="59"/>
      <c r="C786" s="59"/>
      <c r="D786" s="59"/>
      <c r="E786" s="59"/>
      <c r="F786" s="59"/>
      <c r="G786" s="59"/>
      <c r="H786" s="59"/>
      <c r="I786" s="59"/>
      <c r="J786" s="59"/>
      <c r="K786" s="59"/>
    </row>
    <row r="787" spans="1:11" ht="60">
      <c r="A787" s="17" t="s">
        <v>13</v>
      </c>
      <c r="B787" s="18" t="s">
        <v>14</v>
      </c>
      <c r="C787" s="60" t="s">
        <v>15</v>
      </c>
      <c r="D787" s="65"/>
      <c r="E787" s="62"/>
      <c r="F787" s="19"/>
      <c r="G787" s="20" t="s">
        <v>16</v>
      </c>
      <c r="H787" s="21" t="s">
        <v>37</v>
      </c>
      <c r="I787" s="21"/>
      <c r="J787" s="31" t="s">
        <v>17</v>
      </c>
      <c r="K787" s="32" t="s">
        <v>18</v>
      </c>
    </row>
    <row r="788" spans="1:11">
      <c r="A788" s="27">
        <v>1</v>
      </c>
      <c r="B788" s="24"/>
      <c r="C788" s="28" t="s">
        <v>23</v>
      </c>
      <c r="D788" s="57"/>
      <c r="E788" s="26"/>
      <c r="F788" s="25"/>
      <c r="G788" s="55" t="s">
        <v>19</v>
      </c>
      <c r="H788" s="55" t="s">
        <v>19</v>
      </c>
      <c r="I788" s="55"/>
      <c r="J788" s="55" t="s">
        <v>19</v>
      </c>
      <c r="K788" s="55" t="s">
        <v>19</v>
      </c>
    </row>
    <row r="789" spans="1:11">
      <c r="A789" s="24"/>
      <c r="B789" s="56" t="s">
        <v>20</v>
      </c>
      <c r="C789" s="25" t="s">
        <v>24</v>
      </c>
      <c r="D789" s="10"/>
      <c r="E789" s="26"/>
      <c r="F789" s="25"/>
      <c r="G789" s="22">
        <v>75000000</v>
      </c>
      <c r="H789" s="23">
        <f>H744+J744</f>
        <v>37325344</v>
      </c>
      <c r="I789" s="23"/>
      <c r="J789" s="33">
        <v>20000</v>
      </c>
      <c r="K789" s="34">
        <f>G789-H789-J789</f>
        <v>37654656</v>
      </c>
    </row>
    <row r="790" spans="1:11">
      <c r="A790" s="24"/>
      <c r="B790" s="56" t="s">
        <v>21</v>
      </c>
      <c r="C790" s="25" t="s">
        <v>25</v>
      </c>
      <c r="D790" s="10"/>
      <c r="E790" s="26"/>
      <c r="F790" s="25"/>
      <c r="G790" s="22">
        <v>30000000</v>
      </c>
      <c r="H790" s="23">
        <f t="shared" ref="H790:H791" si="33">H745+J745</f>
        <v>10004764</v>
      </c>
      <c r="I790" s="23"/>
      <c r="J790" s="33">
        <v>0</v>
      </c>
      <c r="K790" s="34">
        <f t="shared" ref="K790:K791" si="34">G790-H790-J790</f>
        <v>19995236</v>
      </c>
    </row>
    <row r="791" spans="1:11">
      <c r="A791" s="24"/>
      <c r="B791" s="56" t="s">
        <v>22</v>
      </c>
      <c r="C791" s="25" t="s">
        <v>26</v>
      </c>
      <c r="D791" s="10"/>
      <c r="E791" s="26"/>
      <c r="F791" s="25"/>
      <c r="G791" s="22">
        <v>50000000</v>
      </c>
      <c r="H791" s="23">
        <f t="shared" si="33"/>
        <v>7000000</v>
      </c>
      <c r="I791" s="23"/>
      <c r="J791" s="33">
        <v>0</v>
      </c>
      <c r="K791" s="34">
        <f t="shared" si="34"/>
        <v>43000000</v>
      </c>
    </row>
    <row r="792" spans="1:11">
      <c r="A792" s="35"/>
      <c r="B792" s="35"/>
      <c r="C792" s="35" t="s">
        <v>27</v>
      </c>
      <c r="D792" s="35"/>
      <c r="E792" s="35"/>
      <c r="F792" s="36"/>
      <c r="G792" s="37">
        <f>SUM(G788:G791)</f>
        <v>155000000</v>
      </c>
      <c r="H792" s="38">
        <f>SUM(H788:H791)</f>
        <v>54330108</v>
      </c>
      <c r="I792" s="38"/>
      <c r="J792" s="38">
        <f>SUM(J788:J791)</f>
        <v>20000</v>
      </c>
      <c r="K792" s="38">
        <f>SUM(K788:K791)</f>
        <v>100649892</v>
      </c>
    </row>
    <row r="793" spans="1:11">
      <c r="A793" s="39"/>
      <c r="B793" s="8"/>
      <c r="C793" s="8"/>
      <c r="D793" s="8"/>
      <c r="E793" s="8"/>
      <c r="F793" s="8"/>
      <c r="G793" s="40"/>
      <c r="H793" s="40"/>
      <c r="I793" s="40"/>
      <c r="J793" s="40"/>
      <c r="K793" s="40"/>
    </row>
    <row r="794" spans="1:11">
      <c r="A794" s="63" t="s">
        <v>28</v>
      </c>
      <c r="B794" s="63"/>
      <c r="C794" s="63"/>
      <c r="D794" s="11" t="s">
        <v>4</v>
      </c>
      <c r="E794" s="14">
        <f>J792</f>
        <v>20000</v>
      </c>
      <c r="F794" s="41"/>
      <c r="G794" s="42"/>
      <c r="H794" s="42"/>
      <c r="I794" s="42"/>
      <c r="J794" s="9"/>
      <c r="K794" s="9"/>
    </row>
    <row r="795" spans="1:11">
      <c r="A795" s="10" t="s">
        <v>29</v>
      </c>
      <c r="B795" s="10"/>
      <c r="C795" s="10"/>
      <c r="D795" s="11" t="s">
        <v>4</v>
      </c>
      <c r="E795" s="43"/>
      <c r="F795" s="43"/>
      <c r="G795" s="44"/>
      <c r="H795" s="12"/>
      <c r="I795" s="12"/>
      <c r="J795" s="9"/>
      <c r="K795" s="9"/>
    </row>
    <row r="796" spans="1:11">
      <c r="A796" s="10" t="s">
        <v>30</v>
      </c>
      <c r="B796" s="10"/>
      <c r="C796" s="10"/>
      <c r="D796" s="11" t="s">
        <v>4</v>
      </c>
      <c r="E796" s="45"/>
      <c r="F796" s="45"/>
      <c r="G796" s="44"/>
      <c r="H796" s="12"/>
      <c r="I796" s="12"/>
      <c r="J796" s="9"/>
      <c r="K796" s="9"/>
    </row>
    <row r="797" spans="1:11">
      <c r="A797" s="10" t="s">
        <v>31</v>
      </c>
      <c r="B797" s="10"/>
      <c r="C797" s="10"/>
      <c r="D797" s="11" t="s">
        <v>4</v>
      </c>
      <c r="E797" s="45">
        <f>E795+E796</f>
        <v>0</v>
      </c>
      <c r="F797" s="45"/>
      <c r="G797" s="10"/>
      <c r="H797" s="12"/>
      <c r="I797" s="12"/>
      <c r="J797" s="47"/>
      <c r="K797" s="47"/>
    </row>
    <row r="798" spans="1:11">
      <c r="A798" s="13"/>
      <c r="B798" s="13"/>
      <c r="C798" s="13"/>
      <c r="D798" s="11"/>
      <c r="E798" s="13"/>
      <c r="F798" s="13"/>
      <c r="G798" s="10"/>
      <c r="H798" s="12"/>
      <c r="I798" s="12"/>
      <c r="J798" s="47"/>
      <c r="K798" s="47"/>
    </row>
    <row r="799" spans="1:11">
      <c r="A799" s="63" t="s">
        <v>32</v>
      </c>
      <c r="B799" s="63"/>
      <c r="C799" s="63"/>
      <c r="D799" s="11" t="s">
        <v>4</v>
      </c>
      <c r="E799" s="41">
        <f>E794-E797</f>
        <v>20000</v>
      </c>
      <c r="F799" s="41"/>
      <c r="G799" s="10"/>
      <c r="H799" s="12"/>
      <c r="I799" s="12"/>
      <c r="J799" s="47"/>
      <c r="K799" s="47"/>
    </row>
    <row r="800" spans="1:11" ht="15.75">
      <c r="A800" s="13"/>
      <c r="B800" s="13"/>
      <c r="C800" s="10"/>
      <c r="D800" s="10"/>
      <c r="E800" s="16" t="str">
        <f>PROPER(IF(E799=0,"nol",IF(E799&lt;0,"minus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799),"000000000000000"),1,3)=0,"",MID(TEXT(ABS(E799),"000000000000000"),1,1)&amp;" ratus "&amp;MID(TEXT(ABS(E799),"000000000000000"),2,1)&amp;" puluh "&amp;MID(TEXT(ABS(E799),"000000000000000"),3,1)&amp;" trilyun ")&amp;IF(--MID(TEXT(ABS(E799),"000000000000000"),4,3)=0,"",MID(TEXT(ABS(E799),"000000000000000"),4,1)&amp;" ratus "&amp;MID(TEXT(ABS(E799),"000000000000000"),5,1)&amp;" puluh "&amp;MID(TEXT(ABS(E799),"000000000000000"),6,1)&amp;" milyar ")&amp;IF(--MID(TEXT(ABS(E799),"000000000000000"),7,3)=0,"",MID(TEXT(ABS(E799),"000000000000000"),7,1)&amp;" ratus "&amp;MID(TEXT(ABS(E799),"000000000000000"),8,1)&amp;" puluh "&amp;MID(TEXT(ABS(E799),"000000000000000"),9,1)&amp;" juta ")&amp;IF(--MID(TEXT(ABS(E799),"000000000000000"),10,3)=0,"",IF(--MID(TEXT(ABS(E799),"000000000000000"),10,3)=1,"*",MID(TEXT(ABS(E799),"000000000000000"),10,1)&amp;" ratus "&amp;MID(TEXT(ABS(E799),"000000000000000"),11,1)&amp;" puluh ")&amp;MID(TEXT(ABS(E799),"000000000000000"),12,1)&amp;" ribu ")&amp;IF(--MID(TEXT(ABS(E799),"000000000000000"),13,3)=0,"",MID(TEXT(ABS(E799),"000000000000000"),13,1)&amp;" ratus "&amp;MID(TEXT(ABS(E799),"000000000000000"),14,1)&amp;" puluh "&amp;MID(TEXT(ABS(E799),"000000000000000"),15,1)),1,"satu"),2,"dua"),3,"tiga"),4,"empat"),5,"lima"),6,"enam"),7,"tujuh"),8,"delapan"),9,"sembilan"),"0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Dua Puluh Ribu Rupiah</v>
      </c>
      <c r="F800" s="10"/>
      <c r="G800" s="10"/>
      <c r="H800" s="10"/>
      <c r="I800" s="10"/>
      <c r="J800" s="47"/>
      <c r="K800" s="47"/>
    </row>
    <row r="801" spans="1:11">
      <c r="A801" s="46"/>
      <c r="B801" s="46"/>
      <c r="C801" s="46"/>
      <c r="D801" s="46"/>
      <c r="E801" s="46"/>
      <c r="F801" s="46"/>
      <c r="G801" s="29"/>
      <c r="H801" s="47"/>
      <c r="I801" s="47"/>
      <c r="J801" s="47"/>
      <c r="K801" s="47"/>
    </row>
    <row r="802" spans="1:11">
      <c r="A802" s="29"/>
      <c r="B802" s="29"/>
      <c r="C802" s="29"/>
      <c r="D802" s="29"/>
      <c r="E802" s="29"/>
      <c r="F802" s="29"/>
      <c r="G802" s="29"/>
      <c r="H802"/>
      <c r="I802"/>
      <c r="J802" s="47"/>
      <c r="K802" s="47"/>
    </row>
    <row r="803" spans="1:11">
      <c r="A803" s="13"/>
      <c r="B803" s="13"/>
      <c r="C803" s="10"/>
      <c r="D803" s="10"/>
      <c r="E803" s="10"/>
      <c r="F803" s="10"/>
      <c r="G803" s="10"/>
      <c r="I803" s="48"/>
      <c r="J803" s="48" t="s">
        <v>66</v>
      </c>
      <c r="K803" s="47"/>
    </row>
    <row r="804" spans="1:11">
      <c r="A804" s="12" t="s">
        <v>33</v>
      </c>
      <c r="B804" s="10"/>
      <c r="C804" s="10"/>
      <c r="D804" s="10"/>
      <c r="E804" s="10"/>
      <c r="F804" s="10"/>
      <c r="G804" s="10"/>
      <c r="I804" s="12"/>
      <c r="J804" s="12" t="s">
        <v>34</v>
      </c>
      <c r="K804" s="47"/>
    </row>
    <row r="805" spans="1:11">
      <c r="A805" s="10"/>
      <c r="B805" s="10"/>
      <c r="C805" s="10"/>
      <c r="D805" s="10"/>
      <c r="E805" s="10"/>
      <c r="F805" s="10"/>
      <c r="G805" s="10"/>
      <c r="I805" s="12"/>
      <c r="J805" s="12"/>
      <c r="K805" s="47"/>
    </row>
    <row r="806" spans="1:11">
      <c r="A806" s="10"/>
      <c r="B806" s="10"/>
      <c r="C806" s="10"/>
      <c r="D806" s="10"/>
      <c r="E806" s="10"/>
      <c r="F806" s="10"/>
      <c r="G806" s="10"/>
      <c r="I806" s="12"/>
      <c r="J806" s="12"/>
      <c r="K806" s="47"/>
    </row>
    <row r="807" spans="1:11">
      <c r="A807" s="10"/>
      <c r="B807" s="10"/>
      <c r="C807" s="10"/>
      <c r="D807" s="10"/>
      <c r="E807" s="10"/>
      <c r="F807" s="10"/>
      <c r="G807" s="10"/>
      <c r="I807" s="12"/>
      <c r="J807" s="12"/>
      <c r="K807" s="47"/>
    </row>
    <row r="808" spans="1:11">
      <c r="A808" s="10"/>
      <c r="B808" s="10"/>
      <c r="C808" s="10"/>
      <c r="D808" s="10"/>
      <c r="E808" s="10"/>
      <c r="F808" s="10"/>
      <c r="G808" s="10"/>
      <c r="I808" s="12"/>
      <c r="J808" s="12"/>
      <c r="K808" s="47"/>
    </row>
    <row r="809" spans="1:11">
      <c r="A809" s="49" t="s">
        <v>38</v>
      </c>
      <c r="B809" s="49"/>
      <c r="C809" s="50"/>
      <c r="D809" s="50"/>
      <c r="E809" s="50"/>
      <c r="F809" s="50"/>
      <c r="G809" s="10" t="s">
        <v>35</v>
      </c>
      <c r="I809" s="49"/>
      <c r="J809" s="49" t="s">
        <v>36</v>
      </c>
      <c r="K809" s="47"/>
    </row>
  </sheetData>
  <mergeCells count="162">
    <mergeCell ref="A728:K728"/>
    <mergeCell ref="A729:K729"/>
    <mergeCell ref="A730:K730"/>
    <mergeCell ref="A731:K731"/>
    <mergeCell ref="A732:K732"/>
    <mergeCell ref="A741:K741"/>
    <mergeCell ref="A686:K686"/>
    <mergeCell ref="A687:K687"/>
    <mergeCell ref="A696:K696"/>
    <mergeCell ref="C697:E697"/>
    <mergeCell ref="A704:C704"/>
    <mergeCell ref="A709:C709"/>
    <mergeCell ref="A776:K776"/>
    <mergeCell ref="A777:K777"/>
    <mergeCell ref="A786:K786"/>
    <mergeCell ref="C787:E787"/>
    <mergeCell ref="A794:C794"/>
    <mergeCell ref="A799:C799"/>
    <mergeCell ref="C742:E742"/>
    <mergeCell ref="A749:C749"/>
    <mergeCell ref="A754:C754"/>
    <mergeCell ref="A773:K773"/>
    <mergeCell ref="A774:K774"/>
    <mergeCell ref="A775:K775"/>
    <mergeCell ref="A685:K685"/>
    <mergeCell ref="A684:K684"/>
    <mergeCell ref="A683:K683"/>
    <mergeCell ref="A596:K596"/>
    <mergeCell ref="A597:K597"/>
    <mergeCell ref="A606:K606"/>
    <mergeCell ref="C607:E607"/>
    <mergeCell ref="A614:C614"/>
    <mergeCell ref="A619:C619"/>
    <mergeCell ref="C652:E652"/>
    <mergeCell ref="A659:C659"/>
    <mergeCell ref="A664:C664"/>
    <mergeCell ref="A638:K638"/>
    <mergeCell ref="A639:K639"/>
    <mergeCell ref="A640:K640"/>
    <mergeCell ref="A641:K641"/>
    <mergeCell ref="A642:K642"/>
    <mergeCell ref="A651:K651"/>
    <mergeCell ref="C562:E562"/>
    <mergeCell ref="A569:C569"/>
    <mergeCell ref="A574:C574"/>
    <mergeCell ref="A593:K593"/>
    <mergeCell ref="A594:K594"/>
    <mergeCell ref="A595:K595"/>
    <mergeCell ref="A548:K548"/>
    <mergeCell ref="A549:K549"/>
    <mergeCell ref="A550:K550"/>
    <mergeCell ref="A551:K551"/>
    <mergeCell ref="A552:K552"/>
    <mergeCell ref="A561:K561"/>
    <mergeCell ref="A506:K506"/>
    <mergeCell ref="A507:K507"/>
    <mergeCell ref="A516:K516"/>
    <mergeCell ref="C517:E517"/>
    <mergeCell ref="A524:C524"/>
    <mergeCell ref="A529:C529"/>
    <mergeCell ref="C472:E472"/>
    <mergeCell ref="A479:C479"/>
    <mergeCell ref="A484:C484"/>
    <mergeCell ref="A503:K503"/>
    <mergeCell ref="A504:K504"/>
    <mergeCell ref="A505:K505"/>
    <mergeCell ref="A458:K458"/>
    <mergeCell ref="A459:K459"/>
    <mergeCell ref="A460:K460"/>
    <mergeCell ref="A461:K461"/>
    <mergeCell ref="A462:K462"/>
    <mergeCell ref="A471:K471"/>
    <mergeCell ref="A416:K416"/>
    <mergeCell ref="A417:K417"/>
    <mergeCell ref="A426:K426"/>
    <mergeCell ref="C427:E427"/>
    <mergeCell ref="A434:C434"/>
    <mergeCell ref="A439:C439"/>
    <mergeCell ref="C382:E382"/>
    <mergeCell ref="A389:C389"/>
    <mergeCell ref="A394:C394"/>
    <mergeCell ref="A413:K413"/>
    <mergeCell ref="A414:K414"/>
    <mergeCell ref="A415:K415"/>
    <mergeCell ref="A368:K368"/>
    <mergeCell ref="A369:K369"/>
    <mergeCell ref="A370:K370"/>
    <mergeCell ref="A371:K371"/>
    <mergeCell ref="A372:K372"/>
    <mergeCell ref="A381:K381"/>
    <mergeCell ref="A326:K326"/>
    <mergeCell ref="A327:K327"/>
    <mergeCell ref="A336:K336"/>
    <mergeCell ref="C337:E337"/>
    <mergeCell ref="A344:C344"/>
    <mergeCell ref="A349:C349"/>
    <mergeCell ref="C292:E292"/>
    <mergeCell ref="A299:C299"/>
    <mergeCell ref="A304:C304"/>
    <mergeCell ref="A323:K323"/>
    <mergeCell ref="A324:K324"/>
    <mergeCell ref="A325:K325"/>
    <mergeCell ref="A278:K278"/>
    <mergeCell ref="A279:K279"/>
    <mergeCell ref="A280:K280"/>
    <mergeCell ref="A281:K281"/>
    <mergeCell ref="A282:K282"/>
    <mergeCell ref="A291:K291"/>
    <mergeCell ref="A236:K236"/>
    <mergeCell ref="A237:K237"/>
    <mergeCell ref="A246:K246"/>
    <mergeCell ref="C247:E247"/>
    <mergeCell ref="A254:C254"/>
    <mergeCell ref="A259:C259"/>
    <mergeCell ref="C202:E202"/>
    <mergeCell ref="A209:C209"/>
    <mergeCell ref="A214:C214"/>
    <mergeCell ref="A233:K233"/>
    <mergeCell ref="A234:K234"/>
    <mergeCell ref="A235:K235"/>
    <mergeCell ref="A188:K188"/>
    <mergeCell ref="A189:K189"/>
    <mergeCell ref="A190:K190"/>
    <mergeCell ref="A191:K191"/>
    <mergeCell ref="A192:K192"/>
    <mergeCell ref="A201:K201"/>
    <mergeCell ref="C157:E157"/>
    <mergeCell ref="A164:C164"/>
    <mergeCell ref="A169:C169"/>
    <mergeCell ref="C112:E112"/>
    <mergeCell ref="A119:C119"/>
    <mergeCell ref="A124:C124"/>
    <mergeCell ref="A143:K143"/>
    <mergeCell ref="A144:K144"/>
    <mergeCell ref="A145:K145"/>
    <mergeCell ref="A101:K101"/>
    <mergeCell ref="A102:K102"/>
    <mergeCell ref="A111:K111"/>
    <mergeCell ref="C67:E67"/>
    <mergeCell ref="A74:C74"/>
    <mergeCell ref="A79:C79"/>
    <mergeCell ref="A146:K146"/>
    <mergeCell ref="A147:K147"/>
    <mergeCell ref="A156:K156"/>
    <mergeCell ref="A8:K8"/>
    <mergeCell ref="A9:K9"/>
    <mergeCell ref="A10:K10"/>
    <mergeCell ref="A11:K11"/>
    <mergeCell ref="A12:K12"/>
    <mergeCell ref="A21:K21"/>
    <mergeCell ref="A98:K98"/>
    <mergeCell ref="A99:K99"/>
    <mergeCell ref="A100:K100"/>
    <mergeCell ref="A56:K56"/>
    <mergeCell ref="A57:K57"/>
    <mergeCell ref="A66:K66"/>
    <mergeCell ref="C22:E22"/>
    <mergeCell ref="A29:C29"/>
    <mergeCell ref="A34:C34"/>
    <mergeCell ref="A53:K53"/>
    <mergeCell ref="A54:K54"/>
    <mergeCell ref="A55:K55"/>
  </mergeCells>
  <pageMargins left="0.23622047244094491" right="0.23622047244094491" top="0.15748031496062992" bottom="0.74803149606299213" header="0.31496062992125984" footer="0.31496062992125984"/>
  <pageSetup paperSize="9" scale="76" orientation="portrait" horizontalDpi="4294967293" r:id="rId1"/>
  <rowBreaks count="17" manualBreakCount="17">
    <brk id="45" max="10" man="1"/>
    <brk id="90" max="10" man="1"/>
    <brk id="135" max="10" man="1"/>
    <brk id="180" max="10" man="1"/>
    <brk id="225" max="10" man="1"/>
    <brk id="270" max="10" man="1"/>
    <brk id="315" max="10" man="1"/>
    <brk id="360" max="10" man="1"/>
    <brk id="405" max="10" man="1"/>
    <brk id="450" max="10" man="1"/>
    <brk id="495" max="10" man="1"/>
    <brk id="540" max="10" man="1"/>
    <brk id="585" max="10" man="1"/>
    <brk id="630" max="10" man="1"/>
    <brk id="675" max="10" man="1"/>
    <brk id="720" max="10" man="1"/>
    <brk id="765" max="1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JANUARI</vt:lpstr>
      <vt:lpstr>FEBRUARI</vt:lpstr>
      <vt:lpstr>MARET</vt:lpstr>
      <vt:lpstr>FEBRUARI!Print_Area</vt:lpstr>
      <vt:lpstr>JANUARI!Print_Area</vt:lpstr>
      <vt:lpstr>MARET!Print_Area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HYPE FLEX</cp:lastModifiedBy>
  <cp:lastPrinted>2026-03-25T08:05:20Z</cp:lastPrinted>
  <dcterms:created xsi:type="dcterms:W3CDTF">2017-02-01T01:06:00Z</dcterms:created>
  <dcterms:modified xsi:type="dcterms:W3CDTF">2026-03-25T08:06:00Z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DE23324BCA84430FAFA59EF0E6CBE3D1_12</vt:lpwstr>
  </property>
  <property fmtid="{D5CDD505-2E9C-101B-9397-08002B2CF9AE}" pid="3" name="KSOProductBuildVer">
    <vt:lpwstr>1033-12.2.0.22549</vt:lpwstr>
  </property>
</Properties>
</file>