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7EB51496-F485-42FE-89E3-654468FB8B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NUARI" sheetId="14" r:id="rId1"/>
    <sheet name="MARET" sheetId="15" r:id="rId2"/>
  </sheets>
  <definedNames>
    <definedName name="_xlnm.Print_Area" localSheetId="0">JANUARI!$A$1:$K$145</definedName>
    <definedName name="_xlnm.Print_Area" localSheetId="1">MARET!$A$1:$K$145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3" i="15" l="1"/>
  <c r="H25" i="15"/>
  <c r="K25" i="15" s="1"/>
  <c r="H26" i="15"/>
  <c r="K26" i="15" s="1"/>
  <c r="H27" i="15"/>
  <c r="K27" i="15" s="1"/>
  <c r="H28" i="15"/>
  <c r="K28" i="15" s="1"/>
  <c r="H24" i="15"/>
  <c r="E81" i="15"/>
  <c r="J76" i="15"/>
  <c r="G76" i="15"/>
  <c r="H75" i="15"/>
  <c r="K75" i="15" s="1"/>
  <c r="H74" i="15"/>
  <c r="K74" i="15" s="1"/>
  <c r="K73" i="15"/>
  <c r="H72" i="15"/>
  <c r="K72" i="15" s="1"/>
  <c r="E34" i="15"/>
  <c r="J29" i="15"/>
  <c r="G29" i="15"/>
  <c r="H72" i="14"/>
  <c r="H76" i="14" s="1"/>
  <c r="H73" i="14"/>
  <c r="K73" i="14" s="1"/>
  <c r="H74" i="14"/>
  <c r="K74" i="14" s="1"/>
  <c r="H75" i="14"/>
  <c r="K75" i="14" s="1"/>
  <c r="H71" i="14"/>
  <c r="E81" i="14"/>
  <c r="J76" i="14"/>
  <c r="E64" i="14" s="1"/>
  <c r="E65" i="14" s="1"/>
  <c r="G76" i="14"/>
  <c r="K72" i="14"/>
  <c r="K71" i="14"/>
  <c r="K26" i="14"/>
  <c r="K27" i="14"/>
  <c r="K28" i="14"/>
  <c r="H29" i="14"/>
  <c r="G29" i="14"/>
  <c r="E34" i="14"/>
  <c r="J29" i="14"/>
  <c r="E31" i="14" s="1"/>
  <c r="K24" i="14"/>
  <c r="H71" i="15" l="1"/>
  <c r="H29" i="15"/>
  <c r="K24" i="15"/>
  <c r="K29" i="15" s="1"/>
  <c r="E64" i="15"/>
  <c r="E65" i="15" s="1"/>
  <c r="E78" i="15"/>
  <c r="E83" i="15" s="1"/>
  <c r="E84" i="15" s="1"/>
  <c r="E17" i="15"/>
  <c r="E18" i="15" s="1"/>
  <c r="E31" i="15"/>
  <c r="E36" i="15" s="1"/>
  <c r="E37" i="15" s="1"/>
  <c r="K76" i="14"/>
  <c r="E78" i="14"/>
  <c r="E83" i="14" s="1"/>
  <c r="E84" i="14" s="1"/>
  <c r="E36" i="14"/>
  <c r="E37" i="14" s="1"/>
  <c r="E17" i="14"/>
  <c r="E18" i="14" s="1"/>
  <c r="K25" i="14"/>
  <c r="H76" i="15" l="1"/>
  <c r="K71" i="15"/>
  <c r="K76" i="15" s="1"/>
  <c r="K29" i="14"/>
</calcChain>
</file>

<file path=xl/sharedStrings.xml><?xml version="1.0" encoding="utf-8"?>
<sst xmlns="http://schemas.openxmlformats.org/spreadsheetml/2006/main" count="232" uniqueCount="52">
  <si>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</si>
  <si>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</si>
  <si>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</si>
  <si>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</si>
  <si>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</si>
  <si>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</si>
  <si>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</si>
  <si>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</si>
  <si>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</si>
  <si>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</si>
  <si>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</si>
  <si>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</si>
  <si>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</si>
  <si>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</si>
  <si>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</si>
  <si>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</si>
  <si>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</si>
  <si>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</si>
  <si>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</si>
  <si>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</si>
  <si>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</si>
  <si>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</si>
  <si>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</si>
  <si>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Beban Jasa Profesional/Konsultan/Tenaga Ahli</t>
  </si>
  <si>
    <t>Beban Konsultan Rencana Bisnis</t>
  </si>
  <si>
    <t>Beban Seleksi Pegawai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</si>
  <si>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</si>
  <si>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</si>
  <si>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</si>
  <si>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</si>
  <si>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</si>
  <si>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</si>
  <si>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</si>
  <si>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</si>
  <si>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</si>
  <si>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</si>
  <si>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</si>
  <si>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1.4</t>
  </si>
  <si>
    <t>Beban Audit Laporan Keuangan/Pendampingan KAP</t>
  </si>
  <si>
    <t>Beban Kajian Penyesuaian Tarif</t>
  </si>
  <si>
    <t>IRNA WAHYUNI N.</t>
  </si>
  <si>
    <t>PERUMDA PASAR BANJARMASIN</t>
  </si>
  <si>
    <t>Beban Pendataan Pedagang</t>
  </si>
  <si>
    <t>1.5</t>
  </si>
  <si>
    <r>
      <t>Nomor : 68/DIV-KEU/PPB/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</si>
  <si>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22 Januari 2026</t>
  </si>
  <si>
    <r>
      <t>Nomor : 039/DIV-KEU/PPB/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</si>
  <si>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02 Januari 2026</t>
  </si>
  <si>
    <t>Banjarmasin, 03 Maret 2026</t>
  </si>
  <si>
    <r>
      <t>Nomor : 008/DIV-KEU/PPB/II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</si>
  <si>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Maret 2026</t>
  </si>
  <si>
    <r>
      <t>Nomor : 029/DIV-KEU/PPB/II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</si>
</sst>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7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65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167" fontId="3" fillId="0" borderId="8" xfId="1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right"/>
    </xf>
    <xf numFmtId="167" fontId="3" fillId="0" borderId="8" xfId="1" applyNumberFormat="1" applyFont="1" applyBorder="1"/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9526</xdr:rowOff>
    </xdr:from>
    <xdr:to>
      <xdr:col>10</xdr:col>
      <xdr:colOff>1162051</xdr:colOff>
      <xdr:row>9</xdr:row>
      <xdr:rowOff>152392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ED937E-7D9E-4EAF-B5CE-ED15C7045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526"/>
          <a:ext cx="8220076" cy="18764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54F985D-B61E-4E71-858C-AD34045A3EA9}"/>
            </a:ext>
          </a:extLst>
        </xdr:cNvPr>
        <xdr:cNvCxnSpPr/>
      </xdr:nvCxnSpPr>
      <xdr:spPr>
        <a:xfrm>
          <a:off x="19050" y="1409700"/>
          <a:ext cx="101822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28575</xdr:colOff>
      <xdr:row>47</xdr:row>
      <xdr:rowOff>9526</xdr:rowOff>
    </xdr:from>
    <xdr:ext cx="8220076" cy="1876416"/>
    <xdr:pic>
      <xdr:nvPicPr>
        <xdr:cNvPr id="2" name="Picture 1">
          <a:extLst>
            <a:ext uri="{FF2B5EF4-FFF2-40B4-BE49-F238E27FC236}">
              <a16:creationId xmlns:a16="http://schemas.microsoft.com/office/drawing/2014/main" id="{A791484C-39F2-4408-8E93-9E889701E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526"/>
          <a:ext cx="8220076" cy="187641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19050</xdr:colOff>
      <xdr:row>53</xdr:row>
      <xdr:rowOff>47625</xdr:rowOff>
    </xdr:from>
    <xdr:to>
      <xdr:col>10</xdr:col>
      <xdr:colOff>1162050</xdr:colOff>
      <xdr:row>53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6017430-E505-4E79-9096-96BDEDFC92DF}"/>
            </a:ext>
          </a:extLst>
        </xdr:cNvPr>
        <xdr:cNvCxnSpPr/>
      </xdr:nvCxnSpPr>
      <xdr:spPr>
        <a:xfrm>
          <a:off x="19050" y="12096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9526</xdr:rowOff>
    </xdr:from>
    <xdr:to>
      <xdr:col>10</xdr:col>
      <xdr:colOff>1162051</xdr:colOff>
      <xdr:row>9</xdr:row>
      <xdr:rowOff>152392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A097B-19EE-4BD0-92C7-80FE5F14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526"/>
          <a:ext cx="8220076" cy="18764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CC5471C-CCAC-4505-B0A6-7E9ACE7443B8}"/>
            </a:ext>
          </a:extLst>
        </xdr:cNvPr>
        <xdr:cNvCxnSpPr/>
      </xdr:nvCxnSpPr>
      <xdr:spPr>
        <a:xfrm>
          <a:off x="19050" y="12096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28575</xdr:colOff>
      <xdr:row>47</xdr:row>
      <xdr:rowOff>9526</xdr:rowOff>
    </xdr:from>
    <xdr:ext cx="8220076" cy="1876416"/>
    <xdr:pic>
      <xdr:nvPicPr>
        <xdr:cNvPr id="4" name="Picture 3">
          <a:extLst>
            <a:ext uri="{FF2B5EF4-FFF2-40B4-BE49-F238E27FC236}">
              <a16:creationId xmlns:a16="http://schemas.microsoft.com/office/drawing/2014/main" id="{C6F4AF6B-FAC1-422E-A720-E76D27A8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601201"/>
          <a:ext cx="8220076" cy="187641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19050</xdr:colOff>
      <xdr:row>53</xdr:row>
      <xdr:rowOff>47625</xdr:rowOff>
    </xdr:from>
    <xdr:to>
      <xdr:col>10</xdr:col>
      <xdr:colOff>1162050</xdr:colOff>
      <xdr:row>53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D26422C-70F9-4A67-BF7B-127B2EE71806}"/>
            </a:ext>
          </a:extLst>
        </xdr:cNvPr>
        <xdr:cNvCxnSpPr/>
      </xdr:nvCxnSpPr>
      <xdr:spPr>
        <a:xfrm>
          <a:off x="19050" y="108013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287E-4097-4B37-9AD4-A07B7412B3F8}">
  <dimension ref="A1:W93"/>
  <sheetViews>
    <sheetView view="pageBreakPreview" topLeftCell="A55" zoomScaleNormal="100" workbookViewId="0">
      <selection activeCell="K46" sqref="A1:K46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1.71093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4" t="s">
        <v>0</v>
      </c>
      <c r="B8" s="64"/>
      <c r="C8" s="58"/>
      <c r="D8" s="58"/>
      <c r="E8" s="58"/>
      <c r="F8" s="58"/>
      <c r="G8" s="58"/>
      <c r="H8" s="58"/>
      <c r="I8" s="58"/>
      <c r="J8" s="58"/>
      <c r="K8" s="58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58" t="s">
        <v>46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58" t="s">
        <v>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58" t="s">
        <v>41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58" t="s">
        <v>2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J29</f>
        <v>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59" t="s">
        <v>12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0" t="s">
        <v>15</v>
      </c>
      <c r="D22" s="61"/>
      <c r="E22" s="62"/>
      <c r="F22" s="19"/>
      <c r="G22" s="20" t="s">
        <v>16</v>
      </c>
      <c r="H22" s="21" t="s">
        <v>36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24</v>
      </c>
      <c r="D24" s="10"/>
      <c r="E24" s="26"/>
      <c r="F24" s="25"/>
      <c r="G24" s="22">
        <v>0</v>
      </c>
      <c r="H24" s="23">
        <v>0</v>
      </c>
      <c r="I24" s="23"/>
      <c r="J24" s="33">
        <v>0</v>
      </c>
      <c r="K24" s="34">
        <f t="shared" ref="K24:K28" si="0">G24-H24-J24</f>
        <v>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25</v>
      </c>
      <c r="D25" s="10"/>
      <c r="E25" s="26"/>
      <c r="F25" s="25"/>
      <c r="G25" s="22">
        <v>50000000</v>
      </c>
      <c r="H25" s="23">
        <v>0</v>
      </c>
      <c r="I25" s="23"/>
      <c r="J25" s="33">
        <v>0</v>
      </c>
      <c r="K25" s="34">
        <f t="shared" si="0"/>
        <v>50000000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38</v>
      </c>
      <c r="D26" s="10"/>
      <c r="E26" s="26"/>
      <c r="F26" s="25"/>
      <c r="G26" s="22">
        <v>100000000</v>
      </c>
      <c r="H26" s="23">
        <v>0</v>
      </c>
      <c r="I26" s="23"/>
      <c r="J26" s="33">
        <v>0</v>
      </c>
      <c r="K26" s="34">
        <f t="shared" si="0"/>
        <v>100000000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24"/>
      <c r="B27" s="56" t="s">
        <v>37</v>
      </c>
      <c r="C27" s="25" t="s">
        <v>39</v>
      </c>
      <c r="D27" s="10"/>
      <c r="E27" s="26"/>
      <c r="F27" s="25"/>
      <c r="G27" s="22">
        <v>100000000</v>
      </c>
      <c r="H27" s="23">
        <v>0</v>
      </c>
      <c r="I27" s="23"/>
      <c r="J27" s="33">
        <v>0</v>
      </c>
      <c r="K27" s="34">
        <f t="shared" si="0"/>
        <v>100000000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24"/>
      <c r="B28" s="56" t="s">
        <v>43</v>
      </c>
      <c r="C28" s="25" t="s">
        <v>42</v>
      </c>
      <c r="D28" s="10"/>
      <c r="E28" s="26"/>
      <c r="F28" s="25"/>
      <c r="G28" s="22">
        <v>44000000</v>
      </c>
      <c r="H28" s="23">
        <v>0</v>
      </c>
      <c r="I28" s="23"/>
      <c r="J28" s="33">
        <v>944000</v>
      </c>
      <c r="K28" s="34">
        <f t="shared" si="0"/>
        <v>43056000</v>
      </c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35"/>
      <c r="B29" s="35"/>
      <c r="C29" s="35" t="s">
        <v>26</v>
      </c>
      <c r="D29" s="35"/>
      <c r="E29" s="35"/>
      <c r="F29" s="36"/>
      <c r="G29" s="37">
        <f>SUM(G23:G28)</f>
        <v>294000000</v>
      </c>
      <c r="H29" s="38">
        <f>SUM(H23:H28)</f>
        <v>0</v>
      </c>
      <c r="I29" s="38"/>
      <c r="J29" s="38">
        <f>SUM(J23:J27)</f>
        <v>0</v>
      </c>
      <c r="K29" s="38">
        <f>SUM(K23:K27)</f>
        <v>250000000</v>
      </c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39"/>
      <c r="B30" s="8"/>
      <c r="C30" s="8"/>
      <c r="D30" s="8"/>
      <c r="E30" s="8"/>
      <c r="F30" s="8"/>
      <c r="G30" s="40"/>
      <c r="H30" s="40"/>
      <c r="I30" s="40"/>
      <c r="J30" s="40"/>
      <c r="K30" s="40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63" t="s">
        <v>27</v>
      </c>
      <c r="B31" s="63"/>
      <c r="C31" s="63"/>
      <c r="D31" s="11" t="s">
        <v>4</v>
      </c>
      <c r="E31" s="14">
        <f>J29</f>
        <v>0</v>
      </c>
      <c r="F31" s="41"/>
      <c r="G31" s="42"/>
      <c r="H31" s="42"/>
      <c r="I31" s="4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28</v>
      </c>
      <c r="B32" s="10"/>
      <c r="C32" s="10"/>
      <c r="D32" s="11" t="s">
        <v>4</v>
      </c>
      <c r="E32" s="43"/>
      <c r="F32" s="43"/>
      <c r="G32" s="44"/>
      <c r="H32" s="12"/>
      <c r="I32" s="12"/>
      <c r="J32" s="9"/>
      <c r="K32" s="9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0" t="s">
        <v>29</v>
      </c>
      <c r="B33" s="10"/>
      <c r="C33" s="10"/>
      <c r="D33" s="11" t="s">
        <v>4</v>
      </c>
      <c r="E33" s="45"/>
      <c r="F33" s="45"/>
      <c r="G33" s="44"/>
      <c r="H33" s="12"/>
      <c r="I33" s="12"/>
      <c r="J33" s="9"/>
      <c r="K33" s="9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10" t="s">
        <v>30</v>
      </c>
      <c r="B34" s="10"/>
      <c r="C34" s="10"/>
      <c r="D34" s="11" t="s">
        <v>4</v>
      </c>
      <c r="E34" s="45">
        <f>E32+E33</f>
        <v>0</v>
      </c>
      <c r="F34" s="45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>
      <c r="A35" s="13"/>
      <c r="B35" s="13"/>
      <c r="C35" s="13"/>
      <c r="D35" s="11"/>
      <c r="E35" s="13"/>
      <c r="F35" s="13"/>
      <c r="G35" s="10"/>
      <c r="H35" s="12"/>
      <c r="I35" s="12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63" t="s">
        <v>31</v>
      </c>
      <c r="B36" s="63"/>
      <c r="C36" s="63"/>
      <c r="D36" s="11" t="s">
        <v>4</v>
      </c>
      <c r="E36" s="41">
        <f>E31-E34</f>
        <v>0</v>
      </c>
      <c r="F36" s="41"/>
      <c r="G36" s="10"/>
      <c r="H36" s="12"/>
      <c r="I36" s="12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 ht="15.75">
      <c r="A37" s="13"/>
      <c r="B37" s="13"/>
      <c r="C37" s="10"/>
      <c r="D37" s="10"/>
      <c r="E37" s="16" t="str">
        <f>PROPER(IF(E36=0,"nol",IF(E36&lt;0,"minus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36),"000000000000000"),1,3)=0,"",MID(TEXT(ABS(E36),"000000000000000"),1,1)&amp;" ratus "&amp;MID(TEXT(ABS(E36),"000000000000000"),2,1)&amp;" puluh "&amp;MID(TEXT(ABS(E36),"000000000000000"),3,1)&amp;" trilyun ")&amp;IF(--MID(TEXT(ABS(E36),"000000000000000"),4,3)=0,"",MID(TEXT(ABS(E36),"000000000000000"),4,1)&amp;" ratus "&amp;MID(TEXT(ABS(E36),"000000000000000"),5,1)&amp;" puluh "&amp;MID(TEXT(ABS(E36),"000000000000000"),6,1)&amp;" milyar ")&amp;IF(--MID(TEXT(ABS(E36),"000000000000000"),7,3)=0,"",MID(TEXT(ABS(E36),"000000000000000"),7,1)&amp;" ratus "&amp;MID(TEXT(ABS(E36),"000000000000000"),8,1)&amp;" puluh "&amp;MID(TEXT(ABS(E36),"000000000000000"),9,1)&amp;" juta ")&amp;IF(--MID(TEXT(ABS(E36),"000000000000000"),10,3)=0,"",IF(--MID(TEXT(ABS(E36),"000000000000000"),10,3)=1,"*",MID(TEXT(ABS(E36),"000000000000000"),10,1)&amp;" ratus "&amp;MID(TEXT(ABS(E36),"000000000000000"),11,1)&amp;" puluh ")&amp;MID(TEXT(ABS(E36),"000000000000000"),12,1)&amp;" ribu ")&amp;IF(--MID(TEXT(ABS(E36),"000000000000000"),13,3)=0,"",MID(TEXT(ABS(E36),"000000000000000"),13,1)&amp;" ratus "&amp;MID(TEXT(ABS(E36),"000000000000000"),14,1)&amp;" puluh "&amp;MID(TEXT(ABS(E36),"000000000000000"),15,1)),1,"satu"),2,"dua"),3,"tiga"),4,"empat"),5,"lima"),6,"enam"),7,"tujuh"),8,"delapan"),9,"sembilan"),"0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37" s="10"/>
      <c r="G37" s="10"/>
      <c r="H37" s="10"/>
      <c r="I37" s="10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46"/>
      <c r="B38" s="46"/>
      <c r="C38" s="46"/>
      <c r="D38" s="46"/>
      <c r="E38" s="46"/>
      <c r="F38" s="46"/>
      <c r="G38" s="29"/>
      <c r="H38" s="47"/>
      <c r="I38" s="47"/>
      <c r="J38" s="47"/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29"/>
      <c r="B39" s="29"/>
      <c r="C39" s="29"/>
      <c r="D39" s="29"/>
      <c r="E39" s="29"/>
      <c r="F39" s="29"/>
      <c r="G39" s="29"/>
      <c r="H39"/>
      <c r="I39"/>
      <c r="J39" s="47"/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3"/>
      <c r="B40" s="13"/>
      <c r="C40" s="10"/>
      <c r="D40" s="10"/>
      <c r="E40" s="10"/>
      <c r="F40" s="10"/>
      <c r="G40" s="10"/>
      <c r="I40" s="48"/>
      <c r="J40" s="48" t="s">
        <v>47</v>
      </c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2" t="s">
        <v>32</v>
      </c>
      <c r="B41" s="10"/>
      <c r="C41" s="10"/>
      <c r="D41" s="10"/>
      <c r="E41" s="10"/>
      <c r="F41" s="10"/>
      <c r="G41" s="10"/>
      <c r="I41" s="12"/>
      <c r="J41" s="12" t="s">
        <v>33</v>
      </c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10"/>
      <c r="B44" s="10"/>
      <c r="C44" s="10"/>
      <c r="D44" s="10"/>
      <c r="E44" s="10"/>
      <c r="F44" s="10"/>
      <c r="G44" s="10"/>
      <c r="I44" s="12"/>
      <c r="J44" s="12"/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10"/>
      <c r="B45" s="10"/>
      <c r="C45" s="10"/>
      <c r="D45" s="10"/>
      <c r="E45" s="10"/>
      <c r="F45" s="10"/>
      <c r="G45" s="10"/>
      <c r="I45" s="12"/>
      <c r="J45" s="12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6" spans="1:23">
      <c r="A46" s="49" t="s">
        <v>40</v>
      </c>
      <c r="B46" s="49"/>
      <c r="C46" s="50"/>
      <c r="D46" s="50"/>
      <c r="E46" s="50"/>
      <c r="F46" s="50"/>
      <c r="G46" s="10" t="s">
        <v>34</v>
      </c>
      <c r="I46" s="49"/>
      <c r="J46" s="49" t="s">
        <v>35</v>
      </c>
      <c r="K46" s="47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9"/>
    </row>
    <row r="47" spans="1:23">
      <c r="A47" s="51"/>
      <c r="B47" s="51"/>
      <c r="C47" s="52"/>
      <c r="D47" s="52"/>
      <c r="E47" s="52"/>
      <c r="F47" s="52"/>
      <c r="G47" s="52"/>
      <c r="H47" s="51"/>
      <c r="I47" s="51"/>
      <c r="J47" s="51"/>
      <c r="K47" s="47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9"/>
    </row>
    <row r="51" spans="1:11" ht="15.75">
      <c r="C51" s="2"/>
      <c r="D51" s="2"/>
      <c r="E51" s="2"/>
      <c r="F51" s="2"/>
    </row>
    <row r="52" spans="1:11" ht="15.75">
      <c r="A52" s="3"/>
      <c r="B52" s="3"/>
      <c r="C52" s="2"/>
      <c r="D52" s="2"/>
      <c r="E52" s="2"/>
      <c r="F52" s="2"/>
      <c r="G52" s="3"/>
      <c r="H52" s="4"/>
      <c r="I52" s="4"/>
      <c r="J52" s="4"/>
      <c r="K52" s="5"/>
    </row>
    <row r="53" spans="1:11">
      <c r="H53" s="5"/>
      <c r="I53" s="5"/>
      <c r="J53" s="5"/>
      <c r="K53" s="5"/>
    </row>
    <row r="54" spans="1:11">
      <c r="H54" s="5"/>
      <c r="I54" s="5"/>
      <c r="J54" s="5"/>
      <c r="K54" s="5"/>
    </row>
    <row r="55" spans="1:11">
      <c r="A55" s="64" t="s">
        <v>0</v>
      </c>
      <c r="B55" s="64"/>
      <c r="C55" s="58"/>
      <c r="D55" s="58"/>
      <c r="E55" s="58"/>
      <c r="F55" s="58"/>
      <c r="G55" s="58"/>
      <c r="H55" s="58"/>
      <c r="I55" s="58"/>
      <c r="J55" s="58"/>
      <c r="K55" s="58"/>
    </row>
    <row r="56" spans="1:11">
      <c r="A56" s="58" t="s">
        <v>44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</row>
    <row r="57" spans="1:11">
      <c r="A57" s="58" t="s">
        <v>1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</row>
    <row r="58" spans="1:11">
      <c r="A58" s="58" t="s">
        <v>41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</row>
    <row r="59" spans="1:11">
      <c r="A59" s="58" t="s">
        <v>2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</row>
    <row r="60" spans="1:11">
      <c r="A60" s="6"/>
      <c r="B60" s="6"/>
      <c r="C60" s="7"/>
      <c r="D60" s="7"/>
      <c r="E60" s="7"/>
      <c r="F60" s="7"/>
      <c r="G60" s="8"/>
      <c r="H60" s="9"/>
      <c r="I60" s="9"/>
      <c r="J60" s="9"/>
      <c r="K60" s="9"/>
    </row>
    <row r="61" spans="1:11">
      <c r="A61" s="53" t="s">
        <v>3</v>
      </c>
      <c r="B61" s="10"/>
      <c r="C61" s="10"/>
      <c r="D61" s="54" t="s">
        <v>4</v>
      </c>
      <c r="E61" s="10" t="s">
        <v>5</v>
      </c>
      <c r="F61" s="11"/>
      <c r="G61" s="10"/>
      <c r="H61" s="12"/>
      <c r="I61" s="12"/>
      <c r="J61" s="12"/>
      <c r="K61" s="9"/>
    </row>
    <row r="62" spans="1:11">
      <c r="A62" s="53" t="s">
        <v>6</v>
      </c>
      <c r="B62" s="10"/>
      <c r="C62" s="10"/>
      <c r="D62" s="54" t="s">
        <v>4</v>
      </c>
      <c r="E62" s="10" t="s">
        <v>7</v>
      </c>
      <c r="F62" s="11"/>
      <c r="G62" s="10"/>
      <c r="H62" s="12"/>
      <c r="I62" s="12"/>
      <c r="J62" s="12"/>
      <c r="K62" s="9"/>
    </row>
    <row r="63" spans="1:11">
      <c r="A63" s="53" t="s">
        <v>8</v>
      </c>
      <c r="B63" s="10"/>
      <c r="C63" s="10"/>
      <c r="D63" s="54" t="s">
        <v>4</v>
      </c>
      <c r="E63" s="13">
        <v>2026</v>
      </c>
      <c r="F63" s="11"/>
      <c r="G63" s="13"/>
      <c r="H63" s="12"/>
      <c r="I63" s="12"/>
      <c r="J63" s="12"/>
      <c r="K63" s="9"/>
    </row>
    <row r="64" spans="1:11">
      <c r="A64" s="53" t="s">
        <v>9</v>
      </c>
      <c r="B64" s="10"/>
      <c r="C64" s="10"/>
      <c r="D64" s="54" t="s">
        <v>4</v>
      </c>
      <c r="E64" s="14">
        <f>J76</f>
        <v>42500000</v>
      </c>
      <c r="F64" s="11"/>
      <c r="G64" s="14"/>
      <c r="H64" s="12"/>
      <c r="I64" s="12"/>
      <c r="J64" s="12"/>
      <c r="K64" s="9"/>
    </row>
    <row r="65" spans="1:11" ht="15.75">
      <c r="A65" s="10"/>
      <c r="B65" s="10"/>
      <c r="C65" s="15" t="s">
        <v>10</v>
      </c>
      <c r="D65" s="54" t="s">
        <v>4</v>
      </c>
      <c r="E65" s="16" t="str">
        <f>PROPER(IF(E64=0,"nol",IF(E64&lt;0,"minus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64),"000000000000000"),1,3)=0,"",MID(TEXT(ABS(E64),"000000000000000"),1,1)&amp;" ratus "&amp;MID(TEXT(ABS(E64),"000000000000000"),2,1)&amp;" puluh "&amp;MID(TEXT(ABS(E64),"000000000000000"),3,1)&amp;" trilyun ")&amp;IF(--MID(TEXT(ABS(E64),"000000000000000"),4,3)=0,"",MID(TEXT(ABS(E64),"000000000000000"),4,1)&amp;" ratus "&amp;MID(TEXT(ABS(E64),"000000000000000"),5,1)&amp;" puluh "&amp;MID(TEXT(ABS(E64),"000000000000000"),6,1)&amp;" milyar ")&amp;IF(--MID(TEXT(ABS(E64),"000000000000000"),7,3)=0,"",MID(TEXT(ABS(E64),"000000000000000"),7,1)&amp;" ratus "&amp;MID(TEXT(ABS(E64),"000000000000000"),8,1)&amp;" puluh "&amp;MID(TEXT(ABS(E64),"000000000000000"),9,1)&amp;" juta ")&amp;IF(--MID(TEXT(ABS(E64),"000000000000000"),10,3)=0,"",IF(--MID(TEXT(ABS(E64),"000000000000000"),10,3)=1,"*",MID(TEXT(ABS(E64),"000000000000000"),10,1)&amp;" ratus "&amp;MID(TEXT(ABS(E64),"000000000000000"),11,1)&amp;" puluh ")&amp;MID(TEXT(ABS(E64),"000000000000000"),12,1)&amp;" ribu ")&amp;IF(--MID(TEXT(ABS(E64),"000000000000000"),13,3)=0,"",MID(TEXT(ABS(E64),"000000000000000"),13,1)&amp;" ratus "&amp;MID(TEXT(ABS(E64),"000000000000000"),14,1)&amp;" puluh "&amp;MID(TEXT(ABS(E64),"000000000000000"),15,1)),1,"satu"),2,"dua"),3,"tiga"),4,"empat"),5,"lima"),6,"enam"),7,"tujuh"),8,"delapan"),9,"sembilan"),"0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Dua Juta Lima Ratus Ribu Rupiah</v>
      </c>
      <c r="F65" s="11"/>
      <c r="G65" s="16"/>
      <c r="H65" s="12"/>
      <c r="I65" s="12"/>
      <c r="J65" s="12"/>
      <c r="K65" s="9"/>
    </row>
    <row r="66" spans="1:11" ht="15.75">
      <c r="A66" s="10"/>
      <c r="B66" s="10"/>
      <c r="C66" s="15"/>
      <c r="D66" s="15"/>
      <c r="E66" s="15"/>
      <c r="F66" s="11"/>
      <c r="G66" s="16"/>
      <c r="H66" s="12"/>
      <c r="I66" s="12"/>
      <c r="J66" s="12"/>
      <c r="K66" s="9"/>
    </row>
    <row r="67" spans="1:11">
      <c r="A67" s="10" t="s">
        <v>11</v>
      </c>
      <c r="B67" s="10"/>
      <c r="C67" s="10"/>
      <c r="D67" s="10"/>
      <c r="E67" s="10"/>
      <c r="F67" s="10"/>
      <c r="G67" s="10"/>
      <c r="H67" s="12"/>
      <c r="I67" s="12"/>
      <c r="J67" s="12"/>
      <c r="K67" s="9"/>
    </row>
    <row r="68" spans="1:11">
      <c r="A68" s="59" t="s">
        <v>12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 spans="1:11" ht="60">
      <c r="A69" s="17" t="s">
        <v>13</v>
      </c>
      <c r="B69" s="18" t="s">
        <v>14</v>
      </c>
      <c r="C69" s="60" t="s">
        <v>15</v>
      </c>
      <c r="D69" s="61"/>
      <c r="E69" s="62"/>
      <c r="F69" s="19"/>
      <c r="G69" s="20" t="s">
        <v>16</v>
      </c>
      <c r="H69" s="21" t="s">
        <v>36</v>
      </c>
      <c r="I69" s="21"/>
      <c r="J69" s="31" t="s">
        <v>17</v>
      </c>
      <c r="K69" s="32" t="s">
        <v>18</v>
      </c>
    </row>
    <row r="70" spans="1:11">
      <c r="A70" s="27">
        <v>1</v>
      </c>
      <c r="B70" s="24"/>
      <c r="C70" s="28" t="s">
        <v>23</v>
      </c>
      <c r="D70" s="57"/>
      <c r="E70" s="26"/>
      <c r="F70" s="25"/>
      <c r="G70" s="55" t="s">
        <v>19</v>
      </c>
      <c r="H70" s="55" t="s">
        <v>19</v>
      </c>
      <c r="I70" s="55"/>
      <c r="J70" s="55" t="s">
        <v>19</v>
      </c>
      <c r="K70" s="55" t="s">
        <v>19</v>
      </c>
    </row>
    <row r="71" spans="1:11">
      <c r="A71" s="24"/>
      <c r="B71" s="56" t="s">
        <v>20</v>
      </c>
      <c r="C71" s="25" t="s">
        <v>24</v>
      </c>
      <c r="D71" s="10"/>
      <c r="E71" s="26"/>
      <c r="F71" s="25"/>
      <c r="G71" s="22">
        <v>0</v>
      </c>
      <c r="H71" s="23">
        <f>H24+J24</f>
        <v>0</v>
      </c>
      <c r="I71" s="23"/>
      <c r="J71" s="33">
        <v>0</v>
      </c>
      <c r="K71" s="34">
        <f t="shared" ref="K71:K75" si="1">G71-H71-J71</f>
        <v>0</v>
      </c>
    </row>
    <row r="72" spans="1:11">
      <c r="A72" s="24"/>
      <c r="B72" s="56" t="s">
        <v>21</v>
      </c>
      <c r="C72" s="25" t="s">
        <v>25</v>
      </c>
      <c r="D72" s="10"/>
      <c r="E72" s="26"/>
      <c r="F72" s="25"/>
      <c r="G72" s="22">
        <v>50000000</v>
      </c>
      <c r="H72" s="23">
        <f t="shared" ref="H72:H75" si="2">H25+J25</f>
        <v>0</v>
      </c>
      <c r="I72" s="23"/>
      <c r="J72" s="33">
        <v>0</v>
      </c>
      <c r="K72" s="34">
        <f t="shared" si="1"/>
        <v>50000000</v>
      </c>
    </row>
    <row r="73" spans="1:11">
      <c r="A73" s="24"/>
      <c r="B73" s="56" t="s">
        <v>22</v>
      </c>
      <c r="C73" s="25" t="s">
        <v>38</v>
      </c>
      <c r="D73" s="10"/>
      <c r="E73" s="26"/>
      <c r="F73" s="25"/>
      <c r="G73" s="22">
        <v>100000000</v>
      </c>
      <c r="H73" s="23">
        <f t="shared" si="2"/>
        <v>0</v>
      </c>
      <c r="I73" s="23"/>
      <c r="J73" s="33">
        <v>42500000</v>
      </c>
      <c r="K73" s="34">
        <f t="shared" si="1"/>
        <v>57500000</v>
      </c>
    </row>
    <row r="74" spans="1:11">
      <c r="A74" s="24"/>
      <c r="B74" s="56" t="s">
        <v>37</v>
      </c>
      <c r="C74" s="25" t="s">
        <v>39</v>
      </c>
      <c r="D74" s="10"/>
      <c r="E74" s="26"/>
      <c r="F74" s="25"/>
      <c r="G74" s="22">
        <v>100000000</v>
      </c>
      <c r="H74" s="23">
        <f t="shared" si="2"/>
        <v>0</v>
      </c>
      <c r="I74" s="23"/>
      <c r="J74" s="33">
        <v>0</v>
      </c>
      <c r="K74" s="34">
        <f t="shared" si="1"/>
        <v>100000000</v>
      </c>
    </row>
    <row r="75" spans="1:11">
      <c r="A75" s="24"/>
      <c r="B75" s="56" t="s">
        <v>43</v>
      </c>
      <c r="C75" s="25" t="s">
        <v>42</v>
      </c>
      <c r="D75" s="10"/>
      <c r="E75" s="26"/>
      <c r="F75" s="25"/>
      <c r="G75" s="22">
        <v>44000000</v>
      </c>
      <c r="H75" s="23">
        <f t="shared" si="2"/>
        <v>944000</v>
      </c>
      <c r="I75" s="23"/>
      <c r="J75" s="33">
        <v>0</v>
      </c>
      <c r="K75" s="34">
        <f t="shared" si="1"/>
        <v>43056000</v>
      </c>
    </row>
    <row r="76" spans="1:11">
      <c r="A76" s="35"/>
      <c r="B76" s="35"/>
      <c r="C76" s="35" t="s">
        <v>26</v>
      </c>
      <c r="D76" s="35"/>
      <c r="E76" s="35"/>
      <c r="F76" s="36"/>
      <c r="G76" s="37">
        <f>SUM(G70:G75)</f>
        <v>294000000</v>
      </c>
      <c r="H76" s="38">
        <f>SUM(H70:H75)</f>
        <v>944000</v>
      </c>
      <c r="I76" s="38"/>
      <c r="J76" s="38">
        <f>SUM(J70:J74)</f>
        <v>42500000</v>
      </c>
      <c r="K76" s="38">
        <f>SUM(K70:K74)</f>
        <v>207500000</v>
      </c>
    </row>
    <row r="77" spans="1:11">
      <c r="A77" s="39"/>
      <c r="B77" s="8"/>
      <c r="C77" s="8"/>
      <c r="D77" s="8"/>
      <c r="E77" s="8"/>
      <c r="F77" s="8"/>
      <c r="G77" s="40"/>
      <c r="H77" s="40"/>
      <c r="I77" s="40"/>
      <c r="J77" s="40"/>
      <c r="K77" s="40"/>
    </row>
    <row r="78" spans="1:11">
      <c r="A78" s="63" t="s">
        <v>27</v>
      </c>
      <c r="B78" s="63"/>
      <c r="C78" s="63"/>
      <c r="D78" s="11" t="s">
        <v>4</v>
      </c>
      <c r="E78" s="14">
        <f>J76</f>
        <v>42500000</v>
      </c>
      <c r="F78" s="41"/>
      <c r="G78" s="42"/>
      <c r="H78" s="42"/>
      <c r="I78" s="42"/>
      <c r="J78" s="9"/>
      <c r="K78" s="9"/>
    </row>
    <row r="79" spans="1:11">
      <c r="A79" s="10" t="s">
        <v>28</v>
      </c>
      <c r="B79" s="10"/>
      <c r="C79" s="10"/>
      <c r="D79" s="11" t="s">
        <v>4</v>
      </c>
      <c r="E79" s="43"/>
      <c r="F79" s="43"/>
      <c r="G79" s="44"/>
      <c r="H79" s="12"/>
      <c r="I79" s="12"/>
      <c r="J79" s="9"/>
      <c r="K79" s="9"/>
    </row>
    <row r="80" spans="1:11">
      <c r="A80" s="10" t="s">
        <v>29</v>
      </c>
      <c r="B80" s="10"/>
      <c r="C80" s="10"/>
      <c r="D80" s="11" t="s">
        <v>4</v>
      </c>
      <c r="E80" s="45"/>
      <c r="F80" s="45"/>
      <c r="G80" s="44"/>
      <c r="H80" s="12"/>
      <c r="I80" s="12"/>
      <c r="J80" s="9"/>
      <c r="K80" s="9"/>
    </row>
    <row r="81" spans="1:11">
      <c r="A81" s="10" t="s">
        <v>30</v>
      </c>
      <c r="B81" s="10"/>
      <c r="C81" s="10"/>
      <c r="D81" s="11" t="s">
        <v>4</v>
      </c>
      <c r="E81" s="45">
        <f>E79+E80</f>
        <v>0</v>
      </c>
      <c r="F81" s="45"/>
      <c r="G81" s="10"/>
      <c r="H81" s="12"/>
      <c r="I81" s="12"/>
      <c r="J81" s="47"/>
      <c r="K81" s="47"/>
    </row>
    <row r="82" spans="1:11">
      <c r="A82" s="13"/>
      <c r="B82" s="13"/>
      <c r="C82" s="13"/>
      <c r="D82" s="11"/>
      <c r="E82" s="13"/>
      <c r="F82" s="13"/>
      <c r="G82" s="10"/>
      <c r="H82" s="12"/>
      <c r="I82" s="12"/>
      <c r="J82" s="47"/>
      <c r="K82" s="47"/>
    </row>
    <row r="83" spans="1:11">
      <c r="A83" s="63" t="s">
        <v>31</v>
      </c>
      <c r="B83" s="63"/>
      <c r="C83" s="63"/>
      <c r="D83" s="11" t="s">
        <v>4</v>
      </c>
      <c r="E83" s="41">
        <f>E78-E81</f>
        <v>42500000</v>
      </c>
      <c r="F83" s="41"/>
      <c r="G83" s="10"/>
      <c r="H83" s="12"/>
      <c r="I83" s="12"/>
      <c r="J83" s="47"/>
      <c r="K83" s="47"/>
    </row>
    <row r="84" spans="1:11" ht="15.75">
      <c r="A84" s="13"/>
      <c r="B84" s="13"/>
      <c r="C84" s="10"/>
      <c r="D84" s="10"/>
      <c r="E84" s="16" t="str">
        <f>PROPER(IF(E83=0,"nol",IF(E83&lt;0,"minus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83),"000000000000000"),1,3)=0,"",MID(TEXT(ABS(E83),"000000000000000"),1,1)&amp;" ratus "&amp;MID(TEXT(ABS(E83),"000000000000000"),2,1)&amp;" puluh "&amp;MID(TEXT(ABS(E83),"000000000000000"),3,1)&amp;" trilyun ")&amp;IF(--MID(TEXT(ABS(E83),"000000000000000"),4,3)=0,"",MID(TEXT(ABS(E83),"000000000000000"),4,1)&amp;" ratus "&amp;MID(TEXT(ABS(E83),"000000000000000"),5,1)&amp;" puluh "&amp;MID(TEXT(ABS(E83),"000000000000000"),6,1)&amp;" milyar ")&amp;IF(--MID(TEXT(ABS(E83),"000000000000000"),7,3)=0,"",MID(TEXT(ABS(E83),"000000000000000"),7,1)&amp;" ratus "&amp;MID(TEXT(ABS(E83),"000000000000000"),8,1)&amp;" puluh "&amp;MID(TEXT(ABS(E83),"000000000000000"),9,1)&amp;" juta ")&amp;IF(--MID(TEXT(ABS(E83),"000000000000000"),10,3)=0,"",IF(--MID(TEXT(ABS(E83),"000000000000000"),10,3)=1,"*",MID(TEXT(ABS(E83),"000000000000000"),10,1)&amp;" ratus "&amp;MID(TEXT(ABS(E83),"000000000000000"),11,1)&amp;" puluh ")&amp;MID(TEXT(ABS(E83),"000000000000000"),12,1)&amp;" ribu ")&amp;IF(--MID(TEXT(ABS(E83),"000000000000000"),13,3)=0,"",MID(TEXT(ABS(E83),"000000000000000"),13,1)&amp;" ratus "&amp;MID(TEXT(ABS(E83),"000000000000000"),14,1)&amp;" puluh "&amp;MID(TEXT(ABS(E83),"000000000000000"),15,1)),1,"satu"),2,"dua"),3,"tiga"),4,"empat"),5,"lima"),6,"enam"),7,"tujuh"),8,"delapan"),9,"sembilan"),"0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Dua Juta Lima Ratus Ribu Rupiah</v>
      </c>
      <c r="F84" s="10"/>
      <c r="G84" s="10"/>
      <c r="H84" s="10"/>
      <c r="I84" s="10"/>
      <c r="J84" s="47"/>
      <c r="K84" s="47"/>
    </row>
    <row r="85" spans="1:11">
      <c r="A85" s="46"/>
      <c r="B85" s="46"/>
      <c r="C85" s="46"/>
      <c r="D85" s="46"/>
      <c r="E85" s="46"/>
      <c r="F85" s="46"/>
      <c r="G85" s="29"/>
      <c r="H85" s="47"/>
      <c r="I85" s="47"/>
      <c r="J85" s="47"/>
      <c r="K85" s="47"/>
    </row>
    <row r="86" spans="1:11">
      <c r="A86" s="29"/>
      <c r="B86" s="29"/>
      <c r="C86" s="29"/>
      <c r="D86" s="29"/>
      <c r="E86" s="29"/>
      <c r="F86" s="29"/>
      <c r="G86" s="29"/>
      <c r="H86"/>
      <c r="I86"/>
      <c r="J86" s="47"/>
      <c r="K86" s="47"/>
    </row>
    <row r="87" spans="1:11">
      <c r="A87" s="13"/>
      <c r="B87" s="13"/>
      <c r="C87" s="10"/>
      <c r="D87" s="10"/>
      <c r="E87" s="10"/>
      <c r="F87" s="10"/>
      <c r="G87" s="10"/>
      <c r="I87" s="48"/>
      <c r="J87" s="48" t="s">
        <v>45</v>
      </c>
      <c r="K87" s="47"/>
    </row>
    <row r="88" spans="1:11">
      <c r="A88" s="12" t="s">
        <v>32</v>
      </c>
      <c r="B88" s="10"/>
      <c r="C88" s="10"/>
      <c r="D88" s="10"/>
      <c r="E88" s="10"/>
      <c r="F88" s="10"/>
      <c r="G88" s="10"/>
      <c r="I88" s="12"/>
      <c r="J88" s="12" t="s">
        <v>33</v>
      </c>
      <c r="K88" s="47"/>
    </row>
    <row r="89" spans="1:11">
      <c r="A89" s="10"/>
      <c r="B89" s="10"/>
      <c r="C89" s="10"/>
      <c r="D89" s="10"/>
      <c r="E89" s="10"/>
      <c r="F89" s="10"/>
      <c r="G89" s="10"/>
      <c r="I89" s="12"/>
      <c r="J89" s="12"/>
      <c r="K89" s="47"/>
    </row>
    <row r="90" spans="1:11">
      <c r="A90" s="10"/>
      <c r="B90" s="10"/>
      <c r="C90" s="10"/>
      <c r="D90" s="10"/>
      <c r="E90" s="10"/>
      <c r="F90" s="10"/>
      <c r="G90" s="10"/>
      <c r="I90" s="12"/>
      <c r="J90" s="12"/>
      <c r="K90" s="47"/>
    </row>
    <row r="91" spans="1:11">
      <c r="A91" s="10"/>
      <c r="B91" s="10"/>
      <c r="C91" s="10"/>
      <c r="D91" s="10"/>
      <c r="E91" s="10"/>
      <c r="F91" s="10"/>
      <c r="G91" s="10"/>
      <c r="I91" s="12"/>
      <c r="J91" s="12"/>
      <c r="K91" s="47"/>
    </row>
    <row r="92" spans="1:11">
      <c r="A92" s="10"/>
      <c r="B92" s="10"/>
      <c r="C92" s="10"/>
      <c r="D92" s="10"/>
      <c r="E92" s="10"/>
      <c r="F92" s="10"/>
      <c r="G92" s="10"/>
      <c r="I92" s="12"/>
      <c r="J92" s="12"/>
      <c r="K92" s="47"/>
    </row>
    <row r="93" spans="1:11">
      <c r="A93" s="49" t="s">
        <v>40</v>
      </c>
      <c r="B93" s="49"/>
      <c r="C93" s="50"/>
      <c r="D93" s="50"/>
      <c r="E93" s="50"/>
      <c r="F93" s="50"/>
      <c r="G93" s="10" t="s">
        <v>34</v>
      </c>
      <c r="I93" s="49"/>
      <c r="J93" s="49" t="s">
        <v>35</v>
      </c>
      <c r="K93" s="47"/>
    </row>
  </sheetData>
  <mergeCells count="18">
    <mergeCell ref="A68:K68"/>
    <mergeCell ref="C69:E69"/>
    <mergeCell ref="A78:C78"/>
    <mergeCell ref="A83:C83"/>
    <mergeCell ref="A55:K55"/>
    <mergeCell ref="A56:K56"/>
    <mergeCell ref="A57:K57"/>
    <mergeCell ref="A58:K58"/>
    <mergeCell ref="A59:K59"/>
    <mergeCell ref="A31:C31"/>
    <mergeCell ref="A36:C36"/>
    <mergeCell ref="C22:E22"/>
    <mergeCell ref="A8:K8"/>
    <mergeCell ref="A9:K9"/>
    <mergeCell ref="A10:K10"/>
    <mergeCell ref="A11:K11"/>
    <mergeCell ref="A12:K12"/>
    <mergeCell ref="A21:K21"/>
  </mergeCells>
  <phoneticPr fontId="16" type="noConversion"/>
  <pageMargins left="0.23622047244094491" right="0.23622047244094491" top="0.15748031496062992" bottom="0.74803149606299213" header="0.31496062992125984" footer="0.31496062992125984"/>
  <pageSetup paperSize="9" scale="79" orientation="portrait" horizontalDpi="4294967293" r:id="rId1"/>
  <rowBreaks count="1" manualBreakCount="1">
    <brk id="4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FEC2-728B-42B6-869D-EAAC820CBFDB}">
  <dimension ref="A1:W93"/>
  <sheetViews>
    <sheetView tabSelected="1" view="pageBreakPreview" topLeftCell="A76" zoomScaleNormal="100" workbookViewId="0">
      <selection activeCell="K93" sqref="A48:K93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1.71093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4" t="s">
        <v>0</v>
      </c>
      <c r="B8" s="64"/>
      <c r="C8" s="58"/>
      <c r="D8" s="58"/>
      <c r="E8" s="58"/>
      <c r="F8" s="58"/>
      <c r="G8" s="58"/>
      <c r="H8" s="58"/>
      <c r="I8" s="58"/>
      <c r="J8" s="58"/>
      <c r="K8" s="58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58" t="s">
        <v>49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58" t="s">
        <v>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58" t="s">
        <v>41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58" t="s">
        <v>2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J29</f>
        <v>460000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Enam Puluh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59" t="s">
        <v>12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0" t="s">
        <v>15</v>
      </c>
      <c r="D22" s="61"/>
      <c r="E22" s="62"/>
      <c r="F22" s="19"/>
      <c r="G22" s="20" t="s">
        <v>16</v>
      </c>
      <c r="H22" s="21" t="s">
        <v>36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24</v>
      </c>
      <c r="D24" s="10"/>
      <c r="E24" s="26"/>
      <c r="F24" s="25"/>
      <c r="G24" s="22">
        <v>0</v>
      </c>
      <c r="H24" s="23">
        <f>JANUARI!H71+JANUARI!J71</f>
        <v>0</v>
      </c>
      <c r="I24" s="23"/>
      <c r="J24" s="33">
        <v>0</v>
      </c>
      <c r="K24" s="34">
        <f t="shared" ref="K24:K28" si="0">G24-H24-J24</f>
        <v>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25</v>
      </c>
      <c r="D25" s="10"/>
      <c r="E25" s="26"/>
      <c r="F25" s="25"/>
      <c r="G25" s="22">
        <v>50000000</v>
      </c>
      <c r="H25" s="23">
        <f>JANUARI!H72+JANUARI!J72</f>
        <v>0</v>
      </c>
      <c r="I25" s="23"/>
      <c r="J25" s="33">
        <v>0</v>
      </c>
      <c r="K25" s="34">
        <f t="shared" si="0"/>
        <v>50000000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38</v>
      </c>
      <c r="D26" s="10"/>
      <c r="E26" s="26"/>
      <c r="F26" s="25"/>
      <c r="G26" s="22">
        <v>100000000</v>
      </c>
      <c r="H26" s="23">
        <f>JANUARI!H73+JANUARI!J73</f>
        <v>42500000</v>
      </c>
      <c r="I26" s="23"/>
      <c r="J26" s="33">
        <v>460000</v>
      </c>
      <c r="K26" s="34">
        <f t="shared" si="0"/>
        <v>57040000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24"/>
      <c r="B27" s="56" t="s">
        <v>37</v>
      </c>
      <c r="C27" s="25" t="s">
        <v>39</v>
      </c>
      <c r="D27" s="10"/>
      <c r="E27" s="26"/>
      <c r="F27" s="25"/>
      <c r="G27" s="22">
        <v>100000000</v>
      </c>
      <c r="H27" s="23">
        <f>JANUARI!H74+JANUARI!J74</f>
        <v>0</v>
      </c>
      <c r="I27" s="23"/>
      <c r="J27" s="33">
        <v>0</v>
      </c>
      <c r="K27" s="34">
        <f t="shared" si="0"/>
        <v>100000000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24"/>
      <c r="B28" s="56" t="s">
        <v>43</v>
      </c>
      <c r="C28" s="25" t="s">
        <v>42</v>
      </c>
      <c r="D28" s="10"/>
      <c r="E28" s="26"/>
      <c r="F28" s="25"/>
      <c r="G28" s="22">
        <v>44000000</v>
      </c>
      <c r="H28" s="23">
        <f>JANUARI!H75+JANUARI!J75</f>
        <v>944000</v>
      </c>
      <c r="I28" s="23"/>
      <c r="J28" s="33">
        <v>0</v>
      </c>
      <c r="K28" s="34">
        <f t="shared" si="0"/>
        <v>43056000</v>
      </c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35"/>
      <c r="B29" s="35"/>
      <c r="C29" s="35" t="s">
        <v>26</v>
      </c>
      <c r="D29" s="35"/>
      <c r="E29" s="35"/>
      <c r="F29" s="36"/>
      <c r="G29" s="37">
        <f>SUM(G23:G28)</f>
        <v>294000000</v>
      </c>
      <c r="H29" s="38">
        <f>SUM(H23:H28)</f>
        <v>43444000</v>
      </c>
      <c r="I29" s="38"/>
      <c r="J29" s="38">
        <f>SUM(J23:J27)</f>
        <v>460000</v>
      </c>
      <c r="K29" s="38">
        <f>SUM(K23:K27)</f>
        <v>207040000</v>
      </c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39"/>
      <c r="B30" s="8"/>
      <c r="C30" s="8"/>
      <c r="D30" s="8"/>
      <c r="E30" s="8"/>
      <c r="F30" s="8"/>
      <c r="G30" s="40"/>
      <c r="H30" s="40"/>
      <c r="I30" s="40"/>
      <c r="J30" s="40"/>
      <c r="K30" s="40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63" t="s">
        <v>27</v>
      </c>
      <c r="B31" s="63"/>
      <c r="C31" s="63"/>
      <c r="D31" s="11" t="s">
        <v>4</v>
      </c>
      <c r="E31" s="14">
        <f>J29</f>
        <v>460000</v>
      </c>
      <c r="F31" s="41"/>
      <c r="G31" s="42"/>
      <c r="H31" s="42"/>
      <c r="I31" s="4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28</v>
      </c>
      <c r="B32" s="10"/>
      <c r="C32" s="10"/>
      <c r="D32" s="11" t="s">
        <v>4</v>
      </c>
      <c r="E32" s="43"/>
      <c r="F32" s="43"/>
      <c r="G32" s="44"/>
      <c r="H32" s="12"/>
      <c r="I32" s="12"/>
      <c r="J32" s="9"/>
      <c r="K32" s="9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0" t="s">
        <v>29</v>
      </c>
      <c r="B33" s="10"/>
      <c r="C33" s="10"/>
      <c r="D33" s="11" t="s">
        <v>4</v>
      </c>
      <c r="E33" s="45"/>
      <c r="F33" s="45"/>
      <c r="G33" s="44"/>
      <c r="H33" s="12"/>
      <c r="I33" s="12"/>
      <c r="J33" s="9"/>
      <c r="K33" s="9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10" t="s">
        <v>30</v>
      </c>
      <c r="B34" s="10"/>
      <c r="C34" s="10"/>
      <c r="D34" s="11" t="s">
        <v>4</v>
      </c>
      <c r="E34" s="45">
        <f>E32+E33</f>
        <v>0</v>
      </c>
      <c r="F34" s="45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>
      <c r="A35" s="13"/>
      <c r="B35" s="13"/>
      <c r="C35" s="13"/>
      <c r="D35" s="11"/>
      <c r="E35" s="13"/>
      <c r="F35" s="13"/>
      <c r="G35" s="10"/>
      <c r="H35" s="12"/>
      <c r="I35" s="12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63" t="s">
        <v>31</v>
      </c>
      <c r="B36" s="63"/>
      <c r="C36" s="63"/>
      <c r="D36" s="11" t="s">
        <v>4</v>
      </c>
      <c r="E36" s="41">
        <f>E31-E34</f>
        <v>460000</v>
      </c>
      <c r="F36" s="41"/>
      <c r="G36" s="10"/>
      <c r="H36" s="12"/>
      <c r="I36" s="12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 ht="15.75">
      <c r="A37" s="13"/>
      <c r="B37" s="13"/>
      <c r="C37" s="10"/>
      <c r="D37" s="10"/>
      <c r="E37" s="16" t="str">
        <f>PROPER(IF(E36=0,"nol",IF(E36&lt;0,"minus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36),"000000000000000"),1,3)=0,"",MID(TEXT(ABS(E36),"000000000000000"),1,1)&amp;" ratus "&amp;MID(TEXT(ABS(E36),"000000000000000"),2,1)&amp;" puluh "&amp;MID(TEXT(ABS(E36),"000000000000000"),3,1)&amp;" trilyun ")&amp;IF(--MID(TEXT(ABS(E36),"000000000000000"),4,3)=0,"",MID(TEXT(ABS(E36),"000000000000000"),4,1)&amp;" ratus "&amp;MID(TEXT(ABS(E36),"000000000000000"),5,1)&amp;" puluh "&amp;MID(TEXT(ABS(E36),"000000000000000"),6,1)&amp;" milyar ")&amp;IF(--MID(TEXT(ABS(E36),"000000000000000"),7,3)=0,"",MID(TEXT(ABS(E36),"000000000000000"),7,1)&amp;" ratus "&amp;MID(TEXT(ABS(E36),"000000000000000"),8,1)&amp;" puluh "&amp;MID(TEXT(ABS(E36),"000000000000000"),9,1)&amp;" juta ")&amp;IF(--MID(TEXT(ABS(E36),"000000000000000"),10,3)=0,"",IF(--MID(TEXT(ABS(E36),"000000000000000"),10,3)=1,"*",MID(TEXT(ABS(E36),"000000000000000"),10,1)&amp;" ratus "&amp;MID(TEXT(ABS(E36),"000000000000000"),11,1)&amp;" puluh ")&amp;MID(TEXT(ABS(E36),"000000000000000"),12,1)&amp;" ribu ")&amp;IF(--MID(TEXT(ABS(E36),"000000000000000"),13,3)=0,"",MID(TEXT(ABS(E36),"000000000000000"),13,1)&amp;" ratus "&amp;MID(TEXT(ABS(E36),"000000000000000"),14,1)&amp;" puluh "&amp;MID(TEXT(ABS(E36),"000000000000000"),15,1)),1,"satu"),2,"dua"),3,"tiga"),4,"empat"),5,"lima"),6,"enam"),7,"tujuh"),8,"delapan"),9,"sembilan"),"0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Enam Puluh Ribu Rupiah</v>
      </c>
      <c r="F37" s="10"/>
      <c r="G37" s="10"/>
      <c r="H37" s="10"/>
      <c r="I37" s="10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46"/>
      <c r="B38" s="46"/>
      <c r="C38" s="46"/>
      <c r="D38" s="46"/>
      <c r="E38" s="46"/>
      <c r="F38" s="46"/>
      <c r="G38" s="29"/>
      <c r="H38" s="47"/>
      <c r="I38" s="47"/>
      <c r="J38" s="47"/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29"/>
      <c r="B39" s="29"/>
      <c r="C39" s="29"/>
      <c r="D39" s="29"/>
      <c r="E39" s="29"/>
      <c r="F39" s="29"/>
      <c r="G39" s="29"/>
      <c r="H39"/>
      <c r="I39"/>
      <c r="J39" s="47"/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3"/>
      <c r="B40" s="13"/>
      <c r="C40" s="10"/>
      <c r="D40" s="10"/>
      <c r="E40" s="10"/>
      <c r="F40" s="10"/>
      <c r="G40" s="10"/>
      <c r="I40" s="48"/>
      <c r="J40" s="48" t="s">
        <v>48</v>
      </c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2" t="s">
        <v>32</v>
      </c>
      <c r="B41" s="10"/>
      <c r="C41" s="10"/>
      <c r="D41" s="10"/>
      <c r="E41" s="10"/>
      <c r="F41" s="10"/>
      <c r="G41" s="10"/>
      <c r="I41" s="12"/>
      <c r="J41" s="12" t="s">
        <v>33</v>
      </c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10"/>
      <c r="B44" s="10"/>
      <c r="C44" s="10"/>
      <c r="D44" s="10"/>
      <c r="E44" s="10"/>
      <c r="F44" s="10"/>
      <c r="G44" s="10"/>
      <c r="I44" s="12"/>
      <c r="J44" s="12"/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10"/>
      <c r="B45" s="10"/>
      <c r="C45" s="10"/>
      <c r="D45" s="10"/>
      <c r="E45" s="10"/>
      <c r="F45" s="10"/>
      <c r="G45" s="10"/>
      <c r="I45" s="12"/>
      <c r="J45" s="12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6" spans="1:23">
      <c r="A46" s="49" t="s">
        <v>40</v>
      </c>
      <c r="B46" s="49"/>
      <c r="C46" s="50"/>
      <c r="D46" s="50"/>
      <c r="E46" s="50"/>
      <c r="F46" s="50"/>
      <c r="G46" s="10" t="s">
        <v>34</v>
      </c>
      <c r="I46" s="49"/>
      <c r="J46" s="49" t="s">
        <v>35</v>
      </c>
      <c r="K46" s="47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9"/>
    </row>
    <row r="47" spans="1:23">
      <c r="A47" s="51"/>
      <c r="B47" s="51"/>
      <c r="C47" s="52"/>
      <c r="D47" s="52"/>
      <c r="E47" s="52"/>
      <c r="F47" s="52"/>
      <c r="G47" s="52"/>
      <c r="H47" s="51"/>
      <c r="I47" s="51"/>
      <c r="J47" s="51"/>
      <c r="K47" s="47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9"/>
    </row>
    <row r="51" spans="1:11" ht="15.75">
      <c r="C51" s="2"/>
      <c r="D51" s="2"/>
      <c r="E51" s="2"/>
      <c r="F51" s="2"/>
    </row>
    <row r="52" spans="1:11" ht="15.75">
      <c r="A52" s="3"/>
      <c r="B52" s="3"/>
      <c r="C52" s="2"/>
      <c r="D52" s="2"/>
      <c r="E52" s="2"/>
      <c r="F52" s="2"/>
      <c r="G52" s="3"/>
      <c r="H52" s="4"/>
      <c r="I52" s="4"/>
      <c r="J52" s="4"/>
      <c r="K52" s="5"/>
    </row>
    <row r="53" spans="1:11">
      <c r="H53" s="5"/>
      <c r="I53" s="5"/>
      <c r="J53" s="5"/>
      <c r="K53" s="5"/>
    </row>
    <row r="54" spans="1:11">
      <c r="H54" s="5"/>
      <c r="I54" s="5"/>
      <c r="J54" s="5"/>
      <c r="K54" s="5"/>
    </row>
    <row r="55" spans="1:11">
      <c r="A55" s="64" t="s">
        <v>0</v>
      </c>
      <c r="B55" s="64"/>
      <c r="C55" s="58"/>
      <c r="D55" s="58"/>
      <c r="E55" s="58"/>
      <c r="F55" s="58"/>
      <c r="G55" s="58"/>
      <c r="H55" s="58"/>
      <c r="I55" s="58"/>
      <c r="J55" s="58"/>
      <c r="K55" s="58"/>
    </row>
    <row r="56" spans="1:11">
      <c r="A56" s="58" t="s">
        <v>51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</row>
    <row r="57" spans="1:11">
      <c r="A57" s="58" t="s">
        <v>1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</row>
    <row r="58" spans="1:11">
      <c r="A58" s="58" t="s">
        <v>41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</row>
    <row r="59" spans="1:11">
      <c r="A59" s="58" t="s">
        <v>2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</row>
    <row r="60" spans="1:11">
      <c r="A60" s="6"/>
      <c r="B60" s="6"/>
      <c r="C60" s="7"/>
      <c r="D60" s="7"/>
      <c r="E60" s="7"/>
      <c r="F60" s="7"/>
      <c r="G60" s="8"/>
      <c r="H60" s="9"/>
      <c r="I60" s="9"/>
      <c r="J60" s="9"/>
      <c r="K60" s="9"/>
    </row>
    <row r="61" spans="1:11">
      <c r="A61" s="53" t="s">
        <v>3</v>
      </c>
      <c r="B61" s="10"/>
      <c r="C61" s="10"/>
      <c r="D61" s="54" t="s">
        <v>4</v>
      </c>
      <c r="E61" s="10" t="s">
        <v>5</v>
      </c>
      <c r="F61" s="11"/>
      <c r="G61" s="10"/>
      <c r="H61" s="12"/>
      <c r="I61" s="12"/>
      <c r="J61" s="12"/>
      <c r="K61" s="9"/>
    </row>
    <row r="62" spans="1:11">
      <c r="A62" s="53" t="s">
        <v>6</v>
      </c>
      <c r="B62" s="10"/>
      <c r="C62" s="10"/>
      <c r="D62" s="54" t="s">
        <v>4</v>
      </c>
      <c r="E62" s="10" t="s">
        <v>7</v>
      </c>
      <c r="F62" s="11"/>
      <c r="G62" s="10"/>
      <c r="H62" s="12"/>
      <c r="I62" s="12"/>
      <c r="J62" s="12"/>
      <c r="K62" s="9"/>
    </row>
    <row r="63" spans="1:11">
      <c r="A63" s="53" t="s">
        <v>8</v>
      </c>
      <c r="B63" s="10"/>
      <c r="C63" s="10"/>
      <c r="D63" s="54" t="s">
        <v>4</v>
      </c>
      <c r="E63" s="13">
        <v>2026</v>
      </c>
      <c r="F63" s="11"/>
      <c r="G63" s="13"/>
      <c r="H63" s="12"/>
      <c r="I63" s="12"/>
      <c r="J63" s="12"/>
      <c r="K63" s="9"/>
    </row>
    <row r="64" spans="1:11">
      <c r="A64" s="53" t="s">
        <v>9</v>
      </c>
      <c r="B64" s="10"/>
      <c r="C64" s="10"/>
      <c r="D64" s="54" t="s">
        <v>4</v>
      </c>
      <c r="E64" s="14">
        <f>J76</f>
        <v>42500000</v>
      </c>
      <c r="F64" s="11"/>
      <c r="G64" s="14"/>
      <c r="H64" s="12"/>
      <c r="I64" s="12"/>
      <c r="J64" s="12"/>
      <c r="K64" s="9"/>
    </row>
    <row r="65" spans="1:11" ht="15.75">
      <c r="A65" s="10"/>
      <c r="B65" s="10"/>
      <c r="C65" s="15" t="s">
        <v>10</v>
      </c>
      <c r="D65" s="54" t="s">
        <v>4</v>
      </c>
      <c r="E65" s="16" t="str">
        <f>PROPER(IF(E64=0,"nol",IF(E64&lt;0,"minus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64),"000000000000000"),1,3)=0,"",MID(TEXT(ABS(E64),"000000000000000"),1,1)&amp;" ratus "&amp;MID(TEXT(ABS(E64),"000000000000000"),2,1)&amp;" puluh "&amp;MID(TEXT(ABS(E64),"000000000000000"),3,1)&amp;" trilyun ")&amp;IF(--MID(TEXT(ABS(E64),"000000000000000"),4,3)=0,"",MID(TEXT(ABS(E64),"000000000000000"),4,1)&amp;" ratus "&amp;MID(TEXT(ABS(E64),"000000000000000"),5,1)&amp;" puluh "&amp;MID(TEXT(ABS(E64),"000000000000000"),6,1)&amp;" milyar ")&amp;IF(--MID(TEXT(ABS(E64),"000000000000000"),7,3)=0,"",MID(TEXT(ABS(E64),"000000000000000"),7,1)&amp;" ratus "&amp;MID(TEXT(ABS(E64),"000000000000000"),8,1)&amp;" puluh "&amp;MID(TEXT(ABS(E64),"000000000000000"),9,1)&amp;" juta ")&amp;IF(--MID(TEXT(ABS(E64),"000000000000000"),10,3)=0,"",IF(--MID(TEXT(ABS(E64),"000000000000000"),10,3)=1,"*",MID(TEXT(ABS(E64),"000000000000000"),10,1)&amp;" ratus "&amp;MID(TEXT(ABS(E64),"000000000000000"),11,1)&amp;" puluh ")&amp;MID(TEXT(ABS(E64),"000000000000000"),12,1)&amp;" ribu ")&amp;IF(--MID(TEXT(ABS(E64),"000000000000000"),13,3)=0,"",MID(TEXT(ABS(E64),"000000000000000"),13,1)&amp;" ratus "&amp;MID(TEXT(ABS(E64),"000000000000000"),14,1)&amp;" puluh "&amp;MID(TEXT(ABS(E64),"000000000000000"),15,1)),1,"satu"),2,"dua"),3,"tiga"),4,"empat"),5,"lima"),6,"enam"),7,"tujuh"),8,"delapan"),9,"sembilan"),"0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Dua Juta Lima Ratus Ribu Rupiah</v>
      </c>
      <c r="F65" s="11"/>
      <c r="G65" s="16"/>
      <c r="H65" s="12"/>
      <c r="I65" s="12"/>
      <c r="J65" s="12"/>
      <c r="K65" s="9"/>
    </row>
    <row r="66" spans="1:11" ht="15.75">
      <c r="A66" s="10"/>
      <c r="B66" s="10"/>
      <c r="C66" s="15"/>
      <c r="D66" s="15"/>
      <c r="E66" s="15"/>
      <c r="F66" s="11"/>
      <c r="G66" s="16"/>
      <c r="H66" s="12"/>
      <c r="I66" s="12"/>
      <c r="J66" s="12"/>
      <c r="K66" s="9"/>
    </row>
    <row r="67" spans="1:11">
      <c r="A67" s="10" t="s">
        <v>11</v>
      </c>
      <c r="B67" s="10"/>
      <c r="C67" s="10"/>
      <c r="D67" s="10"/>
      <c r="E67" s="10"/>
      <c r="F67" s="10"/>
      <c r="G67" s="10"/>
      <c r="H67" s="12"/>
      <c r="I67" s="12"/>
      <c r="J67" s="12"/>
      <c r="K67" s="9"/>
    </row>
    <row r="68" spans="1:11">
      <c r="A68" s="59" t="s">
        <v>12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 spans="1:11" ht="60">
      <c r="A69" s="17" t="s">
        <v>13</v>
      </c>
      <c r="B69" s="18" t="s">
        <v>14</v>
      </c>
      <c r="C69" s="60" t="s">
        <v>15</v>
      </c>
      <c r="D69" s="61"/>
      <c r="E69" s="62"/>
      <c r="F69" s="19"/>
      <c r="G69" s="20" t="s">
        <v>16</v>
      </c>
      <c r="H69" s="21" t="s">
        <v>36</v>
      </c>
      <c r="I69" s="21"/>
      <c r="J69" s="31" t="s">
        <v>17</v>
      </c>
      <c r="K69" s="32" t="s">
        <v>18</v>
      </c>
    </row>
    <row r="70" spans="1:11">
      <c r="A70" s="27">
        <v>1</v>
      </c>
      <c r="B70" s="24"/>
      <c r="C70" s="28" t="s">
        <v>23</v>
      </c>
      <c r="D70" s="57"/>
      <c r="E70" s="26"/>
      <c r="F70" s="25"/>
      <c r="G70" s="55" t="s">
        <v>19</v>
      </c>
      <c r="H70" s="55" t="s">
        <v>19</v>
      </c>
      <c r="I70" s="55"/>
      <c r="J70" s="55" t="s">
        <v>19</v>
      </c>
      <c r="K70" s="55" t="s">
        <v>19</v>
      </c>
    </row>
    <row r="71" spans="1:11">
      <c r="A71" s="24"/>
      <c r="B71" s="56" t="s">
        <v>20</v>
      </c>
      <c r="C71" s="25" t="s">
        <v>24</v>
      </c>
      <c r="D71" s="10"/>
      <c r="E71" s="26"/>
      <c r="F71" s="25"/>
      <c r="G71" s="22">
        <v>0</v>
      </c>
      <c r="H71" s="23">
        <f>H24+J24</f>
        <v>0</v>
      </c>
      <c r="I71" s="23"/>
      <c r="J71" s="33">
        <v>0</v>
      </c>
      <c r="K71" s="34">
        <f t="shared" ref="K71:K75" si="1">G71-H71-J71</f>
        <v>0</v>
      </c>
    </row>
    <row r="72" spans="1:11">
      <c r="A72" s="24"/>
      <c r="B72" s="56" t="s">
        <v>21</v>
      </c>
      <c r="C72" s="25" t="s">
        <v>25</v>
      </c>
      <c r="D72" s="10"/>
      <c r="E72" s="26"/>
      <c r="F72" s="25"/>
      <c r="G72" s="22">
        <v>50000000</v>
      </c>
      <c r="H72" s="23">
        <f t="shared" ref="H72:H75" si="2">H25+J25</f>
        <v>0</v>
      </c>
      <c r="I72" s="23"/>
      <c r="J72" s="33">
        <v>0</v>
      </c>
      <c r="K72" s="34">
        <f t="shared" si="1"/>
        <v>50000000</v>
      </c>
    </row>
    <row r="73" spans="1:11">
      <c r="A73" s="24"/>
      <c r="B73" s="56" t="s">
        <v>22</v>
      </c>
      <c r="C73" s="25" t="s">
        <v>38</v>
      </c>
      <c r="D73" s="10"/>
      <c r="E73" s="26"/>
      <c r="F73" s="25"/>
      <c r="G73" s="22">
        <v>100000000</v>
      </c>
      <c r="H73" s="23">
        <f>H26+J26</f>
        <v>42960000</v>
      </c>
      <c r="I73" s="23"/>
      <c r="J73" s="33">
        <v>42500000</v>
      </c>
      <c r="K73" s="34">
        <f t="shared" si="1"/>
        <v>14540000</v>
      </c>
    </row>
    <row r="74" spans="1:11">
      <c r="A74" s="24"/>
      <c r="B74" s="56" t="s">
        <v>37</v>
      </c>
      <c r="C74" s="25" t="s">
        <v>39</v>
      </c>
      <c r="D74" s="10"/>
      <c r="E74" s="26"/>
      <c r="F74" s="25"/>
      <c r="G74" s="22">
        <v>100000000</v>
      </c>
      <c r="H74" s="23">
        <f t="shared" si="2"/>
        <v>0</v>
      </c>
      <c r="I74" s="23"/>
      <c r="J74" s="33">
        <v>0</v>
      </c>
      <c r="K74" s="34">
        <f t="shared" si="1"/>
        <v>100000000</v>
      </c>
    </row>
    <row r="75" spans="1:11">
      <c r="A75" s="24"/>
      <c r="B75" s="56" t="s">
        <v>43</v>
      </c>
      <c r="C75" s="25" t="s">
        <v>42</v>
      </c>
      <c r="D75" s="10"/>
      <c r="E75" s="26"/>
      <c r="F75" s="25"/>
      <c r="G75" s="22">
        <v>44000000</v>
      </c>
      <c r="H75" s="23">
        <f t="shared" si="2"/>
        <v>944000</v>
      </c>
      <c r="I75" s="23"/>
      <c r="J75" s="33">
        <v>0</v>
      </c>
      <c r="K75" s="34">
        <f t="shared" si="1"/>
        <v>43056000</v>
      </c>
    </row>
    <row r="76" spans="1:11">
      <c r="A76" s="35"/>
      <c r="B76" s="35"/>
      <c r="C76" s="35" t="s">
        <v>26</v>
      </c>
      <c r="D76" s="35"/>
      <c r="E76" s="35"/>
      <c r="F76" s="36"/>
      <c r="G76" s="37">
        <f>SUM(G70:G75)</f>
        <v>294000000</v>
      </c>
      <c r="H76" s="38">
        <f>SUM(H70:H75)</f>
        <v>43904000</v>
      </c>
      <c r="I76" s="38"/>
      <c r="J76" s="38">
        <f>SUM(J70:J74)</f>
        <v>42500000</v>
      </c>
      <c r="K76" s="38">
        <f>SUM(K70:K74)</f>
        <v>164540000</v>
      </c>
    </row>
    <row r="77" spans="1:11">
      <c r="A77" s="39"/>
      <c r="B77" s="8"/>
      <c r="C77" s="8"/>
      <c r="D77" s="8"/>
      <c r="E77" s="8"/>
      <c r="F77" s="8"/>
      <c r="G77" s="40"/>
      <c r="H77" s="40"/>
      <c r="I77" s="40"/>
      <c r="J77" s="40"/>
      <c r="K77" s="40"/>
    </row>
    <row r="78" spans="1:11">
      <c r="A78" s="63" t="s">
        <v>27</v>
      </c>
      <c r="B78" s="63"/>
      <c r="C78" s="63"/>
      <c r="D78" s="11" t="s">
        <v>4</v>
      </c>
      <c r="E78" s="14">
        <f>J76</f>
        <v>42500000</v>
      </c>
      <c r="F78" s="41"/>
      <c r="G78" s="42"/>
      <c r="H78" s="42"/>
      <c r="I78" s="42"/>
      <c r="J78" s="9"/>
      <c r="K78" s="9"/>
    </row>
    <row r="79" spans="1:11">
      <c r="A79" s="10" t="s">
        <v>28</v>
      </c>
      <c r="B79" s="10"/>
      <c r="C79" s="10"/>
      <c r="D79" s="11" t="s">
        <v>4</v>
      </c>
      <c r="E79" s="43"/>
      <c r="F79" s="43"/>
      <c r="G79" s="44"/>
      <c r="H79" s="12"/>
      <c r="I79" s="12"/>
      <c r="J79" s="9"/>
      <c r="K79" s="9"/>
    </row>
    <row r="80" spans="1:11">
      <c r="A80" s="10" t="s">
        <v>29</v>
      </c>
      <c r="B80" s="10"/>
      <c r="C80" s="10"/>
      <c r="D80" s="11" t="s">
        <v>4</v>
      </c>
      <c r="E80" s="45"/>
      <c r="F80" s="45"/>
      <c r="G80" s="44"/>
      <c r="H80" s="12"/>
      <c r="I80" s="12"/>
      <c r="J80" s="9"/>
      <c r="K80" s="9"/>
    </row>
    <row r="81" spans="1:11">
      <c r="A81" s="10" t="s">
        <v>30</v>
      </c>
      <c r="B81" s="10"/>
      <c r="C81" s="10"/>
      <c r="D81" s="11" t="s">
        <v>4</v>
      </c>
      <c r="E81" s="45">
        <f>E79+E80</f>
        <v>0</v>
      </c>
      <c r="F81" s="45"/>
      <c r="G81" s="10"/>
      <c r="H81" s="12"/>
      <c r="I81" s="12"/>
      <c r="J81" s="47"/>
      <c r="K81" s="47"/>
    </row>
    <row r="82" spans="1:11">
      <c r="A82" s="13"/>
      <c r="B82" s="13"/>
      <c r="C82" s="13"/>
      <c r="D82" s="11"/>
      <c r="E82" s="13"/>
      <c r="F82" s="13"/>
      <c r="G82" s="10"/>
      <c r="H82" s="12"/>
      <c r="I82" s="12"/>
      <c r="J82" s="47"/>
      <c r="K82" s="47"/>
    </row>
    <row r="83" spans="1:11">
      <c r="A83" s="63" t="s">
        <v>31</v>
      </c>
      <c r="B83" s="63"/>
      <c r="C83" s="63"/>
      <c r="D83" s="11" t="s">
        <v>4</v>
      </c>
      <c r="E83" s="41">
        <f>E78-E81</f>
        <v>42500000</v>
      </c>
      <c r="F83" s="41"/>
      <c r="G83" s="10"/>
      <c r="H83" s="12"/>
      <c r="I83" s="12"/>
      <c r="J83" s="47"/>
      <c r="K83" s="47"/>
    </row>
    <row r="84" spans="1:11" ht="15.75">
      <c r="A84" s="13"/>
      <c r="B84" s="13"/>
      <c r="C84" s="10"/>
      <c r="D84" s="10"/>
      <c r="E84" s="16" t="str">
        <f>PROPER(IF(E83=0,"nol",IF(E83&lt;0,"minus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83),"000000000000000"),1,3)=0,"",MID(TEXT(ABS(E83),"000000000000000"),1,1)&amp;" ratus "&amp;MID(TEXT(ABS(E83),"000000000000000"),2,1)&amp;" puluh "&amp;MID(TEXT(ABS(E83),"000000000000000"),3,1)&amp;" trilyun ")&amp;IF(--MID(TEXT(ABS(E83),"000000000000000"),4,3)=0,"",MID(TEXT(ABS(E83),"000000000000000"),4,1)&amp;" ratus "&amp;MID(TEXT(ABS(E83),"000000000000000"),5,1)&amp;" puluh "&amp;MID(TEXT(ABS(E83),"000000000000000"),6,1)&amp;" milyar ")&amp;IF(--MID(TEXT(ABS(E83),"000000000000000"),7,3)=0,"",MID(TEXT(ABS(E83),"000000000000000"),7,1)&amp;" ratus "&amp;MID(TEXT(ABS(E83),"000000000000000"),8,1)&amp;" puluh "&amp;MID(TEXT(ABS(E83),"000000000000000"),9,1)&amp;" juta ")&amp;IF(--MID(TEXT(ABS(E83),"000000000000000"),10,3)=0,"",IF(--MID(TEXT(ABS(E83),"000000000000000"),10,3)=1,"*",MID(TEXT(ABS(E83),"000000000000000"),10,1)&amp;" ratus "&amp;MID(TEXT(ABS(E83),"000000000000000"),11,1)&amp;" puluh ")&amp;MID(TEXT(ABS(E83),"000000000000000"),12,1)&amp;" ribu ")&amp;IF(--MID(TEXT(ABS(E83),"000000000000000"),13,3)=0,"",MID(TEXT(ABS(E83),"000000000000000"),13,1)&amp;" ratus "&amp;MID(TEXT(ABS(E83),"000000000000000"),14,1)&amp;" puluh "&amp;MID(TEXT(ABS(E83),"000000000000000"),15,1)),1,"satu"),2,"dua"),3,"tiga"),4,"empat"),5,"lima"),6,"enam"),7,"tujuh"),8,"delapan"),9,"sembilan"),"0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Dua Juta Lima Ratus Ribu Rupiah</v>
      </c>
      <c r="F84" s="10"/>
      <c r="G84" s="10"/>
      <c r="H84" s="10"/>
      <c r="I84" s="10"/>
      <c r="J84" s="47"/>
      <c r="K84" s="47"/>
    </row>
    <row r="85" spans="1:11">
      <c r="A85" s="46"/>
      <c r="B85" s="46"/>
      <c r="C85" s="46"/>
      <c r="D85" s="46"/>
      <c r="E85" s="46"/>
      <c r="F85" s="46"/>
      <c r="G85" s="29"/>
      <c r="H85" s="47"/>
      <c r="I85" s="47"/>
      <c r="J85" s="47"/>
      <c r="K85" s="47"/>
    </row>
    <row r="86" spans="1:11">
      <c r="A86" s="29"/>
      <c r="B86" s="29"/>
      <c r="C86" s="29"/>
      <c r="D86" s="29"/>
      <c r="E86" s="29"/>
      <c r="F86" s="29"/>
      <c r="G86" s="29"/>
      <c r="H86"/>
      <c r="I86"/>
      <c r="J86" s="47"/>
      <c r="K86" s="47"/>
    </row>
    <row r="87" spans="1:11">
      <c r="A87" s="13"/>
      <c r="B87" s="13"/>
      <c r="C87" s="10"/>
      <c r="D87" s="10"/>
      <c r="E87" s="10"/>
      <c r="F87" s="10"/>
      <c r="G87" s="10"/>
      <c r="I87" s="48"/>
      <c r="J87" s="48" t="s">
        <v>50</v>
      </c>
      <c r="K87" s="47"/>
    </row>
    <row r="88" spans="1:11">
      <c r="A88" s="12" t="s">
        <v>32</v>
      </c>
      <c r="B88" s="10"/>
      <c r="C88" s="10"/>
      <c r="D88" s="10"/>
      <c r="E88" s="10"/>
      <c r="F88" s="10"/>
      <c r="G88" s="10"/>
      <c r="I88" s="12"/>
      <c r="J88" s="12" t="s">
        <v>33</v>
      </c>
      <c r="K88" s="47"/>
    </row>
    <row r="89" spans="1:11">
      <c r="A89" s="10"/>
      <c r="B89" s="10"/>
      <c r="C89" s="10"/>
      <c r="D89" s="10"/>
      <c r="E89" s="10"/>
      <c r="F89" s="10"/>
      <c r="G89" s="10"/>
      <c r="I89" s="12"/>
      <c r="J89" s="12"/>
      <c r="K89" s="47"/>
    </row>
    <row r="90" spans="1:11">
      <c r="A90" s="10"/>
      <c r="B90" s="10"/>
      <c r="C90" s="10"/>
      <c r="D90" s="10"/>
      <c r="E90" s="10"/>
      <c r="F90" s="10"/>
      <c r="G90" s="10"/>
      <c r="I90" s="12"/>
      <c r="J90" s="12"/>
      <c r="K90" s="47"/>
    </row>
    <row r="91" spans="1:11">
      <c r="A91" s="10"/>
      <c r="B91" s="10"/>
      <c r="C91" s="10"/>
      <c r="D91" s="10"/>
      <c r="E91" s="10"/>
      <c r="F91" s="10"/>
      <c r="G91" s="10"/>
      <c r="I91" s="12"/>
      <c r="J91" s="12"/>
      <c r="K91" s="47"/>
    </row>
    <row r="92" spans="1:11">
      <c r="A92" s="10"/>
      <c r="B92" s="10"/>
      <c r="C92" s="10"/>
      <c r="D92" s="10"/>
      <c r="E92" s="10"/>
      <c r="F92" s="10"/>
      <c r="G92" s="10"/>
      <c r="I92" s="12"/>
      <c r="J92" s="12"/>
      <c r="K92" s="47"/>
    </row>
    <row r="93" spans="1:11">
      <c r="A93" s="49" t="s">
        <v>40</v>
      </c>
      <c r="B93" s="49"/>
      <c r="C93" s="50"/>
      <c r="D93" s="50"/>
      <c r="E93" s="50"/>
      <c r="F93" s="50"/>
      <c r="G93" s="10" t="s">
        <v>34</v>
      </c>
      <c r="I93" s="49"/>
      <c r="J93" s="49" t="s">
        <v>35</v>
      </c>
      <c r="K93" s="47"/>
    </row>
  </sheetData>
  <mergeCells count="18">
    <mergeCell ref="A21:K21"/>
    <mergeCell ref="A8:K8"/>
    <mergeCell ref="A9:K9"/>
    <mergeCell ref="A10:K10"/>
    <mergeCell ref="A11:K11"/>
    <mergeCell ref="A12:K12"/>
    <mergeCell ref="A83:C83"/>
    <mergeCell ref="C22:E22"/>
    <mergeCell ref="A31:C31"/>
    <mergeCell ref="A36:C36"/>
    <mergeCell ref="A55:K55"/>
    <mergeCell ref="A56:K56"/>
    <mergeCell ref="A57:K57"/>
    <mergeCell ref="A58:K58"/>
    <mergeCell ref="A59:K59"/>
    <mergeCell ref="A68:K68"/>
    <mergeCell ref="C69:E69"/>
    <mergeCell ref="A78:C78"/>
  </mergeCells>
  <pageMargins left="0.23622047244094491" right="0.23622047244094491" top="0.15748031496062992" bottom="0.74803149606299213" header="0.31496062992125984" footer="0.31496062992125984"/>
  <pageSetup paperSize="9" scale="79" orientation="portrait" horizontalDpi="4294967293" r:id="rId1"/>
  <rowBreaks count="2" manualBreakCount="2">
    <brk id="47" max="10" man="1"/>
    <brk id="94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JANUARI</vt:lpstr>
      <vt:lpstr>MARET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2026-03-12T01:10:06Z</cp:lastPrinted>
  <dcterms:created xsi:type="dcterms:W3CDTF">2017-02-01T01:06:00Z</dcterms:created>
  <dcterms:modified xsi:type="dcterms:W3CDTF">2026-03-12T01:12:49Z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