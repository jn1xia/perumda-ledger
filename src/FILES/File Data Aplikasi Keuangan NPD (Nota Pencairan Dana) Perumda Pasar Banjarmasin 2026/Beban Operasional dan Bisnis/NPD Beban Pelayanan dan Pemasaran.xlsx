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432E8410-0018-4651-AA15-D9C5D1C83B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NUARI" sheetId="15" r:id="rId1"/>
    <sheet name="FEBRUARI" sheetId="16" r:id="rId2"/>
  </sheets>
  <definedNames>
    <definedName name="_xlnm.Print_Area" localSheetId="1">FEBRUARI!$A$1:$J$45</definedName>
    <definedName name="_xlnm.Print_Area" localSheetId="0">JANUARI!$A$1:$J$45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6" l="1"/>
  <c r="H26" i="16"/>
  <c r="H24" i="16"/>
  <c r="E32" i="16"/>
  <c r="I27" i="16"/>
  <c r="E29" i="16" s="1"/>
  <c r="E34" i="16" s="1"/>
  <c r="E35" i="16" s="1"/>
  <c r="G27" i="16"/>
  <c r="J26" i="16"/>
  <c r="J25" i="16"/>
  <c r="E17" i="16"/>
  <c r="E18" i="16" s="1"/>
  <c r="J24" i="15"/>
  <c r="J25" i="15"/>
  <c r="J26" i="15"/>
  <c r="E32" i="15"/>
  <c r="I27" i="15"/>
  <c r="E17" i="15" s="1"/>
  <c r="E18" i="15" s="1"/>
  <c r="G27" i="15"/>
  <c r="J24" i="16" l="1"/>
  <c r="J27" i="16" s="1"/>
  <c r="H27" i="16"/>
  <c r="J27" i="15"/>
  <c r="H27" i="15"/>
  <c r="E29" i="15"/>
  <c r="E34" i="15" s="1"/>
  <c r="E35" i="15" s="1"/>
</calcChain>
</file>

<file path=xl/sharedStrings.xml><?xml version="1.0" encoding="utf-8"?>
<sst xmlns="http://schemas.openxmlformats.org/spreadsheetml/2006/main" count="108" uniqueCount="44">
  <si>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</si>
  <si>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</si>
  <si>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</si>
  <si>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</si>
  <si>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</si>
  <si>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</si>
  <si>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</si>
  <si>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</si>
  <si>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</si>
  <si>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</si>
  <si>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</si>
  <si>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</si>
  <si>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</si>
  <si>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</si>
  <si>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</si>
  <si>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</si>
  <si>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</si>
  <si>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</si>
  <si>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</si>
  <si>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</si>
  <si>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</si>
  <si>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</si>
  <si>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</si>
  <si>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</si>
  <si>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</si>
  <si>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</si>
  <si>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</si>
  <si>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</si>
  <si>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</si>
  <si>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</si>
  <si>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</si>
  <si>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</si>
  <si>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</si>
  <si>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Beban Cetak Karcis Tarif Pelanggan</t>
  </si>
  <si>
    <t>1.3</t>
  </si>
  <si>
    <t>IRNA WAHYUNI N.</t>
  </si>
  <si>
    <t>PERUMDA PASAR BANJARMASIN</t>
  </si>
  <si>
    <t>Cetak dokumen perjanjian sewa</t>
  </si>
  <si>
    <t>Cetak segel</t>
  </si>
  <si>
    <t>Cetak karcis retribusi harian</t>
  </si>
  <si>
    <r>
      <t>Nomor : 60/DIV-KEU/PPB/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</si>
  <si>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19 Januari 2026</t>
  </si>
  <si>
    <r>
      <t>Nomor : 104/DIV-KEU/PPB/I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</si>
  <si>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27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</si>
</sst>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8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0" fontId="4" fillId="0" borderId="8" xfId="0" applyFont="1" applyBorder="1" applyAlignment="1">
      <alignment vertical="center"/>
    </xf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 applyAlignment="1">
      <alignment vertical="center"/>
    </xf>
    <xf numFmtId="0" fontId="4" fillId="0" borderId="4" xfId="3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9526</xdr:rowOff>
    </xdr:from>
    <xdr:to>
      <xdr:col>9</xdr:col>
      <xdr:colOff>1162050</xdr:colOff>
      <xdr:row>8</xdr:row>
      <xdr:rowOff>181994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65829-F42C-402E-AFCA-C95E547B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9526"/>
          <a:ext cx="7515226" cy="1715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C3CDE0C-FBC3-42DE-9D5D-9F576E2BD8C3}"/>
            </a:ext>
          </a:extLst>
        </xdr:cNvPr>
        <xdr:cNvCxnSpPr/>
      </xdr:nvCxnSpPr>
      <xdr:spPr>
        <a:xfrm>
          <a:off x="19050" y="1409700"/>
          <a:ext cx="7524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9526</xdr:rowOff>
    </xdr:from>
    <xdr:to>
      <xdr:col>9</xdr:col>
      <xdr:colOff>1162050</xdr:colOff>
      <xdr:row>8</xdr:row>
      <xdr:rowOff>181994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E6E735-BE27-48BA-89C0-248082ECF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9526"/>
          <a:ext cx="7515226" cy="1715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E10D5E-48C3-4991-8DBF-F67E23CAD277}"/>
            </a:ext>
          </a:extLst>
        </xdr:cNvPr>
        <xdr:cNvCxnSpPr/>
      </xdr:nvCxnSpPr>
      <xdr:spPr>
        <a:xfrm>
          <a:off x="19050" y="1209675"/>
          <a:ext cx="7524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07D3-07BF-47FF-BDB2-30C5F2BCD97F}">
  <dimension ref="A1:V45"/>
  <sheetViews>
    <sheetView view="pageBreakPreview" zoomScaleNormal="100" zoomScaleSheetLayoutView="100" workbookViewId="0">
      <selection activeCell="J44" sqref="A1:J44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1.140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30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40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36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25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4" t="s">
        <v>18</v>
      </c>
      <c r="B14" s="54"/>
      <c r="C14" s="54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4" t="s">
        <v>19</v>
      </c>
      <c r="B15" s="54"/>
      <c r="C15" s="54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4" t="s">
        <v>20</v>
      </c>
      <c r="B16" s="54"/>
      <c r="C16" s="54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4" t="s">
        <v>21</v>
      </c>
      <c r="B17" s="54"/>
      <c r="C17" s="54"/>
      <c r="D17" s="40" t="s">
        <v>12</v>
      </c>
      <c r="E17" s="44">
        <f>I27</f>
        <v>1400000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7" t="s">
        <v>2</v>
      </c>
      <c r="B21" s="67"/>
      <c r="C21" s="67"/>
      <c r="D21" s="67"/>
      <c r="E21" s="67"/>
      <c r="F21" s="67"/>
      <c r="G21" s="67"/>
      <c r="H21" s="67"/>
      <c r="I21" s="67"/>
      <c r="J21" s="67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1" t="s">
        <v>4</v>
      </c>
      <c r="D22" s="62"/>
      <c r="E22" s="63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60">
        <v>1</v>
      </c>
      <c r="C23" s="56" t="s">
        <v>33</v>
      </c>
      <c r="D23" s="58"/>
      <c r="E23" s="52"/>
      <c r="F23" s="39"/>
      <c r="G23" s="57" t="s">
        <v>29</v>
      </c>
      <c r="H23" s="57" t="s">
        <v>29</v>
      </c>
      <c r="I23" s="57" t="s">
        <v>29</v>
      </c>
      <c r="J23" s="57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3">
        <v>5100000</v>
      </c>
      <c r="H24" s="46">
        <v>0</v>
      </c>
      <c r="I24" s="36">
        <v>0</v>
      </c>
      <c r="J24" s="37">
        <f t="shared" ref="J24:J26" si="0">G24-H24-I24</f>
        <v>5100000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38</v>
      </c>
      <c r="D25" s="8"/>
      <c r="E25" s="45"/>
      <c r="F25" s="39"/>
      <c r="G25" s="53">
        <v>2500000</v>
      </c>
      <c r="H25" s="46">
        <v>0</v>
      </c>
      <c r="I25" s="36">
        <v>0</v>
      </c>
      <c r="J25" s="37">
        <f t="shared" si="0"/>
        <v>2500000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34</v>
      </c>
      <c r="C26" s="39" t="s">
        <v>39</v>
      </c>
      <c r="D26" s="8"/>
      <c r="E26" s="45"/>
      <c r="F26" s="39"/>
      <c r="G26" s="53">
        <v>10000000</v>
      </c>
      <c r="H26" s="46">
        <v>0</v>
      </c>
      <c r="I26" s="36">
        <v>1400000</v>
      </c>
      <c r="J26" s="37">
        <f t="shared" si="0"/>
        <v>8600000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6"/>
      <c r="B27" s="16"/>
      <c r="C27" s="17" t="s">
        <v>8</v>
      </c>
      <c r="D27" s="17"/>
      <c r="E27" s="17"/>
      <c r="F27" s="43"/>
      <c r="G27" s="42">
        <f>SUM(G23:G26)</f>
        <v>17600000</v>
      </c>
      <c r="H27" s="18">
        <f>SUM(H23:H26)</f>
        <v>0</v>
      </c>
      <c r="I27" s="18">
        <f>SUM(I23:I26)</f>
        <v>1400000</v>
      </c>
      <c r="J27" s="18">
        <f>SUM(J23:J26)</f>
        <v>16200000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9"/>
      <c r="B28" s="55"/>
      <c r="C28" s="6"/>
      <c r="D28" s="6"/>
      <c r="E28" s="6"/>
      <c r="F28" s="6"/>
      <c r="G28" s="20"/>
      <c r="H28" s="20"/>
      <c r="I28" s="20"/>
      <c r="J28" s="2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64" t="s">
        <v>14</v>
      </c>
      <c r="B29" s="64"/>
      <c r="C29" s="64"/>
      <c r="D29" s="33" t="s">
        <v>12</v>
      </c>
      <c r="E29" s="44">
        <f>I27</f>
        <v>1400000</v>
      </c>
      <c r="F29" s="38"/>
      <c r="G29" s="21"/>
      <c r="H29" s="21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9</v>
      </c>
      <c r="B30" s="8"/>
      <c r="C30" s="8"/>
      <c r="D30" s="33" t="s">
        <v>12</v>
      </c>
      <c r="E30" s="34"/>
      <c r="F30" s="34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16</v>
      </c>
      <c r="B31" s="8"/>
      <c r="C31" s="8"/>
      <c r="D31" s="33" t="s">
        <v>12</v>
      </c>
      <c r="E31" s="35"/>
      <c r="F31" s="35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10</v>
      </c>
      <c r="B32" s="8"/>
      <c r="C32" s="8"/>
      <c r="D32" s="33" t="s">
        <v>12</v>
      </c>
      <c r="E32" s="35">
        <f>E30+E31</f>
        <v>0</v>
      </c>
      <c r="F32" s="35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7"/>
      <c r="B33" s="47"/>
      <c r="C33" s="47"/>
      <c r="D33" s="33"/>
      <c r="E33" s="47"/>
      <c r="F33" s="47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64" t="s">
        <v>15</v>
      </c>
      <c r="B34" s="64"/>
      <c r="C34" s="64"/>
      <c r="D34" s="33" t="s">
        <v>12</v>
      </c>
      <c r="E34" s="38">
        <f>E29-E32</f>
        <v>1400000</v>
      </c>
      <c r="F34" s="38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.75" x14ac:dyDescent="0.25">
      <c r="A35" s="47"/>
      <c r="B35" s="47"/>
      <c r="C35" s="8"/>
      <c r="D35" s="8"/>
      <c r="E35" s="51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Empat Ratus Ribu Rupiah</v>
      </c>
      <c r="F35" s="8"/>
      <c r="G35" s="8"/>
      <c r="H35" s="8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6"/>
      <c r="B36" s="26"/>
      <c r="C36" s="26"/>
      <c r="D36" s="26"/>
      <c r="E36" s="26"/>
      <c r="F36" s="26"/>
      <c r="G36" s="25"/>
      <c r="H36" s="24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5"/>
      <c r="B37" s="25"/>
      <c r="C37" s="25"/>
      <c r="D37" s="25"/>
      <c r="E37" s="25"/>
      <c r="F37" s="25"/>
      <c r="G37" s="25"/>
      <c r="H37"/>
      <c r="I37" s="24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47"/>
      <c r="B38" s="47"/>
      <c r="C38" s="8"/>
      <c r="D38" s="8"/>
      <c r="E38" s="8"/>
      <c r="F38" s="8"/>
      <c r="G38" s="8"/>
      <c r="I38" s="49" t="s">
        <v>41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9" t="s">
        <v>27</v>
      </c>
      <c r="B39" s="8"/>
      <c r="C39" s="8"/>
      <c r="D39" s="8"/>
      <c r="E39" s="8"/>
      <c r="F39" s="8"/>
      <c r="G39" s="8"/>
      <c r="I39" s="9" t="s">
        <v>26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28" t="s">
        <v>35</v>
      </c>
      <c r="B44" s="28"/>
      <c r="C44" s="27"/>
      <c r="D44" s="27"/>
      <c r="E44" s="27"/>
      <c r="F44" s="27"/>
      <c r="G44" s="8" t="s">
        <v>11</v>
      </c>
      <c r="I44" s="28" t="s">
        <v>28</v>
      </c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30"/>
      <c r="B45" s="30"/>
      <c r="C45" s="29"/>
      <c r="D45" s="29"/>
      <c r="E45" s="29"/>
      <c r="F45" s="29"/>
      <c r="G45" s="29"/>
      <c r="H45" s="30"/>
      <c r="I45" s="30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</sheetData>
  <mergeCells count="9">
    <mergeCell ref="C22:E22"/>
    <mergeCell ref="A29:C29"/>
    <mergeCell ref="A34:C34"/>
    <mergeCell ref="A8:J8"/>
    <mergeCell ref="A9:J9"/>
    <mergeCell ref="A10:J10"/>
    <mergeCell ref="A11:J11"/>
    <mergeCell ref="A12:J12"/>
    <mergeCell ref="A21:J21"/>
  </mergeCells>
  <pageMargins left="0.23622047244094491" right="0.23622047244094491" top="0.74803149606299213" bottom="0.74803149606299213" header="0.31496062992125984" footer="0.31496062992125984"/>
  <pageSetup paperSize="9" scale="8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90BB-FD1C-4281-B116-CAC673BFB977}">
  <dimension ref="A1:V45"/>
  <sheetViews>
    <sheetView tabSelected="1" view="pageBreakPreview" zoomScaleNormal="100" zoomScaleSheetLayoutView="100" workbookViewId="0">
      <selection activeCell="J44" sqref="A1:J44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21.1406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30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42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36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25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4" t="s">
        <v>18</v>
      </c>
      <c r="B14" s="54"/>
      <c r="C14" s="54"/>
      <c r="D14" s="40" t="s">
        <v>12</v>
      </c>
      <c r="E14" s="8" t="s">
        <v>31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4" t="s">
        <v>19</v>
      </c>
      <c r="B15" s="54"/>
      <c r="C15" s="54"/>
      <c r="D15" s="40" t="s">
        <v>12</v>
      </c>
      <c r="E15" s="8" t="s">
        <v>32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4" t="s">
        <v>20</v>
      </c>
      <c r="B16" s="54"/>
      <c r="C16" s="54"/>
      <c r="D16" s="40" t="s">
        <v>12</v>
      </c>
      <c r="E16" s="47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4" t="s">
        <v>21</v>
      </c>
      <c r="B17" s="54"/>
      <c r="C17" s="54"/>
      <c r="D17" s="40" t="s">
        <v>12</v>
      </c>
      <c r="E17" s="44">
        <f>I27</f>
        <v>1750000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40" t="s">
        <v>12</v>
      </c>
      <c r="E18" s="51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1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7" t="s">
        <v>2</v>
      </c>
      <c r="B21" s="67"/>
      <c r="C21" s="67"/>
      <c r="D21" s="67"/>
      <c r="E21" s="67"/>
      <c r="F21" s="67"/>
      <c r="G21" s="67"/>
      <c r="H21" s="67"/>
      <c r="I21" s="67"/>
      <c r="J21" s="67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1" t="s">
        <v>4</v>
      </c>
      <c r="D22" s="62"/>
      <c r="E22" s="63"/>
      <c r="F22" s="50"/>
      <c r="G22" s="41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60">
        <v>1</v>
      </c>
      <c r="C23" s="56" t="s">
        <v>33</v>
      </c>
      <c r="D23" s="58"/>
      <c r="E23" s="52"/>
      <c r="F23" s="39"/>
      <c r="G23" s="57" t="s">
        <v>29</v>
      </c>
      <c r="H23" s="57" t="s">
        <v>29</v>
      </c>
      <c r="I23" s="57" t="s">
        <v>29</v>
      </c>
      <c r="J23" s="57" t="s">
        <v>29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23</v>
      </c>
      <c r="C24" s="39" t="s">
        <v>37</v>
      </c>
      <c r="D24" s="8"/>
      <c r="E24" s="45"/>
      <c r="F24" s="39"/>
      <c r="G24" s="53">
        <v>5100000</v>
      </c>
      <c r="H24" s="46">
        <f>JANUARI!H24+JANUARI!I24</f>
        <v>0</v>
      </c>
      <c r="I24" s="36">
        <v>0</v>
      </c>
      <c r="J24" s="37">
        <f t="shared" ref="J24:J26" si="0">G24-H24-I24</f>
        <v>5100000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24</v>
      </c>
      <c r="C25" s="39" t="s">
        <v>38</v>
      </c>
      <c r="D25" s="8"/>
      <c r="E25" s="45"/>
      <c r="F25" s="39"/>
      <c r="G25" s="53">
        <v>2500000</v>
      </c>
      <c r="H25" s="46">
        <f>JANUARI!H25+JANUARI!I25</f>
        <v>0</v>
      </c>
      <c r="I25" s="36">
        <v>0</v>
      </c>
      <c r="J25" s="37">
        <f t="shared" si="0"/>
        <v>2500000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48"/>
      <c r="B26" s="48" t="s">
        <v>34</v>
      </c>
      <c r="C26" s="39" t="s">
        <v>39</v>
      </c>
      <c r="D26" s="8"/>
      <c r="E26" s="45"/>
      <c r="F26" s="39"/>
      <c r="G26" s="53">
        <v>10000000</v>
      </c>
      <c r="H26" s="46">
        <f>JANUARI!H26+JANUARI!I26</f>
        <v>1400000</v>
      </c>
      <c r="I26" s="36">
        <v>1750000</v>
      </c>
      <c r="J26" s="37">
        <f t="shared" si="0"/>
        <v>6850000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6"/>
      <c r="B27" s="16"/>
      <c r="C27" s="17" t="s">
        <v>8</v>
      </c>
      <c r="D27" s="17"/>
      <c r="E27" s="17"/>
      <c r="F27" s="43"/>
      <c r="G27" s="42">
        <f>SUM(G23:G26)</f>
        <v>17600000</v>
      </c>
      <c r="H27" s="18">
        <f>SUM(H23:H26)</f>
        <v>1400000</v>
      </c>
      <c r="I27" s="18">
        <f>SUM(I23:I26)</f>
        <v>1750000</v>
      </c>
      <c r="J27" s="18">
        <f>SUM(J23:J26)</f>
        <v>14450000</v>
      </c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19"/>
      <c r="B28" s="55"/>
      <c r="C28" s="6"/>
      <c r="D28" s="6"/>
      <c r="E28" s="6"/>
      <c r="F28" s="6"/>
      <c r="G28" s="20"/>
      <c r="H28" s="20"/>
      <c r="I28" s="20"/>
      <c r="J28" s="2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64" t="s">
        <v>14</v>
      </c>
      <c r="B29" s="64"/>
      <c r="C29" s="64"/>
      <c r="D29" s="33" t="s">
        <v>12</v>
      </c>
      <c r="E29" s="44">
        <f>I27</f>
        <v>1750000</v>
      </c>
      <c r="F29" s="38"/>
      <c r="G29" s="21"/>
      <c r="H29" s="21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9</v>
      </c>
      <c r="B30" s="8"/>
      <c r="C30" s="8"/>
      <c r="D30" s="33" t="s">
        <v>12</v>
      </c>
      <c r="E30" s="34"/>
      <c r="F30" s="34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16</v>
      </c>
      <c r="B31" s="8"/>
      <c r="C31" s="8"/>
      <c r="D31" s="33" t="s">
        <v>12</v>
      </c>
      <c r="E31" s="35"/>
      <c r="F31" s="35"/>
      <c r="G31" s="22"/>
      <c r="H31" s="9"/>
      <c r="I31" s="10"/>
      <c r="J31" s="10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8" t="s">
        <v>10</v>
      </c>
      <c r="B32" s="8"/>
      <c r="C32" s="8"/>
      <c r="D32" s="33" t="s">
        <v>12</v>
      </c>
      <c r="E32" s="35">
        <f>E30+E31</f>
        <v>0</v>
      </c>
      <c r="F32" s="35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47"/>
      <c r="B33" s="47"/>
      <c r="C33" s="47"/>
      <c r="D33" s="33"/>
      <c r="E33" s="47"/>
      <c r="F33" s="47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64" t="s">
        <v>15</v>
      </c>
      <c r="B34" s="64"/>
      <c r="C34" s="64"/>
      <c r="D34" s="33" t="s">
        <v>12</v>
      </c>
      <c r="E34" s="38">
        <f>E29-E32</f>
        <v>1750000</v>
      </c>
      <c r="F34" s="38"/>
      <c r="G34" s="8"/>
      <c r="H34" s="9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ht="15.75" x14ac:dyDescent="0.25">
      <c r="A35" s="47"/>
      <c r="B35" s="47"/>
      <c r="C35" s="8"/>
      <c r="D35" s="8"/>
      <c r="E35" s="51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Tujuh Ratus Lima Puluh Ribu Rupiah</v>
      </c>
      <c r="F35" s="8"/>
      <c r="G35" s="8"/>
      <c r="H35" s="8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6"/>
      <c r="B36" s="26"/>
      <c r="C36" s="26"/>
      <c r="D36" s="26"/>
      <c r="E36" s="26"/>
      <c r="F36" s="26"/>
      <c r="G36" s="25"/>
      <c r="H36" s="24"/>
      <c r="I36" s="23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25"/>
      <c r="B37" s="25"/>
      <c r="C37" s="25"/>
      <c r="D37" s="25"/>
      <c r="E37" s="25"/>
      <c r="F37" s="25"/>
      <c r="G37" s="25"/>
      <c r="H37"/>
      <c r="I37" s="24"/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47"/>
      <c r="B38" s="47"/>
      <c r="C38" s="8"/>
      <c r="D38" s="8"/>
      <c r="E38" s="8"/>
      <c r="F38" s="8"/>
      <c r="G38" s="8"/>
      <c r="I38" s="49" t="s">
        <v>43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9" t="s">
        <v>27</v>
      </c>
      <c r="B39" s="8"/>
      <c r="C39" s="8"/>
      <c r="D39" s="8"/>
      <c r="E39" s="8"/>
      <c r="F39" s="8"/>
      <c r="G39" s="8"/>
      <c r="I39" s="9" t="s">
        <v>26</v>
      </c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8"/>
      <c r="B43" s="8"/>
      <c r="C43" s="8"/>
      <c r="D43" s="8"/>
      <c r="E43" s="8"/>
      <c r="F43" s="8"/>
      <c r="G43" s="8"/>
      <c r="I43" s="9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28" t="s">
        <v>35</v>
      </c>
      <c r="B44" s="28"/>
      <c r="C44" s="27"/>
      <c r="D44" s="27"/>
      <c r="E44" s="27"/>
      <c r="F44" s="27"/>
      <c r="G44" s="8" t="s">
        <v>11</v>
      </c>
      <c r="I44" s="28" t="s">
        <v>28</v>
      </c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5" spans="1:22" x14ac:dyDescent="0.25">
      <c r="A45" s="30"/>
      <c r="B45" s="30"/>
      <c r="C45" s="29"/>
      <c r="D45" s="29"/>
      <c r="E45" s="29"/>
      <c r="F45" s="29"/>
      <c r="G45" s="29"/>
      <c r="H45" s="30"/>
      <c r="I45" s="30"/>
      <c r="J45" s="24"/>
      <c r="K45" s="25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25"/>
    </row>
  </sheetData>
  <mergeCells count="9">
    <mergeCell ref="C22:E22"/>
    <mergeCell ref="A29:C29"/>
    <mergeCell ref="A34:C34"/>
    <mergeCell ref="A8:J8"/>
    <mergeCell ref="A9:J9"/>
    <mergeCell ref="A10:J10"/>
    <mergeCell ref="A11:J11"/>
    <mergeCell ref="A12:J12"/>
    <mergeCell ref="A21:J21"/>
  </mergeCells>
  <pageMargins left="0.23622047244094491" right="0.23622047244094491" top="0.15748031496062992" bottom="0.74803149606299213" header="0.31496062992125984" footer="0.31496062992125984"/>
  <pageSetup paperSize="9" scale="87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JANUARI</vt:lpstr>
      <vt:lpstr>FEBRUARI</vt:lpstr>
      <vt:lpstr>FEBRUARI!Print_Area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2026-03-02T05:34:21Z</cp:lastPrinted>
  <dcterms:created xsi:type="dcterms:W3CDTF">2017-02-01T01:06:13Z</dcterms:created>
  <dcterms:modified xsi:type="dcterms:W3CDTF">2026-03-02T08:24:30Z</dcterms:modified>
</cp:coreProperties>
</file>