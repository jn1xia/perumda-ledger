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6EDA1F37-3AB1-4F1E-B2ED-24A5D17E17C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FEBRUARI!$A$1:$J$59</definedName>
    <definedName name="_xlnm.Print_Area" localSheetId="0">JANUARI!$A$1:$J$59</definedName>
    <definedName name="_xlnm.Print_Area" localSheetId="2">MARET!$A$1:$J$59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7" l="1"/>
  <c r="H26" i="17"/>
  <c r="H27" i="17"/>
  <c r="H24" i="17"/>
  <c r="E33" i="17"/>
  <c r="I28" i="17"/>
  <c r="E30" i="17" s="1"/>
  <c r="E35" i="17" s="1"/>
  <c r="E36" i="17" s="1"/>
  <c r="G28" i="17"/>
  <c r="J27" i="17"/>
  <c r="J26" i="17"/>
  <c r="J25" i="17"/>
  <c r="E17" i="17"/>
  <c r="E18" i="17" s="1"/>
  <c r="H25" i="16"/>
  <c r="J25" i="16" s="1"/>
  <c r="H26" i="16"/>
  <c r="J26" i="16" s="1"/>
  <c r="H27" i="16"/>
  <c r="J27" i="16" s="1"/>
  <c r="H24" i="16"/>
  <c r="E33" i="16"/>
  <c r="I28" i="16"/>
  <c r="E30" i="16" s="1"/>
  <c r="E35" i="16" s="1"/>
  <c r="E36" i="16" s="1"/>
  <c r="G28" i="16"/>
  <c r="H28" i="17" l="1"/>
  <c r="J24" i="17"/>
  <c r="J28" i="17" s="1"/>
  <c r="H28" i="16"/>
  <c r="J24" i="16"/>
  <c r="J28" i="16" s="1"/>
  <c r="E17" i="16"/>
  <c r="E18" i="16" s="1"/>
  <c r="E33" i="15" l="1"/>
  <c r="I28" i="15"/>
  <c r="E17" i="15" s="1"/>
  <c r="E18" i="15" s="1"/>
  <c r="G28" i="15"/>
  <c r="J24" i="15"/>
  <c r="J27" i="15" l="1"/>
  <c r="J26" i="15"/>
  <c r="H28" i="15"/>
  <c r="J25" i="15"/>
  <c r="E30" i="15"/>
  <c r="E35" i="15" s="1"/>
  <c r="E36" i="15" s="1"/>
  <c r="J28" i="15" l="1"/>
</calcChain>
</file>

<file path=xl/sharedStrings.xml><?xml version="1.0" encoding="utf-8"?>
<sst xmlns="http://schemas.openxmlformats.org/spreadsheetml/2006/main" count="168" uniqueCount="48">
  <si>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</si>
  <si>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</si>
  <si>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</si>
  <si>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</si>
  <si>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</si>
  <si>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</si>
  <si>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</si>
  <si>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</si>
  <si>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</si>
  <si>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</si>
  <si>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</si>
  <si>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</si>
  <si>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</si>
  <si>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</si>
  <si>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</si>
  <si>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</si>
  <si>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</si>
  <si>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</si>
  <si>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</si>
  <si>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</si>
  <si>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</si>
  <si>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</si>
  <si>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</si>
  <si>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</si>
  <si>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1.2</t>
  </si>
  <si>
    <t>1.3</t>
  </si>
  <si>
    <t>1.4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</si>
  <si>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</si>
  <si>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</si>
  <si>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</si>
  <si>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</si>
  <si>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</si>
  <si>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</si>
  <si>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</si>
  <si>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</si>
  <si>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Insentif/Kesejahteraan Pegawai</t>
  </si>
  <si>
    <t>Lembur Tenaga Harian Lepas</t>
  </si>
  <si>
    <t>Lembur Karyawan</t>
  </si>
  <si>
    <t>IRNA WAHYUNI N.</t>
  </si>
  <si>
    <t>PERUMDA PASAR BANJARMASIN</t>
  </si>
  <si>
    <t>Lembur Tenaga Kontrak</t>
  </si>
  <si>
    <t>Insentif Penagihan</t>
  </si>
  <si>
    <r>
      <t>Nomor : 048/DIV-KEU/PPB/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</si>
  <si>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10 Februari 2026</t>
  </si>
  <si>
    <r>
      <t>Nomor : 003/DIV-KEU/PPB/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</si>
  <si>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Januari 2026</t>
  </si>
  <si>
    <r>
      <t>Nomor : 022/DIV-KEU/PPB/</t>
    </r>
    <r>
      <rPr>
        <sz val="11"/>
        <rFont val="Times New Roman"/>
        <family val="1"/>
      </rPr>
      <t>III</t>
    </r>
    <r>
      <rPr>
        <sz val="11"/>
        <color theme="1"/>
        <rFont val="Times New Roman"/>
        <family val="1"/>
      </rPr>
      <t>/2026</t>
    </r>
  </si>
  <si>
    <t>Banjarmasin, 09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</si>
</sst>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67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3" fillId="0" borderId="0" xfId="0" applyFont="1"/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3" xfId="3" applyNumberFormat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9</xdr:col>
      <xdr:colOff>1162051</xdr:colOff>
      <xdr:row>9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7A0EC5-EBA2-4510-8712-B3BB4700B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7172326" cy="17525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F4B8D76-94C8-40A3-A97B-5511D095C13A}"/>
            </a:ext>
          </a:extLst>
        </xdr:cNvPr>
        <xdr:cNvCxnSpPr/>
      </xdr:nvCxnSpPr>
      <xdr:spPr>
        <a:xfrm>
          <a:off x="19050" y="1409700"/>
          <a:ext cx="71818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9</xdr:col>
      <xdr:colOff>1162051</xdr:colOff>
      <xdr:row>9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6DCCB-4D1C-4AD6-92CF-1BD967167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7172326" cy="17525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9288608-2094-4343-A8F4-8C098D3B823C}"/>
            </a:ext>
          </a:extLst>
        </xdr:cNvPr>
        <xdr:cNvCxnSpPr/>
      </xdr:nvCxnSpPr>
      <xdr:spPr>
        <a:xfrm>
          <a:off x="19050" y="1219200"/>
          <a:ext cx="71818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9</xdr:col>
      <xdr:colOff>1162051</xdr:colOff>
      <xdr:row>9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199DB-FDE1-4C59-9321-83772D060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7172326" cy="17525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4A6147-C3A9-425C-920F-239D41F0C93E}"/>
            </a:ext>
          </a:extLst>
        </xdr:cNvPr>
        <xdr:cNvCxnSpPr/>
      </xdr:nvCxnSpPr>
      <xdr:spPr>
        <a:xfrm>
          <a:off x="19050" y="1219200"/>
          <a:ext cx="71818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800B-70D0-4606-920E-F3C69427E847}">
  <dimension ref="A1:V46"/>
  <sheetViews>
    <sheetView view="pageBreakPreview" zoomScaleNormal="100" zoomScaleSheetLayoutView="100" workbookViewId="0">
      <selection activeCell="J45" sqref="A1:J45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16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C5" s="3"/>
      <c r="D5" s="3"/>
      <c r="E5" s="3"/>
      <c r="F5" s="3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ht="15.75" x14ac:dyDescent="0.25">
      <c r="A6" s="2"/>
      <c r="B6" s="2"/>
      <c r="C6" s="3"/>
      <c r="D6" s="3"/>
      <c r="E6" s="3"/>
      <c r="F6" s="3"/>
      <c r="G6" s="2"/>
      <c r="H6" s="4"/>
      <c r="I6" s="4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4" t="s">
        <v>32</v>
      </c>
      <c r="B8" s="64"/>
      <c r="C8" s="65"/>
      <c r="D8" s="65"/>
      <c r="E8" s="65"/>
      <c r="F8" s="65"/>
      <c r="G8" s="65"/>
      <c r="H8" s="65"/>
      <c r="I8" s="65"/>
      <c r="J8" s="65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5" t="s">
        <v>44</v>
      </c>
      <c r="B9" s="65"/>
      <c r="C9" s="65"/>
      <c r="D9" s="65"/>
      <c r="E9" s="65"/>
      <c r="F9" s="65"/>
      <c r="G9" s="65"/>
      <c r="H9" s="65"/>
      <c r="I9" s="65"/>
      <c r="J9" s="65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5" t="s">
        <v>13</v>
      </c>
      <c r="B10" s="65"/>
      <c r="C10" s="65"/>
      <c r="D10" s="65"/>
      <c r="E10" s="65"/>
      <c r="F10" s="65"/>
      <c r="G10" s="65"/>
      <c r="H10" s="65"/>
      <c r="I10" s="65"/>
      <c r="J10" s="65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5" t="s">
        <v>39</v>
      </c>
      <c r="B11" s="65"/>
      <c r="C11" s="65"/>
      <c r="D11" s="65"/>
      <c r="E11" s="65"/>
      <c r="F11" s="65"/>
      <c r="G11" s="65"/>
      <c r="H11" s="65"/>
      <c r="I11" s="65"/>
      <c r="J11" s="65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5" t="s">
        <v>27</v>
      </c>
      <c r="B12" s="65"/>
      <c r="C12" s="65"/>
      <c r="D12" s="65"/>
      <c r="E12" s="65"/>
      <c r="F12" s="65"/>
      <c r="G12" s="65"/>
      <c r="H12" s="65"/>
      <c r="I12" s="65"/>
      <c r="J12" s="65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33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34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I28</f>
        <v>7150000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Seratus Lima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6" t="s">
        <v>2</v>
      </c>
      <c r="B21" s="66"/>
      <c r="C21" s="66"/>
      <c r="D21" s="66"/>
      <c r="E21" s="66"/>
      <c r="F21" s="66"/>
      <c r="G21" s="66"/>
      <c r="H21" s="66"/>
      <c r="I21" s="66"/>
      <c r="J21" s="66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0" t="s">
        <v>4</v>
      </c>
      <c r="D22" s="61"/>
      <c r="E22" s="62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35</v>
      </c>
      <c r="D23" s="57"/>
      <c r="E23" s="45"/>
      <c r="F23" s="39"/>
      <c r="G23" s="56" t="s">
        <v>31</v>
      </c>
      <c r="H23" s="56" t="s">
        <v>31</v>
      </c>
      <c r="I23" s="56" t="s">
        <v>31</v>
      </c>
      <c r="J23" s="56" t="s">
        <v>31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37</v>
      </c>
      <c r="D24" s="8"/>
      <c r="E24" s="45"/>
      <c r="F24" s="39"/>
      <c r="G24" s="52">
        <v>75000000</v>
      </c>
      <c r="H24" s="46">
        <v>0</v>
      </c>
      <c r="I24" s="36">
        <v>6050000</v>
      </c>
      <c r="J24" s="37">
        <f t="shared" ref="J24:J27" si="0">G24-H24-I24</f>
        <v>68950000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40</v>
      </c>
      <c r="D25" s="8"/>
      <c r="E25" s="45"/>
      <c r="F25" s="39"/>
      <c r="G25" s="52">
        <v>15000000</v>
      </c>
      <c r="H25" s="46">
        <v>0</v>
      </c>
      <c r="I25" s="36">
        <v>200000</v>
      </c>
      <c r="J25" s="37">
        <f t="shared" si="0"/>
        <v>14800000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48"/>
      <c r="B26" s="48" t="s">
        <v>25</v>
      </c>
      <c r="C26" s="39" t="s">
        <v>36</v>
      </c>
      <c r="D26" s="8"/>
      <c r="E26" s="45"/>
      <c r="F26" s="39"/>
      <c r="G26" s="52">
        <v>26250000</v>
      </c>
      <c r="H26" s="46">
        <v>0</v>
      </c>
      <c r="I26" s="36">
        <v>900000</v>
      </c>
      <c r="J26" s="37">
        <f t="shared" si="0"/>
        <v>25350000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48"/>
      <c r="B27" s="48" t="s">
        <v>26</v>
      </c>
      <c r="C27" s="39" t="s">
        <v>41</v>
      </c>
      <c r="D27" s="8"/>
      <c r="E27" s="45"/>
      <c r="F27" s="39"/>
      <c r="G27" s="52">
        <v>100000000</v>
      </c>
      <c r="H27" s="46">
        <v>0</v>
      </c>
      <c r="I27" s="36">
        <v>0</v>
      </c>
      <c r="J27" s="37">
        <f t="shared" si="0"/>
        <v>100000000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16"/>
      <c r="B28" s="16"/>
      <c r="C28" s="17" t="s">
        <v>8</v>
      </c>
      <c r="D28" s="17"/>
      <c r="E28" s="17"/>
      <c r="F28" s="43"/>
      <c r="G28" s="42">
        <f>SUM(G23:G27)</f>
        <v>216250000</v>
      </c>
      <c r="H28" s="18">
        <f>SUM(H23:H27)</f>
        <v>0</v>
      </c>
      <c r="I28" s="18">
        <f>SUM(I23:I27)</f>
        <v>7150000</v>
      </c>
      <c r="J28" s="18">
        <f>SUM(J23:J27)</f>
        <v>209100000</v>
      </c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19"/>
      <c r="B29" s="54"/>
      <c r="C29" s="6"/>
      <c r="D29" s="6"/>
      <c r="E29" s="6"/>
      <c r="F29" s="6"/>
      <c r="G29" s="20"/>
      <c r="H29" s="20"/>
      <c r="I29" s="20"/>
      <c r="J29" s="2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63" t="s">
        <v>14</v>
      </c>
      <c r="B30" s="63"/>
      <c r="C30" s="63"/>
      <c r="D30" s="33" t="s">
        <v>12</v>
      </c>
      <c r="E30" s="44">
        <f>I28</f>
        <v>7150000</v>
      </c>
      <c r="F30" s="38"/>
      <c r="G30" s="21"/>
      <c r="H30" s="21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9</v>
      </c>
      <c r="B31" s="8"/>
      <c r="C31" s="8"/>
      <c r="D31" s="33" t="s">
        <v>12</v>
      </c>
      <c r="E31" s="34"/>
      <c r="F31" s="34"/>
      <c r="G31" s="22"/>
      <c r="H31" s="9"/>
      <c r="I31" s="10"/>
      <c r="J31" s="10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8" t="s">
        <v>16</v>
      </c>
      <c r="B32" s="8"/>
      <c r="C32" s="8"/>
      <c r="D32" s="33" t="s">
        <v>12</v>
      </c>
      <c r="E32" s="35"/>
      <c r="F32" s="35"/>
      <c r="G32" s="22"/>
      <c r="H32" s="9"/>
      <c r="I32" s="10"/>
      <c r="J32" s="10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8" t="s">
        <v>10</v>
      </c>
      <c r="B33" s="8"/>
      <c r="C33" s="8"/>
      <c r="D33" s="33" t="s">
        <v>12</v>
      </c>
      <c r="E33" s="35">
        <f>E31+E32</f>
        <v>0</v>
      </c>
      <c r="F33" s="35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47"/>
      <c r="B34" s="47"/>
      <c r="C34" s="47"/>
      <c r="D34" s="33"/>
      <c r="E34" s="47"/>
      <c r="F34" s="47"/>
      <c r="G34" s="8"/>
      <c r="H34" s="9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63" t="s">
        <v>15</v>
      </c>
      <c r="B35" s="63"/>
      <c r="C35" s="63"/>
      <c r="D35" s="33" t="s">
        <v>12</v>
      </c>
      <c r="E35" s="38">
        <f>E30-E33</f>
        <v>7150000</v>
      </c>
      <c r="F35" s="38"/>
      <c r="G35" s="8"/>
      <c r="H35" s="9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ht="15.75" x14ac:dyDescent="0.25">
      <c r="A36" s="47"/>
      <c r="B36" s="47"/>
      <c r="C36" s="8"/>
      <c r="D36" s="8"/>
      <c r="E36" s="51" t="str">
        <f>PROPER(IF(E35=0,"nol",IF(E35&lt;0,"minus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35),"000000000000000"),1,3)=0,"",MID(TEXT(ABS(E35),"000000000000000"),1,1)&amp;" ratus "&amp;MID(TEXT(ABS(E35),"000000000000000"),2,1)&amp;" puluh "&amp;MID(TEXT(ABS(E35),"000000000000000"),3,1)&amp;" trilyun ")&amp;IF(--MID(TEXT(ABS(E35),"000000000000000"),4,3)=0,"",MID(TEXT(ABS(E35),"000000000000000"),4,1)&amp;" ratus "&amp;MID(TEXT(ABS(E35),"000000000000000"),5,1)&amp;" puluh "&amp;MID(TEXT(ABS(E35),"000000000000000"),6,1)&amp;" milyar ")&amp;IF(--MID(TEXT(ABS(E35),"000000000000000"),7,3)=0,"",MID(TEXT(ABS(E35),"000000000000000"),7,1)&amp;" ratus "&amp;MID(TEXT(ABS(E35),"000000000000000"),8,1)&amp;" puluh "&amp;MID(TEXT(ABS(E35),"000000000000000"),9,1)&amp;" juta ")&amp;IF(--MID(TEXT(ABS(E35),"000000000000000"),10,3)=0,"",IF(--MID(TEXT(ABS(E35),"000000000000000"),10,3)=1,"*",MID(TEXT(ABS(E35),"000000000000000"),10,1)&amp;" ratus "&amp;MID(TEXT(ABS(E35),"000000000000000"),11,1)&amp;" puluh ")&amp;MID(TEXT(ABS(E35),"000000000000000"),12,1)&amp;" ribu ")&amp;IF(--MID(TEXT(ABS(E35),"000000000000000"),13,3)=0,"",MID(TEXT(ABS(E35),"000000000000000"),13,1)&amp;" ratus "&amp;MID(TEXT(ABS(E35),"000000000000000"),14,1)&amp;" puluh "&amp;MID(TEXT(ABS(E35),"000000000000000"),15,1)),1,"satu"),2,"dua"),3,"tiga"),4,"empat"),5,"lima"),6,"enam"),7,"tujuh"),8,"delapan"),9,"sembilan"),"0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Seratus Lima Puluh Ribu Rupiah</v>
      </c>
      <c r="F36" s="8"/>
      <c r="G36" s="8"/>
      <c r="H36" s="8"/>
      <c r="I36" s="23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26"/>
      <c r="B37" s="26"/>
      <c r="C37" s="26"/>
      <c r="D37" s="26"/>
      <c r="E37" s="26"/>
      <c r="F37" s="26"/>
      <c r="G37" s="25"/>
      <c r="H37" s="24"/>
      <c r="I37" s="23"/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25"/>
      <c r="B38" s="25"/>
      <c r="C38" s="25"/>
      <c r="D38" s="25"/>
      <c r="E38" s="25"/>
      <c r="F38" s="25"/>
      <c r="G38" s="25"/>
      <c r="H38"/>
      <c r="I38" s="24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47"/>
      <c r="B39" s="47"/>
      <c r="C39" s="8"/>
      <c r="D39" s="8"/>
      <c r="E39" s="8"/>
      <c r="F39" s="8"/>
      <c r="G39" s="8"/>
      <c r="I39" s="49" t="s">
        <v>45</v>
      </c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9" t="s">
        <v>29</v>
      </c>
      <c r="B40" s="9"/>
      <c r="C40" s="8"/>
      <c r="D40" s="8"/>
      <c r="E40" s="8"/>
      <c r="F40" s="8"/>
      <c r="G40" s="8"/>
      <c r="I40" s="9" t="s">
        <v>28</v>
      </c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8"/>
      <c r="B43" s="8"/>
      <c r="C43" s="8"/>
      <c r="D43" s="8"/>
      <c r="E43" s="8"/>
      <c r="F43" s="8"/>
      <c r="G43" s="8"/>
      <c r="I43" s="9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8"/>
      <c r="B44" s="8"/>
      <c r="C44" s="8"/>
      <c r="D44" s="8"/>
      <c r="E44" s="8"/>
      <c r="F44" s="8"/>
      <c r="G44" s="8"/>
      <c r="I44" s="9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x14ac:dyDescent="0.25">
      <c r="A45" s="28" t="s">
        <v>38</v>
      </c>
      <c r="B45" s="28"/>
      <c r="C45" s="27"/>
      <c r="D45" s="27"/>
      <c r="E45" s="27"/>
      <c r="F45" s="27"/>
      <c r="G45" s="8" t="s">
        <v>11</v>
      </c>
      <c r="I45" s="28" t="s">
        <v>30</v>
      </c>
      <c r="J45" s="24"/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6" spans="1:22" x14ac:dyDescent="0.25">
      <c r="A46" s="30"/>
      <c r="B46" s="30"/>
      <c r="C46" s="29"/>
      <c r="D46" s="29"/>
      <c r="E46" s="29"/>
      <c r="F46" s="29"/>
      <c r="G46" s="29"/>
      <c r="H46" s="30"/>
      <c r="I46" s="30"/>
      <c r="J46" s="24"/>
      <c r="K46" s="25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25"/>
    </row>
  </sheetData>
  <mergeCells count="9">
    <mergeCell ref="C22:E22"/>
    <mergeCell ref="A30:C30"/>
    <mergeCell ref="A35:C35"/>
    <mergeCell ref="A8:J8"/>
    <mergeCell ref="A9:J9"/>
    <mergeCell ref="A10:J10"/>
    <mergeCell ref="A11:J11"/>
    <mergeCell ref="A12:J12"/>
    <mergeCell ref="A21:J21"/>
  </mergeCells>
  <pageMargins left="0.23622047244094491" right="0.23622047244094491" top="0.15748031496062992" bottom="0.74803149606299213" header="0.31496062992125984" footer="0.31496062992125984"/>
  <pageSetup paperSize="9" scale="91" orientation="portrait" horizontalDpi="4294967293" r:id="rId1"/>
  <rowBreaks count="1" manualBreakCount="1">
    <brk id="46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80C1-456D-4816-AA0C-0A13793B89B5}">
  <dimension ref="A1:V46"/>
  <sheetViews>
    <sheetView view="pageBreakPreview" topLeftCell="A4" zoomScaleNormal="100" zoomScaleSheetLayoutView="100" workbookViewId="0">
      <selection activeCell="H31" sqref="H31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16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C5" s="3"/>
      <c r="D5" s="3"/>
      <c r="E5" s="3"/>
      <c r="F5" s="3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ht="15.75" x14ac:dyDescent="0.25">
      <c r="A6" s="2"/>
      <c r="B6" s="2"/>
      <c r="C6" s="3"/>
      <c r="D6" s="3"/>
      <c r="E6" s="3"/>
      <c r="F6" s="3"/>
      <c r="G6" s="2"/>
      <c r="H6" s="4"/>
      <c r="I6" s="4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4" t="s">
        <v>32</v>
      </c>
      <c r="B8" s="64"/>
      <c r="C8" s="65"/>
      <c r="D8" s="65"/>
      <c r="E8" s="65"/>
      <c r="F8" s="65"/>
      <c r="G8" s="65"/>
      <c r="H8" s="65"/>
      <c r="I8" s="65"/>
      <c r="J8" s="65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5" t="s">
        <v>42</v>
      </c>
      <c r="B9" s="65"/>
      <c r="C9" s="65"/>
      <c r="D9" s="65"/>
      <c r="E9" s="65"/>
      <c r="F9" s="65"/>
      <c r="G9" s="65"/>
      <c r="H9" s="65"/>
      <c r="I9" s="65"/>
      <c r="J9" s="65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5" t="s">
        <v>13</v>
      </c>
      <c r="B10" s="65"/>
      <c r="C10" s="65"/>
      <c r="D10" s="65"/>
      <c r="E10" s="65"/>
      <c r="F10" s="65"/>
      <c r="G10" s="65"/>
      <c r="H10" s="65"/>
      <c r="I10" s="65"/>
      <c r="J10" s="65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5" t="s">
        <v>39</v>
      </c>
      <c r="B11" s="65"/>
      <c r="C11" s="65"/>
      <c r="D11" s="65"/>
      <c r="E11" s="65"/>
      <c r="F11" s="65"/>
      <c r="G11" s="65"/>
      <c r="H11" s="65"/>
      <c r="I11" s="65"/>
      <c r="J11" s="65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5" t="s">
        <v>27</v>
      </c>
      <c r="B12" s="65"/>
      <c r="C12" s="65"/>
      <c r="D12" s="65"/>
      <c r="E12" s="65"/>
      <c r="F12" s="65"/>
      <c r="G12" s="65"/>
      <c r="H12" s="65"/>
      <c r="I12" s="65"/>
      <c r="J12" s="65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33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34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I28</f>
        <v>6250000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Juta Dua Ratus Lima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6" t="s">
        <v>2</v>
      </c>
      <c r="B21" s="66"/>
      <c r="C21" s="66"/>
      <c r="D21" s="66"/>
      <c r="E21" s="66"/>
      <c r="F21" s="66"/>
      <c r="G21" s="66"/>
      <c r="H21" s="66"/>
      <c r="I21" s="66"/>
      <c r="J21" s="66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0" t="s">
        <v>4</v>
      </c>
      <c r="D22" s="61"/>
      <c r="E22" s="62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35</v>
      </c>
      <c r="D23" s="57"/>
      <c r="E23" s="45"/>
      <c r="F23" s="39"/>
      <c r="G23" s="56" t="s">
        <v>31</v>
      </c>
      <c r="H23" s="56" t="s">
        <v>31</v>
      </c>
      <c r="I23" s="56" t="s">
        <v>31</v>
      </c>
      <c r="J23" s="56" t="s">
        <v>31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37</v>
      </c>
      <c r="D24" s="8"/>
      <c r="E24" s="45"/>
      <c r="F24" s="39"/>
      <c r="G24" s="52">
        <v>75000000</v>
      </c>
      <c r="H24" s="46">
        <f>JANUARI!H24+JANUARI!I24</f>
        <v>6050000</v>
      </c>
      <c r="I24" s="36">
        <v>4950000</v>
      </c>
      <c r="J24" s="37">
        <f t="shared" ref="J24:J27" si="0">G24-H24-I24</f>
        <v>64000000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40</v>
      </c>
      <c r="D25" s="8"/>
      <c r="E25" s="45"/>
      <c r="F25" s="39"/>
      <c r="G25" s="52">
        <v>15000000</v>
      </c>
      <c r="H25" s="46">
        <f>JANUARI!H25+JANUARI!I25</f>
        <v>200000</v>
      </c>
      <c r="I25" s="36">
        <v>0</v>
      </c>
      <c r="J25" s="37">
        <f t="shared" si="0"/>
        <v>14800000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48"/>
      <c r="B26" s="48" t="s">
        <v>25</v>
      </c>
      <c r="C26" s="39" t="s">
        <v>36</v>
      </c>
      <c r="D26" s="8"/>
      <c r="E26" s="45"/>
      <c r="F26" s="39"/>
      <c r="G26" s="52">
        <v>26250000</v>
      </c>
      <c r="H26" s="46">
        <f>JANUARI!H26+JANUARI!I26</f>
        <v>900000</v>
      </c>
      <c r="I26" s="36">
        <v>1300000</v>
      </c>
      <c r="J26" s="37">
        <f t="shared" si="0"/>
        <v>24050000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48"/>
      <c r="B27" s="48" t="s">
        <v>26</v>
      </c>
      <c r="C27" s="39" t="s">
        <v>41</v>
      </c>
      <c r="D27" s="8"/>
      <c r="E27" s="45"/>
      <c r="F27" s="39"/>
      <c r="G27" s="52">
        <v>100000000</v>
      </c>
      <c r="H27" s="46">
        <f>JANUARI!H27+JANUARI!I27</f>
        <v>0</v>
      </c>
      <c r="I27" s="36">
        <v>0</v>
      </c>
      <c r="J27" s="37">
        <f t="shared" si="0"/>
        <v>100000000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16"/>
      <c r="B28" s="16"/>
      <c r="C28" s="17" t="s">
        <v>8</v>
      </c>
      <c r="D28" s="17"/>
      <c r="E28" s="17"/>
      <c r="F28" s="43"/>
      <c r="G28" s="42">
        <f>SUM(G23:G27)</f>
        <v>216250000</v>
      </c>
      <c r="H28" s="18">
        <f>SUM(H23:H27)</f>
        <v>7150000</v>
      </c>
      <c r="I28" s="18">
        <f>SUM(I23:I27)</f>
        <v>6250000</v>
      </c>
      <c r="J28" s="18">
        <f>SUM(J23:J27)</f>
        <v>202850000</v>
      </c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19"/>
      <c r="B29" s="54"/>
      <c r="C29" s="6"/>
      <c r="D29" s="6"/>
      <c r="E29" s="6"/>
      <c r="F29" s="6"/>
      <c r="G29" s="20"/>
      <c r="H29" s="20"/>
      <c r="I29" s="20"/>
      <c r="J29" s="2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63" t="s">
        <v>14</v>
      </c>
      <c r="B30" s="63"/>
      <c r="C30" s="63"/>
      <c r="D30" s="33" t="s">
        <v>12</v>
      </c>
      <c r="E30" s="44">
        <f>I28</f>
        <v>6250000</v>
      </c>
      <c r="F30" s="38"/>
      <c r="G30" s="21"/>
      <c r="H30" s="21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9</v>
      </c>
      <c r="B31" s="8"/>
      <c r="C31" s="8"/>
      <c r="D31" s="33" t="s">
        <v>12</v>
      </c>
      <c r="E31" s="34"/>
      <c r="F31" s="34"/>
      <c r="G31" s="22"/>
      <c r="H31" s="9"/>
      <c r="I31" s="10"/>
      <c r="J31" s="10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8" t="s">
        <v>16</v>
      </c>
      <c r="B32" s="8"/>
      <c r="C32" s="8"/>
      <c r="D32" s="33" t="s">
        <v>12</v>
      </c>
      <c r="E32" s="35"/>
      <c r="F32" s="35"/>
      <c r="G32" s="22"/>
      <c r="H32" s="9"/>
      <c r="I32" s="10"/>
      <c r="J32" s="10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8" t="s">
        <v>10</v>
      </c>
      <c r="B33" s="8"/>
      <c r="C33" s="8"/>
      <c r="D33" s="33" t="s">
        <v>12</v>
      </c>
      <c r="E33" s="35">
        <f>E31+E32</f>
        <v>0</v>
      </c>
      <c r="F33" s="35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47"/>
      <c r="B34" s="47"/>
      <c r="C34" s="47"/>
      <c r="D34" s="33"/>
      <c r="E34" s="47"/>
      <c r="F34" s="47"/>
      <c r="G34" s="8"/>
      <c r="H34" s="9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63" t="s">
        <v>15</v>
      </c>
      <c r="B35" s="63"/>
      <c r="C35" s="63"/>
      <c r="D35" s="33" t="s">
        <v>12</v>
      </c>
      <c r="E35" s="38">
        <f>E30-E33</f>
        <v>6250000</v>
      </c>
      <c r="F35" s="38"/>
      <c r="G35" s="8"/>
      <c r="H35" s="9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ht="15.75" x14ac:dyDescent="0.25">
      <c r="A36" s="47"/>
      <c r="B36" s="47"/>
      <c r="C36" s="8"/>
      <c r="D36" s="8"/>
      <c r="E36" s="51" t="str">
        <f>PROPER(IF(E35=0,"nol",IF(E35&lt;0,"minus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35),"000000000000000"),1,3)=0,"",MID(TEXT(ABS(E35),"000000000000000"),1,1)&amp;" ratus "&amp;MID(TEXT(ABS(E35),"000000000000000"),2,1)&amp;" puluh "&amp;MID(TEXT(ABS(E35),"000000000000000"),3,1)&amp;" trilyun ")&amp;IF(--MID(TEXT(ABS(E35),"000000000000000"),4,3)=0,"",MID(TEXT(ABS(E35),"000000000000000"),4,1)&amp;" ratus "&amp;MID(TEXT(ABS(E35),"000000000000000"),5,1)&amp;" puluh "&amp;MID(TEXT(ABS(E35),"000000000000000"),6,1)&amp;" milyar ")&amp;IF(--MID(TEXT(ABS(E35),"000000000000000"),7,3)=0,"",MID(TEXT(ABS(E35),"000000000000000"),7,1)&amp;" ratus "&amp;MID(TEXT(ABS(E35),"000000000000000"),8,1)&amp;" puluh "&amp;MID(TEXT(ABS(E35),"000000000000000"),9,1)&amp;" juta ")&amp;IF(--MID(TEXT(ABS(E35),"000000000000000"),10,3)=0,"",IF(--MID(TEXT(ABS(E35),"000000000000000"),10,3)=1,"*",MID(TEXT(ABS(E35),"000000000000000"),10,1)&amp;" ratus "&amp;MID(TEXT(ABS(E35),"000000000000000"),11,1)&amp;" puluh ")&amp;MID(TEXT(ABS(E35),"000000000000000"),12,1)&amp;" ribu ")&amp;IF(--MID(TEXT(ABS(E35),"000000000000000"),13,3)=0,"",MID(TEXT(ABS(E35),"000000000000000"),13,1)&amp;" ratus "&amp;MID(TEXT(ABS(E35),"000000000000000"),14,1)&amp;" puluh "&amp;MID(TEXT(ABS(E35),"000000000000000"),15,1)),1,"satu"),2,"dua"),3,"tiga"),4,"empat"),5,"lima"),6,"enam"),7,"tujuh"),8,"delapan"),9,"sembilan"),"0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Juta Dua Ratus Lima Puluh Ribu Rupiah</v>
      </c>
      <c r="F36" s="8"/>
      <c r="G36" s="8"/>
      <c r="H36" s="8"/>
      <c r="I36" s="23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26"/>
      <c r="B37" s="26"/>
      <c r="C37" s="26"/>
      <c r="D37" s="26"/>
      <c r="E37" s="26"/>
      <c r="F37" s="26"/>
      <c r="G37" s="25"/>
      <c r="H37" s="24"/>
      <c r="I37" s="23"/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25"/>
      <c r="B38" s="25"/>
      <c r="C38" s="25"/>
      <c r="D38" s="25"/>
      <c r="E38" s="25"/>
      <c r="F38" s="25"/>
      <c r="G38" s="25"/>
      <c r="H38"/>
      <c r="I38" s="24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47"/>
      <c r="B39" s="47"/>
      <c r="C39" s="8"/>
      <c r="D39" s="8"/>
      <c r="E39" s="8"/>
      <c r="F39" s="8"/>
      <c r="G39" s="8"/>
      <c r="I39" s="49" t="s">
        <v>43</v>
      </c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9" t="s">
        <v>29</v>
      </c>
      <c r="B40" s="9"/>
      <c r="C40" s="8"/>
      <c r="D40" s="8"/>
      <c r="E40" s="8"/>
      <c r="F40" s="8"/>
      <c r="G40" s="8"/>
      <c r="I40" s="9" t="s">
        <v>28</v>
      </c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8"/>
      <c r="B43" s="8"/>
      <c r="C43" s="8"/>
      <c r="D43" s="8"/>
      <c r="E43" s="8"/>
      <c r="F43" s="8"/>
      <c r="G43" s="8"/>
      <c r="I43" s="9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8"/>
      <c r="B44" s="8"/>
      <c r="C44" s="8"/>
      <c r="D44" s="8"/>
      <c r="E44" s="8"/>
      <c r="F44" s="8"/>
      <c r="G44" s="8"/>
      <c r="I44" s="9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x14ac:dyDescent="0.25">
      <c r="A45" s="28" t="s">
        <v>38</v>
      </c>
      <c r="B45" s="28"/>
      <c r="C45" s="27"/>
      <c r="D45" s="27"/>
      <c r="E45" s="27"/>
      <c r="F45" s="27"/>
      <c r="G45" s="8" t="s">
        <v>11</v>
      </c>
      <c r="I45" s="28" t="s">
        <v>30</v>
      </c>
      <c r="J45" s="24"/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6" spans="1:22" x14ac:dyDescent="0.25">
      <c r="A46" s="30"/>
      <c r="B46" s="30"/>
      <c r="C46" s="29"/>
      <c r="D46" s="29"/>
      <c r="E46" s="29"/>
      <c r="F46" s="29"/>
      <c r="G46" s="29"/>
      <c r="H46" s="30"/>
      <c r="I46" s="30"/>
      <c r="J46" s="24"/>
      <c r="K46" s="25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25"/>
    </row>
  </sheetData>
  <mergeCells count="9">
    <mergeCell ref="C22:E22"/>
    <mergeCell ref="A30:C30"/>
    <mergeCell ref="A35:C35"/>
    <mergeCell ref="A8:J8"/>
    <mergeCell ref="A9:J9"/>
    <mergeCell ref="A10:J10"/>
    <mergeCell ref="A11:J11"/>
    <mergeCell ref="A12:J12"/>
    <mergeCell ref="A21:J21"/>
  </mergeCells>
  <pageMargins left="0.23622047244094491" right="0.23622047244094491" top="0.15748031496062992" bottom="0.74803149606299213" header="0.31496062992125984" footer="0.31496062992125984"/>
  <pageSetup paperSize="9" scale="91" orientation="portrait" horizontalDpi="4294967293" r:id="rId1"/>
  <rowBreaks count="1" manualBreakCount="1">
    <brk id="46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F371-14B0-436A-A2B0-FA3065CF14E3}">
  <dimension ref="A1:V46"/>
  <sheetViews>
    <sheetView tabSelected="1" view="pageBreakPreview" zoomScaleNormal="100" zoomScaleSheetLayoutView="100" workbookViewId="0">
      <selection activeCell="J45" sqref="A1:J45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16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C5" s="3"/>
      <c r="D5" s="3"/>
      <c r="E5" s="3"/>
      <c r="F5" s="3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ht="15.75" x14ac:dyDescent="0.25">
      <c r="A6" s="2"/>
      <c r="B6" s="2"/>
      <c r="C6" s="3"/>
      <c r="D6" s="3"/>
      <c r="E6" s="3"/>
      <c r="F6" s="3"/>
      <c r="G6" s="2"/>
      <c r="H6" s="4"/>
      <c r="I6" s="4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4" t="s">
        <v>32</v>
      </c>
      <c r="B8" s="64"/>
      <c r="C8" s="65"/>
      <c r="D8" s="65"/>
      <c r="E8" s="65"/>
      <c r="F8" s="65"/>
      <c r="G8" s="65"/>
      <c r="H8" s="65"/>
      <c r="I8" s="65"/>
      <c r="J8" s="65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5" t="s">
        <v>46</v>
      </c>
      <c r="B9" s="65"/>
      <c r="C9" s="65"/>
      <c r="D9" s="65"/>
      <c r="E9" s="65"/>
      <c r="F9" s="65"/>
      <c r="G9" s="65"/>
      <c r="H9" s="65"/>
      <c r="I9" s="65"/>
      <c r="J9" s="65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5" t="s">
        <v>13</v>
      </c>
      <c r="B10" s="65"/>
      <c r="C10" s="65"/>
      <c r="D10" s="65"/>
      <c r="E10" s="65"/>
      <c r="F10" s="65"/>
      <c r="G10" s="65"/>
      <c r="H10" s="65"/>
      <c r="I10" s="65"/>
      <c r="J10" s="65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5" t="s">
        <v>39</v>
      </c>
      <c r="B11" s="65"/>
      <c r="C11" s="65"/>
      <c r="D11" s="65"/>
      <c r="E11" s="65"/>
      <c r="F11" s="65"/>
      <c r="G11" s="65"/>
      <c r="H11" s="65"/>
      <c r="I11" s="65"/>
      <c r="J11" s="65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5" t="s">
        <v>27</v>
      </c>
      <c r="B12" s="65"/>
      <c r="C12" s="65"/>
      <c r="D12" s="65"/>
      <c r="E12" s="65"/>
      <c r="F12" s="65"/>
      <c r="G12" s="65"/>
      <c r="H12" s="65"/>
      <c r="I12" s="65"/>
      <c r="J12" s="65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33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34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I28</f>
        <v>5550000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Juta Lima Ratus Lima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6" t="s">
        <v>2</v>
      </c>
      <c r="B21" s="66"/>
      <c r="C21" s="66"/>
      <c r="D21" s="66"/>
      <c r="E21" s="66"/>
      <c r="F21" s="66"/>
      <c r="G21" s="66"/>
      <c r="H21" s="66"/>
      <c r="I21" s="66"/>
      <c r="J21" s="66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0" t="s">
        <v>4</v>
      </c>
      <c r="D22" s="61"/>
      <c r="E22" s="62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35</v>
      </c>
      <c r="D23" s="57"/>
      <c r="E23" s="45"/>
      <c r="F23" s="39"/>
      <c r="G23" s="56" t="s">
        <v>31</v>
      </c>
      <c r="H23" s="56" t="s">
        <v>31</v>
      </c>
      <c r="I23" s="56" t="s">
        <v>31</v>
      </c>
      <c r="J23" s="56" t="s">
        <v>31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37</v>
      </c>
      <c r="D24" s="8"/>
      <c r="E24" s="45"/>
      <c r="F24" s="39"/>
      <c r="G24" s="52">
        <v>75000000</v>
      </c>
      <c r="H24" s="46">
        <f>FEBRUARI!H24+FEBRUARI!I24</f>
        <v>11000000</v>
      </c>
      <c r="I24" s="36">
        <v>4950000</v>
      </c>
      <c r="J24" s="37">
        <f t="shared" ref="J24:J27" si="0">G24-H24-I24</f>
        <v>59050000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40</v>
      </c>
      <c r="D25" s="8"/>
      <c r="E25" s="45"/>
      <c r="F25" s="39"/>
      <c r="G25" s="52">
        <v>15000000</v>
      </c>
      <c r="H25" s="46">
        <f>FEBRUARI!H25+FEBRUARI!I25</f>
        <v>200000</v>
      </c>
      <c r="I25" s="36">
        <v>0</v>
      </c>
      <c r="J25" s="37">
        <f t="shared" si="0"/>
        <v>14800000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48"/>
      <c r="B26" s="48" t="s">
        <v>25</v>
      </c>
      <c r="C26" s="39" t="s">
        <v>36</v>
      </c>
      <c r="D26" s="8"/>
      <c r="E26" s="45"/>
      <c r="F26" s="39"/>
      <c r="G26" s="52">
        <v>26250000</v>
      </c>
      <c r="H26" s="46">
        <f>FEBRUARI!H26+FEBRUARI!I26</f>
        <v>2200000</v>
      </c>
      <c r="I26" s="36">
        <v>600000</v>
      </c>
      <c r="J26" s="37">
        <f t="shared" si="0"/>
        <v>23450000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48"/>
      <c r="B27" s="48" t="s">
        <v>26</v>
      </c>
      <c r="C27" s="39" t="s">
        <v>41</v>
      </c>
      <c r="D27" s="8"/>
      <c r="E27" s="45"/>
      <c r="F27" s="39"/>
      <c r="G27" s="52">
        <v>100000000</v>
      </c>
      <c r="H27" s="46">
        <f>FEBRUARI!H27+FEBRUARI!I27</f>
        <v>0</v>
      </c>
      <c r="I27" s="36">
        <v>0</v>
      </c>
      <c r="J27" s="37">
        <f t="shared" si="0"/>
        <v>100000000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16"/>
      <c r="B28" s="16"/>
      <c r="C28" s="17" t="s">
        <v>8</v>
      </c>
      <c r="D28" s="17"/>
      <c r="E28" s="17"/>
      <c r="F28" s="43"/>
      <c r="G28" s="42">
        <f>SUM(G23:G27)</f>
        <v>216250000</v>
      </c>
      <c r="H28" s="18">
        <f>SUM(H23:H27)</f>
        <v>13400000</v>
      </c>
      <c r="I28" s="18">
        <f>SUM(I23:I27)</f>
        <v>5550000</v>
      </c>
      <c r="J28" s="18">
        <f>SUM(J23:J27)</f>
        <v>197300000</v>
      </c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19"/>
      <c r="B29" s="54"/>
      <c r="C29" s="6"/>
      <c r="D29" s="6"/>
      <c r="E29" s="6"/>
      <c r="F29" s="6"/>
      <c r="G29" s="20"/>
      <c r="H29" s="20"/>
      <c r="I29" s="20"/>
      <c r="J29" s="2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63" t="s">
        <v>14</v>
      </c>
      <c r="B30" s="63"/>
      <c r="C30" s="63"/>
      <c r="D30" s="33" t="s">
        <v>12</v>
      </c>
      <c r="E30" s="44">
        <f>I28</f>
        <v>5550000</v>
      </c>
      <c r="F30" s="38"/>
      <c r="G30" s="21"/>
      <c r="H30" s="21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9</v>
      </c>
      <c r="B31" s="8"/>
      <c r="C31" s="8"/>
      <c r="D31" s="33" t="s">
        <v>12</v>
      </c>
      <c r="E31" s="34"/>
      <c r="F31" s="34"/>
      <c r="G31" s="22"/>
      <c r="H31" s="9"/>
      <c r="I31" s="10"/>
      <c r="J31" s="10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8" t="s">
        <v>16</v>
      </c>
      <c r="B32" s="8"/>
      <c r="C32" s="8"/>
      <c r="D32" s="33" t="s">
        <v>12</v>
      </c>
      <c r="E32" s="35"/>
      <c r="F32" s="35"/>
      <c r="G32" s="22"/>
      <c r="H32" s="9"/>
      <c r="I32" s="10"/>
      <c r="J32" s="10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8" t="s">
        <v>10</v>
      </c>
      <c r="B33" s="8"/>
      <c r="C33" s="8"/>
      <c r="D33" s="33" t="s">
        <v>12</v>
      </c>
      <c r="E33" s="35">
        <f>E31+E32</f>
        <v>0</v>
      </c>
      <c r="F33" s="35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47"/>
      <c r="B34" s="47"/>
      <c r="C34" s="47"/>
      <c r="D34" s="33"/>
      <c r="E34" s="47"/>
      <c r="F34" s="47"/>
      <c r="G34" s="8"/>
      <c r="H34" s="9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63" t="s">
        <v>15</v>
      </c>
      <c r="B35" s="63"/>
      <c r="C35" s="63"/>
      <c r="D35" s="33" t="s">
        <v>12</v>
      </c>
      <c r="E35" s="38">
        <f>E30-E33</f>
        <v>5550000</v>
      </c>
      <c r="F35" s="38"/>
      <c r="G35" s="8"/>
      <c r="H35" s="9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ht="15.75" x14ac:dyDescent="0.25">
      <c r="A36" s="47"/>
      <c r="B36" s="47"/>
      <c r="C36" s="8"/>
      <c r="D36" s="8"/>
      <c r="E36" s="51" t="str">
        <f>PROPER(IF(E35=0,"nol",IF(E35&lt;0,"minus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35),"000000000000000"),1,3)=0,"",MID(TEXT(ABS(E35),"000000000000000"),1,1)&amp;" ratus "&amp;MID(TEXT(ABS(E35),"000000000000000"),2,1)&amp;" puluh "&amp;MID(TEXT(ABS(E35),"000000000000000"),3,1)&amp;" trilyun ")&amp;IF(--MID(TEXT(ABS(E35),"000000000000000"),4,3)=0,"",MID(TEXT(ABS(E35),"000000000000000"),4,1)&amp;" ratus "&amp;MID(TEXT(ABS(E35),"000000000000000"),5,1)&amp;" puluh "&amp;MID(TEXT(ABS(E35),"000000000000000"),6,1)&amp;" milyar ")&amp;IF(--MID(TEXT(ABS(E35),"000000000000000"),7,3)=0,"",MID(TEXT(ABS(E35),"000000000000000"),7,1)&amp;" ratus "&amp;MID(TEXT(ABS(E35),"000000000000000"),8,1)&amp;" puluh "&amp;MID(TEXT(ABS(E35),"000000000000000"),9,1)&amp;" juta ")&amp;IF(--MID(TEXT(ABS(E35),"000000000000000"),10,3)=0,"",IF(--MID(TEXT(ABS(E35),"000000000000000"),10,3)=1,"*",MID(TEXT(ABS(E35),"000000000000000"),10,1)&amp;" ratus "&amp;MID(TEXT(ABS(E35),"000000000000000"),11,1)&amp;" puluh ")&amp;MID(TEXT(ABS(E35),"000000000000000"),12,1)&amp;" ribu ")&amp;IF(--MID(TEXT(ABS(E35),"000000000000000"),13,3)=0,"",MID(TEXT(ABS(E35),"000000000000000"),13,1)&amp;" ratus "&amp;MID(TEXT(ABS(E35),"000000000000000"),14,1)&amp;" puluh "&amp;MID(TEXT(ABS(E35),"000000000000000"),15,1)),1,"satu"),2,"dua"),3,"tiga"),4,"empat"),5,"lima"),6,"enam"),7,"tujuh"),8,"delapan"),9,"sembilan"),"0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Juta Lima Ratus Lima Puluh Ribu Rupiah</v>
      </c>
      <c r="F36" s="8"/>
      <c r="G36" s="8"/>
      <c r="H36" s="8"/>
      <c r="I36" s="23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26"/>
      <c r="B37" s="26"/>
      <c r="C37" s="26"/>
      <c r="D37" s="26"/>
      <c r="E37" s="26"/>
      <c r="F37" s="26"/>
      <c r="G37" s="25"/>
      <c r="H37" s="24"/>
      <c r="I37" s="23"/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25"/>
      <c r="B38" s="25"/>
      <c r="C38" s="25"/>
      <c r="D38" s="25"/>
      <c r="E38" s="25"/>
      <c r="F38" s="25"/>
      <c r="G38" s="25"/>
      <c r="H38"/>
      <c r="I38" s="24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47"/>
      <c r="B39" s="47"/>
      <c r="C39" s="8"/>
      <c r="D39" s="8"/>
      <c r="E39" s="8"/>
      <c r="F39" s="8"/>
      <c r="G39" s="8"/>
      <c r="I39" s="49" t="s">
        <v>47</v>
      </c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9" t="s">
        <v>29</v>
      </c>
      <c r="B40" s="9"/>
      <c r="C40" s="8"/>
      <c r="D40" s="8"/>
      <c r="E40" s="8"/>
      <c r="F40" s="8"/>
      <c r="G40" s="8"/>
      <c r="I40" s="9" t="s">
        <v>28</v>
      </c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8"/>
      <c r="B43" s="8"/>
      <c r="C43" s="8"/>
      <c r="D43" s="8"/>
      <c r="E43" s="8"/>
      <c r="F43" s="8"/>
      <c r="G43" s="8"/>
      <c r="I43" s="9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8"/>
      <c r="B44" s="8"/>
      <c r="C44" s="8"/>
      <c r="D44" s="8"/>
      <c r="E44" s="8"/>
      <c r="F44" s="8"/>
      <c r="G44" s="8"/>
      <c r="I44" s="9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x14ac:dyDescent="0.25">
      <c r="A45" s="28" t="s">
        <v>38</v>
      </c>
      <c r="B45" s="28"/>
      <c r="C45" s="27"/>
      <c r="D45" s="27"/>
      <c r="E45" s="27"/>
      <c r="F45" s="27"/>
      <c r="G45" s="8" t="s">
        <v>11</v>
      </c>
      <c r="I45" s="28" t="s">
        <v>30</v>
      </c>
      <c r="J45" s="24"/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6" spans="1:22" x14ac:dyDescent="0.25">
      <c r="A46" s="30"/>
      <c r="B46" s="30"/>
      <c r="C46" s="29"/>
      <c r="D46" s="29"/>
      <c r="E46" s="29"/>
      <c r="F46" s="29"/>
      <c r="G46" s="29"/>
      <c r="H46" s="30"/>
      <c r="I46" s="30"/>
      <c r="J46" s="24"/>
      <c r="K46" s="25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25"/>
    </row>
  </sheetData>
  <mergeCells count="9">
    <mergeCell ref="C22:E22"/>
    <mergeCell ref="A30:C30"/>
    <mergeCell ref="A35:C35"/>
    <mergeCell ref="A8:J8"/>
    <mergeCell ref="A9:J9"/>
    <mergeCell ref="A10:J10"/>
    <mergeCell ref="A11:J11"/>
    <mergeCell ref="A12:J12"/>
    <mergeCell ref="A21:J21"/>
  </mergeCells>
  <pageMargins left="0.23622047244094491" right="0.23622047244094491" top="0.15748031496062992" bottom="0.74803149606299213" header="0.31496062992125984" footer="0.31496062992125984"/>
  <pageSetup paperSize="9" scale="91" orientation="portrait" horizontalDpi="4294967293" r:id="rId1"/>
  <rowBreaks count="1" manualBreakCount="1">
    <brk id="46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2026-03-10T02:38:30Z</cp:lastPrinted>
  <dcterms:created xsi:type="dcterms:W3CDTF">2017-02-01T01:06:13Z</dcterms:created>
  <dcterms:modified xsi:type="dcterms:W3CDTF">2026-03-10T02:40:58Z</dcterms:modified>
</cp:coreProperties>
</file>