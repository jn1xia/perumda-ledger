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Operasional dan Bisnis\"/>
    </mc:Choice>
  </mc:AlternateContent>
  <xr:revisionPtr revIDLastSave="0" documentId="13_ncr:1_{A4F73C05-C839-4429-B025-3BFC6F7893A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5" r:id="rId1"/>
    <sheet name="FEBRUARI" sheetId="16" r:id="rId2"/>
    <sheet name="MARET" sheetId="17" r:id="rId3"/>
  </sheets>
  <definedNames>
    <definedName name="_xlnm.Print_Area" localSheetId="1">FEBRUARI!$A$1:$J$391</definedName>
    <definedName name="_xlnm.Print_Area" localSheetId="0">JANUARI!$A$1:$J$129</definedName>
    <definedName name="_xlnm.Print_Area" localSheetId="2">MARET!$A$1:$J$391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9" i="17" l="1"/>
  <c r="H196" i="17"/>
  <c r="H153" i="17"/>
  <c r="H110" i="17"/>
  <c r="H67" i="17"/>
  <c r="H24" i="17"/>
  <c r="E288" i="17"/>
  <c r="I283" i="17"/>
  <c r="E285" i="17" s="1"/>
  <c r="E290" i="17" s="1"/>
  <c r="E291" i="17" s="1"/>
  <c r="G283" i="17"/>
  <c r="E275" i="17"/>
  <c r="E276" i="17" s="1"/>
  <c r="E245" i="17"/>
  <c r="I240" i="17"/>
  <c r="E242" i="17" s="1"/>
  <c r="E247" i="17" s="1"/>
  <c r="E248" i="17" s="1"/>
  <c r="G240" i="17"/>
  <c r="E232" i="17"/>
  <c r="E233" i="17" s="1"/>
  <c r="E202" i="17"/>
  <c r="I197" i="17"/>
  <c r="E199" i="17" s="1"/>
  <c r="E204" i="17" s="1"/>
  <c r="E205" i="17" s="1"/>
  <c r="G197" i="17"/>
  <c r="E189" i="17"/>
  <c r="E190" i="17" s="1"/>
  <c r="E159" i="17"/>
  <c r="I154" i="17"/>
  <c r="E156" i="17" s="1"/>
  <c r="E161" i="17" s="1"/>
  <c r="E162" i="17" s="1"/>
  <c r="G154" i="17"/>
  <c r="E146" i="17"/>
  <c r="E147" i="17" s="1"/>
  <c r="E116" i="17"/>
  <c r="I111" i="17"/>
  <c r="E113" i="17" s="1"/>
  <c r="E118" i="17" s="1"/>
  <c r="E119" i="17" s="1"/>
  <c r="G111" i="17"/>
  <c r="E103" i="17"/>
  <c r="E104" i="17" s="1"/>
  <c r="E73" i="17"/>
  <c r="I68" i="17"/>
  <c r="E70" i="17" s="1"/>
  <c r="E75" i="17" s="1"/>
  <c r="E76" i="17" s="1"/>
  <c r="G68" i="17"/>
  <c r="E60" i="17"/>
  <c r="E61" i="17" s="1"/>
  <c r="E30" i="17"/>
  <c r="I25" i="17"/>
  <c r="G25" i="17"/>
  <c r="H282" i="16"/>
  <c r="E288" i="16"/>
  <c r="I283" i="16"/>
  <c r="E285" i="16" s="1"/>
  <c r="E290" i="16" s="1"/>
  <c r="E291" i="16" s="1"/>
  <c r="G283" i="16"/>
  <c r="E275" i="16"/>
  <c r="E276" i="16" s="1"/>
  <c r="H239" i="16"/>
  <c r="H153" i="16"/>
  <c r="E245" i="16"/>
  <c r="I240" i="16"/>
  <c r="E242" i="16" s="1"/>
  <c r="E247" i="16" s="1"/>
  <c r="E248" i="16" s="1"/>
  <c r="G240" i="16"/>
  <c r="E202" i="16"/>
  <c r="I197" i="16"/>
  <c r="E199" i="16" s="1"/>
  <c r="E204" i="16" s="1"/>
  <c r="E205" i="16" s="1"/>
  <c r="G197" i="16"/>
  <c r="E159" i="16"/>
  <c r="I154" i="16"/>
  <c r="E156" i="16" s="1"/>
  <c r="E161" i="16" s="1"/>
  <c r="E162" i="16" s="1"/>
  <c r="G154" i="16"/>
  <c r="E27" i="17" l="1"/>
  <c r="E32" i="17" s="1"/>
  <c r="E33" i="17" s="1"/>
  <c r="E17" i="17"/>
  <c r="E18" i="17" s="1"/>
  <c r="H25" i="17"/>
  <c r="J24" i="17"/>
  <c r="J25" i="17" s="1"/>
  <c r="H283" i="16"/>
  <c r="J282" i="16"/>
  <c r="J283" i="16" s="1"/>
  <c r="H196" i="16"/>
  <c r="J196" i="16" s="1"/>
  <c r="J197" i="16" s="1"/>
  <c r="H154" i="16"/>
  <c r="E232" i="16"/>
  <c r="E233" i="16" s="1"/>
  <c r="E189" i="16"/>
  <c r="E190" i="16" s="1"/>
  <c r="E146" i="16"/>
  <c r="E147" i="16" s="1"/>
  <c r="J153" i="16"/>
  <c r="J154" i="16" s="1"/>
  <c r="J67" i="17" l="1"/>
  <c r="J68" i="17" s="1"/>
  <c r="H68" i="17"/>
  <c r="H197" i="16"/>
  <c r="H24" i="16"/>
  <c r="J110" i="17" l="1"/>
  <c r="J111" i="17" s="1"/>
  <c r="H111" i="17"/>
  <c r="J239" i="16"/>
  <c r="J240" i="16" s="1"/>
  <c r="H240" i="16"/>
  <c r="E116" i="16"/>
  <c r="I111" i="16"/>
  <c r="E113" i="16" s="1"/>
  <c r="E118" i="16" s="1"/>
  <c r="E119" i="16" s="1"/>
  <c r="G111" i="16"/>
  <c r="E73" i="16"/>
  <c r="I68" i="16"/>
  <c r="E60" i="16" s="1"/>
  <c r="E61" i="16" s="1"/>
  <c r="G68" i="16"/>
  <c r="H67" i="16"/>
  <c r="H68" i="16" s="1"/>
  <c r="E30" i="16"/>
  <c r="I25" i="16"/>
  <c r="E17" i="16" s="1"/>
  <c r="E18" i="16" s="1"/>
  <c r="H25" i="16"/>
  <c r="G25" i="16"/>
  <c r="J24" i="16"/>
  <c r="J25" i="16" s="1"/>
  <c r="H110" i="15"/>
  <c r="E116" i="15"/>
  <c r="I111" i="15"/>
  <c r="E113" i="15" s="1"/>
  <c r="E118" i="15" s="1"/>
  <c r="E119" i="15" s="1"/>
  <c r="G111" i="15"/>
  <c r="H111" i="15"/>
  <c r="H67" i="15"/>
  <c r="H68" i="15" s="1"/>
  <c r="E73" i="15"/>
  <c r="I68" i="15"/>
  <c r="E70" i="15" s="1"/>
  <c r="E75" i="15" s="1"/>
  <c r="E76" i="15" s="1"/>
  <c r="G68" i="15"/>
  <c r="E30" i="15"/>
  <c r="I25" i="15"/>
  <c r="E27" i="15" s="1"/>
  <c r="G25" i="15"/>
  <c r="H154" i="17" l="1"/>
  <c r="J153" i="17"/>
  <c r="J154" i="17" s="1"/>
  <c r="E103" i="16"/>
  <c r="E104" i="16" s="1"/>
  <c r="E70" i="16"/>
  <c r="E75" i="16" s="1"/>
  <c r="E76" i="16" s="1"/>
  <c r="E27" i="16"/>
  <c r="E32" i="16" s="1"/>
  <c r="E33" i="16" s="1"/>
  <c r="H110" i="16"/>
  <c r="J67" i="16"/>
  <c r="J68" i="16" s="1"/>
  <c r="E103" i="15"/>
  <c r="E104" i="15" s="1"/>
  <c r="J110" i="15"/>
  <c r="J111" i="15" s="1"/>
  <c r="E60" i="15"/>
  <c r="E61" i="15" s="1"/>
  <c r="J67" i="15"/>
  <c r="J68" i="15" s="1"/>
  <c r="E17" i="15"/>
  <c r="E18" i="15" s="1"/>
  <c r="E32" i="15"/>
  <c r="E33" i="15" s="1"/>
  <c r="J196" i="17" l="1"/>
  <c r="J197" i="17" s="1"/>
  <c r="H197" i="17"/>
  <c r="H111" i="16"/>
  <c r="J110" i="16"/>
  <c r="J111" i="16" s="1"/>
  <c r="H25" i="15"/>
  <c r="J24" i="15"/>
  <c r="J25" i="15" s="1"/>
  <c r="H240" i="17" l="1"/>
  <c r="J239" i="17"/>
  <c r="J240" i="17" s="1"/>
  <c r="H282" i="17"/>
  <c r="H283" i="17" l="1"/>
  <c r="J282" i="17"/>
  <c r="J283" i="17" s="1"/>
</calcChain>
</file>

<file path=xl/sharedStrings.xml><?xml version="1.0" encoding="utf-8"?>
<sst xmlns="http://schemas.openxmlformats.org/spreadsheetml/2006/main" count="850" uniqueCount="65">
  <si>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</si>
  <si>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</si>
  <si>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</si>
  <si>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</si>
  <si>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</si>
  <si>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</si>
  <si>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</si>
  <si>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</si>
  <si>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</si>
  <si>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</si>
  <si>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</si>
  <si>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</si>
  <si>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</si>
  <si>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</si>
  <si>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 xml:space="preserve">Jumlah  Yang Diminta          </t>
  </si>
  <si>
    <t xml:space="preserve">Jumlah yang dibayarkan        </t>
  </si>
  <si>
    <t xml:space="preserve">PPh Psl 21/22/23/4(2)                    </t>
  </si>
  <si>
    <t>Akumulasi Pencairan dana Bulan Lalu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</si>
  <si>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</si>
  <si>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</si>
  <si>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</si>
  <si>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</si>
  <si>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</si>
  <si>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1.1</t>
  </si>
  <si>
    <t>Supaya Mencairkan Dana</t>
  </si>
  <si>
    <t>YANG MEMBUAT</t>
  </si>
  <si>
    <t>MENGETAHUI</t>
  </si>
  <si>
    <t>M. ZULKIFLI</t>
  </si>
  <si>
    <t>---------------</t>
  </si>
  <si>
    <t>NOTA PENCAIRAN DANA (NPD)</t>
  </si>
  <si>
    <t>Beban Operasional dan Bisnis</t>
  </si>
  <si>
    <t>2.1.3</t>
  </si>
  <si>
    <t>Pemeliharaan Bangunan Pasar</t>
  </si>
  <si>
    <t>Pemeliharaan Bangunan Pasar (Insidentil dan Pengecatan)</t>
  </si>
  <si>
    <t>IRNA WAHYUNI N.</t>
  </si>
  <si>
    <t>PERUMDA PASAR BANJARMASIN</t>
  </si>
  <si>
    <r>
      <t>Nomor : 28/DIV-KEU/PPB/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</si>
  <si>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12 Januari 2026</t>
  </si>
  <si>
    <r>
      <t>Nomor : 43/DIV-KEU/PPB/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</si>
  <si>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13 Januari 2026</t>
  </si>
  <si>
    <r>
      <t>Nomor : 69/DIV-KEU/PPB/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</si>
  <si>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22 Januari 2026</t>
  </si>
  <si>
    <r>
      <t>Nomor : 20/DIV-KEU/PPB/I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</si>
  <si>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04 Februari 2026</t>
  </si>
  <si>
    <r>
      <t>Nomor : 22/DIV-KEU/PPB/I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</si>
  <si>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06 Februari 2026</t>
  </si>
  <si>
    <r>
      <t>Nomor : 32/DIV-KEU/PPB/I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</si>
  <si>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38/DIV-KEU/PPB/I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</si>
  <si>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09 Februari 2026</t>
  </si>
  <si>
    <r>
      <t>Nomor : 47/DIV-KEU/PPB/I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</si>
  <si>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10 Februari 2026</t>
  </si>
  <si>
    <r>
      <t>Nomor : 091/DIV-KEU/PPB/I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</si>
  <si>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24 Februari 2026</t>
  </si>
  <si>
    <r>
      <t>Nomor : 099/DIV-KEU/PPB/I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</si>
  <si>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26 Februari 2026</t>
  </si>
  <si>
    <r>
      <t>Nomor : 020/DIV-KEU/PPB/II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</si>
  <si>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09 Maret 2026</t>
  </si>
  <si>
    <r>
      <t>Nomor : 037/DIV-KEU/PPB/II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</si>
  <si>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17 Maret 2026</t>
  </si>
  <si>
    <r>
      <t>Nomor : 039/DIV-KEU/PPB/II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</si>
  <si>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040/DIV-KEU/PPB/II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</si>
  <si>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054/DIV-KEU/PPB/II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</si>
  <si>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26 Maret 2026</t>
  </si>
  <si>
    <r>
      <t>Nomor : 061/DIV-KEU/PPB/II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</si>
  <si>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27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</si>
</sst>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165" fontId="13" fillId="0" borderId="0">
      <alignment vertical="top"/>
      <protection locked="0"/>
    </xf>
  </cellStyleXfs>
  <cellXfs count="66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7" fontId="4" fillId="0" borderId="0" xfId="0" applyNumberFormat="1" applyFont="1" applyAlignment="1">
      <alignment horizontal="left"/>
    </xf>
    <xf numFmtId="0" fontId="4" fillId="0" borderId="5" xfId="0" applyFont="1" applyBorder="1"/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168" fontId="4" fillId="0" borderId="7" xfId="1" applyNumberFormat="1" applyFont="1" applyBorder="1" applyAlignment="1">
      <alignment horizontal="right" vertical="center"/>
    </xf>
    <xf numFmtId="168" fontId="4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/>
    </xf>
    <xf numFmtId="0" fontId="4" fillId="0" borderId="2" xfId="0" quotePrefix="1" applyFont="1" applyBorder="1" applyAlignment="1">
      <alignment horizontal="center" vertical="center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12" fillId="0" borderId="0" xfId="0" applyFont="1"/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165" fontId="14" fillId="0" borderId="8" xfId="5" applyFont="1" applyBorder="1" applyAlignment="1" applyProtection="1">
      <alignment horizontal="center"/>
    </xf>
    <xf numFmtId="0" fontId="4" fillId="0" borderId="0" xfId="0" quotePrefix="1" applyFont="1"/>
    <xf numFmtId="0" fontId="3" fillId="0" borderId="0" xfId="0" quotePrefix="1" applyFont="1"/>
    <xf numFmtId="0" fontId="9" fillId="0" borderId="8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165" fontId="14" fillId="0" borderId="8" xfId="5" quotePrefix="1" applyFont="1" applyBorder="1" applyAlignment="1" applyProtection="1">
      <alignment horizontal="center"/>
    </xf>
    <xf numFmtId="0" fontId="4" fillId="0" borderId="6" xfId="0" applyFont="1" applyBorder="1" applyAlignment="1">
      <alignment vertical="center"/>
    </xf>
    <xf numFmtId="0" fontId="4" fillId="0" borderId="9" xfId="3" applyNumberFormat="1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86</xdr:row>
      <xdr:rowOff>9525</xdr:rowOff>
    </xdr:from>
    <xdr:to>
      <xdr:col>9</xdr:col>
      <xdr:colOff>1162051</xdr:colOff>
      <xdr:row>96</xdr:row>
      <xdr:rowOff>27119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071C1B-6346-45F5-AB8B-C996F3E62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7249775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43</xdr:row>
      <xdr:rowOff>9525</xdr:rowOff>
    </xdr:from>
    <xdr:to>
      <xdr:col>9</xdr:col>
      <xdr:colOff>1162051</xdr:colOff>
      <xdr:row>53</xdr:row>
      <xdr:rowOff>27119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AFA813-77B9-435B-921A-84E23C861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8629650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9525</xdr:rowOff>
    </xdr:from>
    <xdr:to>
      <xdr:col>9</xdr:col>
      <xdr:colOff>1162051</xdr:colOff>
      <xdr:row>10</xdr:row>
      <xdr:rowOff>27119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F4DC97-F906-45BB-9DEA-03666EF66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6269950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44D5DD4-68B2-42AF-93E9-2151ADB006F4}"/>
            </a:ext>
          </a:extLst>
        </xdr:cNvPr>
        <xdr:cNvCxnSpPr/>
      </xdr:nvCxnSpPr>
      <xdr:spPr>
        <a:xfrm>
          <a:off x="19050" y="27470100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49</xdr:row>
      <xdr:rowOff>47625</xdr:rowOff>
    </xdr:from>
    <xdr:to>
      <xdr:col>9</xdr:col>
      <xdr:colOff>1162050</xdr:colOff>
      <xdr:row>49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A11AB54-092E-498C-AA3F-1F46E88CC8E3}"/>
            </a:ext>
          </a:extLst>
        </xdr:cNvPr>
        <xdr:cNvCxnSpPr/>
      </xdr:nvCxnSpPr>
      <xdr:spPr>
        <a:xfrm>
          <a:off x="19050" y="1209675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92</xdr:row>
      <xdr:rowOff>47625</xdr:rowOff>
    </xdr:from>
    <xdr:to>
      <xdr:col>9</xdr:col>
      <xdr:colOff>1162050</xdr:colOff>
      <xdr:row>92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70BDE9D-B174-46C1-8588-93B101942C9A}"/>
            </a:ext>
          </a:extLst>
        </xdr:cNvPr>
        <xdr:cNvCxnSpPr/>
      </xdr:nvCxnSpPr>
      <xdr:spPr>
        <a:xfrm>
          <a:off x="19050" y="9829800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258</xdr:row>
      <xdr:rowOff>9525</xdr:rowOff>
    </xdr:from>
    <xdr:to>
      <xdr:col>9</xdr:col>
      <xdr:colOff>1162051</xdr:colOff>
      <xdr:row>268</xdr:row>
      <xdr:rowOff>27119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F0C47-6456-44D8-A593-28911308E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51730275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215</xdr:row>
      <xdr:rowOff>9525</xdr:rowOff>
    </xdr:from>
    <xdr:to>
      <xdr:col>9</xdr:col>
      <xdr:colOff>1162051</xdr:colOff>
      <xdr:row>225</xdr:row>
      <xdr:rowOff>27119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4119182-F00D-4809-921B-26C2E1203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51730275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172</xdr:row>
      <xdr:rowOff>9525</xdr:rowOff>
    </xdr:from>
    <xdr:to>
      <xdr:col>9</xdr:col>
      <xdr:colOff>1162051</xdr:colOff>
      <xdr:row>182</xdr:row>
      <xdr:rowOff>27119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FD30FDF-9000-4A18-8BC3-D37299D7A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3110150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129</xdr:row>
      <xdr:rowOff>9525</xdr:rowOff>
    </xdr:from>
    <xdr:to>
      <xdr:col>9</xdr:col>
      <xdr:colOff>1162051</xdr:colOff>
      <xdr:row>139</xdr:row>
      <xdr:rowOff>27119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FD439D1-296C-47E1-9CCA-1E2CA5B4E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4490025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86</xdr:row>
      <xdr:rowOff>9525</xdr:rowOff>
    </xdr:from>
    <xdr:to>
      <xdr:col>9</xdr:col>
      <xdr:colOff>1162051</xdr:colOff>
      <xdr:row>96</xdr:row>
      <xdr:rowOff>27119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6C4A42-284F-4259-A461-C6BDC7B9E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7249775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43</xdr:row>
      <xdr:rowOff>9525</xdr:rowOff>
    </xdr:from>
    <xdr:to>
      <xdr:col>9</xdr:col>
      <xdr:colOff>1162051</xdr:colOff>
      <xdr:row>53</xdr:row>
      <xdr:rowOff>27119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D6F19B-F12D-433F-BC27-29631A6B8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8629650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9525</xdr:rowOff>
    </xdr:from>
    <xdr:to>
      <xdr:col>9</xdr:col>
      <xdr:colOff>1162051</xdr:colOff>
      <xdr:row>10</xdr:row>
      <xdr:rowOff>27119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E390C5-2CE2-4221-AD45-9CC68A242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9628679-092C-49B7-9530-6449706788E2}"/>
            </a:ext>
          </a:extLst>
        </xdr:cNvPr>
        <xdr:cNvCxnSpPr/>
      </xdr:nvCxnSpPr>
      <xdr:spPr>
        <a:xfrm>
          <a:off x="19050" y="1209675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49</xdr:row>
      <xdr:rowOff>47625</xdr:rowOff>
    </xdr:from>
    <xdr:to>
      <xdr:col>9</xdr:col>
      <xdr:colOff>1162050</xdr:colOff>
      <xdr:row>49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9E7D73C-B773-4BA7-880A-33C3717862D3}"/>
            </a:ext>
          </a:extLst>
        </xdr:cNvPr>
        <xdr:cNvCxnSpPr/>
      </xdr:nvCxnSpPr>
      <xdr:spPr>
        <a:xfrm>
          <a:off x="19050" y="9829800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92</xdr:row>
      <xdr:rowOff>47625</xdr:rowOff>
    </xdr:from>
    <xdr:to>
      <xdr:col>9</xdr:col>
      <xdr:colOff>1162050</xdr:colOff>
      <xdr:row>92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BA6AC88-E677-4350-ADAF-1A22B9D264EB}"/>
            </a:ext>
          </a:extLst>
        </xdr:cNvPr>
        <xdr:cNvCxnSpPr/>
      </xdr:nvCxnSpPr>
      <xdr:spPr>
        <a:xfrm>
          <a:off x="19050" y="18449925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135</xdr:row>
      <xdr:rowOff>47625</xdr:rowOff>
    </xdr:from>
    <xdr:to>
      <xdr:col>9</xdr:col>
      <xdr:colOff>1162050</xdr:colOff>
      <xdr:row>135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F3E4D7A-0B54-4B19-989C-2E7050CD1DB8}"/>
            </a:ext>
          </a:extLst>
        </xdr:cNvPr>
        <xdr:cNvCxnSpPr/>
      </xdr:nvCxnSpPr>
      <xdr:spPr>
        <a:xfrm>
          <a:off x="19050" y="27070050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178</xdr:row>
      <xdr:rowOff>47625</xdr:rowOff>
    </xdr:from>
    <xdr:to>
      <xdr:col>9</xdr:col>
      <xdr:colOff>1162050</xdr:colOff>
      <xdr:row>178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A8AD19A-9A9B-4BAF-AE47-8673FB79DA9D}"/>
            </a:ext>
          </a:extLst>
        </xdr:cNvPr>
        <xdr:cNvCxnSpPr/>
      </xdr:nvCxnSpPr>
      <xdr:spPr>
        <a:xfrm>
          <a:off x="19050" y="35690175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221</xdr:row>
      <xdr:rowOff>47625</xdr:rowOff>
    </xdr:from>
    <xdr:to>
      <xdr:col>9</xdr:col>
      <xdr:colOff>1162050</xdr:colOff>
      <xdr:row>221</xdr:row>
      <xdr:rowOff>47625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35EF560-1DDD-4D80-875C-091E7FF0DD61}"/>
            </a:ext>
          </a:extLst>
        </xdr:cNvPr>
        <xdr:cNvCxnSpPr/>
      </xdr:nvCxnSpPr>
      <xdr:spPr>
        <a:xfrm>
          <a:off x="19050" y="44310300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264</xdr:row>
      <xdr:rowOff>47625</xdr:rowOff>
    </xdr:from>
    <xdr:to>
      <xdr:col>9</xdr:col>
      <xdr:colOff>1162050</xdr:colOff>
      <xdr:row>264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569D102-E6B5-4967-B2DD-58625D32B80D}"/>
            </a:ext>
          </a:extLst>
        </xdr:cNvPr>
        <xdr:cNvCxnSpPr/>
      </xdr:nvCxnSpPr>
      <xdr:spPr>
        <a:xfrm>
          <a:off x="19050" y="44310300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258</xdr:row>
      <xdr:rowOff>9525</xdr:rowOff>
    </xdr:from>
    <xdr:to>
      <xdr:col>9</xdr:col>
      <xdr:colOff>1162051</xdr:colOff>
      <xdr:row>268</xdr:row>
      <xdr:rowOff>27119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5D362F-2927-4D7A-BD7C-D0CBB2AA6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51730275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215</xdr:row>
      <xdr:rowOff>9525</xdr:rowOff>
    </xdr:from>
    <xdr:to>
      <xdr:col>9</xdr:col>
      <xdr:colOff>1162051</xdr:colOff>
      <xdr:row>225</xdr:row>
      <xdr:rowOff>27119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37B454-7337-4C3C-87E3-C57924E92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3110150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172</xdr:row>
      <xdr:rowOff>9525</xdr:rowOff>
    </xdr:from>
    <xdr:to>
      <xdr:col>9</xdr:col>
      <xdr:colOff>1162051</xdr:colOff>
      <xdr:row>182</xdr:row>
      <xdr:rowOff>27119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D57180-6123-4D6B-8825-F2BD6ECDC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4490025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129</xdr:row>
      <xdr:rowOff>9525</xdr:rowOff>
    </xdr:from>
    <xdr:to>
      <xdr:col>9</xdr:col>
      <xdr:colOff>1162051</xdr:colOff>
      <xdr:row>139</xdr:row>
      <xdr:rowOff>27119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137B71-2432-454C-8E52-C04FFCEF4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5869900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86</xdr:row>
      <xdr:rowOff>9525</xdr:rowOff>
    </xdr:from>
    <xdr:to>
      <xdr:col>9</xdr:col>
      <xdr:colOff>1162051</xdr:colOff>
      <xdr:row>96</xdr:row>
      <xdr:rowOff>27119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4353134-D3F5-4A74-B6C1-1737F47D7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7249775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43</xdr:row>
      <xdr:rowOff>9525</xdr:rowOff>
    </xdr:from>
    <xdr:to>
      <xdr:col>9</xdr:col>
      <xdr:colOff>1162051</xdr:colOff>
      <xdr:row>53</xdr:row>
      <xdr:rowOff>27119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F89E40-AC8C-4200-B101-9B9A507ED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8629650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9525</xdr:rowOff>
    </xdr:from>
    <xdr:to>
      <xdr:col>9</xdr:col>
      <xdr:colOff>1162051</xdr:colOff>
      <xdr:row>10</xdr:row>
      <xdr:rowOff>27119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866CD54-5CB5-421F-81CA-3F975AC4F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8505826" cy="194164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60FF632-981C-4FBA-8B62-DF8E91F6213A}"/>
            </a:ext>
          </a:extLst>
        </xdr:cNvPr>
        <xdr:cNvCxnSpPr/>
      </xdr:nvCxnSpPr>
      <xdr:spPr>
        <a:xfrm>
          <a:off x="19050" y="1209675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49</xdr:row>
      <xdr:rowOff>47625</xdr:rowOff>
    </xdr:from>
    <xdr:to>
      <xdr:col>9</xdr:col>
      <xdr:colOff>1162050</xdr:colOff>
      <xdr:row>49</xdr:row>
      <xdr:rowOff>47625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01B8A99-6072-44F7-AAAB-E236D383F285}"/>
            </a:ext>
          </a:extLst>
        </xdr:cNvPr>
        <xdr:cNvCxnSpPr/>
      </xdr:nvCxnSpPr>
      <xdr:spPr>
        <a:xfrm>
          <a:off x="19050" y="9829800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92</xdr:row>
      <xdr:rowOff>47625</xdr:rowOff>
    </xdr:from>
    <xdr:to>
      <xdr:col>9</xdr:col>
      <xdr:colOff>1162050</xdr:colOff>
      <xdr:row>92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D7A6157-CC0A-4C2B-B358-5939D28D2672}"/>
            </a:ext>
          </a:extLst>
        </xdr:cNvPr>
        <xdr:cNvCxnSpPr/>
      </xdr:nvCxnSpPr>
      <xdr:spPr>
        <a:xfrm>
          <a:off x="19050" y="18449925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135</xdr:row>
      <xdr:rowOff>47625</xdr:rowOff>
    </xdr:from>
    <xdr:to>
      <xdr:col>9</xdr:col>
      <xdr:colOff>1162050</xdr:colOff>
      <xdr:row>135</xdr:row>
      <xdr:rowOff>47625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C28A5C0-A123-4C3A-9407-0E547FB9160C}"/>
            </a:ext>
          </a:extLst>
        </xdr:cNvPr>
        <xdr:cNvCxnSpPr/>
      </xdr:nvCxnSpPr>
      <xdr:spPr>
        <a:xfrm>
          <a:off x="19050" y="27070050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178</xdr:row>
      <xdr:rowOff>47625</xdr:rowOff>
    </xdr:from>
    <xdr:to>
      <xdr:col>9</xdr:col>
      <xdr:colOff>1162050</xdr:colOff>
      <xdr:row>178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C002C4D-05E4-408F-92C4-CE9D6C87677F}"/>
            </a:ext>
          </a:extLst>
        </xdr:cNvPr>
        <xdr:cNvCxnSpPr/>
      </xdr:nvCxnSpPr>
      <xdr:spPr>
        <a:xfrm>
          <a:off x="19050" y="35690175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221</xdr:row>
      <xdr:rowOff>47625</xdr:rowOff>
    </xdr:from>
    <xdr:to>
      <xdr:col>9</xdr:col>
      <xdr:colOff>1162050</xdr:colOff>
      <xdr:row>221</xdr:row>
      <xdr:rowOff>47625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7A2BAD27-D00D-459F-87B2-766FDF6665C7}"/>
            </a:ext>
          </a:extLst>
        </xdr:cNvPr>
        <xdr:cNvCxnSpPr/>
      </xdr:nvCxnSpPr>
      <xdr:spPr>
        <a:xfrm>
          <a:off x="19050" y="44310300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264</xdr:row>
      <xdr:rowOff>47625</xdr:rowOff>
    </xdr:from>
    <xdr:to>
      <xdr:col>9</xdr:col>
      <xdr:colOff>1162050</xdr:colOff>
      <xdr:row>264</xdr:row>
      <xdr:rowOff>47625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D298F48-A76A-4B10-AB80-5EAEDC367871}"/>
            </a:ext>
          </a:extLst>
        </xdr:cNvPr>
        <xdr:cNvCxnSpPr/>
      </xdr:nvCxnSpPr>
      <xdr:spPr>
        <a:xfrm>
          <a:off x="19050" y="52930425"/>
          <a:ext cx="85153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8AEB-A46F-4CED-AF5A-EDF5845D70FA}">
  <dimension ref="A4:K128"/>
  <sheetViews>
    <sheetView view="pageBreakPreview" topLeftCell="A89" zoomScaleNormal="100" zoomScaleSheetLayoutView="100" workbookViewId="0">
      <selection activeCell="J128" sqref="A87:J128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36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4" spans="1:10" ht="15.75" x14ac:dyDescent="0.25">
      <c r="C4" s="3"/>
      <c r="D4" s="3"/>
      <c r="E4" s="3"/>
      <c r="F4" s="3"/>
    </row>
    <row r="5" spans="1:10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</row>
    <row r="6" spans="1:10" x14ac:dyDescent="0.25">
      <c r="H6" s="5"/>
      <c r="I6" s="5"/>
      <c r="J6" s="5"/>
    </row>
    <row r="7" spans="1:10" x14ac:dyDescent="0.25">
      <c r="H7" s="5"/>
      <c r="I7" s="5"/>
      <c r="J7" s="5"/>
    </row>
    <row r="8" spans="1:10" x14ac:dyDescent="0.25">
      <c r="A8" s="60" t="s">
        <v>29</v>
      </c>
      <c r="B8" s="60"/>
      <c r="C8" s="61"/>
      <c r="D8" s="61"/>
      <c r="E8" s="61"/>
      <c r="F8" s="61"/>
      <c r="G8" s="61"/>
      <c r="H8" s="61"/>
      <c r="I8" s="61"/>
      <c r="J8" s="61"/>
    </row>
    <row r="9" spans="1:10" x14ac:dyDescent="0.25">
      <c r="A9" s="61" t="s">
        <v>36</v>
      </c>
      <c r="B9" s="61"/>
      <c r="C9" s="61"/>
      <c r="D9" s="61"/>
      <c r="E9" s="61"/>
      <c r="F9" s="61"/>
      <c r="G9" s="61"/>
      <c r="H9" s="61"/>
      <c r="I9" s="61"/>
      <c r="J9" s="61"/>
    </row>
    <row r="10" spans="1:10" x14ac:dyDescent="0.25">
      <c r="A10" s="61" t="s">
        <v>13</v>
      </c>
      <c r="B10" s="61"/>
      <c r="C10" s="61"/>
      <c r="D10" s="61"/>
      <c r="E10" s="61"/>
      <c r="F10" s="61"/>
      <c r="G10" s="61"/>
      <c r="H10" s="61"/>
      <c r="I10" s="61"/>
      <c r="J10" s="61"/>
    </row>
    <row r="11" spans="1:10" x14ac:dyDescent="0.25">
      <c r="A11" s="61" t="s">
        <v>35</v>
      </c>
      <c r="B11" s="61"/>
      <c r="C11" s="61"/>
      <c r="D11" s="61"/>
      <c r="E11" s="61"/>
      <c r="F11" s="61"/>
      <c r="G11" s="61"/>
      <c r="H11" s="61"/>
      <c r="I11" s="61"/>
      <c r="J11" s="61"/>
    </row>
    <row r="12" spans="1:10" x14ac:dyDescent="0.25">
      <c r="A12" s="61" t="s">
        <v>24</v>
      </c>
      <c r="B12" s="61"/>
      <c r="C12" s="61"/>
      <c r="D12" s="61"/>
      <c r="E12" s="61"/>
      <c r="F12" s="61"/>
      <c r="G12" s="61"/>
      <c r="H12" s="61"/>
      <c r="I12" s="61"/>
      <c r="J12" s="61"/>
    </row>
    <row r="13" spans="1:10" x14ac:dyDescent="0.25">
      <c r="A13" s="29"/>
      <c r="B13" s="29"/>
      <c r="C13" s="7"/>
      <c r="D13" s="7"/>
      <c r="E13" s="7"/>
      <c r="F13" s="7"/>
      <c r="G13" s="6"/>
      <c r="H13" s="10"/>
      <c r="I13" s="10"/>
      <c r="J13" s="10"/>
    </row>
    <row r="14" spans="1:10" x14ac:dyDescent="0.25">
      <c r="A14" s="51" t="s">
        <v>18</v>
      </c>
      <c r="B14" s="51"/>
      <c r="C14" s="51"/>
      <c r="D14" s="35" t="s">
        <v>12</v>
      </c>
      <c r="E14" s="8" t="s">
        <v>30</v>
      </c>
      <c r="H14" s="9"/>
      <c r="I14" s="9"/>
      <c r="J14" s="10"/>
    </row>
    <row r="15" spans="1:10" x14ac:dyDescent="0.25">
      <c r="A15" s="51" t="s">
        <v>19</v>
      </c>
      <c r="B15" s="51"/>
      <c r="C15" s="51"/>
      <c r="D15" s="35" t="s">
        <v>12</v>
      </c>
      <c r="E15" s="8" t="s">
        <v>31</v>
      </c>
      <c r="H15" s="9"/>
      <c r="I15" s="9"/>
      <c r="J15" s="10"/>
    </row>
    <row r="16" spans="1:10" x14ac:dyDescent="0.25">
      <c r="A16" s="51" t="s">
        <v>20</v>
      </c>
      <c r="B16" s="51"/>
      <c r="C16" s="51"/>
      <c r="D16" s="35" t="s">
        <v>12</v>
      </c>
      <c r="E16" s="42">
        <v>2026</v>
      </c>
      <c r="H16" s="9"/>
      <c r="I16" s="9"/>
      <c r="J16" s="10"/>
    </row>
    <row r="17" spans="1:10" x14ac:dyDescent="0.25">
      <c r="A17" s="51" t="s">
        <v>21</v>
      </c>
      <c r="B17" s="51"/>
      <c r="C17" s="51"/>
      <c r="D17" s="35" t="s">
        <v>12</v>
      </c>
      <c r="E17" s="39">
        <f>I25</f>
        <v>700000</v>
      </c>
      <c r="H17" s="9"/>
      <c r="I17" s="9"/>
      <c r="J17" s="10"/>
    </row>
    <row r="18" spans="1:10" ht="15.75" x14ac:dyDescent="0.25">
      <c r="A18" s="8"/>
      <c r="B18" s="8"/>
      <c r="C18" s="11" t="s">
        <v>0</v>
      </c>
      <c r="D18" s="35" t="s">
        <v>12</v>
      </c>
      <c r="E18" s="4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Ribu Rupiah</v>
      </c>
      <c r="H18" s="9"/>
      <c r="I18" s="9"/>
      <c r="J18" s="10"/>
    </row>
    <row r="19" spans="1:10" ht="15.75" x14ac:dyDescent="0.25">
      <c r="A19" s="8"/>
      <c r="B19" s="8"/>
      <c r="C19" s="11"/>
      <c r="D19" s="11"/>
      <c r="E19" s="11"/>
      <c r="F19" s="35"/>
      <c r="G19" s="46"/>
      <c r="H19" s="9"/>
      <c r="I19" s="9"/>
      <c r="J19" s="10"/>
    </row>
    <row r="20" spans="1:10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</row>
    <row r="21" spans="1:10" x14ac:dyDescent="0.25">
      <c r="A21" s="59" t="s">
        <v>2</v>
      </c>
      <c r="B21" s="59"/>
      <c r="C21" s="59"/>
      <c r="D21" s="59"/>
      <c r="E21" s="59"/>
      <c r="F21" s="59"/>
      <c r="G21" s="59"/>
      <c r="H21" s="59"/>
      <c r="I21" s="59"/>
      <c r="J21" s="59"/>
    </row>
    <row r="22" spans="1:10" ht="45" x14ac:dyDescent="0.25">
      <c r="A22" s="12" t="s">
        <v>3</v>
      </c>
      <c r="B22" s="57" t="s">
        <v>22</v>
      </c>
      <c r="C22" s="63" t="s">
        <v>4</v>
      </c>
      <c r="D22" s="64"/>
      <c r="E22" s="65"/>
      <c r="F22" s="45"/>
      <c r="G22" s="36" t="s">
        <v>5</v>
      </c>
      <c r="H22" s="13" t="s">
        <v>17</v>
      </c>
      <c r="I22" s="14" t="s">
        <v>6</v>
      </c>
      <c r="J22" s="15" t="s">
        <v>7</v>
      </c>
    </row>
    <row r="23" spans="1:10" x14ac:dyDescent="0.25">
      <c r="A23" s="58">
        <v>1</v>
      </c>
      <c r="B23" s="43"/>
      <c r="C23" s="54" t="s">
        <v>32</v>
      </c>
      <c r="D23" s="56"/>
      <c r="E23" s="53"/>
      <c r="F23" s="34"/>
      <c r="G23" s="55" t="s">
        <v>28</v>
      </c>
      <c r="H23" s="55" t="s">
        <v>28</v>
      </c>
      <c r="I23" s="55" t="s">
        <v>28</v>
      </c>
      <c r="J23" s="55" t="s">
        <v>28</v>
      </c>
    </row>
    <row r="24" spans="1:10" x14ac:dyDescent="0.25">
      <c r="A24" s="43"/>
      <c r="B24" s="43" t="s">
        <v>23</v>
      </c>
      <c r="C24" s="47" t="s">
        <v>33</v>
      </c>
      <c r="D24" s="48"/>
      <c r="E24" s="49"/>
      <c r="F24" s="34"/>
      <c r="G24" s="50">
        <v>900000000</v>
      </c>
      <c r="H24" s="40">
        <v>0</v>
      </c>
      <c r="I24" s="40">
        <v>700000</v>
      </c>
      <c r="J24" s="41">
        <f t="shared" ref="J24" si="0">G24-H24-I24</f>
        <v>899300000</v>
      </c>
    </row>
    <row r="25" spans="1:10" x14ac:dyDescent="0.25">
      <c r="A25" s="16"/>
      <c r="B25" s="16"/>
      <c r="C25" s="17" t="s">
        <v>8</v>
      </c>
      <c r="D25" s="17"/>
      <c r="E25" s="17"/>
      <c r="F25" s="38"/>
      <c r="G25" s="37">
        <f>SUM(G23:G24)</f>
        <v>900000000</v>
      </c>
      <c r="H25" s="18">
        <f>SUM(H23:H24)</f>
        <v>0</v>
      </c>
      <c r="I25" s="18">
        <f>SUM(I23:I24)</f>
        <v>700000</v>
      </c>
      <c r="J25" s="18">
        <f>SUM(J23:J24)</f>
        <v>899300000</v>
      </c>
    </row>
    <row r="26" spans="1:10" x14ac:dyDescent="0.25">
      <c r="A26" s="19"/>
      <c r="B26" s="52"/>
      <c r="C26" s="6"/>
      <c r="D26" s="6"/>
      <c r="E26" s="6"/>
      <c r="F26" s="6"/>
      <c r="G26" s="20"/>
      <c r="H26" s="20"/>
      <c r="I26" s="20"/>
      <c r="J26" s="20"/>
    </row>
    <row r="27" spans="1:10" x14ac:dyDescent="0.25">
      <c r="A27" s="62" t="s">
        <v>14</v>
      </c>
      <c r="B27" s="62"/>
      <c r="C27" s="62"/>
      <c r="D27" s="30" t="s">
        <v>12</v>
      </c>
      <c r="E27" s="39">
        <f>I25</f>
        <v>700000</v>
      </c>
      <c r="F27" s="33"/>
      <c r="G27" s="21"/>
      <c r="H27" s="21"/>
      <c r="I27" s="10"/>
      <c r="J27" s="10"/>
    </row>
    <row r="28" spans="1:10" x14ac:dyDescent="0.25">
      <c r="A28" s="8" t="s">
        <v>9</v>
      </c>
      <c r="B28" s="8"/>
      <c r="C28" s="8"/>
      <c r="D28" s="30" t="s">
        <v>12</v>
      </c>
      <c r="E28" s="31"/>
      <c r="F28" s="31"/>
      <c r="G28" s="22"/>
      <c r="H28" s="9"/>
      <c r="I28" s="10"/>
      <c r="J28" s="10"/>
    </row>
    <row r="29" spans="1:10" x14ac:dyDescent="0.25">
      <c r="A29" s="8" t="s">
        <v>16</v>
      </c>
      <c r="B29" s="8"/>
      <c r="C29" s="8"/>
      <c r="D29" s="30" t="s">
        <v>12</v>
      </c>
      <c r="E29" s="32"/>
      <c r="F29" s="32"/>
      <c r="G29" s="22"/>
      <c r="H29" s="9"/>
      <c r="I29" s="10"/>
      <c r="J29" s="10"/>
    </row>
    <row r="30" spans="1:10" x14ac:dyDescent="0.25">
      <c r="A30" s="8" t="s">
        <v>10</v>
      </c>
      <c r="B30" s="8"/>
      <c r="C30" s="8"/>
      <c r="D30" s="30" t="s">
        <v>12</v>
      </c>
      <c r="E30" s="32">
        <f>E28+E29</f>
        <v>0</v>
      </c>
      <c r="F30" s="32"/>
      <c r="G30" s="8"/>
      <c r="H30" s="9"/>
      <c r="I30" s="23"/>
      <c r="J30" s="24"/>
    </row>
    <row r="31" spans="1:10" x14ac:dyDescent="0.25">
      <c r="A31" s="42"/>
      <c r="B31" s="42"/>
      <c r="C31" s="42"/>
      <c r="D31" s="30"/>
      <c r="E31" s="42"/>
      <c r="F31" s="42"/>
      <c r="G31" s="8"/>
      <c r="H31" s="9"/>
      <c r="I31" s="23"/>
      <c r="J31" s="24"/>
    </row>
    <row r="32" spans="1:10" x14ac:dyDescent="0.25">
      <c r="A32" s="62" t="s">
        <v>15</v>
      </c>
      <c r="B32" s="62"/>
      <c r="C32" s="62"/>
      <c r="D32" s="30" t="s">
        <v>12</v>
      </c>
      <c r="E32" s="33">
        <f>E27-E30</f>
        <v>700000</v>
      </c>
      <c r="F32" s="33"/>
      <c r="G32" s="8"/>
      <c r="H32" s="9"/>
      <c r="I32" s="23"/>
      <c r="J32" s="24"/>
    </row>
    <row r="33" spans="1:10" ht="15.75" x14ac:dyDescent="0.25">
      <c r="A33" s="42"/>
      <c r="B33" s="42"/>
      <c r="C33" s="8"/>
      <c r="D33" s="8"/>
      <c r="E33" s="46" t="str">
        <f>PROPER(IF(E32=0,"nol",IF(E32&lt;0,"minus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32),"000000000000000"),1,3)=0,"",MID(TEXT(ABS(E32),"000000000000000"),1,1)&amp;" ratus "&amp;MID(TEXT(ABS(E32),"000000000000000"),2,1)&amp;" puluh "&amp;MID(TEXT(ABS(E32),"000000000000000"),3,1)&amp;" trilyun ")&amp;IF(--MID(TEXT(ABS(E32),"000000000000000"),4,3)=0,"",MID(TEXT(ABS(E32),"000000000000000"),4,1)&amp;" ratus "&amp;MID(TEXT(ABS(E32),"000000000000000"),5,1)&amp;" puluh "&amp;MID(TEXT(ABS(E32),"000000000000000"),6,1)&amp;" milyar ")&amp;IF(--MID(TEXT(ABS(E32),"000000000000000"),7,3)=0,"",MID(TEXT(ABS(E32),"000000000000000"),7,1)&amp;" ratus "&amp;MID(TEXT(ABS(E32),"000000000000000"),8,1)&amp;" puluh "&amp;MID(TEXT(ABS(E32),"000000000000000"),9,1)&amp;" juta ")&amp;IF(--MID(TEXT(ABS(E32),"000000000000000"),10,3)=0,"",IF(--MID(TEXT(ABS(E32),"000000000000000"),10,3)=1,"*",MID(TEXT(ABS(E32),"000000000000000"),10,1)&amp;" ratus "&amp;MID(TEXT(ABS(E32),"000000000000000"),11,1)&amp;" puluh ")&amp;MID(TEXT(ABS(E32),"000000000000000"),12,1)&amp;" ribu ")&amp;IF(--MID(TEXT(ABS(E32),"000000000000000"),13,3)=0,"",MID(TEXT(ABS(E32),"000000000000000"),13,1)&amp;" ratus "&amp;MID(TEXT(ABS(E32),"000000000000000"),14,1)&amp;" puluh "&amp;MID(TEXT(ABS(E32),"000000000000000"),15,1)),1,"satu"),2,"dua"),3,"tiga"),4,"empat"),5,"lima"),6,"enam"),7,"tujuh"),8,"delapan"),9,"sembilan"),"0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Ribu Rupiah</v>
      </c>
      <c r="F33" s="8"/>
      <c r="G33" s="8"/>
      <c r="H33" s="8"/>
      <c r="I33" s="23"/>
      <c r="J33" s="24"/>
    </row>
    <row r="34" spans="1:10" x14ac:dyDescent="0.25">
      <c r="A34" s="26"/>
      <c r="B34" s="26"/>
      <c r="C34" s="26"/>
      <c r="D34" s="26"/>
      <c r="E34" s="26"/>
      <c r="F34" s="26"/>
      <c r="G34" s="25"/>
      <c r="H34" s="24"/>
      <c r="I34" s="23"/>
      <c r="J34" s="24"/>
    </row>
    <row r="35" spans="1:10" x14ac:dyDescent="0.25">
      <c r="A35" s="25"/>
      <c r="B35" s="25"/>
      <c r="C35" s="25"/>
      <c r="D35" s="25"/>
      <c r="E35" s="25"/>
      <c r="F35" s="25"/>
      <c r="G35" s="25"/>
      <c r="H35"/>
      <c r="I35" s="24"/>
      <c r="J35" s="24"/>
    </row>
    <row r="36" spans="1:10" x14ac:dyDescent="0.25">
      <c r="A36" s="42"/>
      <c r="B36" s="42"/>
      <c r="C36" s="8"/>
      <c r="D36" s="8"/>
      <c r="E36" s="8"/>
      <c r="F36" s="8"/>
      <c r="G36" s="8"/>
      <c r="I36" s="44" t="s">
        <v>37</v>
      </c>
      <c r="J36" s="24"/>
    </row>
    <row r="37" spans="1:10" x14ac:dyDescent="0.25">
      <c r="A37" s="9" t="s">
        <v>26</v>
      </c>
      <c r="B37" s="9"/>
      <c r="C37" s="8"/>
      <c r="D37" s="8"/>
      <c r="E37" s="8"/>
      <c r="F37" s="8"/>
      <c r="G37" s="8"/>
      <c r="I37" s="9" t="s">
        <v>25</v>
      </c>
      <c r="J37" s="24"/>
    </row>
    <row r="38" spans="1:10" x14ac:dyDescent="0.25">
      <c r="A38" s="8"/>
      <c r="B38" s="8"/>
      <c r="C38" s="8"/>
      <c r="D38" s="8"/>
      <c r="E38" s="8"/>
      <c r="F38" s="8"/>
      <c r="G38" s="8"/>
      <c r="I38" s="9"/>
      <c r="J38" s="24"/>
    </row>
    <row r="39" spans="1:10" x14ac:dyDescent="0.25">
      <c r="A39" s="8"/>
      <c r="B39" s="8"/>
      <c r="C39" s="8"/>
      <c r="D39" s="8"/>
      <c r="E39" s="8"/>
      <c r="F39" s="8"/>
      <c r="G39" s="8"/>
      <c r="I39" s="9"/>
      <c r="J39" s="24"/>
    </row>
    <row r="40" spans="1:10" x14ac:dyDescent="0.25">
      <c r="A40" s="8"/>
      <c r="B40" s="8"/>
      <c r="C40" s="8"/>
      <c r="D40" s="8"/>
      <c r="E40" s="8"/>
      <c r="F40" s="8"/>
      <c r="G40" s="8"/>
      <c r="I40" s="9"/>
      <c r="J40" s="24"/>
    </row>
    <row r="41" spans="1:10" x14ac:dyDescent="0.25">
      <c r="A41" s="8"/>
      <c r="B41" s="8"/>
      <c r="C41" s="8"/>
      <c r="D41" s="8"/>
      <c r="E41" s="8"/>
      <c r="F41" s="8"/>
      <c r="G41" s="8"/>
      <c r="I41" s="9"/>
      <c r="J41" s="24"/>
    </row>
    <row r="42" spans="1:10" x14ac:dyDescent="0.25">
      <c r="A42" s="28" t="s">
        <v>34</v>
      </c>
      <c r="B42" s="28"/>
      <c r="C42" s="27"/>
      <c r="D42" s="27"/>
      <c r="E42" s="27"/>
      <c r="F42" s="27"/>
      <c r="G42" s="8" t="s">
        <v>11</v>
      </c>
      <c r="I42" s="28" t="s">
        <v>27</v>
      </c>
      <c r="J42" s="24"/>
    </row>
    <row r="47" spans="1:10" ht="15.75" x14ac:dyDescent="0.25">
      <c r="C47" s="3"/>
      <c r="D47" s="3"/>
      <c r="E47" s="3"/>
      <c r="F47" s="3"/>
    </row>
    <row r="48" spans="1:10" ht="15.75" x14ac:dyDescent="0.25">
      <c r="A48" s="2"/>
      <c r="B48" s="2"/>
      <c r="C48" s="3"/>
      <c r="D48" s="3"/>
      <c r="E48" s="3"/>
      <c r="F48" s="3"/>
      <c r="G48" s="2"/>
      <c r="H48" s="4"/>
      <c r="I48" s="4"/>
      <c r="J48" s="5"/>
    </row>
    <row r="49" spans="1:10" x14ac:dyDescent="0.25">
      <c r="H49" s="5"/>
      <c r="I49" s="5"/>
      <c r="J49" s="5"/>
    </row>
    <row r="50" spans="1:10" x14ac:dyDescent="0.25">
      <c r="H50" s="5"/>
      <c r="I50" s="5"/>
      <c r="J50" s="5"/>
    </row>
    <row r="51" spans="1:10" x14ac:dyDescent="0.25">
      <c r="A51" s="60" t="s">
        <v>29</v>
      </c>
      <c r="B51" s="60"/>
      <c r="C51" s="61"/>
      <c r="D51" s="61"/>
      <c r="E51" s="61"/>
      <c r="F51" s="61"/>
      <c r="G51" s="61"/>
      <c r="H51" s="61"/>
      <c r="I51" s="61"/>
      <c r="J51" s="61"/>
    </row>
    <row r="52" spans="1:10" x14ac:dyDescent="0.25">
      <c r="A52" s="61" t="s">
        <v>38</v>
      </c>
      <c r="B52" s="61"/>
      <c r="C52" s="61"/>
      <c r="D52" s="61"/>
      <c r="E52" s="61"/>
      <c r="F52" s="61"/>
      <c r="G52" s="61"/>
      <c r="H52" s="61"/>
      <c r="I52" s="61"/>
      <c r="J52" s="61"/>
    </row>
    <row r="53" spans="1:10" x14ac:dyDescent="0.25">
      <c r="A53" s="61" t="s">
        <v>13</v>
      </c>
      <c r="B53" s="61"/>
      <c r="C53" s="61"/>
      <c r="D53" s="61"/>
      <c r="E53" s="61"/>
      <c r="F53" s="61"/>
      <c r="G53" s="61"/>
      <c r="H53" s="61"/>
      <c r="I53" s="61"/>
      <c r="J53" s="61"/>
    </row>
    <row r="54" spans="1:10" x14ac:dyDescent="0.25">
      <c r="A54" s="61" t="s">
        <v>35</v>
      </c>
      <c r="B54" s="61"/>
      <c r="C54" s="61"/>
      <c r="D54" s="61"/>
      <c r="E54" s="61"/>
      <c r="F54" s="61"/>
      <c r="G54" s="61"/>
      <c r="H54" s="61"/>
      <c r="I54" s="61"/>
      <c r="J54" s="61"/>
    </row>
    <row r="55" spans="1:10" x14ac:dyDescent="0.25">
      <c r="A55" s="61" t="s">
        <v>24</v>
      </c>
      <c r="B55" s="61"/>
      <c r="C55" s="61"/>
      <c r="D55" s="61"/>
      <c r="E55" s="61"/>
      <c r="F55" s="61"/>
      <c r="G55" s="61"/>
      <c r="H55" s="61"/>
      <c r="I55" s="61"/>
      <c r="J55" s="61"/>
    </row>
    <row r="56" spans="1:10" x14ac:dyDescent="0.25">
      <c r="A56" s="29"/>
      <c r="B56" s="29"/>
      <c r="C56" s="7"/>
      <c r="D56" s="7"/>
      <c r="E56" s="7"/>
      <c r="F56" s="7"/>
      <c r="G56" s="6"/>
      <c r="H56" s="10"/>
      <c r="I56" s="10"/>
      <c r="J56" s="10"/>
    </row>
    <row r="57" spans="1:10" x14ac:dyDescent="0.25">
      <c r="A57" s="51" t="s">
        <v>18</v>
      </c>
      <c r="B57" s="51"/>
      <c r="C57" s="51"/>
      <c r="D57" s="35" t="s">
        <v>12</v>
      </c>
      <c r="E57" s="8" t="s">
        <v>30</v>
      </c>
      <c r="H57" s="9"/>
      <c r="I57" s="9"/>
      <c r="J57" s="10"/>
    </row>
    <row r="58" spans="1:10" x14ac:dyDescent="0.25">
      <c r="A58" s="51" t="s">
        <v>19</v>
      </c>
      <c r="B58" s="51"/>
      <c r="C58" s="51"/>
      <c r="D58" s="35" t="s">
        <v>12</v>
      </c>
      <c r="E58" s="8" t="s">
        <v>31</v>
      </c>
      <c r="H58" s="9"/>
      <c r="I58" s="9"/>
      <c r="J58" s="10"/>
    </row>
    <row r="59" spans="1:10" x14ac:dyDescent="0.25">
      <c r="A59" s="51" t="s">
        <v>20</v>
      </c>
      <c r="B59" s="51"/>
      <c r="C59" s="51"/>
      <c r="D59" s="35" t="s">
        <v>12</v>
      </c>
      <c r="E59" s="42">
        <v>2026</v>
      </c>
      <c r="H59" s="9"/>
      <c r="I59" s="9"/>
      <c r="J59" s="10"/>
    </row>
    <row r="60" spans="1:10" x14ac:dyDescent="0.25">
      <c r="A60" s="51" t="s">
        <v>21</v>
      </c>
      <c r="B60" s="51"/>
      <c r="C60" s="51"/>
      <c r="D60" s="35" t="s">
        <v>12</v>
      </c>
      <c r="E60" s="39">
        <f>I68</f>
        <v>4200000</v>
      </c>
      <c r="H60" s="9"/>
      <c r="I60" s="9"/>
      <c r="J60" s="10"/>
    </row>
    <row r="61" spans="1:10" ht="15.75" x14ac:dyDescent="0.25">
      <c r="A61" s="8"/>
      <c r="B61" s="8"/>
      <c r="C61" s="11" t="s">
        <v>0</v>
      </c>
      <c r="D61" s="35" t="s">
        <v>12</v>
      </c>
      <c r="E61" s="46" t="str">
        <f>PROPER(IF(E60=0,"nol",IF(E60&lt;0,"minus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60),"000000000000000"),1,3)=0,"",MID(TEXT(ABS(E60),"000000000000000"),1,1)&amp;" ratus "&amp;MID(TEXT(ABS(E60),"000000000000000"),2,1)&amp;" puluh "&amp;MID(TEXT(ABS(E60),"000000000000000"),3,1)&amp;" trilyun ")&amp;IF(--MID(TEXT(ABS(E60),"000000000000000"),4,3)=0,"",MID(TEXT(ABS(E60),"000000000000000"),4,1)&amp;" ratus "&amp;MID(TEXT(ABS(E60),"000000000000000"),5,1)&amp;" puluh "&amp;MID(TEXT(ABS(E60),"000000000000000"),6,1)&amp;" milyar ")&amp;IF(--MID(TEXT(ABS(E60),"000000000000000"),7,3)=0,"",MID(TEXT(ABS(E60),"000000000000000"),7,1)&amp;" ratus "&amp;MID(TEXT(ABS(E60),"000000000000000"),8,1)&amp;" puluh "&amp;MID(TEXT(ABS(E60),"000000000000000"),9,1)&amp;" juta ")&amp;IF(--MID(TEXT(ABS(E60),"000000000000000"),10,3)=0,"",IF(--MID(TEXT(ABS(E60),"000000000000000"),10,3)=1,"*",MID(TEXT(ABS(E60),"000000000000000"),10,1)&amp;" ratus "&amp;MID(TEXT(ABS(E60),"000000000000000"),11,1)&amp;" puluh ")&amp;MID(TEXT(ABS(E60),"000000000000000"),12,1)&amp;" ribu ")&amp;IF(--MID(TEXT(ABS(E60),"000000000000000"),13,3)=0,"",MID(TEXT(ABS(E60),"000000000000000"),13,1)&amp;" ratus "&amp;MID(TEXT(ABS(E60),"000000000000000"),14,1)&amp;" puluh "&amp;MID(TEXT(ABS(E60),"000000000000000"),15,1)),1,"satu"),2,"dua"),3,"tiga"),4,"empat"),5,"lima"),6,"enam"),7,"tujuh"),8,"delapan"),9,"sembilan"),"0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Dua Ratus Ribu Rupiah</v>
      </c>
      <c r="H61" s="9"/>
      <c r="I61" s="9"/>
      <c r="J61" s="10"/>
    </row>
    <row r="62" spans="1:10" ht="15.75" x14ac:dyDescent="0.25">
      <c r="A62" s="8"/>
      <c r="B62" s="8"/>
      <c r="C62" s="11"/>
      <c r="D62" s="11"/>
      <c r="E62" s="11"/>
      <c r="F62" s="35"/>
      <c r="G62" s="46"/>
      <c r="H62" s="9"/>
      <c r="I62" s="9"/>
      <c r="J62" s="10"/>
    </row>
    <row r="63" spans="1:10" x14ac:dyDescent="0.25">
      <c r="A63" s="8" t="s">
        <v>1</v>
      </c>
      <c r="B63" s="8"/>
      <c r="C63" s="8"/>
      <c r="D63" s="8"/>
      <c r="E63" s="8"/>
      <c r="F63" s="8"/>
      <c r="G63" s="8"/>
      <c r="H63" s="9"/>
      <c r="I63" s="9"/>
      <c r="J63" s="10"/>
    </row>
    <row r="64" spans="1:10" x14ac:dyDescent="0.25">
      <c r="A64" s="59" t="s">
        <v>2</v>
      </c>
      <c r="B64" s="59"/>
      <c r="C64" s="59"/>
      <c r="D64" s="59"/>
      <c r="E64" s="59"/>
      <c r="F64" s="59"/>
      <c r="G64" s="59"/>
      <c r="H64" s="59"/>
      <c r="I64" s="59"/>
      <c r="J64" s="59"/>
    </row>
    <row r="65" spans="1:10" ht="45" x14ac:dyDescent="0.25">
      <c r="A65" s="12" t="s">
        <v>3</v>
      </c>
      <c r="B65" s="57" t="s">
        <v>22</v>
      </c>
      <c r="C65" s="63" t="s">
        <v>4</v>
      </c>
      <c r="D65" s="64"/>
      <c r="E65" s="65"/>
      <c r="F65" s="45"/>
      <c r="G65" s="36" t="s">
        <v>5</v>
      </c>
      <c r="H65" s="13" t="s">
        <v>17</v>
      </c>
      <c r="I65" s="14" t="s">
        <v>6</v>
      </c>
      <c r="J65" s="15" t="s">
        <v>7</v>
      </c>
    </row>
    <row r="66" spans="1:10" x14ac:dyDescent="0.25">
      <c r="A66" s="58">
        <v>1</v>
      </c>
      <c r="B66" s="43"/>
      <c r="C66" s="54" t="s">
        <v>32</v>
      </c>
      <c r="D66" s="56"/>
      <c r="E66" s="53"/>
      <c r="F66" s="34"/>
      <c r="G66" s="55" t="s">
        <v>28</v>
      </c>
      <c r="H66" s="55" t="s">
        <v>28</v>
      </c>
      <c r="I66" s="55" t="s">
        <v>28</v>
      </c>
      <c r="J66" s="55" t="s">
        <v>28</v>
      </c>
    </row>
    <row r="67" spans="1:10" x14ac:dyDescent="0.25">
      <c r="A67" s="43"/>
      <c r="B67" s="43" t="s">
        <v>23</v>
      </c>
      <c r="C67" s="47" t="s">
        <v>33</v>
      </c>
      <c r="D67" s="48"/>
      <c r="E67" s="49"/>
      <c r="F67" s="34"/>
      <c r="G67" s="50">
        <v>900000000</v>
      </c>
      <c r="H67" s="40">
        <f>H24+I24</f>
        <v>700000</v>
      </c>
      <c r="I67" s="40">
        <v>4200000</v>
      </c>
      <c r="J67" s="41">
        <f t="shared" ref="J67" si="1">G67-H67-I67</f>
        <v>895100000</v>
      </c>
    </row>
    <row r="68" spans="1:10" x14ac:dyDescent="0.25">
      <c r="A68" s="16"/>
      <c r="B68" s="16"/>
      <c r="C68" s="17" t="s">
        <v>8</v>
      </c>
      <c r="D68" s="17"/>
      <c r="E68" s="17"/>
      <c r="F68" s="38"/>
      <c r="G68" s="37">
        <f>SUM(G66:G67)</f>
        <v>900000000</v>
      </c>
      <c r="H68" s="18">
        <f>SUM(H66:H67)</f>
        <v>700000</v>
      </c>
      <c r="I68" s="18">
        <f>SUM(I66:I67)</f>
        <v>4200000</v>
      </c>
      <c r="J68" s="18">
        <f>SUM(J66:J67)</f>
        <v>895100000</v>
      </c>
    </row>
    <row r="69" spans="1:10" x14ac:dyDescent="0.25">
      <c r="A69" s="19"/>
      <c r="B69" s="52"/>
      <c r="C69" s="6"/>
      <c r="D69" s="6"/>
      <c r="E69" s="6"/>
      <c r="F69" s="6"/>
      <c r="G69" s="20"/>
      <c r="H69" s="20"/>
      <c r="I69" s="20"/>
      <c r="J69" s="20"/>
    </row>
    <row r="70" spans="1:10" x14ac:dyDescent="0.25">
      <c r="A70" s="62" t="s">
        <v>14</v>
      </c>
      <c r="B70" s="62"/>
      <c r="C70" s="62"/>
      <c r="D70" s="30" t="s">
        <v>12</v>
      </c>
      <c r="E70" s="39">
        <f>I68</f>
        <v>4200000</v>
      </c>
      <c r="F70" s="33"/>
      <c r="G70" s="21"/>
      <c r="H70" s="21"/>
      <c r="I70" s="10"/>
      <c r="J70" s="10"/>
    </row>
    <row r="71" spans="1:10" x14ac:dyDescent="0.25">
      <c r="A71" s="8" t="s">
        <v>9</v>
      </c>
      <c r="B71" s="8"/>
      <c r="C71" s="8"/>
      <c r="D71" s="30" t="s">
        <v>12</v>
      </c>
      <c r="E71" s="31"/>
      <c r="F71" s="31"/>
      <c r="G71" s="22"/>
      <c r="H71" s="9"/>
      <c r="I71" s="10"/>
      <c r="J71" s="10"/>
    </row>
    <row r="72" spans="1:10" x14ac:dyDescent="0.25">
      <c r="A72" s="8" t="s">
        <v>16</v>
      </c>
      <c r="B72" s="8"/>
      <c r="C72" s="8"/>
      <c r="D72" s="30" t="s">
        <v>12</v>
      </c>
      <c r="E72" s="32"/>
      <c r="F72" s="32"/>
      <c r="G72" s="22"/>
      <c r="H72" s="9"/>
      <c r="I72" s="10"/>
      <c r="J72" s="10"/>
    </row>
    <row r="73" spans="1:10" x14ac:dyDescent="0.25">
      <c r="A73" s="8" t="s">
        <v>10</v>
      </c>
      <c r="B73" s="8"/>
      <c r="C73" s="8"/>
      <c r="D73" s="30" t="s">
        <v>12</v>
      </c>
      <c r="E73" s="32">
        <f>E71+E72</f>
        <v>0</v>
      </c>
      <c r="F73" s="32"/>
      <c r="G73" s="8"/>
      <c r="H73" s="9"/>
      <c r="I73" s="23"/>
      <c r="J73" s="24"/>
    </row>
    <row r="74" spans="1:10" x14ac:dyDescent="0.25">
      <c r="A74" s="42"/>
      <c r="B74" s="42"/>
      <c r="C74" s="42"/>
      <c r="D74" s="30"/>
      <c r="E74" s="42"/>
      <c r="F74" s="42"/>
      <c r="G74" s="8"/>
      <c r="H74" s="9"/>
      <c r="I74" s="23"/>
      <c r="J74" s="24"/>
    </row>
    <row r="75" spans="1:10" x14ac:dyDescent="0.25">
      <c r="A75" s="62" t="s">
        <v>15</v>
      </c>
      <c r="B75" s="62"/>
      <c r="C75" s="62"/>
      <c r="D75" s="30" t="s">
        <v>12</v>
      </c>
      <c r="E75" s="33">
        <f>E70-E73</f>
        <v>4200000</v>
      </c>
      <c r="F75" s="33"/>
      <c r="G75" s="8"/>
      <c r="H75" s="9"/>
      <c r="I75" s="23"/>
      <c r="J75" s="24"/>
    </row>
    <row r="76" spans="1:10" ht="15.75" x14ac:dyDescent="0.25">
      <c r="A76" s="42"/>
      <c r="B76" s="42"/>
      <c r="C76" s="8"/>
      <c r="D76" s="8"/>
      <c r="E76" s="46" t="str">
        <f>PROPER(IF(E75=0,"nol",IF(E75&lt;0,"minus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75),"000000000000000"),1,3)=0,"",MID(TEXT(ABS(E75),"000000000000000"),1,1)&amp;" ratus "&amp;MID(TEXT(ABS(E75),"000000000000000"),2,1)&amp;" puluh "&amp;MID(TEXT(ABS(E75),"000000000000000"),3,1)&amp;" trilyun ")&amp;IF(--MID(TEXT(ABS(E75),"000000000000000"),4,3)=0,"",MID(TEXT(ABS(E75),"000000000000000"),4,1)&amp;" ratus "&amp;MID(TEXT(ABS(E75),"000000000000000"),5,1)&amp;" puluh "&amp;MID(TEXT(ABS(E75),"000000000000000"),6,1)&amp;" milyar ")&amp;IF(--MID(TEXT(ABS(E75),"000000000000000"),7,3)=0,"",MID(TEXT(ABS(E75),"000000000000000"),7,1)&amp;" ratus "&amp;MID(TEXT(ABS(E75),"000000000000000"),8,1)&amp;" puluh "&amp;MID(TEXT(ABS(E75),"000000000000000"),9,1)&amp;" juta ")&amp;IF(--MID(TEXT(ABS(E75),"000000000000000"),10,3)=0,"",IF(--MID(TEXT(ABS(E75),"000000000000000"),10,3)=1,"*",MID(TEXT(ABS(E75),"000000000000000"),10,1)&amp;" ratus "&amp;MID(TEXT(ABS(E75),"000000000000000"),11,1)&amp;" puluh ")&amp;MID(TEXT(ABS(E75),"000000000000000"),12,1)&amp;" ribu ")&amp;IF(--MID(TEXT(ABS(E75),"000000000000000"),13,3)=0,"",MID(TEXT(ABS(E75),"000000000000000"),13,1)&amp;" ratus "&amp;MID(TEXT(ABS(E75),"000000000000000"),14,1)&amp;" puluh "&amp;MID(TEXT(ABS(E75),"000000000000000"),15,1)),1,"satu"),2,"dua"),3,"tiga"),4,"empat"),5,"lima"),6,"enam"),7,"tujuh"),8,"delapan"),9,"sembilan"),"0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Dua Ratus Ribu Rupiah</v>
      </c>
      <c r="F76" s="8"/>
      <c r="G76" s="8"/>
      <c r="H76" s="8"/>
      <c r="I76" s="23"/>
      <c r="J76" s="24"/>
    </row>
    <row r="77" spans="1:10" x14ac:dyDescent="0.25">
      <c r="A77" s="26"/>
      <c r="B77" s="26"/>
      <c r="C77" s="26"/>
      <c r="D77" s="26"/>
      <c r="E77" s="26"/>
      <c r="F77" s="26"/>
      <c r="G77" s="25"/>
      <c r="H77" s="24"/>
      <c r="I77" s="23"/>
      <c r="J77" s="24"/>
    </row>
    <row r="78" spans="1:10" x14ac:dyDescent="0.25">
      <c r="A78" s="25"/>
      <c r="B78" s="25"/>
      <c r="C78" s="25"/>
      <c r="D78" s="25"/>
      <c r="E78" s="25"/>
      <c r="F78" s="25"/>
      <c r="G78" s="25"/>
      <c r="H78"/>
      <c r="I78" s="24"/>
      <c r="J78" s="24"/>
    </row>
    <row r="79" spans="1:10" x14ac:dyDescent="0.25">
      <c r="A79" s="42"/>
      <c r="B79" s="42"/>
      <c r="C79" s="8"/>
      <c r="D79" s="8"/>
      <c r="E79" s="8"/>
      <c r="F79" s="8"/>
      <c r="G79" s="8"/>
      <c r="I79" s="44" t="s">
        <v>39</v>
      </c>
      <c r="J79" s="24"/>
    </row>
    <row r="80" spans="1:10" x14ac:dyDescent="0.25">
      <c r="A80" s="9" t="s">
        <v>26</v>
      </c>
      <c r="B80" s="9"/>
      <c r="C80" s="8"/>
      <c r="D80" s="8"/>
      <c r="E80" s="8"/>
      <c r="F80" s="8"/>
      <c r="G80" s="8"/>
      <c r="I80" s="9" t="s">
        <v>25</v>
      </c>
      <c r="J80" s="24"/>
    </row>
    <row r="81" spans="1:10" x14ac:dyDescent="0.25">
      <c r="A81" s="8"/>
      <c r="B81" s="8"/>
      <c r="C81" s="8"/>
      <c r="D81" s="8"/>
      <c r="E81" s="8"/>
      <c r="F81" s="8"/>
      <c r="G81" s="8"/>
      <c r="I81" s="9"/>
      <c r="J81" s="24"/>
    </row>
    <row r="82" spans="1:10" x14ac:dyDescent="0.25">
      <c r="A82" s="8"/>
      <c r="B82" s="8"/>
      <c r="C82" s="8"/>
      <c r="D82" s="8"/>
      <c r="E82" s="8"/>
      <c r="F82" s="8"/>
      <c r="G82" s="8"/>
      <c r="I82" s="9"/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28" t="s">
        <v>34</v>
      </c>
      <c r="B85" s="28"/>
      <c r="C85" s="27"/>
      <c r="D85" s="27"/>
      <c r="E85" s="27"/>
      <c r="F85" s="27"/>
      <c r="G85" s="8" t="s">
        <v>11</v>
      </c>
      <c r="I85" s="28" t="s">
        <v>27</v>
      </c>
      <c r="J85" s="24"/>
    </row>
    <row r="90" spans="1:10" ht="15.75" x14ac:dyDescent="0.25">
      <c r="C90" s="3"/>
      <c r="D90" s="3"/>
      <c r="E90" s="3"/>
      <c r="F90" s="3"/>
    </row>
    <row r="91" spans="1:10" ht="15.75" x14ac:dyDescent="0.25">
      <c r="A91" s="2"/>
      <c r="B91" s="2"/>
      <c r="C91" s="3"/>
      <c r="D91" s="3"/>
      <c r="E91" s="3"/>
      <c r="F91" s="3"/>
      <c r="G91" s="2"/>
      <c r="H91" s="4"/>
      <c r="I91" s="4"/>
      <c r="J91" s="5"/>
    </row>
    <row r="92" spans="1:10" x14ac:dyDescent="0.25">
      <c r="H92" s="5"/>
      <c r="I92" s="5"/>
      <c r="J92" s="5"/>
    </row>
    <row r="93" spans="1:10" x14ac:dyDescent="0.25">
      <c r="H93" s="5"/>
      <c r="I93" s="5"/>
      <c r="J93" s="5"/>
    </row>
    <row r="94" spans="1:10" x14ac:dyDescent="0.25">
      <c r="A94" s="60" t="s">
        <v>29</v>
      </c>
      <c r="B94" s="60"/>
      <c r="C94" s="61"/>
      <c r="D94" s="61"/>
      <c r="E94" s="61"/>
      <c r="F94" s="61"/>
      <c r="G94" s="61"/>
      <c r="H94" s="61"/>
      <c r="I94" s="61"/>
      <c r="J94" s="61"/>
    </row>
    <row r="95" spans="1:10" x14ac:dyDescent="0.25">
      <c r="A95" s="61" t="s">
        <v>40</v>
      </c>
      <c r="B95" s="61"/>
      <c r="C95" s="61"/>
      <c r="D95" s="61"/>
      <c r="E95" s="61"/>
      <c r="F95" s="61"/>
      <c r="G95" s="61"/>
      <c r="H95" s="61"/>
      <c r="I95" s="61"/>
      <c r="J95" s="61"/>
    </row>
    <row r="96" spans="1:10" x14ac:dyDescent="0.25">
      <c r="A96" s="61" t="s">
        <v>13</v>
      </c>
      <c r="B96" s="61"/>
      <c r="C96" s="61"/>
      <c r="D96" s="61"/>
      <c r="E96" s="61"/>
      <c r="F96" s="61"/>
      <c r="G96" s="61"/>
      <c r="H96" s="61"/>
      <c r="I96" s="61"/>
      <c r="J96" s="61"/>
    </row>
    <row r="97" spans="1:10" x14ac:dyDescent="0.25">
      <c r="A97" s="61" t="s">
        <v>35</v>
      </c>
      <c r="B97" s="61"/>
      <c r="C97" s="61"/>
      <c r="D97" s="61"/>
      <c r="E97" s="61"/>
      <c r="F97" s="61"/>
      <c r="G97" s="61"/>
      <c r="H97" s="61"/>
      <c r="I97" s="61"/>
      <c r="J97" s="61"/>
    </row>
    <row r="98" spans="1:10" x14ac:dyDescent="0.25">
      <c r="A98" s="61" t="s">
        <v>24</v>
      </c>
      <c r="B98" s="61"/>
      <c r="C98" s="61"/>
      <c r="D98" s="61"/>
      <c r="E98" s="61"/>
      <c r="F98" s="61"/>
      <c r="G98" s="61"/>
      <c r="H98" s="61"/>
      <c r="I98" s="61"/>
      <c r="J98" s="61"/>
    </row>
    <row r="99" spans="1:10" x14ac:dyDescent="0.25">
      <c r="A99" s="29"/>
      <c r="B99" s="29"/>
      <c r="C99" s="7"/>
      <c r="D99" s="7"/>
      <c r="E99" s="7"/>
      <c r="F99" s="7"/>
      <c r="G99" s="6"/>
      <c r="H99" s="10"/>
      <c r="I99" s="10"/>
      <c r="J99" s="10"/>
    </row>
    <row r="100" spans="1:10" x14ac:dyDescent="0.25">
      <c r="A100" s="51" t="s">
        <v>18</v>
      </c>
      <c r="B100" s="51"/>
      <c r="C100" s="51"/>
      <c r="D100" s="35" t="s">
        <v>12</v>
      </c>
      <c r="E100" s="8" t="s">
        <v>30</v>
      </c>
      <c r="H100" s="9"/>
      <c r="I100" s="9"/>
      <c r="J100" s="10"/>
    </row>
    <row r="101" spans="1:10" x14ac:dyDescent="0.25">
      <c r="A101" s="51" t="s">
        <v>19</v>
      </c>
      <c r="B101" s="51"/>
      <c r="C101" s="51"/>
      <c r="D101" s="35" t="s">
        <v>12</v>
      </c>
      <c r="E101" s="8" t="s">
        <v>31</v>
      </c>
      <c r="H101" s="9"/>
      <c r="I101" s="9"/>
      <c r="J101" s="10"/>
    </row>
    <row r="102" spans="1:10" x14ac:dyDescent="0.25">
      <c r="A102" s="51" t="s">
        <v>20</v>
      </c>
      <c r="B102" s="51"/>
      <c r="C102" s="51"/>
      <c r="D102" s="35" t="s">
        <v>12</v>
      </c>
      <c r="E102" s="42">
        <v>2026</v>
      </c>
      <c r="H102" s="9"/>
      <c r="I102" s="9"/>
      <c r="J102" s="10"/>
    </row>
    <row r="103" spans="1:10" x14ac:dyDescent="0.25">
      <c r="A103" s="51" t="s">
        <v>21</v>
      </c>
      <c r="B103" s="51"/>
      <c r="C103" s="51"/>
      <c r="D103" s="35" t="s">
        <v>12</v>
      </c>
      <c r="E103" s="39">
        <f>I111</f>
        <v>300000</v>
      </c>
      <c r="H103" s="9"/>
      <c r="I103" s="9"/>
      <c r="J103" s="10"/>
    </row>
    <row r="104" spans="1:10" ht="15.75" x14ac:dyDescent="0.25">
      <c r="A104" s="8"/>
      <c r="B104" s="8"/>
      <c r="C104" s="11" t="s">
        <v>0</v>
      </c>
      <c r="D104" s="35" t="s">
        <v>12</v>
      </c>
      <c r="E104" s="46" t="str">
        <f>PROPER(IF(E103=0,"nol",IF(E103&lt;0,"minus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103),"000000000000000"),1,3)=0,"",MID(TEXT(ABS(E103),"000000000000000"),1,1)&amp;" ratus "&amp;MID(TEXT(ABS(E103),"000000000000000"),2,1)&amp;" puluh "&amp;MID(TEXT(ABS(E103),"000000000000000"),3,1)&amp;" trilyun ")&amp;IF(--MID(TEXT(ABS(E103),"000000000000000"),4,3)=0,"",MID(TEXT(ABS(E103),"000000000000000"),4,1)&amp;" ratus "&amp;MID(TEXT(ABS(E103),"000000000000000"),5,1)&amp;" puluh "&amp;MID(TEXT(ABS(E103),"000000000000000"),6,1)&amp;" milyar ")&amp;IF(--MID(TEXT(ABS(E103),"000000000000000"),7,3)=0,"",MID(TEXT(ABS(E103),"000000000000000"),7,1)&amp;" ratus "&amp;MID(TEXT(ABS(E103),"000000000000000"),8,1)&amp;" puluh "&amp;MID(TEXT(ABS(E103),"000000000000000"),9,1)&amp;" juta ")&amp;IF(--MID(TEXT(ABS(E103),"000000000000000"),10,3)=0,"",IF(--MID(TEXT(ABS(E103),"000000000000000"),10,3)=1,"*",MID(TEXT(ABS(E103),"000000000000000"),10,1)&amp;" ratus "&amp;MID(TEXT(ABS(E103),"000000000000000"),11,1)&amp;" puluh ")&amp;MID(TEXT(ABS(E103),"000000000000000"),12,1)&amp;" ribu ")&amp;IF(--MID(TEXT(ABS(E103),"000000000000000"),13,3)=0,"",MID(TEXT(ABS(E103),"000000000000000"),13,1)&amp;" ratus "&amp;MID(TEXT(ABS(E103),"000000000000000"),14,1)&amp;" puluh "&amp;MID(TEXT(ABS(E103),"000000000000000"),15,1)),1,"satu"),2,"dua"),3,"tiga"),4,"empat"),5,"lima"),6,"enam"),7,"tujuh"),8,"delapan"),9,"sembilan"),"0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H104" s="9"/>
      <c r="I104" s="9"/>
      <c r="J104" s="10"/>
    </row>
    <row r="105" spans="1:10" ht="15.75" x14ac:dyDescent="0.25">
      <c r="A105" s="8"/>
      <c r="B105" s="8"/>
      <c r="C105" s="11"/>
      <c r="D105" s="11"/>
      <c r="E105" s="11"/>
      <c r="F105" s="35"/>
      <c r="G105" s="46"/>
      <c r="H105" s="9"/>
      <c r="I105" s="9"/>
      <c r="J105" s="10"/>
    </row>
    <row r="106" spans="1:10" x14ac:dyDescent="0.25">
      <c r="A106" s="8" t="s">
        <v>1</v>
      </c>
      <c r="B106" s="8"/>
      <c r="C106" s="8"/>
      <c r="D106" s="8"/>
      <c r="E106" s="8"/>
      <c r="F106" s="8"/>
      <c r="G106" s="8"/>
      <c r="H106" s="9"/>
      <c r="I106" s="9"/>
      <c r="J106" s="10"/>
    </row>
    <row r="107" spans="1:10" x14ac:dyDescent="0.25">
      <c r="A107" s="59" t="s">
        <v>2</v>
      </c>
      <c r="B107" s="59"/>
      <c r="C107" s="59"/>
      <c r="D107" s="59"/>
      <c r="E107" s="59"/>
      <c r="F107" s="59"/>
      <c r="G107" s="59"/>
      <c r="H107" s="59"/>
      <c r="I107" s="59"/>
      <c r="J107" s="59"/>
    </row>
    <row r="108" spans="1:10" ht="45" x14ac:dyDescent="0.25">
      <c r="A108" s="12" t="s">
        <v>3</v>
      </c>
      <c r="B108" s="57" t="s">
        <v>22</v>
      </c>
      <c r="C108" s="63" t="s">
        <v>4</v>
      </c>
      <c r="D108" s="64"/>
      <c r="E108" s="65"/>
      <c r="F108" s="45"/>
      <c r="G108" s="36" t="s">
        <v>5</v>
      </c>
      <c r="H108" s="13" t="s">
        <v>17</v>
      </c>
      <c r="I108" s="14" t="s">
        <v>6</v>
      </c>
      <c r="J108" s="15" t="s">
        <v>7</v>
      </c>
    </row>
    <row r="109" spans="1:10" x14ac:dyDescent="0.25">
      <c r="A109" s="58">
        <v>1</v>
      </c>
      <c r="B109" s="43"/>
      <c r="C109" s="54" t="s">
        <v>32</v>
      </c>
      <c r="D109" s="56"/>
      <c r="E109" s="53"/>
      <c r="F109" s="34"/>
      <c r="G109" s="55" t="s">
        <v>28</v>
      </c>
      <c r="H109" s="55" t="s">
        <v>28</v>
      </c>
      <c r="I109" s="55" t="s">
        <v>28</v>
      </c>
      <c r="J109" s="55" t="s">
        <v>28</v>
      </c>
    </row>
    <row r="110" spans="1:10" x14ac:dyDescent="0.25">
      <c r="A110" s="43"/>
      <c r="B110" s="43" t="s">
        <v>23</v>
      </c>
      <c r="C110" s="47" t="s">
        <v>33</v>
      </c>
      <c r="D110" s="48"/>
      <c r="E110" s="49"/>
      <c r="F110" s="34"/>
      <c r="G110" s="50">
        <v>900000000</v>
      </c>
      <c r="H110" s="40">
        <f>H67+I67</f>
        <v>4900000</v>
      </c>
      <c r="I110" s="40">
        <v>300000</v>
      </c>
      <c r="J110" s="41">
        <f t="shared" ref="J110" si="2">G110-H110-I110</f>
        <v>894800000</v>
      </c>
    </row>
    <row r="111" spans="1:10" x14ac:dyDescent="0.25">
      <c r="A111" s="16"/>
      <c r="B111" s="16"/>
      <c r="C111" s="17" t="s">
        <v>8</v>
      </c>
      <c r="D111" s="17"/>
      <c r="E111" s="17"/>
      <c r="F111" s="38"/>
      <c r="G111" s="37">
        <f>SUM(G109:G110)</f>
        <v>900000000</v>
      </c>
      <c r="H111" s="18">
        <f>SUM(H109:H110)</f>
        <v>4900000</v>
      </c>
      <c r="I111" s="18">
        <f>SUM(I109:I110)</f>
        <v>300000</v>
      </c>
      <c r="J111" s="18">
        <f>SUM(J109:J110)</f>
        <v>894800000</v>
      </c>
    </row>
    <row r="112" spans="1:10" x14ac:dyDescent="0.25">
      <c r="A112" s="19"/>
      <c r="B112" s="52"/>
      <c r="C112" s="6"/>
      <c r="D112" s="6"/>
      <c r="E112" s="6"/>
      <c r="F112" s="6"/>
      <c r="G112" s="20"/>
      <c r="H112" s="20"/>
      <c r="I112" s="20"/>
      <c r="J112" s="20"/>
    </row>
    <row r="113" spans="1:10" x14ac:dyDescent="0.25">
      <c r="A113" s="62" t="s">
        <v>14</v>
      </c>
      <c r="B113" s="62"/>
      <c r="C113" s="62"/>
      <c r="D113" s="30" t="s">
        <v>12</v>
      </c>
      <c r="E113" s="39">
        <f>I111</f>
        <v>300000</v>
      </c>
      <c r="F113" s="33"/>
      <c r="G113" s="21"/>
      <c r="H113" s="21"/>
      <c r="I113" s="10"/>
      <c r="J113" s="10"/>
    </row>
    <row r="114" spans="1:10" x14ac:dyDescent="0.25">
      <c r="A114" s="8" t="s">
        <v>9</v>
      </c>
      <c r="B114" s="8"/>
      <c r="C114" s="8"/>
      <c r="D114" s="30" t="s">
        <v>12</v>
      </c>
      <c r="E114" s="31"/>
      <c r="F114" s="31"/>
      <c r="G114" s="22"/>
      <c r="H114" s="9"/>
      <c r="I114" s="10"/>
      <c r="J114" s="10"/>
    </row>
    <row r="115" spans="1:10" x14ac:dyDescent="0.25">
      <c r="A115" s="8" t="s">
        <v>16</v>
      </c>
      <c r="B115" s="8"/>
      <c r="C115" s="8"/>
      <c r="D115" s="30" t="s">
        <v>12</v>
      </c>
      <c r="E115" s="32"/>
      <c r="F115" s="32"/>
      <c r="G115" s="22"/>
      <c r="H115" s="9"/>
      <c r="I115" s="10"/>
      <c r="J115" s="10"/>
    </row>
    <row r="116" spans="1:10" x14ac:dyDescent="0.25">
      <c r="A116" s="8" t="s">
        <v>10</v>
      </c>
      <c r="B116" s="8"/>
      <c r="C116" s="8"/>
      <c r="D116" s="30" t="s">
        <v>12</v>
      </c>
      <c r="E116" s="32">
        <f>E114+E115</f>
        <v>0</v>
      </c>
      <c r="F116" s="32"/>
      <c r="G116" s="8"/>
      <c r="H116" s="9"/>
      <c r="I116" s="23"/>
      <c r="J116" s="24"/>
    </row>
    <row r="117" spans="1:10" x14ac:dyDescent="0.25">
      <c r="A117" s="42"/>
      <c r="B117" s="42"/>
      <c r="C117" s="42"/>
      <c r="D117" s="30"/>
      <c r="E117" s="42"/>
      <c r="F117" s="42"/>
      <c r="G117" s="8"/>
      <c r="H117" s="9"/>
      <c r="I117" s="23"/>
      <c r="J117" s="24"/>
    </row>
    <row r="118" spans="1:10" x14ac:dyDescent="0.25">
      <c r="A118" s="62" t="s">
        <v>15</v>
      </c>
      <c r="B118" s="62"/>
      <c r="C118" s="62"/>
      <c r="D118" s="30" t="s">
        <v>12</v>
      </c>
      <c r="E118" s="33">
        <f>E113-E116</f>
        <v>300000</v>
      </c>
      <c r="F118" s="33"/>
      <c r="G118" s="8"/>
      <c r="H118" s="9"/>
      <c r="I118" s="23"/>
      <c r="J118" s="24"/>
    </row>
    <row r="119" spans="1:10" ht="15.75" x14ac:dyDescent="0.25">
      <c r="A119" s="42"/>
      <c r="B119" s="42"/>
      <c r="C119" s="8"/>
      <c r="D119" s="8"/>
      <c r="E119" s="46" t="str">
        <f>PROPER(IF(E118=0,"nol",IF(E118&lt;0,"minus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118),"000000000000000"),1,3)=0,"",MID(TEXT(ABS(E118),"000000000000000"),1,1)&amp;" ratus "&amp;MID(TEXT(ABS(E118),"000000000000000"),2,1)&amp;" puluh "&amp;MID(TEXT(ABS(E118),"000000000000000"),3,1)&amp;" trilyun ")&amp;IF(--MID(TEXT(ABS(E118),"000000000000000"),4,3)=0,"",MID(TEXT(ABS(E118),"000000000000000"),4,1)&amp;" ratus "&amp;MID(TEXT(ABS(E118),"000000000000000"),5,1)&amp;" puluh "&amp;MID(TEXT(ABS(E118),"000000000000000"),6,1)&amp;" milyar ")&amp;IF(--MID(TEXT(ABS(E118),"000000000000000"),7,3)=0,"",MID(TEXT(ABS(E118),"000000000000000"),7,1)&amp;" ratus "&amp;MID(TEXT(ABS(E118),"000000000000000"),8,1)&amp;" puluh "&amp;MID(TEXT(ABS(E118),"000000000000000"),9,1)&amp;" juta ")&amp;IF(--MID(TEXT(ABS(E118),"000000000000000"),10,3)=0,"",IF(--MID(TEXT(ABS(E118),"000000000000000"),10,3)=1,"*",MID(TEXT(ABS(E118),"000000000000000"),10,1)&amp;" ratus "&amp;MID(TEXT(ABS(E118),"000000000000000"),11,1)&amp;" puluh ")&amp;MID(TEXT(ABS(E118),"000000000000000"),12,1)&amp;" ribu ")&amp;IF(--MID(TEXT(ABS(E118),"000000000000000"),13,3)=0,"",MID(TEXT(ABS(E118),"000000000000000"),13,1)&amp;" ratus "&amp;MID(TEXT(ABS(E118),"000000000000000"),14,1)&amp;" puluh "&amp;MID(TEXT(ABS(E118),"000000000000000"),15,1)),1,"satu"),2,"dua"),3,"tiga"),4,"empat"),5,"lima"),6,"enam"),7,"tujuh"),8,"delapan"),9,"sembilan"),"0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119" s="8"/>
      <c r="G119" s="8"/>
      <c r="H119" s="8"/>
      <c r="I119" s="23"/>
      <c r="J119" s="24"/>
    </row>
    <row r="120" spans="1:10" x14ac:dyDescent="0.25">
      <c r="A120" s="26"/>
      <c r="B120" s="26"/>
      <c r="C120" s="26"/>
      <c r="D120" s="26"/>
      <c r="E120" s="26"/>
      <c r="F120" s="26"/>
      <c r="G120" s="25"/>
      <c r="H120" s="24"/>
      <c r="I120" s="23"/>
      <c r="J120" s="24"/>
    </row>
    <row r="121" spans="1:10" x14ac:dyDescent="0.25">
      <c r="A121" s="25"/>
      <c r="B121" s="25"/>
      <c r="C121" s="25"/>
      <c r="D121" s="25"/>
      <c r="E121" s="25"/>
      <c r="F121" s="25"/>
      <c r="G121" s="25"/>
      <c r="H121"/>
      <c r="I121" s="24"/>
      <c r="J121" s="24"/>
    </row>
    <row r="122" spans="1:10" x14ac:dyDescent="0.25">
      <c r="A122" s="42"/>
      <c r="B122" s="42"/>
      <c r="C122" s="8"/>
      <c r="D122" s="8"/>
      <c r="E122" s="8"/>
      <c r="F122" s="8"/>
      <c r="G122" s="8"/>
      <c r="I122" s="44" t="s">
        <v>41</v>
      </c>
      <c r="J122" s="24"/>
    </row>
    <row r="123" spans="1:10" x14ac:dyDescent="0.25">
      <c r="A123" s="9" t="s">
        <v>26</v>
      </c>
      <c r="B123" s="9"/>
      <c r="C123" s="8"/>
      <c r="D123" s="8"/>
      <c r="E123" s="8"/>
      <c r="F123" s="8"/>
      <c r="G123" s="8"/>
      <c r="I123" s="9" t="s">
        <v>25</v>
      </c>
      <c r="J123" s="24"/>
    </row>
    <row r="124" spans="1:10" x14ac:dyDescent="0.25">
      <c r="A124" s="8"/>
      <c r="B124" s="8"/>
      <c r="C124" s="8"/>
      <c r="D124" s="8"/>
      <c r="E124" s="8"/>
      <c r="F124" s="8"/>
      <c r="G124" s="8"/>
      <c r="I124" s="9"/>
      <c r="J124" s="24"/>
    </row>
    <row r="125" spans="1:10" x14ac:dyDescent="0.25">
      <c r="A125" s="8"/>
      <c r="B125" s="8"/>
      <c r="C125" s="8"/>
      <c r="D125" s="8"/>
      <c r="E125" s="8"/>
      <c r="F125" s="8"/>
      <c r="G125" s="8"/>
      <c r="I125" s="9"/>
      <c r="J125" s="24"/>
    </row>
    <row r="126" spans="1:10" x14ac:dyDescent="0.25">
      <c r="A126" s="8"/>
      <c r="B126" s="8"/>
      <c r="C126" s="8"/>
      <c r="D126" s="8"/>
      <c r="E126" s="8"/>
      <c r="F126" s="8"/>
      <c r="G126" s="8"/>
      <c r="I126" s="9"/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28" t="s">
        <v>34</v>
      </c>
      <c r="B128" s="28"/>
      <c r="C128" s="27"/>
      <c r="D128" s="27"/>
      <c r="E128" s="27"/>
      <c r="F128" s="27"/>
      <c r="G128" s="8" t="s">
        <v>11</v>
      </c>
      <c r="I128" s="28" t="s">
        <v>27</v>
      </c>
      <c r="J128" s="24"/>
    </row>
  </sheetData>
  <mergeCells count="27">
    <mergeCell ref="A64:J64"/>
    <mergeCell ref="C65:E65"/>
    <mergeCell ref="A70:C70"/>
    <mergeCell ref="A75:C75"/>
    <mergeCell ref="A51:J51"/>
    <mergeCell ref="A52:J52"/>
    <mergeCell ref="A53:J53"/>
    <mergeCell ref="A54:J54"/>
    <mergeCell ref="A55:J55"/>
    <mergeCell ref="A32:C32"/>
    <mergeCell ref="A8:J8"/>
    <mergeCell ref="A9:J9"/>
    <mergeCell ref="A10:J10"/>
    <mergeCell ref="A11:J11"/>
    <mergeCell ref="A12:J12"/>
    <mergeCell ref="A21:J21"/>
    <mergeCell ref="C22:E22"/>
    <mergeCell ref="A27:C27"/>
    <mergeCell ref="A107:J107"/>
    <mergeCell ref="C108:E108"/>
    <mergeCell ref="A113:C113"/>
    <mergeCell ref="A118:C118"/>
    <mergeCell ref="A94:J94"/>
    <mergeCell ref="A95:J95"/>
    <mergeCell ref="A96:J96"/>
    <mergeCell ref="A97:J97"/>
    <mergeCell ref="A98:J98"/>
  </mergeCells>
  <pageMargins left="0.23622047244094491" right="0.23622047244094491" top="0.74803149606299213" bottom="0.74803149606299213" header="0.31496062992125984" footer="0.31496062992125984"/>
  <pageSetup paperSize="9" scale="77" orientation="portrait" horizontalDpi="4294967293" r:id="rId1"/>
  <rowBreaks count="2" manualBreakCount="2">
    <brk id="43" max="9" man="1"/>
    <brk id="86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4F15-4AB1-428A-A358-0D2FCF3FF9E5}">
  <dimension ref="A4:K300"/>
  <sheetViews>
    <sheetView view="pageBreakPreview" topLeftCell="A268" zoomScaleNormal="100" zoomScaleSheetLayoutView="100" workbookViewId="0">
      <selection activeCell="J300" sqref="A259:J300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36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4" spans="1:10" ht="15.75" x14ac:dyDescent="0.25">
      <c r="C4" s="3"/>
      <c r="D4" s="3"/>
      <c r="E4" s="3"/>
      <c r="F4" s="3"/>
    </row>
    <row r="5" spans="1:10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</row>
    <row r="6" spans="1:10" x14ac:dyDescent="0.25">
      <c r="H6" s="5"/>
      <c r="I6" s="5"/>
      <c r="J6" s="5"/>
    </row>
    <row r="7" spans="1:10" x14ac:dyDescent="0.25">
      <c r="H7" s="5"/>
      <c r="I7" s="5"/>
      <c r="J7" s="5"/>
    </row>
    <row r="8" spans="1:10" x14ac:dyDescent="0.25">
      <c r="A8" s="60" t="s">
        <v>29</v>
      </c>
      <c r="B8" s="60"/>
      <c r="C8" s="61"/>
      <c r="D8" s="61"/>
      <c r="E8" s="61"/>
      <c r="F8" s="61"/>
      <c r="G8" s="61"/>
      <c r="H8" s="61"/>
      <c r="I8" s="61"/>
      <c r="J8" s="61"/>
    </row>
    <row r="9" spans="1:10" x14ac:dyDescent="0.25">
      <c r="A9" s="61" t="s">
        <v>42</v>
      </c>
      <c r="B9" s="61"/>
      <c r="C9" s="61"/>
      <c r="D9" s="61"/>
      <c r="E9" s="61"/>
      <c r="F9" s="61"/>
      <c r="G9" s="61"/>
      <c r="H9" s="61"/>
      <c r="I9" s="61"/>
      <c r="J9" s="61"/>
    </row>
    <row r="10" spans="1:10" x14ac:dyDescent="0.25">
      <c r="A10" s="61" t="s">
        <v>13</v>
      </c>
      <c r="B10" s="61"/>
      <c r="C10" s="61"/>
      <c r="D10" s="61"/>
      <c r="E10" s="61"/>
      <c r="F10" s="61"/>
      <c r="G10" s="61"/>
      <c r="H10" s="61"/>
      <c r="I10" s="61"/>
      <c r="J10" s="61"/>
    </row>
    <row r="11" spans="1:10" x14ac:dyDescent="0.25">
      <c r="A11" s="61" t="s">
        <v>35</v>
      </c>
      <c r="B11" s="61"/>
      <c r="C11" s="61"/>
      <c r="D11" s="61"/>
      <c r="E11" s="61"/>
      <c r="F11" s="61"/>
      <c r="G11" s="61"/>
      <c r="H11" s="61"/>
      <c r="I11" s="61"/>
      <c r="J11" s="61"/>
    </row>
    <row r="12" spans="1:10" x14ac:dyDescent="0.25">
      <c r="A12" s="61" t="s">
        <v>24</v>
      </c>
      <c r="B12" s="61"/>
      <c r="C12" s="61"/>
      <c r="D12" s="61"/>
      <c r="E12" s="61"/>
      <c r="F12" s="61"/>
      <c r="G12" s="61"/>
      <c r="H12" s="61"/>
      <c r="I12" s="61"/>
      <c r="J12" s="61"/>
    </row>
    <row r="13" spans="1:10" x14ac:dyDescent="0.25">
      <c r="A13" s="29"/>
      <c r="B13" s="29"/>
      <c r="C13" s="7"/>
      <c r="D13" s="7"/>
      <c r="E13" s="7"/>
      <c r="F13" s="7"/>
      <c r="G13" s="6"/>
      <c r="H13" s="10"/>
      <c r="I13" s="10"/>
      <c r="J13" s="10"/>
    </row>
    <row r="14" spans="1:10" x14ac:dyDescent="0.25">
      <c r="A14" s="51" t="s">
        <v>18</v>
      </c>
      <c r="B14" s="51"/>
      <c r="C14" s="51"/>
      <c r="D14" s="35" t="s">
        <v>12</v>
      </c>
      <c r="E14" s="8" t="s">
        <v>30</v>
      </c>
      <c r="H14" s="9"/>
      <c r="I14" s="9"/>
      <c r="J14" s="10"/>
    </row>
    <row r="15" spans="1:10" x14ac:dyDescent="0.25">
      <c r="A15" s="51" t="s">
        <v>19</v>
      </c>
      <c r="B15" s="51"/>
      <c r="C15" s="51"/>
      <c r="D15" s="35" t="s">
        <v>12</v>
      </c>
      <c r="E15" s="8" t="s">
        <v>31</v>
      </c>
      <c r="H15" s="9"/>
      <c r="I15" s="9"/>
      <c r="J15" s="10"/>
    </row>
    <row r="16" spans="1:10" x14ac:dyDescent="0.25">
      <c r="A16" s="51" t="s">
        <v>20</v>
      </c>
      <c r="B16" s="51"/>
      <c r="C16" s="51"/>
      <c r="D16" s="35" t="s">
        <v>12</v>
      </c>
      <c r="E16" s="42">
        <v>2026</v>
      </c>
      <c r="H16" s="9"/>
      <c r="I16" s="9"/>
      <c r="J16" s="10"/>
    </row>
    <row r="17" spans="1:10" x14ac:dyDescent="0.25">
      <c r="A17" s="51" t="s">
        <v>21</v>
      </c>
      <c r="B17" s="51"/>
      <c r="C17" s="51"/>
      <c r="D17" s="35" t="s">
        <v>12</v>
      </c>
      <c r="E17" s="39">
        <f>I25</f>
        <v>1400000</v>
      </c>
      <c r="H17" s="9"/>
      <c r="I17" s="9"/>
      <c r="J17" s="10"/>
    </row>
    <row r="18" spans="1:10" ht="15.75" x14ac:dyDescent="0.25">
      <c r="A18" s="8"/>
      <c r="B18" s="8"/>
      <c r="C18" s="11" t="s">
        <v>0</v>
      </c>
      <c r="D18" s="35" t="s">
        <v>12</v>
      </c>
      <c r="E18" s="4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Empat Ratus Ribu Rupiah</v>
      </c>
      <c r="H18" s="9"/>
      <c r="I18" s="9"/>
      <c r="J18" s="10"/>
    </row>
    <row r="19" spans="1:10" ht="15.75" x14ac:dyDescent="0.25">
      <c r="A19" s="8"/>
      <c r="B19" s="8"/>
      <c r="C19" s="11"/>
      <c r="D19" s="11"/>
      <c r="E19" s="11"/>
      <c r="F19" s="35"/>
      <c r="G19" s="46"/>
      <c r="H19" s="9"/>
      <c r="I19" s="9"/>
      <c r="J19" s="10"/>
    </row>
    <row r="20" spans="1:10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</row>
    <row r="21" spans="1:10" x14ac:dyDescent="0.25">
      <c r="A21" s="59" t="s">
        <v>2</v>
      </c>
      <c r="B21" s="59"/>
      <c r="C21" s="59"/>
      <c r="D21" s="59"/>
      <c r="E21" s="59"/>
      <c r="F21" s="59"/>
      <c r="G21" s="59"/>
      <c r="H21" s="59"/>
      <c r="I21" s="59"/>
      <c r="J21" s="59"/>
    </row>
    <row r="22" spans="1:10" ht="45" x14ac:dyDescent="0.25">
      <c r="A22" s="12" t="s">
        <v>3</v>
      </c>
      <c r="B22" s="57" t="s">
        <v>22</v>
      </c>
      <c r="C22" s="63" t="s">
        <v>4</v>
      </c>
      <c r="D22" s="64"/>
      <c r="E22" s="65"/>
      <c r="F22" s="45"/>
      <c r="G22" s="36" t="s">
        <v>5</v>
      </c>
      <c r="H22" s="13" t="s">
        <v>17</v>
      </c>
      <c r="I22" s="14" t="s">
        <v>6</v>
      </c>
      <c r="J22" s="15" t="s">
        <v>7</v>
      </c>
    </row>
    <row r="23" spans="1:10" x14ac:dyDescent="0.25">
      <c r="A23" s="58">
        <v>1</v>
      </c>
      <c r="B23" s="43"/>
      <c r="C23" s="54" t="s">
        <v>32</v>
      </c>
      <c r="D23" s="56"/>
      <c r="E23" s="53"/>
      <c r="F23" s="34"/>
      <c r="G23" s="55" t="s">
        <v>28</v>
      </c>
      <c r="H23" s="55" t="s">
        <v>28</v>
      </c>
      <c r="I23" s="55" t="s">
        <v>28</v>
      </c>
      <c r="J23" s="55" t="s">
        <v>28</v>
      </c>
    </row>
    <row r="24" spans="1:10" x14ac:dyDescent="0.25">
      <c r="A24" s="43"/>
      <c r="B24" s="43" t="s">
        <v>23</v>
      </c>
      <c r="C24" s="47" t="s">
        <v>33</v>
      </c>
      <c r="D24" s="48"/>
      <c r="E24" s="49"/>
      <c r="F24" s="34"/>
      <c r="G24" s="50">
        <v>900000000</v>
      </c>
      <c r="H24" s="40">
        <f>JANUARI!H110+JANUARI!I110</f>
        <v>5200000</v>
      </c>
      <c r="I24" s="40">
        <v>1400000</v>
      </c>
      <c r="J24" s="41">
        <f t="shared" ref="J24" si="0">G24-H24-I24</f>
        <v>893400000</v>
      </c>
    </row>
    <row r="25" spans="1:10" x14ac:dyDescent="0.25">
      <c r="A25" s="16"/>
      <c r="B25" s="16"/>
      <c r="C25" s="17" t="s">
        <v>8</v>
      </c>
      <c r="D25" s="17"/>
      <c r="E25" s="17"/>
      <c r="F25" s="38"/>
      <c r="G25" s="37">
        <f>SUM(G23:G24)</f>
        <v>900000000</v>
      </c>
      <c r="H25" s="18">
        <f>SUM(H23:H24)</f>
        <v>5200000</v>
      </c>
      <c r="I25" s="18">
        <f>SUM(I23:I24)</f>
        <v>1400000</v>
      </c>
      <c r="J25" s="18">
        <f>SUM(J23:J24)</f>
        <v>893400000</v>
      </c>
    </row>
    <row r="26" spans="1:10" x14ac:dyDescent="0.25">
      <c r="A26" s="19"/>
      <c r="B26" s="52"/>
      <c r="C26" s="6"/>
      <c r="D26" s="6"/>
      <c r="E26" s="6"/>
      <c r="F26" s="6"/>
      <c r="G26" s="20"/>
      <c r="H26" s="20"/>
      <c r="I26" s="20"/>
      <c r="J26" s="20"/>
    </row>
    <row r="27" spans="1:10" x14ac:dyDescent="0.25">
      <c r="A27" s="62" t="s">
        <v>14</v>
      </c>
      <c r="B27" s="62"/>
      <c r="C27" s="62"/>
      <c r="D27" s="30" t="s">
        <v>12</v>
      </c>
      <c r="E27" s="39">
        <f>I25</f>
        <v>1400000</v>
      </c>
      <c r="F27" s="33"/>
      <c r="G27" s="21"/>
      <c r="H27" s="21"/>
      <c r="I27" s="10"/>
      <c r="J27" s="10"/>
    </row>
    <row r="28" spans="1:10" x14ac:dyDescent="0.25">
      <c r="A28" s="8" t="s">
        <v>9</v>
      </c>
      <c r="B28" s="8"/>
      <c r="C28" s="8"/>
      <c r="D28" s="30" t="s">
        <v>12</v>
      </c>
      <c r="E28" s="31"/>
      <c r="F28" s="31"/>
      <c r="G28" s="22"/>
      <c r="H28" s="9"/>
      <c r="I28" s="10"/>
      <c r="J28" s="10"/>
    </row>
    <row r="29" spans="1:10" x14ac:dyDescent="0.25">
      <c r="A29" s="8" t="s">
        <v>16</v>
      </c>
      <c r="B29" s="8"/>
      <c r="C29" s="8"/>
      <c r="D29" s="30" t="s">
        <v>12</v>
      </c>
      <c r="E29" s="32"/>
      <c r="F29" s="32"/>
      <c r="G29" s="22"/>
      <c r="H29" s="9"/>
      <c r="I29" s="10"/>
      <c r="J29" s="10"/>
    </row>
    <row r="30" spans="1:10" x14ac:dyDescent="0.25">
      <c r="A30" s="8" t="s">
        <v>10</v>
      </c>
      <c r="B30" s="8"/>
      <c r="C30" s="8"/>
      <c r="D30" s="30" t="s">
        <v>12</v>
      </c>
      <c r="E30" s="32">
        <f>E28+E29</f>
        <v>0</v>
      </c>
      <c r="F30" s="32"/>
      <c r="G30" s="8"/>
      <c r="H30" s="9"/>
      <c r="I30" s="23"/>
      <c r="J30" s="24"/>
    </row>
    <row r="31" spans="1:10" x14ac:dyDescent="0.25">
      <c r="A31" s="42"/>
      <c r="B31" s="42"/>
      <c r="C31" s="42"/>
      <c r="D31" s="30"/>
      <c r="E31" s="42"/>
      <c r="F31" s="42"/>
      <c r="G31" s="8"/>
      <c r="H31" s="9"/>
      <c r="I31" s="23"/>
      <c r="J31" s="24"/>
    </row>
    <row r="32" spans="1:10" x14ac:dyDescent="0.25">
      <c r="A32" s="62" t="s">
        <v>15</v>
      </c>
      <c r="B32" s="62"/>
      <c r="C32" s="62"/>
      <c r="D32" s="30" t="s">
        <v>12</v>
      </c>
      <c r="E32" s="33">
        <f>E27-E30</f>
        <v>1400000</v>
      </c>
      <c r="F32" s="33"/>
      <c r="G32" s="8"/>
      <c r="H32" s="9"/>
      <c r="I32" s="23"/>
      <c r="J32" s="24"/>
    </row>
    <row r="33" spans="1:10" ht="15.75" x14ac:dyDescent="0.25">
      <c r="A33" s="42"/>
      <c r="B33" s="42"/>
      <c r="C33" s="8"/>
      <c r="D33" s="8"/>
      <c r="E33" s="46" t="str">
        <f>PROPER(IF(E32=0,"nol",IF(E32&lt;0,"minus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32),"000000000000000"),1,3)=0,"",MID(TEXT(ABS(E32),"000000000000000"),1,1)&amp;" ratus "&amp;MID(TEXT(ABS(E32),"000000000000000"),2,1)&amp;" puluh "&amp;MID(TEXT(ABS(E32),"000000000000000"),3,1)&amp;" trilyun ")&amp;IF(--MID(TEXT(ABS(E32),"000000000000000"),4,3)=0,"",MID(TEXT(ABS(E32),"000000000000000"),4,1)&amp;" ratus "&amp;MID(TEXT(ABS(E32),"000000000000000"),5,1)&amp;" puluh "&amp;MID(TEXT(ABS(E32),"000000000000000"),6,1)&amp;" milyar ")&amp;IF(--MID(TEXT(ABS(E32),"000000000000000"),7,3)=0,"",MID(TEXT(ABS(E32),"000000000000000"),7,1)&amp;" ratus "&amp;MID(TEXT(ABS(E32),"000000000000000"),8,1)&amp;" puluh "&amp;MID(TEXT(ABS(E32),"000000000000000"),9,1)&amp;" juta ")&amp;IF(--MID(TEXT(ABS(E32),"000000000000000"),10,3)=0,"",IF(--MID(TEXT(ABS(E32),"000000000000000"),10,3)=1,"*",MID(TEXT(ABS(E32),"000000000000000"),10,1)&amp;" ratus "&amp;MID(TEXT(ABS(E32),"000000000000000"),11,1)&amp;" puluh ")&amp;MID(TEXT(ABS(E32),"000000000000000"),12,1)&amp;" ribu ")&amp;IF(--MID(TEXT(ABS(E32),"000000000000000"),13,3)=0,"",MID(TEXT(ABS(E32),"000000000000000"),13,1)&amp;" ratus "&amp;MID(TEXT(ABS(E32),"000000000000000"),14,1)&amp;" puluh "&amp;MID(TEXT(ABS(E32),"000000000000000"),15,1)),1,"satu"),2,"dua"),3,"tiga"),4,"empat"),5,"lima"),6,"enam"),7,"tujuh"),8,"delapan"),9,"sembilan"),"0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Empat Ratus Ribu Rupiah</v>
      </c>
      <c r="F33" s="8"/>
      <c r="G33" s="8"/>
      <c r="H33" s="8"/>
      <c r="I33" s="23"/>
      <c r="J33" s="24"/>
    </row>
    <row r="34" spans="1:10" x14ac:dyDescent="0.25">
      <c r="A34" s="26"/>
      <c r="B34" s="26"/>
      <c r="C34" s="26"/>
      <c r="D34" s="26"/>
      <c r="E34" s="26"/>
      <c r="F34" s="26"/>
      <c r="G34" s="25"/>
      <c r="H34" s="24"/>
      <c r="I34" s="23"/>
      <c r="J34" s="24"/>
    </row>
    <row r="35" spans="1:10" x14ac:dyDescent="0.25">
      <c r="A35" s="25"/>
      <c r="B35" s="25"/>
      <c r="C35" s="25"/>
      <c r="D35" s="25"/>
      <c r="E35" s="25"/>
      <c r="F35" s="25"/>
      <c r="G35" s="25"/>
      <c r="H35"/>
      <c r="I35" s="24"/>
      <c r="J35" s="24"/>
    </row>
    <row r="36" spans="1:10" x14ac:dyDescent="0.25">
      <c r="A36" s="42"/>
      <c r="B36" s="42"/>
      <c r="C36" s="8"/>
      <c r="D36" s="8"/>
      <c r="E36" s="8"/>
      <c r="F36" s="8"/>
      <c r="G36" s="8"/>
      <c r="I36" s="44" t="s">
        <v>43</v>
      </c>
      <c r="J36" s="24"/>
    </row>
    <row r="37" spans="1:10" x14ac:dyDescent="0.25">
      <c r="A37" s="9" t="s">
        <v>26</v>
      </c>
      <c r="B37" s="9"/>
      <c r="C37" s="8"/>
      <c r="D37" s="8"/>
      <c r="E37" s="8"/>
      <c r="F37" s="8"/>
      <c r="G37" s="8"/>
      <c r="I37" s="9" t="s">
        <v>25</v>
      </c>
      <c r="J37" s="24"/>
    </row>
    <row r="38" spans="1:10" x14ac:dyDescent="0.25">
      <c r="A38" s="8"/>
      <c r="B38" s="8"/>
      <c r="C38" s="8"/>
      <c r="D38" s="8"/>
      <c r="E38" s="8"/>
      <c r="F38" s="8"/>
      <c r="G38" s="8"/>
      <c r="I38" s="9"/>
      <c r="J38" s="24"/>
    </row>
    <row r="39" spans="1:10" x14ac:dyDescent="0.25">
      <c r="A39" s="8"/>
      <c r="B39" s="8"/>
      <c r="C39" s="8"/>
      <c r="D39" s="8"/>
      <c r="E39" s="8"/>
      <c r="F39" s="8"/>
      <c r="G39" s="8"/>
      <c r="I39" s="9"/>
      <c r="J39" s="24"/>
    </row>
    <row r="40" spans="1:10" x14ac:dyDescent="0.25">
      <c r="A40" s="8"/>
      <c r="B40" s="8"/>
      <c r="C40" s="8"/>
      <c r="D40" s="8"/>
      <c r="E40" s="8"/>
      <c r="F40" s="8"/>
      <c r="G40" s="8"/>
      <c r="I40" s="9"/>
      <c r="J40" s="24"/>
    </row>
    <row r="41" spans="1:10" x14ac:dyDescent="0.25">
      <c r="A41" s="8"/>
      <c r="B41" s="8"/>
      <c r="C41" s="8"/>
      <c r="D41" s="8"/>
      <c r="E41" s="8"/>
      <c r="F41" s="8"/>
      <c r="G41" s="8"/>
      <c r="I41" s="9"/>
      <c r="J41" s="24"/>
    </row>
    <row r="42" spans="1:10" x14ac:dyDescent="0.25">
      <c r="A42" s="28" t="s">
        <v>34</v>
      </c>
      <c r="B42" s="28"/>
      <c r="C42" s="27"/>
      <c r="D42" s="27"/>
      <c r="E42" s="27"/>
      <c r="F42" s="27"/>
      <c r="G42" s="8" t="s">
        <v>11</v>
      </c>
      <c r="I42" s="28" t="s">
        <v>27</v>
      </c>
      <c r="J42" s="24"/>
    </row>
    <row r="47" spans="1:10" ht="15.75" x14ac:dyDescent="0.25">
      <c r="C47" s="3"/>
      <c r="D47" s="3"/>
      <c r="E47" s="3"/>
      <c r="F47" s="3"/>
    </row>
    <row r="48" spans="1:10" ht="15.75" x14ac:dyDescent="0.25">
      <c r="A48" s="2"/>
      <c r="B48" s="2"/>
      <c r="C48" s="3"/>
      <c r="D48" s="3"/>
      <c r="E48" s="3"/>
      <c r="F48" s="3"/>
      <c r="G48" s="2"/>
      <c r="H48" s="4"/>
      <c r="I48" s="4"/>
      <c r="J48" s="5"/>
    </row>
    <row r="49" spans="1:10" x14ac:dyDescent="0.25">
      <c r="H49" s="5"/>
      <c r="I49" s="5"/>
      <c r="J49" s="5"/>
    </row>
    <row r="50" spans="1:10" x14ac:dyDescent="0.25">
      <c r="H50" s="5"/>
      <c r="I50" s="5"/>
      <c r="J50" s="5"/>
    </row>
    <row r="51" spans="1:10" x14ac:dyDescent="0.25">
      <c r="A51" s="60" t="s">
        <v>29</v>
      </c>
      <c r="B51" s="60"/>
      <c r="C51" s="61"/>
      <c r="D51" s="61"/>
      <c r="E51" s="61"/>
      <c r="F51" s="61"/>
      <c r="G51" s="61"/>
      <c r="H51" s="61"/>
      <c r="I51" s="61"/>
      <c r="J51" s="61"/>
    </row>
    <row r="52" spans="1:10" x14ac:dyDescent="0.25">
      <c r="A52" s="61" t="s">
        <v>44</v>
      </c>
      <c r="B52" s="61"/>
      <c r="C52" s="61"/>
      <c r="D52" s="61"/>
      <c r="E52" s="61"/>
      <c r="F52" s="61"/>
      <c r="G52" s="61"/>
      <c r="H52" s="61"/>
      <c r="I52" s="61"/>
      <c r="J52" s="61"/>
    </row>
    <row r="53" spans="1:10" x14ac:dyDescent="0.25">
      <c r="A53" s="61" t="s">
        <v>13</v>
      </c>
      <c r="B53" s="61"/>
      <c r="C53" s="61"/>
      <c r="D53" s="61"/>
      <c r="E53" s="61"/>
      <c r="F53" s="61"/>
      <c r="G53" s="61"/>
      <c r="H53" s="61"/>
      <c r="I53" s="61"/>
      <c r="J53" s="61"/>
    </row>
    <row r="54" spans="1:10" x14ac:dyDescent="0.25">
      <c r="A54" s="61" t="s">
        <v>35</v>
      </c>
      <c r="B54" s="61"/>
      <c r="C54" s="61"/>
      <c r="D54" s="61"/>
      <c r="E54" s="61"/>
      <c r="F54" s="61"/>
      <c r="G54" s="61"/>
      <c r="H54" s="61"/>
      <c r="I54" s="61"/>
      <c r="J54" s="61"/>
    </row>
    <row r="55" spans="1:10" x14ac:dyDescent="0.25">
      <c r="A55" s="61" t="s">
        <v>24</v>
      </c>
      <c r="B55" s="61"/>
      <c r="C55" s="61"/>
      <c r="D55" s="61"/>
      <c r="E55" s="61"/>
      <c r="F55" s="61"/>
      <c r="G55" s="61"/>
      <c r="H55" s="61"/>
      <c r="I55" s="61"/>
      <c r="J55" s="61"/>
    </row>
    <row r="56" spans="1:10" x14ac:dyDescent="0.25">
      <c r="A56" s="29"/>
      <c r="B56" s="29"/>
      <c r="C56" s="7"/>
      <c r="D56" s="7"/>
      <c r="E56" s="7"/>
      <c r="F56" s="7"/>
      <c r="G56" s="6"/>
      <c r="H56" s="10"/>
      <c r="I56" s="10"/>
      <c r="J56" s="10"/>
    </row>
    <row r="57" spans="1:10" x14ac:dyDescent="0.25">
      <c r="A57" s="51" t="s">
        <v>18</v>
      </c>
      <c r="B57" s="51"/>
      <c r="C57" s="51"/>
      <c r="D57" s="35" t="s">
        <v>12</v>
      </c>
      <c r="E57" s="8" t="s">
        <v>30</v>
      </c>
      <c r="H57" s="9"/>
      <c r="I57" s="9"/>
      <c r="J57" s="10"/>
    </row>
    <row r="58" spans="1:10" x14ac:dyDescent="0.25">
      <c r="A58" s="51" t="s">
        <v>19</v>
      </c>
      <c r="B58" s="51"/>
      <c r="C58" s="51"/>
      <c r="D58" s="35" t="s">
        <v>12</v>
      </c>
      <c r="E58" s="8" t="s">
        <v>31</v>
      </c>
      <c r="H58" s="9"/>
      <c r="I58" s="9"/>
      <c r="J58" s="10"/>
    </row>
    <row r="59" spans="1:10" x14ac:dyDescent="0.25">
      <c r="A59" s="51" t="s">
        <v>20</v>
      </c>
      <c r="B59" s="51"/>
      <c r="C59" s="51"/>
      <c r="D59" s="35" t="s">
        <v>12</v>
      </c>
      <c r="E59" s="42">
        <v>2026</v>
      </c>
      <c r="H59" s="9"/>
      <c r="I59" s="9"/>
      <c r="J59" s="10"/>
    </row>
    <row r="60" spans="1:10" x14ac:dyDescent="0.25">
      <c r="A60" s="51" t="s">
        <v>21</v>
      </c>
      <c r="B60" s="51"/>
      <c r="C60" s="51"/>
      <c r="D60" s="35" t="s">
        <v>12</v>
      </c>
      <c r="E60" s="39">
        <f>I68</f>
        <v>300000</v>
      </c>
      <c r="H60" s="9"/>
      <c r="I60" s="9"/>
      <c r="J60" s="10"/>
    </row>
    <row r="61" spans="1:10" ht="15.75" x14ac:dyDescent="0.25">
      <c r="A61" s="8"/>
      <c r="B61" s="8"/>
      <c r="C61" s="11" t="s">
        <v>0</v>
      </c>
      <c r="D61" s="35" t="s">
        <v>12</v>
      </c>
      <c r="E61" s="46" t="str">
        <f>PROPER(IF(E60=0,"nol",IF(E60&lt;0,"minus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60),"000000000000000"),1,3)=0,"",MID(TEXT(ABS(E60),"000000000000000"),1,1)&amp;" ratus "&amp;MID(TEXT(ABS(E60),"000000000000000"),2,1)&amp;" puluh "&amp;MID(TEXT(ABS(E60),"000000000000000"),3,1)&amp;" trilyun ")&amp;IF(--MID(TEXT(ABS(E60),"000000000000000"),4,3)=0,"",MID(TEXT(ABS(E60),"000000000000000"),4,1)&amp;" ratus "&amp;MID(TEXT(ABS(E60),"000000000000000"),5,1)&amp;" puluh "&amp;MID(TEXT(ABS(E60),"000000000000000"),6,1)&amp;" milyar ")&amp;IF(--MID(TEXT(ABS(E60),"000000000000000"),7,3)=0,"",MID(TEXT(ABS(E60),"000000000000000"),7,1)&amp;" ratus "&amp;MID(TEXT(ABS(E60),"000000000000000"),8,1)&amp;" puluh "&amp;MID(TEXT(ABS(E60),"000000000000000"),9,1)&amp;" juta ")&amp;IF(--MID(TEXT(ABS(E60),"000000000000000"),10,3)=0,"",IF(--MID(TEXT(ABS(E60),"000000000000000"),10,3)=1,"*",MID(TEXT(ABS(E60),"000000000000000"),10,1)&amp;" ratus "&amp;MID(TEXT(ABS(E60),"000000000000000"),11,1)&amp;" puluh ")&amp;MID(TEXT(ABS(E60),"000000000000000"),12,1)&amp;" ribu ")&amp;IF(--MID(TEXT(ABS(E60),"000000000000000"),13,3)=0,"",MID(TEXT(ABS(E60),"000000000000000"),13,1)&amp;" ratus "&amp;MID(TEXT(ABS(E60),"000000000000000"),14,1)&amp;" puluh "&amp;MID(TEXT(ABS(E60),"000000000000000"),15,1)),1,"satu"),2,"dua"),3,"tiga"),4,"empat"),5,"lima"),6,"enam"),7,"tujuh"),8,"delapan"),9,"sembilan"),"0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H61" s="9"/>
      <c r="I61" s="9"/>
      <c r="J61" s="10"/>
    </row>
    <row r="62" spans="1:10" ht="15.75" x14ac:dyDescent="0.25">
      <c r="A62" s="8"/>
      <c r="B62" s="8"/>
      <c r="C62" s="11"/>
      <c r="D62" s="11"/>
      <c r="E62" s="11"/>
      <c r="F62" s="35"/>
      <c r="G62" s="46"/>
      <c r="H62" s="9"/>
      <c r="I62" s="9"/>
      <c r="J62" s="10"/>
    </row>
    <row r="63" spans="1:10" x14ac:dyDescent="0.25">
      <c r="A63" s="8" t="s">
        <v>1</v>
      </c>
      <c r="B63" s="8"/>
      <c r="C63" s="8"/>
      <c r="D63" s="8"/>
      <c r="E63" s="8"/>
      <c r="F63" s="8"/>
      <c r="G63" s="8"/>
      <c r="H63" s="9"/>
      <c r="I63" s="9"/>
      <c r="J63" s="10"/>
    </row>
    <row r="64" spans="1:10" x14ac:dyDescent="0.25">
      <c r="A64" s="59" t="s">
        <v>2</v>
      </c>
      <c r="B64" s="59"/>
      <c r="C64" s="59"/>
      <c r="D64" s="59"/>
      <c r="E64" s="59"/>
      <c r="F64" s="59"/>
      <c r="G64" s="59"/>
      <c r="H64" s="59"/>
      <c r="I64" s="59"/>
      <c r="J64" s="59"/>
    </row>
    <row r="65" spans="1:10" ht="45" x14ac:dyDescent="0.25">
      <c r="A65" s="12" t="s">
        <v>3</v>
      </c>
      <c r="B65" s="57" t="s">
        <v>22</v>
      </c>
      <c r="C65" s="63" t="s">
        <v>4</v>
      </c>
      <c r="D65" s="64"/>
      <c r="E65" s="65"/>
      <c r="F65" s="45"/>
      <c r="G65" s="36" t="s">
        <v>5</v>
      </c>
      <c r="H65" s="13" t="s">
        <v>17</v>
      </c>
      <c r="I65" s="14" t="s">
        <v>6</v>
      </c>
      <c r="J65" s="15" t="s">
        <v>7</v>
      </c>
    </row>
    <row r="66" spans="1:10" x14ac:dyDescent="0.25">
      <c r="A66" s="58">
        <v>1</v>
      </c>
      <c r="B66" s="43"/>
      <c r="C66" s="54" t="s">
        <v>32</v>
      </c>
      <c r="D66" s="56"/>
      <c r="E66" s="53"/>
      <c r="F66" s="34"/>
      <c r="G66" s="55" t="s">
        <v>28</v>
      </c>
      <c r="H66" s="55" t="s">
        <v>28</v>
      </c>
      <c r="I66" s="55" t="s">
        <v>28</v>
      </c>
      <c r="J66" s="55" t="s">
        <v>28</v>
      </c>
    </row>
    <row r="67" spans="1:10" x14ac:dyDescent="0.25">
      <c r="A67" s="43"/>
      <c r="B67" s="43" t="s">
        <v>23</v>
      </c>
      <c r="C67" s="47" t="s">
        <v>33</v>
      </c>
      <c r="D67" s="48"/>
      <c r="E67" s="49"/>
      <c r="F67" s="34"/>
      <c r="G67" s="50">
        <v>900000000</v>
      </c>
      <c r="H67" s="40">
        <f>H24+I24</f>
        <v>6600000</v>
      </c>
      <c r="I67" s="40">
        <v>300000</v>
      </c>
      <c r="J67" s="41">
        <f t="shared" ref="J67" si="1">G67-H67-I67</f>
        <v>893100000</v>
      </c>
    </row>
    <row r="68" spans="1:10" x14ac:dyDescent="0.25">
      <c r="A68" s="16"/>
      <c r="B68" s="16"/>
      <c r="C68" s="17" t="s">
        <v>8</v>
      </c>
      <c r="D68" s="17"/>
      <c r="E68" s="17"/>
      <c r="F68" s="38"/>
      <c r="G68" s="37">
        <f>SUM(G66:G67)</f>
        <v>900000000</v>
      </c>
      <c r="H68" s="18">
        <f>SUM(H66:H67)</f>
        <v>6600000</v>
      </c>
      <c r="I68" s="18">
        <f>SUM(I66:I67)</f>
        <v>300000</v>
      </c>
      <c r="J68" s="18">
        <f>SUM(J66:J67)</f>
        <v>893100000</v>
      </c>
    </row>
    <row r="69" spans="1:10" x14ac:dyDescent="0.25">
      <c r="A69" s="19"/>
      <c r="B69" s="52"/>
      <c r="C69" s="6"/>
      <c r="D69" s="6"/>
      <c r="E69" s="6"/>
      <c r="F69" s="6"/>
      <c r="G69" s="20"/>
      <c r="H69" s="20"/>
      <c r="I69" s="20"/>
      <c r="J69" s="20"/>
    </row>
    <row r="70" spans="1:10" x14ac:dyDescent="0.25">
      <c r="A70" s="62" t="s">
        <v>14</v>
      </c>
      <c r="B70" s="62"/>
      <c r="C70" s="62"/>
      <c r="D70" s="30" t="s">
        <v>12</v>
      </c>
      <c r="E70" s="39">
        <f>I68</f>
        <v>300000</v>
      </c>
      <c r="F70" s="33"/>
      <c r="G70" s="21"/>
      <c r="H70" s="21"/>
      <c r="I70" s="10"/>
      <c r="J70" s="10"/>
    </row>
    <row r="71" spans="1:10" x14ac:dyDescent="0.25">
      <c r="A71" s="8" t="s">
        <v>9</v>
      </c>
      <c r="B71" s="8"/>
      <c r="C71" s="8"/>
      <c r="D71" s="30" t="s">
        <v>12</v>
      </c>
      <c r="E71" s="31"/>
      <c r="F71" s="31"/>
      <c r="G71" s="22"/>
      <c r="H71" s="9"/>
      <c r="I71" s="10"/>
      <c r="J71" s="10"/>
    </row>
    <row r="72" spans="1:10" x14ac:dyDescent="0.25">
      <c r="A72" s="8" t="s">
        <v>16</v>
      </c>
      <c r="B72" s="8"/>
      <c r="C72" s="8"/>
      <c r="D72" s="30" t="s">
        <v>12</v>
      </c>
      <c r="E72" s="32"/>
      <c r="F72" s="32"/>
      <c r="G72" s="22"/>
      <c r="H72" s="9"/>
      <c r="I72" s="10"/>
      <c r="J72" s="10"/>
    </row>
    <row r="73" spans="1:10" x14ac:dyDescent="0.25">
      <c r="A73" s="8" t="s">
        <v>10</v>
      </c>
      <c r="B73" s="8"/>
      <c r="C73" s="8"/>
      <c r="D73" s="30" t="s">
        <v>12</v>
      </c>
      <c r="E73" s="32">
        <f>E71+E72</f>
        <v>0</v>
      </c>
      <c r="F73" s="32"/>
      <c r="G73" s="8"/>
      <c r="H73" s="9"/>
      <c r="I73" s="23"/>
      <c r="J73" s="24"/>
    </row>
    <row r="74" spans="1:10" x14ac:dyDescent="0.25">
      <c r="A74" s="42"/>
      <c r="B74" s="42"/>
      <c r="C74" s="42"/>
      <c r="D74" s="30"/>
      <c r="E74" s="42"/>
      <c r="F74" s="42"/>
      <c r="G74" s="8"/>
      <c r="H74" s="9"/>
      <c r="I74" s="23"/>
      <c r="J74" s="24"/>
    </row>
    <row r="75" spans="1:10" x14ac:dyDescent="0.25">
      <c r="A75" s="62" t="s">
        <v>15</v>
      </c>
      <c r="B75" s="62"/>
      <c r="C75" s="62"/>
      <c r="D75" s="30" t="s">
        <v>12</v>
      </c>
      <c r="E75" s="33">
        <f>E70-E73</f>
        <v>300000</v>
      </c>
      <c r="F75" s="33"/>
      <c r="G75" s="8"/>
      <c r="H75" s="9"/>
      <c r="I75" s="23"/>
      <c r="J75" s="24"/>
    </row>
    <row r="76" spans="1:10" ht="15.75" x14ac:dyDescent="0.25">
      <c r="A76" s="42"/>
      <c r="B76" s="42"/>
      <c r="C76" s="8"/>
      <c r="D76" s="8"/>
      <c r="E76" s="46" t="str">
        <f>PROPER(IF(E75=0,"nol",IF(E75&lt;0,"minus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75),"000000000000000"),1,3)=0,"",MID(TEXT(ABS(E75),"000000000000000"),1,1)&amp;" ratus "&amp;MID(TEXT(ABS(E75),"000000000000000"),2,1)&amp;" puluh "&amp;MID(TEXT(ABS(E75),"000000000000000"),3,1)&amp;" trilyun ")&amp;IF(--MID(TEXT(ABS(E75),"000000000000000"),4,3)=0,"",MID(TEXT(ABS(E75),"000000000000000"),4,1)&amp;" ratus "&amp;MID(TEXT(ABS(E75),"000000000000000"),5,1)&amp;" puluh "&amp;MID(TEXT(ABS(E75),"000000000000000"),6,1)&amp;" milyar ")&amp;IF(--MID(TEXT(ABS(E75),"000000000000000"),7,3)=0,"",MID(TEXT(ABS(E75),"000000000000000"),7,1)&amp;" ratus "&amp;MID(TEXT(ABS(E75),"000000000000000"),8,1)&amp;" puluh "&amp;MID(TEXT(ABS(E75),"000000000000000"),9,1)&amp;" juta ")&amp;IF(--MID(TEXT(ABS(E75),"000000000000000"),10,3)=0,"",IF(--MID(TEXT(ABS(E75),"000000000000000"),10,3)=1,"*",MID(TEXT(ABS(E75),"000000000000000"),10,1)&amp;" ratus "&amp;MID(TEXT(ABS(E75),"000000000000000"),11,1)&amp;" puluh ")&amp;MID(TEXT(ABS(E75),"000000000000000"),12,1)&amp;" ribu ")&amp;IF(--MID(TEXT(ABS(E75),"000000000000000"),13,3)=0,"",MID(TEXT(ABS(E75),"000000000000000"),13,1)&amp;" ratus "&amp;MID(TEXT(ABS(E75),"000000000000000"),14,1)&amp;" puluh "&amp;MID(TEXT(ABS(E75),"000000000000000"),15,1)),1,"satu"),2,"dua"),3,"tiga"),4,"empat"),5,"lima"),6,"enam"),7,"tujuh"),8,"delapan"),9,"sembilan"),"0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76" s="8"/>
      <c r="G76" s="8"/>
      <c r="H76" s="8"/>
      <c r="I76" s="23"/>
      <c r="J76" s="24"/>
    </row>
    <row r="77" spans="1:10" x14ac:dyDescent="0.25">
      <c r="A77" s="26"/>
      <c r="B77" s="26"/>
      <c r="C77" s="26"/>
      <c r="D77" s="26"/>
      <c r="E77" s="26"/>
      <c r="F77" s="26"/>
      <c r="G77" s="25"/>
      <c r="H77" s="24"/>
      <c r="I77" s="23"/>
      <c r="J77" s="24"/>
    </row>
    <row r="78" spans="1:10" x14ac:dyDescent="0.25">
      <c r="A78" s="25"/>
      <c r="B78" s="25"/>
      <c r="C78" s="25"/>
      <c r="D78" s="25"/>
      <c r="E78" s="25"/>
      <c r="F78" s="25"/>
      <c r="G78" s="25"/>
      <c r="H78"/>
      <c r="I78" s="24"/>
      <c r="J78" s="24"/>
    </row>
    <row r="79" spans="1:10" x14ac:dyDescent="0.25">
      <c r="A79" s="42"/>
      <c r="B79" s="42"/>
      <c r="C79" s="8"/>
      <c r="D79" s="8"/>
      <c r="E79" s="8"/>
      <c r="F79" s="8"/>
      <c r="G79" s="8"/>
      <c r="I79" s="44" t="s">
        <v>43</v>
      </c>
      <c r="J79" s="24"/>
    </row>
    <row r="80" spans="1:10" x14ac:dyDescent="0.25">
      <c r="A80" s="9" t="s">
        <v>26</v>
      </c>
      <c r="B80" s="9"/>
      <c r="C80" s="8"/>
      <c r="D80" s="8"/>
      <c r="E80" s="8"/>
      <c r="F80" s="8"/>
      <c r="G80" s="8"/>
      <c r="I80" s="9" t="s">
        <v>25</v>
      </c>
      <c r="J80" s="24"/>
    </row>
    <row r="81" spans="1:10" x14ac:dyDescent="0.25">
      <c r="A81" s="8"/>
      <c r="B81" s="8"/>
      <c r="C81" s="8"/>
      <c r="D81" s="8"/>
      <c r="E81" s="8"/>
      <c r="F81" s="8"/>
      <c r="G81" s="8"/>
      <c r="I81" s="9"/>
      <c r="J81" s="24"/>
    </row>
    <row r="82" spans="1:10" x14ac:dyDescent="0.25">
      <c r="A82" s="8"/>
      <c r="B82" s="8"/>
      <c r="C82" s="8"/>
      <c r="D82" s="8"/>
      <c r="E82" s="8"/>
      <c r="F82" s="8"/>
      <c r="G82" s="8"/>
      <c r="I82" s="9"/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28" t="s">
        <v>34</v>
      </c>
      <c r="B85" s="28"/>
      <c r="C85" s="27"/>
      <c r="D85" s="27"/>
      <c r="E85" s="27"/>
      <c r="F85" s="27"/>
      <c r="G85" s="8" t="s">
        <v>11</v>
      </c>
      <c r="I85" s="28" t="s">
        <v>27</v>
      </c>
      <c r="J85" s="24"/>
    </row>
    <row r="90" spans="1:10" ht="15.75" x14ac:dyDescent="0.25">
      <c r="C90" s="3"/>
      <c r="D90" s="3"/>
      <c r="E90" s="3"/>
      <c r="F90" s="3"/>
    </row>
    <row r="91" spans="1:10" ht="15.75" x14ac:dyDescent="0.25">
      <c r="A91" s="2"/>
      <c r="B91" s="2"/>
      <c r="C91" s="3"/>
      <c r="D91" s="3"/>
      <c r="E91" s="3"/>
      <c r="F91" s="3"/>
      <c r="G91" s="2"/>
      <c r="H91" s="4"/>
      <c r="I91" s="4"/>
      <c r="J91" s="5"/>
    </row>
    <row r="92" spans="1:10" x14ac:dyDescent="0.25">
      <c r="H92" s="5"/>
      <c r="I92" s="5"/>
      <c r="J92" s="5"/>
    </row>
    <row r="93" spans="1:10" x14ac:dyDescent="0.25">
      <c r="H93" s="5"/>
      <c r="I93" s="5"/>
      <c r="J93" s="5"/>
    </row>
    <row r="94" spans="1:10" x14ac:dyDescent="0.25">
      <c r="A94" s="60" t="s">
        <v>29</v>
      </c>
      <c r="B94" s="60"/>
      <c r="C94" s="61"/>
      <c r="D94" s="61"/>
      <c r="E94" s="61"/>
      <c r="F94" s="61"/>
      <c r="G94" s="61"/>
      <c r="H94" s="61"/>
      <c r="I94" s="61"/>
      <c r="J94" s="61"/>
    </row>
    <row r="95" spans="1:10" x14ac:dyDescent="0.25">
      <c r="A95" s="61" t="s">
        <v>46</v>
      </c>
      <c r="B95" s="61"/>
      <c r="C95" s="61"/>
      <c r="D95" s="61"/>
      <c r="E95" s="61"/>
      <c r="F95" s="61"/>
      <c r="G95" s="61"/>
      <c r="H95" s="61"/>
      <c r="I95" s="61"/>
      <c r="J95" s="61"/>
    </row>
    <row r="96" spans="1:10" x14ac:dyDescent="0.25">
      <c r="A96" s="61" t="s">
        <v>13</v>
      </c>
      <c r="B96" s="61"/>
      <c r="C96" s="61"/>
      <c r="D96" s="61"/>
      <c r="E96" s="61"/>
      <c r="F96" s="61"/>
      <c r="G96" s="61"/>
      <c r="H96" s="61"/>
      <c r="I96" s="61"/>
      <c r="J96" s="61"/>
    </row>
    <row r="97" spans="1:10" x14ac:dyDescent="0.25">
      <c r="A97" s="61" t="s">
        <v>35</v>
      </c>
      <c r="B97" s="61"/>
      <c r="C97" s="61"/>
      <c r="D97" s="61"/>
      <c r="E97" s="61"/>
      <c r="F97" s="61"/>
      <c r="G97" s="61"/>
      <c r="H97" s="61"/>
      <c r="I97" s="61"/>
      <c r="J97" s="61"/>
    </row>
    <row r="98" spans="1:10" x14ac:dyDescent="0.25">
      <c r="A98" s="61" t="s">
        <v>24</v>
      </c>
      <c r="B98" s="61"/>
      <c r="C98" s="61"/>
      <c r="D98" s="61"/>
      <c r="E98" s="61"/>
      <c r="F98" s="61"/>
      <c r="G98" s="61"/>
      <c r="H98" s="61"/>
      <c r="I98" s="61"/>
      <c r="J98" s="61"/>
    </row>
    <row r="99" spans="1:10" x14ac:dyDescent="0.25">
      <c r="A99" s="29"/>
      <c r="B99" s="29"/>
      <c r="C99" s="7"/>
      <c r="D99" s="7"/>
      <c r="E99" s="7"/>
      <c r="F99" s="7"/>
      <c r="G99" s="6"/>
      <c r="H99" s="10"/>
      <c r="I99" s="10"/>
      <c r="J99" s="10"/>
    </row>
    <row r="100" spans="1:10" x14ac:dyDescent="0.25">
      <c r="A100" s="51" t="s">
        <v>18</v>
      </c>
      <c r="B100" s="51"/>
      <c r="C100" s="51"/>
      <c r="D100" s="35" t="s">
        <v>12</v>
      </c>
      <c r="E100" s="8" t="s">
        <v>30</v>
      </c>
      <c r="H100" s="9"/>
      <c r="I100" s="9"/>
      <c r="J100" s="10"/>
    </row>
    <row r="101" spans="1:10" x14ac:dyDescent="0.25">
      <c r="A101" s="51" t="s">
        <v>19</v>
      </c>
      <c r="B101" s="51"/>
      <c r="C101" s="51"/>
      <c r="D101" s="35" t="s">
        <v>12</v>
      </c>
      <c r="E101" s="8" t="s">
        <v>31</v>
      </c>
      <c r="H101" s="9"/>
      <c r="I101" s="9"/>
      <c r="J101" s="10"/>
    </row>
    <row r="102" spans="1:10" x14ac:dyDescent="0.25">
      <c r="A102" s="51" t="s">
        <v>20</v>
      </c>
      <c r="B102" s="51"/>
      <c r="C102" s="51"/>
      <c r="D102" s="35" t="s">
        <v>12</v>
      </c>
      <c r="E102" s="42">
        <v>2026</v>
      </c>
      <c r="H102" s="9"/>
      <c r="I102" s="9"/>
      <c r="J102" s="10"/>
    </row>
    <row r="103" spans="1:10" x14ac:dyDescent="0.25">
      <c r="A103" s="51" t="s">
        <v>21</v>
      </c>
      <c r="B103" s="51"/>
      <c r="C103" s="51"/>
      <c r="D103" s="35" t="s">
        <v>12</v>
      </c>
      <c r="E103" s="39">
        <f>I111</f>
        <v>600000</v>
      </c>
      <c r="H103" s="9"/>
      <c r="I103" s="9"/>
      <c r="J103" s="10"/>
    </row>
    <row r="104" spans="1:10" ht="15.75" x14ac:dyDescent="0.25">
      <c r="A104" s="8"/>
      <c r="B104" s="8"/>
      <c r="C104" s="11" t="s">
        <v>0</v>
      </c>
      <c r="D104" s="35" t="s">
        <v>12</v>
      </c>
      <c r="E104" s="46" t="str">
        <f>PROPER(IF(E103=0,"nol",IF(E103&lt;0,"minus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103),"000000000000000"),1,3)=0,"",MID(TEXT(ABS(E103),"000000000000000"),1,1)&amp;" ratus "&amp;MID(TEXT(ABS(E103),"000000000000000"),2,1)&amp;" puluh "&amp;MID(TEXT(ABS(E103),"000000000000000"),3,1)&amp;" trilyun ")&amp;IF(--MID(TEXT(ABS(E103),"000000000000000"),4,3)=0,"",MID(TEXT(ABS(E103),"000000000000000"),4,1)&amp;" ratus "&amp;MID(TEXT(ABS(E103),"000000000000000"),5,1)&amp;" puluh "&amp;MID(TEXT(ABS(E103),"000000000000000"),6,1)&amp;" milyar ")&amp;IF(--MID(TEXT(ABS(E103),"000000000000000"),7,3)=0,"",MID(TEXT(ABS(E103),"000000000000000"),7,1)&amp;" ratus "&amp;MID(TEXT(ABS(E103),"000000000000000"),8,1)&amp;" puluh "&amp;MID(TEXT(ABS(E103),"000000000000000"),9,1)&amp;" juta ")&amp;IF(--MID(TEXT(ABS(E103),"000000000000000"),10,3)=0,"",IF(--MID(TEXT(ABS(E103),"000000000000000"),10,3)=1,"*",MID(TEXT(ABS(E103),"000000000000000"),10,1)&amp;" ratus "&amp;MID(TEXT(ABS(E103),"000000000000000"),11,1)&amp;" puluh ")&amp;MID(TEXT(ABS(E103),"000000000000000"),12,1)&amp;" ribu ")&amp;IF(--MID(TEXT(ABS(E103),"000000000000000"),13,3)=0,"",MID(TEXT(ABS(E103),"000000000000000"),13,1)&amp;" ratus "&amp;MID(TEXT(ABS(E103),"000000000000000"),14,1)&amp;" puluh "&amp;MID(TEXT(ABS(E103),"000000000000000"),15,1)),1,"satu"),2,"dua"),3,"tiga"),4,"empat"),5,"lima"),6,"enam"),7,"tujuh"),8,"delapan"),9,"sembilan"),"0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Ratus Ribu Rupiah</v>
      </c>
      <c r="H104" s="9"/>
      <c r="I104" s="9"/>
      <c r="J104" s="10"/>
    </row>
    <row r="105" spans="1:10" ht="15.75" x14ac:dyDescent="0.25">
      <c r="A105" s="8"/>
      <c r="B105" s="8"/>
      <c r="C105" s="11"/>
      <c r="D105" s="11"/>
      <c r="E105" s="11"/>
      <c r="F105" s="35"/>
      <c r="G105" s="46"/>
      <c r="H105" s="9"/>
      <c r="I105" s="9"/>
      <c r="J105" s="10"/>
    </row>
    <row r="106" spans="1:10" x14ac:dyDescent="0.25">
      <c r="A106" s="8" t="s">
        <v>1</v>
      </c>
      <c r="B106" s="8"/>
      <c r="C106" s="8"/>
      <c r="D106" s="8"/>
      <c r="E106" s="8"/>
      <c r="F106" s="8"/>
      <c r="G106" s="8"/>
      <c r="H106" s="9"/>
      <c r="I106" s="9"/>
      <c r="J106" s="10"/>
    </row>
    <row r="107" spans="1:10" x14ac:dyDescent="0.25">
      <c r="A107" s="59" t="s">
        <v>2</v>
      </c>
      <c r="B107" s="59"/>
      <c r="C107" s="59"/>
      <c r="D107" s="59"/>
      <c r="E107" s="59"/>
      <c r="F107" s="59"/>
      <c r="G107" s="59"/>
      <c r="H107" s="59"/>
      <c r="I107" s="59"/>
      <c r="J107" s="59"/>
    </row>
    <row r="108" spans="1:10" ht="45" x14ac:dyDescent="0.25">
      <c r="A108" s="12" t="s">
        <v>3</v>
      </c>
      <c r="B108" s="57" t="s">
        <v>22</v>
      </c>
      <c r="C108" s="63" t="s">
        <v>4</v>
      </c>
      <c r="D108" s="64"/>
      <c r="E108" s="65"/>
      <c r="F108" s="45"/>
      <c r="G108" s="36" t="s">
        <v>5</v>
      </c>
      <c r="H108" s="13" t="s">
        <v>17</v>
      </c>
      <c r="I108" s="14" t="s">
        <v>6</v>
      </c>
      <c r="J108" s="15" t="s">
        <v>7</v>
      </c>
    </row>
    <row r="109" spans="1:10" x14ac:dyDescent="0.25">
      <c r="A109" s="58">
        <v>1</v>
      </c>
      <c r="B109" s="43"/>
      <c r="C109" s="54" t="s">
        <v>32</v>
      </c>
      <c r="D109" s="56"/>
      <c r="E109" s="53"/>
      <c r="F109" s="34"/>
      <c r="G109" s="55" t="s">
        <v>28</v>
      </c>
      <c r="H109" s="55" t="s">
        <v>28</v>
      </c>
      <c r="I109" s="55" t="s">
        <v>28</v>
      </c>
      <c r="J109" s="55" t="s">
        <v>28</v>
      </c>
    </row>
    <row r="110" spans="1:10" x14ac:dyDescent="0.25">
      <c r="A110" s="43"/>
      <c r="B110" s="43" t="s">
        <v>23</v>
      </c>
      <c r="C110" s="47" t="s">
        <v>33</v>
      </c>
      <c r="D110" s="48"/>
      <c r="E110" s="49"/>
      <c r="F110" s="34"/>
      <c r="G110" s="50">
        <v>900000000</v>
      </c>
      <c r="H110" s="40">
        <f>H67+I67</f>
        <v>6900000</v>
      </c>
      <c r="I110" s="40">
        <v>600000</v>
      </c>
      <c r="J110" s="41">
        <f t="shared" ref="J110" si="2">G110-H110-I110</f>
        <v>892500000</v>
      </c>
    </row>
    <row r="111" spans="1:10" x14ac:dyDescent="0.25">
      <c r="A111" s="16"/>
      <c r="B111" s="16"/>
      <c r="C111" s="17" t="s">
        <v>8</v>
      </c>
      <c r="D111" s="17"/>
      <c r="E111" s="17"/>
      <c r="F111" s="38"/>
      <c r="G111" s="37">
        <f>SUM(G109:G110)</f>
        <v>900000000</v>
      </c>
      <c r="H111" s="18">
        <f>SUM(H109:H110)</f>
        <v>6900000</v>
      </c>
      <c r="I111" s="18">
        <f>SUM(I109:I110)</f>
        <v>600000</v>
      </c>
      <c r="J111" s="18">
        <f>SUM(J109:J110)</f>
        <v>892500000</v>
      </c>
    </row>
    <row r="112" spans="1:10" x14ac:dyDescent="0.25">
      <c r="A112" s="19"/>
      <c r="B112" s="52"/>
      <c r="C112" s="6"/>
      <c r="D112" s="6"/>
      <c r="E112" s="6"/>
      <c r="F112" s="6"/>
      <c r="G112" s="20"/>
      <c r="H112" s="20"/>
      <c r="I112" s="20"/>
      <c r="J112" s="20"/>
    </row>
    <row r="113" spans="1:10" x14ac:dyDescent="0.25">
      <c r="A113" s="62" t="s">
        <v>14</v>
      </c>
      <c r="B113" s="62"/>
      <c r="C113" s="62"/>
      <c r="D113" s="30" t="s">
        <v>12</v>
      </c>
      <c r="E113" s="39">
        <f>I111</f>
        <v>600000</v>
      </c>
      <c r="F113" s="33"/>
      <c r="G113" s="21"/>
      <c r="H113" s="21"/>
      <c r="I113" s="10"/>
      <c r="J113" s="10"/>
    </row>
    <row r="114" spans="1:10" x14ac:dyDescent="0.25">
      <c r="A114" s="8" t="s">
        <v>9</v>
      </c>
      <c r="B114" s="8"/>
      <c r="C114" s="8"/>
      <c r="D114" s="30" t="s">
        <v>12</v>
      </c>
      <c r="E114" s="31"/>
      <c r="F114" s="31"/>
      <c r="G114" s="22"/>
      <c r="H114" s="9"/>
      <c r="I114" s="10"/>
      <c r="J114" s="10"/>
    </row>
    <row r="115" spans="1:10" x14ac:dyDescent="0.25">
      <c r="A115" s="8" t="s">
        <v>16</v>
      </c>
      <c r="B115" s="8"/>
      <c r="C115" s="8"/>
      <c r="D115" s="30" t="s">
        <v>12</v>
      </c>
      <c r="E115" s="32"/>
      <c r="F115" s="32"/>
      <c r="G115" s="22"/>
      <c r="H115" s="9"/>
      <c r="I115" s="10"/>
      <c r="J115" s="10"/>
    </row>
    <row r="116" spans="1:10" x14ac:dyDescent="0.25">
      <c r="A116" s="8" t="s">
        <v>10</v>
      </c>
      <c r="B116" s="8"/>
      <c r="C116" s="8"/>
      <c r="D116" s="30" t="s">
        <v>12</v>
      </c>
      <c r="E116" s="32">
        <f>E114+E115</f>
        <v>0</v>
      </c>
      <c r="F116" s="32"/>
      <c r="G116" s="8"/>
      <c r="H116" s="9"/>
      <c r="I116" s="23"/>
      <c r="J116" s="24"/>
    </row>
    <row r="117" spans="1:10" x14ac:dyDescent="0.25">
      <c r="A117" s="42"/>
      <c r="B117" s="42"/>
      <c r="C117" s="42"/>
      <c r="D117" s="30"/>
      <c r="E117" s="42"/>
      <c r="F117" s="42"/>
      <c r="G117" s="8"/>
      <c r="H117" s="9"/>
      <c r="I117" s="23"/>
      <c r="J117" s="24"/>
    </row>
    <row r="118" spans="1:10" x14ac:dyDescent="0.25">
      <c r="A118" s="62" t="s">
        <v>15</v>
      </c>
      <c r="B118" s="62"/>
      <c r="C118" s="62"/>
      <c r="D118" s="30" t="s">
        <v>12</v>
      </c>
      <c r="E118" s="33">
        <f>E113-E116</f>
        <v>600000</v>
      </c>
      <c r="F118" s="33"/>
      <c r="G118" s="8"/>
      <c r="H118" s="9"/>
      <c r="I118" s="23"/>
      <c r="J118" s="24"/>
    </row>
    <row r="119" spans="1:10" ht="15.75" x14ac:dyDescent="0.25">
      <c r="A119" s="42"/>
      <c r="B119" s="42"/>
      <c r="C119" s="8"/>
      <c r="D119" s="8"/>
      <c r="E119" s="46" t="str">
        <f>PROPER(IF(E118=0,"nol",IF(E118&lt;0,"minus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118),"000000000000000"),1,3)=0,"",MID(TEXT(ABS(E118),"000000000000000"),1,1)&amp;" ratus "&amp;MID(TEXT(ABS(E118),"000000000000000"),2,1)&amp;" puluh "&amp;MID(TEXT(ABS(E118),"000000000000000"),3,1)&amp;" trilyun ")&amp;IF(--MID(TEXT(ABS(E118),"000000000000000"),4,3)=0,"",MID(TEXT(ABS(E118),"000000000000000"),4,1)&amp;" ratus "&amp;MID(TEXT(ABS(E118),"000000000000000"),5,1)&amp;" puluh "&amp;MID(TEXT(ABS(E118),"000000000000000"),6,1)&amp;" milyar ")&amp;IF(--MID(TEXT(ABS(E118),"000000000000000"),7,3)=0,"",MID(TEXT(ABS(E118),"000000000000000"),7,1)&amp;" ratus "&amp;MID(TEXT(ABS(E118),"000000000000000"),8,1)&amp;" puluh "&amp;MID(TEXT(ABS(E118),"000000000000000"),9,1)&amp;" juta ")&amp;IF(--MID(TEXT(ABS(E118),"000000000000000"),10,3)=0,"",IF(--MID(TEXT(ABS(E118),"000000000000000"),10,3)=1,"*",MID(TEXT(ABS(E118),"000000000000000"),10,1)&amp;" ratus "&amp;MID(TEXT(ABS(E118),"000000000000000"),11,1)&amp;" puluh ")&amp;MID(TEXT(ABS(E118),"000000000000000"),12,1)&amp;" ribu ")&amp;IF(--MID(TEXT(ABS(E118),"000000000000000"),13,3)=0,"",MID(TEXT(ABS(E118),"000000000000000"),13,1)&amp;" ratus "&amp;MID(TEXT(ABS(E118),"000000000000000"),14,1)&amp;" puluh "&amp;MID(TEXT(ABS(E118),"000000000000000"),15,1)),1,"satu"),2,"dua"),3,"tiga"),4,"empat"),5,"lima"),6,"enam"),7,"tujuh"),8,"delapan"),9,"sembilan"),"0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Ratus Ribu Rupiah</v>
      </c>
      <c r="F119" s="8"/>
      <c r="G119" s="8"/>
      <c r="H119" s="8"/>
      <c r="I119" s="23"/>
      <c r="J119" s="24"/>
    </row>
    <row r="120" spans="1:10" x14ac:dyDescent="0.25">
      <c r="A120" s="26"/>
      <c r="B120" s="26"/>
      <c r="C120" s="26"/>
      <c r="D120" s="26"/>
      <c r="E120" s="26"/>
      <c r="F120" s="26"/>
      <c r="G120" s="25"/>
      <c r="H120" s="24"/>
      <c r="I120" s="23"/>
      <c r="J120" s="24"/>
    </row>
    <row r="121" spans="1:10" x14ac:dyDescent="0.25">
      <c r="A121" s="25"/>
      <c r="B121" s="25"/>
      <c r="C121" s="25"/>
      <c r="D121" s="25"/>
      <c r="E121" s="25"/>
      <c r="F121" s="25"/>
      <c r="G121" s="25"/>
      <c r="H121"/>
      <c r="I121" s="24"/>
      <c r="J121" s="24"/>
    </row>
    <row r="122" spans="1:10" x14ac:dyDescent="0.25">
      <c r="A122" s="42"/>
      <c r="B122" s="42"/>
      <c r="C122" s="8"/>
      <c r="D122" s="8"/>
      <c r="E122" s="8"/>
      <c r="F122" s="8"/>
      <c r="G122" s="8"/>
      <c r="I122" s="44" t="s">
        <v>45</v>
      </c>
      <c r="J122" s="24"/>
    </row>
    <row r="123" spans="1:10" x14ac:dyDescent="0.25">
      <c r="A123" s="9" t="s">
        <v>26</v>
      </c>
      <c r="B123" s="9"/>
      <c r="C123" s="8"/>
      <c r="D123" s="8"/>
      <c r="E123" s="8"/>
      <c r="F123" s="8"/>
      <c r="G123" s="8"/>
      <c r="I123" s="9" t="s">
        <v>25</v>
      </c>
      <c r="J123" s="24"/>
    </row>
    <row r="124" spans="1:10" x14ac:dyDescent="0.25">
      <c r="A124" s="8"/>
      <c r="B124" s="8"/>
      <c r="C124" s="8"/>
      <c r="D124" s="8"/>
      <c r="E124" s="8"/>
      <c r="F124" s="8"/>
      <c r="G124" s="8"/>
      <c r="I124" s="9"/>
      <c r="J124" s="24"/>
    </row>
    <row r="125" spans="1:10" x14ac:dyDescent="0.25">
      <c r="A125" s="8"/>
      <c r="B125" s="8"/>
      <c r="C125" s="8"/>
      <c r="D125" s="8"/>
      <c r="E125" s="8"/>
      <c r="F125" s="8"/>
      <c r="G125" s="8"/>
      <c r="I125" s="9"/>
      <c r="J125" s="24"/>
    </row>
    <row r="126" spans="1:10" x14ac:dyDescent="0.25">
      <c r="A126" s="8"/>
      <c r="B126" s="8"/>
      <c r="C126" s="8"/>
      <c r="D126" s="8"/>
      <c r="E126" s="8"/>
      <c r="F126" s="8"/>
      <c r="G126" s="8"/>
      <c r="I126" s="9"/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28" t="s">
        <v>34</v>
      </c>
      <c r="B128" s="28"/>
      <c r="C128" s="27"/>
      <c r="D128" s="27"/>
      <c r="E128" s="27"/>
      <c r="F128" s="27"/>
      <c r="G128" s="8" t="s">
        <v>11</v>
      </c>
      <c r="I128" s="28" t="s">
        <v>27</v>
      </c>
      <c r="J128" s="24"/>
    </row>
    <row r="133" spans="1:10" ht="15.75" x14ac:dyDescent="0.25">
      <c r="C133" s="3"/>
      <c r="D133" s="3"/>
      <c r="E133" s="3"/>
      <c r="F133" s="3"/>
    </row>
    <row r="134" spans="1:10" ht="15.75" x14ac:dyDescent="0.25">
      <c r="A134" s="2"/>
      <c r="B134" s="2"/>
      <c r="C134" s="3"/>
      <c r="D134" s="3"/>
      <c r="E134" s="3"/>
      <c r="F134" s="3"/>
      <c r="G134" s="2"/>
      <c r="H134" s="4"/>
      <c r="I134" s="4"/>
      <c r="J134" s="5"/>
    </row>
    <row r="135" spans="1:10" x14ac:dyDescent="0.25">
      <c r="H135" s="5"/>
      <c r="I135" s="5"/>
      <c r="J135" s="5"/>
    </row>
    <row r="136" spans="1:10" x14ac:dyDescent="0.25">
      <c r="H136" s="5"/>
      <c r="I136" s="5"/>
      <c r="J136" s="5"/>
    </row>
    <row r="137" spans="1:10" x14ac:dyDescent="0.25">
      <c r="A137" s="60" t="s">
        <v>29</v>
      </c>
      <c r="B137" s="60"/>
      <c r="C137" s="61"/>
      <c r="D137" s="61"/>
      <c r="E137" s="61"/>
      <c r="F137" s="61"/>
      <c r="G137" s="61"/>
      <c r="H137" s="61"/>
      <c r="I137" s="61"/>
      <c r="J137" s="61"/>
    </row>
    <row r="138" spans="1:10" x14ac:dyDescent="0.25">
      <c r="A138" s="61" t="s">
        <v>47</v>
      </c>
      <c r="B138" s="61"/>
      <c r="C138" s="61"/>
      <c r="D138" s="61"/>
      <c r="E138" s="61"/>
      <c r="F138" s="61"/>
      <c r="G138" s="61"/>
      <c r="H138" s="61"/>
      <c r="I138" s="61"/>
      <c r="J138" s="61"/>
    </row>
    <row r="139" spans="1:10" x14ac:dyDescent="0.25">
      <c r="A139" s="61" t="s">
        <v>13</v>
      </c>
      <c r="B139" s="61"/>
      <c r="C139" s="61"/>
      <c r="D139" s="61"/>
      <c r="E139" s="61"/>
      <c r="F139" s="61"/>
      <c r="G139" s="61"/>
      <c r="H139" s="61"/>
      <c r="I139" s="61"/>
      <c r="J139" s="61"/>
    </row>
    <row r="140" spans="1:10" x14ac:dyDescent="0.25">
      <c r="A140" s="61" t="s">
        <v>35</v>
      </c>
      <c r="B140" s="61"/>
      <c r="C140" s="61"/>
      <c r="D140" s="61"/>
      <c r="E140" s="61"/>
      <c r="F140" s="61"/>
      <c r="G140" s="61"/>
      <c r="H140" s="61"/>
      <c r="I140" s="61"/>
      <c r="J140" s="61"/>
    </row>
    <row r="141" spans="1:10" x14ac:dyDescent="0.25">
      <c r="A141" s="61" t="s">
        <v>24</v>
      </c>
      <c r="B141" s="61"/>
      <c r="C141" s="61"/>
      <c r="D141" s="61"/>
      <c r="E141" s="61"/>
      <c r="F141" s="61"/>
      <c r="G141" s="61"/>
      <c r="H141" s="61"/>
      <c r="I141" s="61"/>
      <c r="J141" s="61"/>
    </row>
    <row r="142" spans="1:10" x14ac:dyDescent="0.25">
      <c r="A142" s="29"/>
      <c r="B142" s="29"/>
      <c r="C142" s="7"/>
      <c r="D142" s="7"/>
      <c r="E142" s="7"/>
      <c r="F142" s="7"/>
      <c r="G142" s="6"/>
      <c r="H142" s="10"/>
      <c r="I142" s="10"/>
      <c r="J142" s="10"/>
    </row>
    <row r="143" spans="1:10" x14ac:dyDescent="0.25">
      <c r="A143" s="51" t="s">
        <v>18</v>
      </c>
      <c r="B143" s="51"/>
      <c r="C143" s="51"/>
      <c r="D143" s="35" t="s">
        <v>12</v>
      </c>
      <c r="E143" s="8" t="s">
        <v>30</v>
      </c>
      <c r="H143" s="9"/>
      <c r="I143" s="9"/>
      <c r="J143" s="10"/>
    </row>
    <row r="144" spans="1:10" x14ac:dyDescent="0.25">
      <c r="A144" s="51" t="s">
        <v>19</v>
      </c>
      <c r="B144" s="51"/>
      <c r="C144" s="51"/>
      <c r="D144" s="35" t="s">
        <v>12</v>
      </c>
      <c r="E144" s="8" t="s">
        <v>31</v>
      </c>
      <c r="H144" s="9"/>
      <c r="I144" s="9"/>
      <c r="J144" s="10"/>
    </row>
    <row r="145" spans="1:10" x14ac:dyDescent="0.25">
      <c r="A145" s="51" t="s">
        <v>20</v>
      </c>
      <c r="B145" s="51"/>
      <c r="C145" s="51"/>
      <c r="D145" s="35" t="s">
        <v>12</v>
      </c>
      <c r="E145" s="42">
        <v>2026</v>
      </c>
      <c r="H145" s="9"/>
      <c r="I145" s="9"/>
      <c r="J145" s="10"/>
    </row>
    <row r="146" spans="1:10" x14ac:dyDescent="0.25">
      <c r="A146" s="51" t="s">
        <v>21</v>
      </c>
      <c r="B146" s="51"/>
      <c r="C146" s="51"/>
      <c r="D146" s="35" t="s">
        <v>12</v>
      </c>
      <c r="E146" s="39">
        <f>I154</f>
        <v>2800000</v>
      </c>
      <c r="H146" s="9"/>
      <c r="I146" s="9"/>
      <c r="J146" s="10"/>
    </row>
    <row r="147" spans="1:10" ht="15.75" x14ac:dyDescent="0.25">
      <c r="A147" s="8"/>
      <c r="B147" s="8"/>
      <c r="C147" s="11" t="s">
        <v>0</v>
      </c>
      <c r="D147" s="35" t="s">
        <v>12</v>
      </c>
      <c r="E147" s="46" t="str">
        <f>PROPER(IF(E146=0,"nol",IF(E146&lt;0,"minus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146),"000000000000000"),1,3)=0,"",MID(TEXT(ABS(E146),"000000000000000"),1,1)&amp;" ratus "&amp;MID(TEXT(ABS(E146),"000000000000000"),2,1)&amp;" puluh "&amp;MID(TEXT(ABS(E146),"000000000000000"),3,1)&amp;" trilyun ")&amp;IF(--MID(TEXT(ABS(E146),"000000000000000"),4,3)=0,"",MID(TEXT(ABS(E146),"000000000000000"),4,1)&amp;" ratus "&amp;MID(TEXT(ABS(E146),"000000000000000"),5,1)&amp;" puluh "&amp;MID(TEXT(ABS(E146),"000000000000000"),6,1)&amp;" milyar ")&amp;IF(--MID(TEXT(ABS(E146),"000000000000000"),7,3)=0,"",MID(TEXT(ABS(E146),"000000000000000"),7,1)&amp;" ratus "&amp;MID(TEXT(ABS(E146),"000000000000000"),8,1)&amp;" puluh "&amp;MID(TEXT(ABS(E146),"000000000000000"),9,1)&amp;" juta ")&amp;IF(--MID(TEXT(ABS(E146),"000000000000000"),10,3)=0,"",IF(--MID(TEXT(ABS(E146),"000000000000000"),10,3)=1,"*",MID(TEXT(ABS(E146),"000000000000000"),10,1)&amp;" ratus "&amp;MID(TEXT(ABS(E146),"000000000000000"),11,1)&amp;" puluh ")&amp;MID(TEXT(ABS(E146),"000000000000000"),12,1)&amp;" ribu ")&amp;IF(--MID(TEXT(ABS(E146),"000000000000000"),13,3)=0,"",MID(TEXT(ABS(E146),"000000000000000"),13,1)&amp;" ratus "&amp;MID(TEXT(ABS(E146),"000000000000000"),14,1)&amp;" puluh "&amp;MID(TEXT(ABS(E146),"000000000000000"),15,1)),1,"satu"),2,"dua"),3,"tiga"),4,"empat"),5,"lima"),6,"enam"),7,"tujuh"),8,"delapan"),9,"sembilan"),"0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Delapan Ratus Ribu Rupiah</v>
      </c>
      <c r="H147" s="9"/>
      <c r="I147" s="9"/>
      <c r="J147" s="10"/>
    </row>
    <row r="148" spans="1:10" ht="15.75" x14ac:dyDescent="0.25">
      <c r="A148" s="8"/>
      <c r="B148" s="8"/>
      <c r="C148" s="11"/>
      <c r="D148" s="11"/>
      <c r="E148" s="11"/>
      <c r="F148" s="35"/>
      <c r="G148" s="46"/>
      <c r="H148" s="9"/>
      <c r="I148" s="9"/>
      <c r="J148" s="10"/>
    </row>
    <row r="149" spans="1:10" x14ac:dyDescent="0.25">
      <c r="A149" s="8" t="s">
        <v>1</v>
      </c>
      <c r="B149" s="8"/>
      <c r="C149" s="8"/>
      <c r="D149" s="8"/>
      <c r="E149" s="8"/>
      <c r="F149" s="8"/>
      <c r="G149" s="8"/>
      <c r="H149" s="9"/>
      <c r="I149" s="9"/>
      <c r="J149" s="10"/>
    </row>
    <row r="150" spans="1:10" x14ac:dyDescent="0.25">
      <c r="A150" s="59" t="s">
        <v>2</v>
      </c>
      <c r="B150" s="59"/>
      <c r="C150" s="59"/>
      <c r="D150" s="59"/>
      <c r="E150" s="59"/>
      <c r="F150" s="59"/>
      <c r="G150" s="59"/>
      <c r="H150" s="59"/>
      <c r="I150" s="59"/>
      <c r="J150" s="59"/>
    </row>
    <row r="151" spans="1:10" ht="45" x14ac:dyDescent="0.25">
      <c r="A151" s="12" t="s">
        <v>3</v>
      </c>
      <c r="B151" s="57" t="s">
        <v>22</v>
      </c>
      <c r="C151" s="63" t="s">
        <v>4</v>
      </c>
      <c r="D151" s="64"/>
      <c r="E151" s="65"/>
      <c r="F151" s="45"/>
      <c r="G151" s="36" t="s">
        <v>5</v>
      </c>
      <c r="H151" s="13" t="s">
        <v>17</v>
      </c>
      <c r="I151" s="14" t="s">
        <v>6</v>
      </c>
      <c r="J151" s="15" t="s">
        <v>7</v>
      </c>
    </row>
    <row r="152" spans="1:10" x14ac:dyDescent="0.25">
      <c r="A152" s="58">
        <v>1</v>
      </c>
      <c r="B152" s="43"/>
      <c r="C152" s="54" t="s">
        <v>32</v>
      </c>
      <c r="D152" s="56"/>
      <c r="E152" s="53"/>
      <c r="F152" s="34"/>
      <c r="G152" s="55" t="s">
        <v>28</v>
      </c>
      <c r="H152" s="55" t="s">
        <v>28</v>
      </c>
      <c r="I152" s="55" t="s">
        <v>28</v>
      </c>
      <c r="J152" s="55" t="s">
        <v>28</v>
      </c>
    </row>
    <row r="153" spans="1:10" x14ac:dyDescent="0.25">
      <c r="A153" s="43"/>
      <c r="B153" s="43" t="s">
        <v>23</v>
      </c>
      <c r="C153" s="47" t="s">
        <v>33</v>
      </c>
      <c r="D153" s="48"/>
      <c r="E153" s="49"/>
      <c r="F153" s="34"/>
      <c r="G153" s="50">
        <v>900000000</v>
      </c>
      <c r="H153" s="40">
        <f>H110+I110</f>
        <v>7500000</v>
      </c>
      <c r="I153" s="40">
        <v>2800000</v>
      </c>
      <c r="J153" s="41">
        <f t="shared" ref="J153" si="3">G153-H153-I153</f>
        <v>889700000</v>
      </c>
    </row>
    <row r="154" spans="1:10" x14ac:dyDescent="0.25">
      <c r="A154" s="16"/>
      <c r="B154" s="16"/>
      <c r="C154" s="17" t="s">
        <v>8</v>
      </c>
      <c r="D154" s="17"/>
      <c r="E154" s="17"/>
      <c r="F154" s="38"/>
      <c r="G154" s="37">
        <f>SUM(G152:G153)</f>
        <v>900000000</v>
      </c>
      <c r="H154" s="18">
        <f>SUM(H152:H153)</f>
        <v>7500000</v>
      </c>
      <c r="I154" s="18">
        <f>SUM(I152:I153)</f>
        <v>2800000</v>
      </c>
      <c r="J154" s="18">
        <f>SUM(J152:J153)</f>
        <v>889700000</v>
      </c>
    </row>
    <row r="155" spans="1:10" x14ac:dyDescent="0.25">
      <c r="A155" s="19"/>
      <c r="B155" s="52"/>
      <c r="C155" s="6"/>
      <c r="D155" s="6"/>
      <c r="E155" s="6"/>
      <c r="F155" s="6"/>
      <c r="G155" s="20"/>
      <c r="H155" s="20"/>
      <c r="I155" s="20"/>
      <c r="J155" s="20"/>
    </row>
    <row r="156" spans="1:10" x14ac:dyDescent="0.25">
      <c r="A156" s="62" t="s">
        <v>14</v>
      </c>
      <c r="B156" s="62"/>
      <c r="C156" s="62"/>
      <c r="D156" s="30" t="s">
        <v>12</v>
      </c>
      <c r="E156" s="39">
        <f>I154</f>
        <v>2800000</v>
      </c>
      <c r="F156" s="33"/>
      <c r="G156" s="21"/>
      <c r="H156" s="21"/>
      <c r="I156" s="10"/>
      <c r="J156" s="10"/>
    </row>
    <row r="157" spans="1:10" x14ac:dyDescent="0.25">
      <c r="A157" s="8" t="s">
        <v>9</v>
      </c>
      <c r="B157" s="8"/>
      <c r="C157" s="8"/>
      <c r="D157" s="30" t="s">
        <v>12</v>
      </c>
      <c r="E157" s="31"/>
      <c r="F157" s="31"/>
      <c r="G157" s="22"/>
      <c r="H157" s="9"/>
      <c r="I157" s="10"/>
      <c r="J157" s="10"/>
    </row>
    <row r="158" spans="1:10" x14ac:dyDescent="0.25">
      <c r="A158" s="8" t="s">
        <v>16</v>
      </c>
      <c r="B158" s="8"/>
      <c r="C158" s="8"/>
      <c r="D158" s="30" t="s">
        <v>12</v>
      </c>
      <c r="E158" s="32"/>
      <c r="F158" s="32"/>
      <c r="G158" s="22"/>
      <c r="H158" s="9"/>
      <c r="I158" s="10"/>
      <c r="J158" s="10"/>
    </row>
    <row r="159" spans="1:10" x14ac:dyDescent="0.25">
      <c r="A159" s="8" t="s">
        <v>10</v>
      </c>
      <c r="B159" s="8"/>
      <c r="C159" s="8"/>
      <c r="D159" s="30" t="s">
        <v>12</v>
      </c>
      <c r="E159" s="32">
        <f>E157+E158</f>
        <v>0</v>
      </c>
      <c r="F159" s="32"/>
      <c r="G159" s="8"/>
      <c r="H159" s="9"/>
      <c r="I159" s="23"/>
      <c r="J159" s="24"/>
    </row>
    <row r="160" spans="1:10" x14ac:dyDescent="0.25">
      <c r="A160" s="42"/>
      <c r="B160" s="42"/>
      <c r="C160" s="42"/>
      <c r="D160" s="30"/>
      <c r="E160" s="42"/>
      <c r="F160" s="42"/>
      <c r="G160" s="8"/>
      <c r="H160" s="9"/>
      <c r="I160" s="23"/>
      <c r="J160" s="24"/>
    </row>
    <row r="161" spans="1:10" x14ac:dyDescent="0.25">
      <c r="A161" s="62" t="s">
        <v>15</v>
      </c>
      <c r="B161" s="62"/>
      <c r="C161" s="62"/>
      <c r="D161" s="30" t="s">
        <v>12</v>
      </c>
      <c r="E161" s="33">
        <f>E156-E159</f>
        <v>2800000</v>
      </c>
      <c r="F161" s="33"/>
      <c r="G161" s="8"/>
      <c r="H161" s="9"/>
      <c r="I161" s="23"/>
      <c r="J161" s="24"/>
    </row>
    <row r="162" spans="1:10" ht="15.75" x14ac:dyDescent="0.25">
      <c r="A162" s="42"/>
      <c r="B162" s="42"/>
      <c r="C162" s="8"/>
      <c r="D162" s="8"/>
      <c r="E162" s="46" t="str">
        <f>PROPER(IF(E161=0,"nol",IF(E161&lt;0,"minus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161),"000000000000000"),1,3)=0,"",MID(TEXT(ABS(E161),"000000000000000"),1,1)&amp;" ratus "&amp;MID(TEXT(ABS(E161),"000000000000000"),2,1)&amp;" puluh "&amp;MID(TEXT(ABS(E161),"000000000000000"),3,1)&amp;" trilyun ")&amp;IF(--MID(TEXT(ABS(E161),"000000000000000"),4,3)=0,"",MID(TEXT(ABS(E161),"000000000000000"),4,1)&amp;" ratus "&amp;MID(TEXT(ABS(E161),"000000000000000"),5,1)&amp;" puluh "&amp;MID(TEXT(ABS(E161),"000000000000000"),6,1)&amp;" milyar ")&amp;IF(--MID(TEXT(ABS(E161),"000000000000000"),7,3)=0,"",MID(TEXT(ABS(E161),"000000000000000"),7,1)&amp;" ratus "&amp;MID(TEXT(ABS(E161),"000000000000000"),8,1)&amp;" puluh "&amp;MID(TEXT(ABS(E161),"000000000000000"),9,1)&amp;" juta ")&amp;IF(--MID(TEXT(ABS(E161),"000000000000000"),10,3)=0,"",IF(--MID(TEXT(ABS(E161),"000000000000000"),10,3)=1,"*",MID(TEXT(ABS(E161),"000000000000000"),10,1)&amp;" ratus "&amp;MID(TEXT(ABS(E161),"000000000000000"),11,1)&amp;" puluh ")&amp;MID(TEXT(ABS(E161),"000000000000000"),12,1)&amp;" ribu ")&amp;IF(--MID(TEXT(ABS(E161),"000000000000000"),13,3)=0,"",MID(TEXT(ABS(E161),"000000000000000"),13,1)&amp;" ratus "&amp;MID(TEXT(ABS(E161),"000000000000000"),14,1)&amp;" puluh "&amp;MID(TEXT(ABS(E161),"000000000000000"),15,1)),1,"satu"),2,"dua"),3,"tiga"),4,"empat"),5,"lima"),6,"enam"),7,"tujuh"),8,"delapan"),9,"sembilan"),"0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Delapan Ratus Ribu Rupiah</v>
      </c>
      <c r="F162" s="8"/>
      <c r="G162" s="8"/>
      <c r="H162" s="8"/>
      <c r="I162" s="23"/>
      <c r="J162" s="24"/>
    </row>
    <row r="163" spans="1:10" x14ac:dyDescent="0.25">
      <c r="A163" s="26"/>
      <c r="B163" s="26"/>
      <c r="C163" s="26"/>
      <c r="D163" s="26"/>
      <c r="E163" s="26"/>
      <c r="F163" s="26"/>
      <c r="G163" s="25"/>
      <c r="H163" s="24"/>
      <c r="I163" s="23"/>
      <c r="J163" s="24"/>
    </row>
    <row r="164" spans="1:10" x14ac:dyDescent="0.25">
      <c r="A164" s="25"/>
      <c r="B164" s="25"/>
      <c r="C164" s="25"/>
      <c r="D164" s="25"/>
      <c r="E164" s="25"/>
      <c r="F164" s="25"/>
      <c r="G164" s="25"/>
      <c r="H164"/>
      <c r="I164" s="24"/>
      <c r="J164" s="24"/>
    </row>
    <row r="165" spans="1:10" x14ac:dyDescent="0.25">
      <c r="A165" s="42"/>
      <c r="B165" s="42"/>
      <c r="C165" s="8"/>
      <c r="D165" s="8"/>
      <c r="E165" s="8"/>
      <c r="F165" s="8"/>
      <c r="G165" s="8"/>
      <c r="I165" s="44" t="s">
        <v>48</v>
      </c>
      <c r="J165" s="24"/>
    </row>
    <row r="166" spans="1:10" x14ac:dyDescent="0.25">
      <c r="A166" s="9" t="s">
        <v>26</v>
      </c>
      <c r="B166" s="9"/>
      <c r="C166" s="8"/>
      <c r="D166" s="8"/>
      <c r="E166" s="8"/>
      <c r="F166" s="8"/>
      <c r="G166" s="8"/>
      <c r="I166" s="9" t="s">
        <v>25</v>
      </c>
      <c r="J166" s="24"/>
    </row>
    <row r="167" spans="1:10" x14ac:dyDescent="0.25">
      <c r="A167" s="8"/>
      <c r="B167" s="8"/>
      <c r="C167" s="8"/>
      <c r="D167" s="8"/>
      <c r="E167" s="8"/>
      <c r="F167" s="8"/>
      <c r="G167" s="8"/>
      <c r="I167" s="9"/>
      <c r="J167" s="24"/>
    </row>
    <row r="168" spans="1:10" x14ac:dyDescent="0.25">
      <c r="A168" s="8"/>
      <c r="B168" s="8"/>
      <c r="C168" s="8"/>
      <c r="D168" s="8"/>
      <c r="E168" s="8"/>
      <c r="F168" s="8"/>
      <c r="G168" s="8"/>
      <c r="I168" s="9"/>
      <c r="J168" s="24"/>
    </row>
    <row r="169" spans="1:10" x14ac:dyDescent="0.25">
      <c r="A169" s="8"/>
      <c r="B169" s="8"/>
      <c r="C169" s="8"/>
      <c r="D169" s="8"/>
      <c r="E169" s="8"/>
      <c r="F169" s="8"/>
      <c r="G169" s="8"/>
      <c r="I169" s="9"/>
      <c r="J169" s="24"/>
    </row>
    <row r="170" spans="1:10" x14ac:dyDescent="0.25">
      <c r="A170" s="8"/>
      <c r="B170" s="8"/>
      <c r="C170" s="8"/>
      <c r="D170" s="8"/>
      <c r="E170" s="8"/>
      <c r="F170" s="8"/>
      <c r="G170" s="8"/>
      <c r="I170" s="9"/>
      <c r="J170" s="24"/>
    </row>
    <row r="171" spans="1:10" x14ac:dyDescent="0.25">
      <c r="A171" s="28" t="s">
        <v>34</v>
      </c>
      <c r="B171" s="28"/>
      <c r="C171" s="27"/>
      <c r="D171" s="27"/>
      <c r="E171" s="27"/>
      <c r="F171" s="27"/>
      <c r="G171" s="8" t="s">
        <v>11</v>
      </c>
      <c r="I171" s="28" t="s">
        <v>27</v>
      </c>
      <c r="J171" s="24"/>
    </row>
    <row r="176" spans="1:10" ht="15.75" x14ac:dyDescent="0.25">
      <c r="C176" s="3"/>
      <c r="D176" s="3"/>
      <c r="E176" s="3"/>
      <c r="F176" s="3"/>
    </row>
    <row r="177" spans="1:10" ht="15.75" x14ac:dyDescent="0.25">
      <c r="A177" s="2"/>
      <c r="B177" s="2"/>
      <c r="C177" s="3"/>
      <c r="D177" s="3"/>
      <c r="E177" s="3"/>
      <c r="F177" s="3"/>
      <c r="G177" s="2"/>
      <c r="H177" s="4"/>
      <c r="I177" s="4"/>
      <c r="J177" s="5"/>
    </row>
    <row r="178" spans="1:10" x14ac:dyDescent="0.25">
      <c r="H178" s="5"/>
      <c r="I178" s="5"/>
      <c r="J178" s="5"/>
    </row>
    <row r="179" spans="1:10" x14ac:dyDescent="0.25">
      <c r="H179" s="5"/>
      <c r="I179" s="5"/>
      <c r="J179" s="5"/>
    </row>
    <row r="180" spans="1:10" x14ac:dyDescent="0.25">
      <c r="A180" s="60" t="s">
        <v>29</v>
      </c>
      <c r="B180" s="60"/>
      <c r="C180" s="61"/>
      <c r="D180" s="61"/>
      <c r="E180" s="61"/>
      <c r="F180" s="61"/>
      <c r="G180" s="61"/>
      <c r="H180" s="61"/>
      <c r="I180" s="61"/>
      <c r="J180" s="61"/>
    </row>
    <row r="181" spans="1:10" x14ac:dyDescent="0.25">
      <c r="A181" s="61" t="s">
        <v>49</v>
      </c>
      <c r="B181" s="61"/>
      <c r="C181" s="61"/>
      <c r="D181" s="61"/>
      <c r="E181" s="61"/>
      <c r="F181" s="61"/>
      <c r="G181" s="61"/>
      <c r="H181" s="61"/>
      <c r="I181" s="61"/>
      <c r="J181" s="61"/>
    </row>
    <row r="182" spans="1:10" x14ac:dyDescent="0.25">
      <c r="A182" s="61" t="s">
        <v>13</v>
      </c>
      <c r="B182" s="61"/>
      <c r="C182" s="61"/>
      <c r="D182" s="61"/>
      <c r="E182" s="61"/>
      <c r="F182" s="61"/>
      <c r="G182" s="61"/>
      <c r="H182" s="61"/>
      <c r="I182" s="61"/>
      <c r="J182" s="61"/>
    </row>
    <row r="183" spans="1:10" x14ac:dyDescent="0.25">
      <c r="A183" s="61" t="s">
        <v>35</v>
      </c>
      <c r="B183" s="61"/>
      <c r="C183" s="61"/>
      <c r="D183" s="61"/>
      <c r="E183" s="61"/>
      <c r="F183" s="61"/>
      <c r="G183" s="61"/>
      <c r="H183" s="61"/>
      <c r="I183" s="61"/>
      <c r="J183" s="61"/>
    </row>
    <row r="184" spans="1:10" x14ac:dyDescent="0.25">
      <c r="A184" s="61" t="s">
        <v>24</v>
      </c>
      <c r="B184" s="61"/>
      <c r="C184" s="61"/>
      <c r="D184" s="61"/>
      <c r="E184" s="61"/>
      <c r="F184" s="61"/>
      <c r="G184" s="61"/>
      <c r="H184" s="61"/>
      <c r="I184" s="61"/>
      <c r="J184" s="61"/>
    </row>
    <row r="185" spans="1:10" x14ac:dyDescent="0.25">
      <c r="A185" s="29"/>
      <c r="B185" s="29"/>
      <c r="C185" s="7"/>
      <c r="D185" s="7"/>
      <c r="E185" s="7"/>
      <c r="F185" s="7"/>
      <c r="G185" s="6"/>
      <c r="H185" s="10"/>
      <c r="I185" s="10"/>
      <c r="J185" s="10"/>
    </row>
    <row r="186" spans="1:10" x14ac:dyDescent="0.25">
      <c r="A186" s="51" t="s">
        <v>18</v>
      </c>
      <c r="B186" s="51"/>
      <c r="C186" s="51"/>
      <c r="D186" s="35" t="s">
        <v>12</v>
      </c>
      <c r="E186" s="8" t="s">
        <v>30</v>
      </c>
      <c r="H186" s="9"/>
      <c r="I186" s="9"/>
      <c r="J186" s="10"/>
    </row>
    <row r="187" spans="1:10" x14ac:dyDescent="0.25">
      <c r="A187" s="51" t="s">
        <v>19</v>
      </c>
      <c r="B187" s="51"/>
      <c r="C187" s="51"/>
      <c r="D187" s="35" t="s">
        <v>12</v>
      </c>
      <c r="E187" s="8" t="s">
        <v>31</v>
      </c>
      <c r="H187" s="9"/>
      <c r="I187" s="9"/>
      <c r="J187" s="10"/>
    </row>
    <row r="188" spans="1:10" x14ac:dyDescent="0.25">
      <c r="A188" s="51" t="s">
        <v>20</v>
      </c>
      <c r="B188" s="51"/>
      <c r="C188" s="51"/>
      <c r="D188" s="35" t="s">
        <v>12</v>
      </c>
      <c r="E188" s="42">
        <v>2026</v>
      </c>
      <c r="H188" s="9"/>
      <c r="I188" s="9"/>
      <c r="J188" s="10"/>
    </row>
    <row r="189" spans="1:10" x14ac:dyDescent="0.25">
      <c r="A189" s="51" t="s">
        <v>21</v>
      </c>
      <c r="B189" s="51"/>
      <c r="C189" s="51"/>
      <c r="D189" s="35" t="s">
        <v>12</v>
      </c>
      <c r="E189" s="39">
        <f>I197</f>
        <v>2250000</v>
      </c>
      <c r="H189" s="9"/>
      <c r="I189" s="9"/>
      <c r="J189" s="10"/>
    </row>
    <row r="190" spans="1:10" ht="15.75" x14ac:dyDescent="0.25">
      <c r="A190" s="8"/>
      <c r="B190" s="8"/>
      <c r="C190" s="11" t="s">
        <v>0</v>
      </c>
      <c r="D190" s="35" t="s">
        <v>12</v>
      </c>
      <c r="E190" s="46" t="str">
        <f>PROPER(IF(E189=0,"nol",IF(E189&lt;0,"minus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189),"000000000000000"),1,3)=0,"",MID(TEXT(ABS(E189),"000000000000000"),1,1)&amp;" ratus "&amp;MID(TEXT(ABS(E189),"000000000000000"),2,1)&amp;" puluh "&amp;MID(TEXT(ABS(E189),"000000000000000"),3,1)&amp;" trilyun ")&amp;IF(--MID(TEXT(ABS(E189),"000000000000000"),4,3)=0,"",MID(TEXT(ABS(E189),"000000000000000"),4,1)&amp;" ratus "&amp;MID(TEXT(ABS(E189),"000000000000000"),5,1)&amp;" puluh "&amp;MID(TEXT(ABS(E189),"000000000000000"),6,1)&amp;" milyar ")&amp;IF(--MID(TEXT(ABS(E189),"000000000000000"),7,3)=0,"",MID(TEXT(ABS(E189),"000000000000000"),7,1)&amp;" ratus "&amp;MID(TEXT(ABS(E189),"000000000000000"),8,1)&amp;" puluh "&amp;MID(TEXT(ABS(E189),"000000000000000"),9,1)&amp;" juta ")&amp;IF(--MID(TEXT(ABS(E189),"000000000000000"),10,3)=0,"",IF(--MID(TEXT(ABS(E189),"000000000000000"),10,3)=1,"*",MID(TEXT(ABS(E189),"000000000000000"),10,1)&amp;" ratus "&amp;MID(TEXT(ABS(E189),"000000000000000"),11,1)&amp;" puluh ")&amp;MID(TEXT(ABS(E189),"000000000000000"),12,1)&amp;" ribu ")&amp;IF(--MID(TEXT(ABS(E189),"000000000000000"),13,3)=0,"",MID(TEXT(ABS(E189),"000000000000000"),13,1)&amp;" ratus "&amp;MID(TEXT(ABS(E189),"000000000000000"),14,1)&amp;" puluh "&amp;MID(TEXT(ABS(E189),"000000000000000"),15,1)),1,"satu"),2,"dua"),3,"tiga"),4,"empat"),5,"lima"),6,"enam"),7,"tujuh"),8,"delapan"),9,"sembilan"),"0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Dua Ratus Lima Puluh Ribu Rupiah</v>
      </c>
      <c r="H190" s="9"/>
      <c r="I190" s="9"/>
      <c r="J190" s="10"/>
    </row>
    <row r="191" spans="1:10" ht="15.75" x14ac:dyDescent="0.25">
      <c r="A191" s="8"/>
      <c r="B191" s="8"/>
      <c r="C191" s="11"/>
      <c r="D191" s="11"/>
      <c r="E191" s="11"/>
      <c r="F191" s="35"/>
      <c r="G191" s="46"/>
      <c r="H191" s="9"/>
      <c r="I191" s="9"/>
      <c r="J191" s="10"/>
    </row>
    <row r="192" spans="1:10" x14ac:dyDescent="0.25">
      <c r="A192" s="8" t="s">
        <v>1</v>
      </c>
      <c r="B192" s="8"/>
      <c r="C192" s="8"/>
      <c r="D192" s="8"/>
      <c r="E192" s="8"/>
      <c r="F192" s="8"/>
      <c r="G192" s="8"/>
      <c r="H192" s="9"/>
      <c r="I192" s="9"/>
      <c r="J192" s="10"/>
    </row>
    <row r="193" spans="1:10" x14ac:dyDescent="0.25">
      <c r="A193" s="59" t="s">
        <v>2</v>
      </c>
      <c r="B193" s="59"/>
      <c r="C193" s="59"/>
      <c r="D193" s="59"/>
      <c r="E193" s="59"/>
      <c r="F193" s="59"/>
      <c r="G193" s="59"/>
      <c r="H193" s="59"/>
      <c r="I193" s="59"/>
      <c r="J193" s="59"/>
    </row>
    <row r="194" spans="1:10" ht="45" x14ac:dyDescent="0.25">
      <c r="A194" s="12" t="s">
        <v>3</v>
      </c>
      <c r="B194" s="57" t="s">
        <v>22</v>
      </c>
      <c r="C194" s="63" t="s">
        <v>4</v>
      </c>
      <c r="D194" s="64"/>
      <c r="E194" s="65"/>
      <c r="F194" s="45"/>
      <c r="G194" s="36" t="s">
        <v>5</v>
      </c>
      <c r="H194" s="13" t="s">
        <v>17</v>
      </c>
      <c r="I194" s="14" t="s">
        <v>6</v>
      </c>
      <c r="J194" s="15" t="s">
        <v>7</v>
      </c>
    </row>
    <row r="195" spans="1:10" x14ac:dyDescent="0.25">
      <c r="A195" s="58">
        <v>1</v>
      </c>
      <c r="B195" s="43"/>
      <c r="C195" s="54" t="s">
        <v>32</v>
      </c>
      <c r="D195" s="56"/>
      <c r="E195" s="53"/>
      <c r="F195" s="34"/>
      <c r="G195" s="55" t="s">
        <v>28</v>
      </c>
      <c r="H195" s="55" t="s">
        <v>28</v>
      </c>
      <c r="I195" s="55" t="s">
        <v>28</v>
      </c>
      <c r="J195" s="55" t="s">
        <v>28</v>
      </c>
    </row>
    <row r="196" spans="1:10" x14ac:dyDescent="0.25">
      <c r="A196" s="43"/>
      <c r="B196" s="43" t="s">
        <v>23</v>
      </c>
      <c r="C196" s="47" t="s">
        <v>33</v>
      </c>
      <c r="D196" s="48"/>
      <c r="E196" s="49"/>
      <c r="F196" s="34"/>
      <c r="G196" s="50">
        <v>900000000</v>
      </c>
      <c r="H196" s="40">
        <f>H153+I153</f>
        <v>10300000</v>
      </c>
      <c r="I196" s="40">
        <v>2250000</v>
      </c>
      <c r="J196" s="41">
        <f t="shared" ref="J196" si="4">G196-H196-I196</f>
        <v>887450000</v>
      </c>
    </row>
    <row r="197" spans="1:10" x14ac:dyDescent="0.25">
      <c r="A197" s="16"/>
      <c r="B197" s="16"/>
      <c r="C197" s="17" t="s">
        <v>8</v>
      </c>
      <c r="D197" s="17"/>
      <c r="E197" s="17"/>
      <c r="F197" s="38"/>
      <c r="G197" s="37">
        <f>SUM(G195:G196)</f>
        <v>900000000</v>
      </c>
      <c r="H197" s="18">
        <f>SUM(H195:H196)</f>
        <v>10300000</v>
      </c>
      <c r="I197" s="18">
        <f>SUM(I195:I196)</f>
        <v>2250000</v>
      </c>
      <c r="J197" s="18">
        <f>SUM(J195:J196)</f>
        <v>887450000</v>
      </c>
    </row>
    <row r="198" spans="1:10" x14ac:dyDescent="0.25">
      <c r="A198" s="19"/>
      <c r="B198" s="52"/>
      <c r="C198" s="6"/>
      <c r="D198" s="6"/>
      <c r="E198" s="6"/>
      <c r="F198" s="6"/>
      <c r="G198" s="20"/>
      <c r="H198" s="20"/>
      <c r="I198" s="20"/>
      <c r="J198" s="20"/>
    </row>
    <row r="199" spans="1:10" x14ac:dyDescent="0.25">
      <c r="A199" s="62" t="s">
        <v>14</v>
      </c>
      <c r="B199" s="62"/>
      <c r="C199" s="62"/>
      <c r="D199" s="30" t="s">
        <v>12</v>
      </c>
      <c r="E199" s="39">
        <f>I197</f>
        <v>2250000</v>
      </c>
      <c r="F199" s="33"/>
      <c r="G199" s="21"/>
      <c r="H199" s="21"/>
      <c r="I199" s="10"/>
      <c r="J199" s="10"/>
    </row>
    <row r="200" spans="1:10" x14ac:dyDescent="0.25">
      <c r="A200" s="8" t="s">
        <v>9</v>
      </c>
      <c r="B200" s="8"/>
      <c r="C200" s="8"/>
      <c r="D200" s="30" t="s">
        <v>12</v>
      </c>
      <c r="E200" s="31"/>
      <c r="F200" s="31"/>
      <c r="G200" s="22"/>
      <c r="H200" s="9"/>
      <c r="I200" s="10"/>
      <c r="J200" s="10"/>
    </row>
    <row r="201" spans="1:10" x14ac:dyDescent="0.25">
      <c r="A201" s="8" t="s">
        <v>16</v>
      </c>
      <c r="B201" s="8"/>
      <c r="C201" s="8"/>
      <c r="D201" s="30" t="s">
        <v>12</v>
      </c>
      <c r="E201" s="32"/>
      <c r="F201" s="32"/>
      <c r="G201" s="22"/>
      <c r="H201" s="9"/>
      <c r="I201" s="10"/>
      <c r="J201" s="10"/>
    </row>
    <row r="202" spans="1:10" x14ac:dyDescent="0.25">
      <c r="A202" s="8" t="s">
        <v>10</v>
      </c>
      <c r="B202" s="8"/>
      <c r="C202" s="8"/>
      <c r="D202" s="30" t="s">
        <v>12</v>
      </c>
      <c r="E202" s="32">
        <f>E200+E201</f>
        <v>0</v>
      </c>
      <c r="F202" s="32"/>
      <c r="G202" s="8"/>
      <c r="H202" s="9"/>
      <c r="I202" s="23"/>
      <c r="J202" s="24"/>
    </row>
    <row r="203" spans="1:10" x14ac:dyDescent="0.25">
      <c r="A203" s="42"/>
      <c r="B203" s="42"/>
      <c r="C203" s="42"/>
      <c r="D203" s="30"/>
      <c r="E203" s="42"/>
      <c r="F203" s="42"/>
      <c r="G203" s="8"/>
      <c r="H203" s="9"/>
      <c r="I203" s="23"/>
      <c r="J203" s="24"/>
    </row>
    <row r="204" spans="1:10" x14ac:dyDescent="0.25">
      <c r="A204" s="62" t="s">
        <v>15</v>
      </c>
      <c r="B204" s="62"/>
      <c r="C204" s="62"/>
      <c r="D204" s="30" t="s">
        <v>12</v>
      </c>
      <c r="E204" s="33">
        <f>E199-E202</f>
        <v>2250000</v>
      </c>
      <c r="F204" s="33"/>
      <c r="G204" s="8"/>
      <c r="H204" s="9"/>
      <c r="I204" s="23"/>
      <c r="J204" s="24"/>
    </row>
    <row r="205" spans="1:10" ht="15.75" x14ac:dyDescent="0.25">
      <c r="A205" s="42"/>
      <c r="B205" s="42"/>
      <c r="C205" s="8"/>
      <c r="D205" s="8"/>
      <c r="E205" s="46" t="str">
        <f>PROPER(IF(E204=0,"nol",IF(E204&lt;0,"minus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204),"000000000000000"),1,3)=0,"",MID(TEXT(ABS(E204),"000000000000000"),1,1)&amp;" ratus "&amp;MID(TEXT(ABS(E204),"000000000000000"),2,1)&amp;" puluh "&amp;MID(TEXT(ABS(E204),"000000000000000"),3,1)&amp;" trilyun ")&amp;IF(--MID(TEXT(ABS(E204),"000000000000000"),4,3)=0,"",MID(TEXT(ABS(E204),"000000000000000"),4,1)&amp;" ratus "&amp;MID(TEXT(ABS(E204),"000000000000000"),5,1)&amp;" puluh "&amp;MID(TEXT(ABS(E204),"000000000000000"),6,1)&amp;" milyar ")&amp;IF(--MID(TEXT(ABS(E204),"000000000000000"),7,3)=0,"",MID(TEXT(ABS(E204),"000000000000000"),7,1)&amp;" ratus "&amp;MID(TEXT(ABS(E204),"000000000000000"),8,1)&amp;" puluh "&amp;MID(TEXT(ABS(E204),"000000000000000"),9,1)&amp;" juta ")&amp;IF(--MID(TEXT(ABS(E204),"000000000000000"),10,3)=0,"",IF(--MID(TEXT(ABS(E204),"000000000000000"),10,3)=1,"*",MID(TEXT(ABS(E204),"000000000000000"),10,1)&amp;" ratus "&amp;MID(TEXT(ABS(E204),"000000000000000"),11,1)&amp;" puluh ")&amp;MID(TEXT(ABS(E204),"000000000000000"),12,1)&amp;" ribu ")&amp;IF(--MID(TEXT(ABS(E204),"000000000000000"),13,3)=0,"",MID(TEXT(ABS(E204),"000000000000000"),13,1)&amp;" ratus "&amp;MID(TEXT(ABS(E204),"000000000000000"),14,1)&amp;" puluh "&amp;MID(TEXT(ABS(E204),"000000000000000"),15,1)),1,"satu"),2,"dua"),3,"tiga"),4,"empat"),5,"lima"),6,"enam"),7,"tujuh"),8,"delapan"),9,"sembilan"),"0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Dua Ratus Lima Puluh Ribu Rupiah</v>
      </c>
      <c r="F205" s="8"/>
      <c r="G205" s="8"/>
      <c r="H205" s="8"/>
      <c r="I205" s="23"/>
      <c r="J205" s="24"/>
    </row>
    <row r="206" spans="1:10" x14ac:dyDescent="0.25">
      <c r="A206" s="26"/>
      <c r="B206" s="26"/>
      <c r="C206" s="26"/>
      <c r="D206" s="26"/>
      <c r="E206" s="26"/>
      <c r="F206" s="26"/>
      <c r="G206" s="25"/>
      <c r="H206" s="24"/>
      <c r="I206" s="23"/>
      <c r="J206" s="24"/>
    </row>
    <row r="207" spans="1:10" x14ac:dyDescent="0.25">
      <c r="A207" s="25"/>
      <c r="B207" s="25"/>
      <c r="C207" s="25"/>
      <c r="D207" s="25"/>
      <c r="E207" s="25"/>
      <c r="F207" s="25"/>
      <c r="G207" s="25"/>
      <c r="H207"/>
      <c r="I207" s="24"/>
      <c r="J207" s="24"/>
    </row>
    <row r="208" spans="1:10" x14ac:dyDescent="0.25">
      <c r="A208" s="42"/>
      <c r="B208" s="42"/>
      <c r="C208" s="8"/>
      <c r="D208" s="8"/>
      <c r="E208" s="8"/>
      <c r="F208" s="8"/>
      <c r="G208" s="8"/>
      <c r="I208" s="44" t="s">
        <v>50</v>
      </c>
      <c r="J208" s="24"/>
    </row>
    <row r="209" spans="1:10" x14ac:dyDescent="0.25">
      <c r="A209" s="9" t="s">
        <v>26</v>
      </c>
      <c r="B209" s="9"/>
      <c r="C209" s="8"/>
      <c r="D209" s="8"/>
      <c r="E209" s="8"/>
      <c r="F209" s="8"/>
      <c r="G209" s="8"/>
      <c r="I209" s="9" t="s">
        <v>25</v>
      </c>
      <c r="J209" s="24"/>
    </row>
    <row r="210" spans="1:10" x14ac:dyDescent="0.25">
      <c r="A210" s="8"/>
      <c r="B210" s="8"/>
      <c r="C210" s="8"/>
      <c r="D210" s="8"/>
      <c r="E210" s="8"/>
      <c r="F210" s="8"/>
      <c r="G210" s="8"/>
      <c r="I210" s="9"/>
      <c r="J210" s="24"/>
    </row>
    <row r="211" spans="1:10" x14ac:dyDescent="0.25">
      <c r="A211" s="8"/>
      <c r="B211" s="8"/>
      <c r="C211" s="8"/>
      <c r="D211" s="8"/>
      <c r="E211" s="8"/>
      <c r="F211" s="8"/>
      <c r="G211" s="8"/>
      <c r="I211" s="9"/>
      <c r="J211" s="24"/>
    </row>
    <row r="212" spans="1:10" x14ac:dyDescent="0.25">
      <c r="A212" s="8"/>
      <c r="B212" s="8"/>
      <c r="C212" s="8"/>
      <c r="D212" s="8"/>
      <c r="E212" s="8"/>
      <c r="F212" s="8"/>
      <c r="G212" s="8"/>
      <c r="I212" s="9"/>
      <c r="J212" s="24"/>
    </row>
    <row r="213" spans="1:10" x14ac:dyDescent="0.25">
      <c r="A213" s="8"/>
      <c r="B213" s="8"/>
      <c r="C213" s="8"/>
      <c r="D213" s="8"/>
      <c r="E213" s="8"/>
      <c r="F213" s="8"/>
      <c r="G213" s="8"/>
      <c r="I213" s="9"/>
      <c r="J213" s="24"/>
    </row>
    <row r="214" spans="1:10" x14ac:dyDescent="0.25">
      <c r="A214" s="28" t="s">
        <v>34</v>
      </c>
      <c r="B214" s="28"/>
      <c r="C214" s="27"/>
      <c r="D214" s="27"/>
      <c r="E214" s="27"/>
      <c r="F214" s="27"/>
      <c r="G214" s="8" t="s">
        <v>11</v>
      </c>
      <c r="I214" s="28" t="s">
        <v>27</v>
      </c>
      <c r="J214" s="24"/>
    </row>
    <row r="219" spans="1:10" ht="15.75" x14ac:dyDescent="0.25">
      <c r="C219" s="3"/>
      <c r="D219" s="3"/>
      <c r="E219" s="3"/>
      <c r="F219" s="3"/>
    </row>
    <row r="220" spans="1:10" ht="15.75" x14ac:dyDescent="0.25">
      <c r="A220" s="2"/>
      <c r="B220" s="2"/>
      <c r="C220" s="3"/>
      <c r="D220" s="3"/>
      <c r="E220" s="3"/>
      <c r="F220" s="3"/>
      <c r="G220" s="2"/>
      <c r="H220" s="4"/>
      <c r="I220" s="4"/>
      <c r="J220" s="5"/>
    </row>
    <row r="221" spans="1:10" x14ac:dyDescent="0.25">
      <c r="H221" s="5"/>
      <c r="I221" s="5"/>
      <c r="J221" s="5"/>
    </row>
    <row r="222" spans="1:10" x14ac:dyDescent="0.25">
      <c r="H222" s="5"/>
      <c r="I222" s="5"/>
      <c r="J222" s="5"/>
    </row>
    <row r="223" spans="1:10" x14ac:dyDescent="0.25">
      <c r="A223" s="60" t="s">
        <v>29</v>
      </c>
      <c r="B223" s="60"/>
      <c r="C223" s="61"/>
      <c r="D223" s="61"/>
      <c r="E223" s="61"/>
      <c r="F223" s="61"/>
      <c r="G223" s="61"/>
      <c r="H223" s="61"/>
      <c r="I223" s="61"/>
      <c r="J223" s="61"/>
    </row>
    <row r="224" spans="1:10" x14ac:dyDescent="0.25">
      <c r="A224" s="61" t="s">
        <v>51</v>
      </c>
      <c r="B224" s="61"/>
      <c r="C224" s="61"/>
      <c r="D224" s="61"/>
      <c r="E224" s="61"/>
      <c r="F224" s="61"/>
      <c r="G224" s="61"/>
      <c r="H224" s="61"/>
      <c r="I224" s="61"/>
      <c r="J224" s="61"/>
    </row>
    <row r="225" spans="1:10" x14ac:dyDescent="0.25">
      <c r="A225" s="61" t="s">
        <v>13</v>
      </c>
      <c r="B225" s="61"/>
      <c r="C225" s="61"/>
      <c r="D225" s="61"/>
      <c r="E225" s="61"/>
      <c r="F225" s="61"/>
      <c r="G225" s="61"/>
      <c r="H225" s="61"/>
      <c r="I225" s="61"/>
      <c r="J225" s="61"/>
    </row>
    <row r="226" spans="1:10" x14ac:dyDescent="0.25">
      <c r="A226" s="61" t="s">
        <v>35</v>
      </c>
      <c r="B226" s="61"/>
      <c r="C226" s="61"/>
      <c r="D226" s="61"/>
      <c r="E226" s="61"/>
      <c r="F226" s="61"/>
      <c r="G226" s="61"/>
      <c r="H226" s="61"/>
      <c r="I226" s="61"/>
      <c r="J226" s="61"/>
    </row>
    <row r="227" spans="1:10" x14ac:dyDescent="0.25">
      <c r="A227" s="61" t="s">
        <v>24</v>
      </c>
      <c r="B227" s="61"/>
      <c r="C227" s="61"/>
      <c r="D227" s="61"/>
      <c r="E227" s="61"/>
      <c r="F227" s="61"/>
      <c r="G227" s="61"/>
      <c r="H227" s="61"/>
      <c r="I227" s="61"/>
      <c r="J227" s="61"/>
    </row>
    <row r="228" spans="1:10" x14ac:dyDescent="0.25">
      <c r="A228" s="29"/>
      <c r="B228" s="29"/>
      <c r="C228" s="7"/>
      <c r="D228" s="7"/>
      <c r="E228" s="7"/>
      <c r="F228" s="7"/>
      <c r="G228" s="6"/>
      <c r="H228" s="10"/>
      <c r="I228" s="10"/>
      <c r="J228" s="10"/>
    </row>
    <row r="229" spans="1:10" x14ac:dyDescent="0.25">
      <c r="A229" s="51" t="s">
        <v>18</v>
      </c>
      <c r="B229" s="51"/>
      <c r="C229" s="51"/>
      <c r="D229" s="35" t="s">
        <v>12</v>
      </c>
      <c r="E229" s="8" t="s">
        <v>30</v>
      </c>
      <c r="H229" s="9"/>
      <c r="I229" s="9"/>
      <c r="J229" s="10"/>
    </row>
    <row r="230" spans="1:10" x14ac:dyDescent="0.25">
      <c r="A230" s="51" t="s">
        <v>19</v>
      </c>
      <c r="B230" s="51"/>
      <c r="C230" s="51"/>
      <c r="D230" s="35" t="s">
        <v>12</v>
      </c>
      <c r="E230" s="8" t="s">
        <v>31</v>
      </c>
      <c r="H230" s="9"/>
      <c r="I230" s="9"/>
      <c r="J230" s="10"/>
    </row>
    <row r="231" spans="1:10" x14ac:dyDescent="0.25">
      <c r="A231" s="51" t="s">
        <v>20</v>
      </c>
      <c r="B231" s="51"/>
      <c r="C231" s="51"/>
      <c r="D231" s="35" t="s">
        <v>12</v>
      </c>
      <c r="E231" s="42">
        <v>2026</v>
      </c>
      <c r="H231" s="9"/>
      <c r="I231" s="9"/>
      <c r="J231" s="10"/>
    </row>
    <row r="232" spans="1:10" x14ac:dyDescent="0.25">
      <c r="A232" s="51" t="s">
        <v>21</v>
      </c>
      <c r="B232" s="51"/>
      <c r="C232" s="51"/>
      <c r="D232" s="35" t="s">
        <v>12</v>
      </c>
      <c r="E232" s="39">
        <f>I240</f>
        <v>3500000</v>
      </c>
      <c r="H232" s="9"/>
      <c r="I232" s="9"/>
      <c r="J232" s="10"/>
    </row>
    <row r="233" spans="1:10" ht="15.75" x14ac:dyDescent="0.25">
      <c r="A233" s="8"/>
      <c r="B233" s="8"/>
      <c r="C233" s="11" t="s">
        <v>0</v>
      </c>
      <c r="D233" s="35" t="s">
        <v>12</v>
      </c>
      <c r="E233" s="46" t="str">
        <f>PROPER(IF(E232=0,"nol",IF(E232&lt;0,"minus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232),"000000000000000"),1,3)=0,"",MID(TEXT(ABS(E232),"000000000000000"),1,1)&amp;" ratus "&amp;MID(TEXT(ABS(E232),"000000000000000"),2,1)&amp;" puluh "&amp;MID(TEXT(ABS(E232),"000000000000000"),3,1)&amp;" trilyun ")&amp;IF(--MID(TEXT(ABS(E232),"000000000000000"),4,3)=0,"",MID(TEXT(ABS(E232),"000000000000000"),4,1)&amp;" ratus "&amp;MID(TEXT(ABS(E232),"000000000000000"),5,1)&amp;" puluh "&amp;MID(TEXT(ABS(E232),"000000000000000"),6,1)&amp;" milyar ")&amp;IF(--MID(TEXT(ABS(E232),"000000000000000"),7,3)=0,"",MID(TEXT(ABS(E232),"000000000000000"),7,1)&amp;" ratus "&amp;MID(TEXT(ABS(E232),"000000000000000"),8,1)&amp;" puluh "&amp;MID(TEXT(ABS(E232),"000000000000000"),9,1)&amp;" juta ")&amp;IF(--MID(TEXT(ABS(E232),"000000000000000"),10,3)=0,"",IF(--MID(TEXT(ABS(E232),"000000000000000"),10,3)=1,"*",MID(TEXT(ABS(E232),"000000000000000"),10,1)&amp;" ratus "&amp;MID(TEXT(ABS(E232),"000000000000000"),11,1)&amp;" puluh ")&amp;MID(TEXT(ABS(E232),"000000000000000"),12,1)&amp;" ribu ")&amp;IF(--MID(TEXT(ABS(E232),"000000000000000"),13,3)=0,"",MID(TEXT(ABS(E232),"000000000000000"),13,1)&amp;" ratus "&amp;MID(TEXT(ABS(E232),"000000000000000"),14,1)&amp;" puluh "&amp;MID(TEXT(ABS(E232),"000000000000000"),15,1)),1,"satu"),2,"dua"),3,"tiga"),4,"empat"),5,"lima"),6,"enam"),7,"tujuh"),8,"delapan"),9,"sembilan"),"0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H233" s="9"/>
      <c r="I233" s="9"/>
      <c r="J233" s="10"/>
    </row>
    <row r="234" spans="1:10" ht="15.75" x14ac:dyDescent="0.25">
      <c r="A234" s="8"/>
      <c r="B234" s="8"/>
      <c r="C234" s="11"/>
      <c r="D234" s="11"/>
      <c r="E234" s="11"/>
      <c r="F234" s="35"/>
      <c r="G234" s="46"/>
      <c r="H234" s="9"/>
      <c r="I234" s="9"/>
      <c r="J234" s="10"/>
    </row>
    <row r="235" spans="1:10" x14ac:dyDescent="0.25">
      <c r="A235" s="8" t="s">
        <v>1</v>
      </c>
      <c r="B235" s="8"/>
      <c r="C235" s="8"/>
      <c r="D235" s="8"/>
      <c r="E235" s="8"/>
      <c r="F235" s="8"/>
      <c r="G235" s="8"/>
      <c r="H235" s="9"/>
      <c r="I235" s="9"/>
      <c r="J235" s="10"/>
    </row>
    <row r="236" spans="1:10" x14ac:dyDescent="0.25">
      <c r="A236" s="59" t="s">
        <v>2</v>
      </c>
      <c r="B236" s="59"/>
      <c r="C236" s="59"/>
      <c r="D236" s="59"/>
      <c r="E236" s="59"/>
      <c r="F236" s="59"/>
      <c r="G236" s="59"/>
      <c r="H236" s="59"/>
      <c r="I236" s="59"/>
      <c r="J236" s="59"/>
    </row>
    <row r="237" spans="1:10" ht="45" x14ac:dyDescent="0.25">
      <c r="A237" s="12" t="s">
        <v>3</v>
      </c>
      <c r="B237" s="57" t="s">
        <v>22</v>
      </c>
      <c r="C237" s="63" t="s">
        <v>4</v>
      </c>
      <c r="D237" s="64"/>
      <c r="E237" s="65"/>
      <c r="F237" s="45"/>
      <c r="G237" s="36" t="s">
        <v>5</v>
      </c>
      <c r="H237" s="13" t="s">
        <v>17</v>
      </c>
      <c r="I237" s="14" t="s">
        <v>6</v>
      </c>
      <c r="J237" s="15" t="s">
        <v>7</v>
      </c>
    </row>
    <row r="238" spans="1:10" x14ac:dyDescent="0.25">
      <c r="A238" s="58">
        <v>1</v>
      </c>
      <c r="B238" s="43"/>
      <c r="C238" s="54" t="s">
        <v>32</v>
      </c>
      <c r="D238" s="56"/>
      <c r="E238" s="53"/>
      <c r="F238" s="34"/>
      <c r="G238" s="55" t="s">
        <v>28</v>
      </c>
      <c r="H238" s="55" t="s">
        <v>28</v>
      </c>
      <c r="I238" s="55" t="s">
        <v>28</v>
      </c>
      <c r="J238" s="55" t="s">
        <v>28</v>
      </c>
    </row>
    <row r="239" spans="1:10" x14ac:dyDescent="0.25">
      <c r="A239" s="43"/>
      <c r="B239" s="43" t="s">
        <v>23</v>
      </c>
      <c r="C239" s="47" t="s">
        <v>33</v>
      </c>
      <c r="D239" s="48"/>
      <c r="E239" s="49"/>
      <c r="F239" s="34"/>
      <c r="G239" s="50">
        <v>900000000</v>
      </c>
      <c r="H239" s="40">
        <f>H196+I196</f>
        <v>12550000</v>
      </c>
      <c r="I239" s="40">
        <v>3500000</v>
      </c>
      <c r="J239" s="41">
        <f t="shared" ref="J239" si="5">G239-H239-I239</f>
        <v>883950000</v>
      </c>
    </row>
    <row r="240" spans="1:10" x14ac:dyDescent="0.25">
      <c r="A240" s="16"/>
      <c r="B240" s="16"/>
      <c r="C240" s="17" t="s">
        <v>8</v>
      </c>
      <c r="D240" s="17"/>
      <c r="E240" s="17"/>
      <c r="F240" s="38"/>
      <c r="G240" s="37">
        <f>SUM(G238:G239)</f>
        <v>900000000</v>
      </c>
      <c r="H240" s="18">
        <f>SUM(H238:H239)</f>
        <v>12550000</v>
      </c>
      <c r="I240" s="18">
        <f>SUM(I238:I239)</f>
        <v>3500000</v>
      </c>
      <c r="J240" s="18">
        <f>SUM(J238:J239)</f>
        <v>883950000</v>
      </c>
    </row>
    <row r="241" spans="1:10" x14ac:dyDescent="0.25">
      <c r="A241" s="19"/>
      <c r="B241" s="52"/>
      <c r="C241" s="6"/>
      <c r="D241" s="6"/>
      <c r="E241" s="6"/>
      <c r="F241" s="6"/>
      <c r="G241" s="20"/>
      <c r="H241" s="20"/>
      <c r="I241" s="20"/>
      <c r="J241" s="20"/>
    </row>
    <row r="242" spans="1:10" x14ac:dyDescent="0.25">
      <c r="A242" s="62" t="s">
        <v>14</v>
      </c>
      <c r="B242" s="62"/>
      <c r="C242" s="62"/>
      <c r="D242" s="30" t="s">
        <v>12</v>
      </c>
      <c r="E242" s="39">
        <f>I240</f>
        <v>3500000</v>
      </c>
      <c r="F242" s="33"/>
      <c r="G242" s="21"/>
      <c r="H242" s="21"/>
      <c r="I242" s="10"/>
      <c r="J242" s="10"/>
    </row>
    <row r="243" spans="1:10" x14ac:dyDescent="0.25">
      <c r="A243" s="8" t="s">
        <v>9</v>
      </c>
      <c r="B243" s="8"/>
      <c r="C243" s="8"/>
      <c r="D243" s="30" t="s">
        <v>12</v>
      </c>
      <c r="E243" s="31"/>
      <c r="F243" s="31"/>
      <c r="G243" s="22"/>
      <c r="H243" s="9"/>
      <c r="I243" s="10"/>
      <c r="J243" s="10"/>
    </row>
    <row r="244" spans="1:10" x14ac:dyDescent="0.25">
      <c r="A244" s="8" t="s">
        <v>16</v>
      </c>
      <c r="B244" s="8"/>
      <c r="C244" s="8"/>
      <c r="D244" s="30" t="s">
        <v>12</v>
      </c>
      <c r="E244" s="32"/>
      <c r="F244" s="32"/>
      <c r="G244" s="22"/>
      <c r="H244" s="9"/>
      <c r="I244" s="10"/>
      <c r="J244" s="10"/>
    </row>
    <row r="245" spans="1:10" x14ac:dyDescent="0.25">
      <c r="A245" s="8" t="s">
        <v>10</v>
      </c>
      <c r="B245" s="8"/>
      <c r="C245" s="8"/>
      <c r="D245" s="30" t="s">
        <v>12</v>
      </c>
      <c r="E245" s="32">
        <f>E243+E244</f>
        <v>0</v>
      </c>
      <c r="F245" s="32"/>
      <c r="G245" s="8"/>
      <c r="H245" s="9"/>
      <c r="I245" s="23"/>
      <c r="J245" s="24"/>
    </row>
    <row r="246" spans="1:10" x14ac:dyDescent="0.25">
      <c r="A246" s="42"/>
      <c r="B246" s="42"/>
      <c r="C246" s="42"/>
      <c r="D246" s="30"/>
      <c r="E246" s="42"/>
      <c r="F246" s="42"/>
      <c r="G246" s="8"/>
      <c r="H246" s="9"/>
      <c r="I246" s="23"/>
      <c r="J246" s="24"/>
    </row>
    <row r="247" spans="1:10" x14ac:dyDescent="0.25">
      <c r="A247" s="62" t="s">
        <v>15</v>
      </c>
      <c r="B247" s="62"/>
      <c r="C247" s="62"/>
      <c r="D247" s="30" t="s">
        <v>12</v>
      </c>
      <c r="E247" s="33">
        <f>E242-E245</f>
        <v>3500000</v>
      </c>
      <c r="F247" s="33"/>
      <c r="G247" s="8"/>
      <c r="H247" s="9"/>
      <c r="I247" s="23"/>
      <c r="J247" s="24"/>
    </row>
    <row r="248" spans="1:10" ht="15.75" x14ac:dyDescent="0.25">
      <c r="A248" s="42"/>
      <c r="B248" s="42"/>
      <c r="C248" s="8"/>
      <c r="D248" s="8"/>
      <c r="E248" s="46" t="str">
        <f>PROPER(IF(E247=0,"nol",IF(E247&lt;0,"minus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247),"000000000000000"),1,3)=0,"",MID(TEXT(ABS(E247),"000000000000000"),1,1)&amp;" ratus "&amp;MID(TEXT(ABS(E247),"000000000000000"),2,1)&amp;" puluh "&amp;MID(TEXT(ABS(E247),"000000000000000"),3,1)&amp;" trilyun ")&amp;IF(--MID(TEXT(ABS(E247),"000000000000000"),4,3)=0,"",MID(TEXT(ABS(E247),"000000000000000"),4,1)&amp;" ratus "&amp;MID(TEXT(ABS(E247),"000000000000000"),5,1)&amp;" puluh "&amp;MID(TEXT(ABS(E247),"000000000000000"),6,1)&amp;" milyar ")&amp;IF(--MID(TEXT(ABS(E247),"000000000000000"),7,3)=0,"",MID(TEXT(ABS(E247),"000000000000000"),7,1)&amp;" ratus "&amp;MID(TEXT(ABS(E247),"000000000000000"),8,1)&amp;" puluh "&amp;MID(TEXT(ABS(E247),"000000000000000"),9,1)&amp;" juta ")&amp;IF(--MID(TEXT(ABS(E247),"000000000000000"),10,3)=0,"",IF(--MID(TEXT(ABS(E247),"000000000000000"),10,3)=1,"*",MID(TEXT(ABS(E247),"000000000000000"),10,1)&amp;" ratus "&amp;MID(TEXT(ABS(E247),"000000000000000"),11,1)&amp;" puluh ")&amp;MID(TEXT(ABS(E247),"000000000000000"),12,1)&amp;" ribu ")&amp;IF(--MID(TEXT(ABS(E247),"000000000000000"),13,3)=0,"",MID(TEXT(ABS(E247),"000000000000000"),13,1)&amp;" ratus "&amp;MID(TEXT(ABS(E247),"000000000000000"),14,1)&amp;" puluh "&amp;MID(TEXT(ABS(E247),"000000000000000"),15,1)),1,"satu"),2,"dua"),3,"tiga"),4,"empat"),5,"lima"),6,"enam"),7,"tujuh"),8,"delapan"),9,"sembilan"),"0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F248" s="8"/>
      <c r="G248" s="8"/>
      <c r="H248" s="8"/>
      <c r="I248" s="23"/>
      <c r="J248" s="24"/>
    </row>
    <row r="249" spans="1:10" x14ac:dyDescent="0.25">
      <c r="A249" s="26"/>
      <c r="B249" s="26"/>
      <c r="C249" s="26"/>
      <c r="D249" s="26"/>
      <c r="E249" s="26"/>
      <c r="F249" s="26"/>
      <c r="G249" s="25"/>
      <c r="H249" s="24"/>
      <c r="I249" s="23"/>
      <c r="J249" s="24"/>
    </row>
    <row r="250" spans="1:10" x14ac:dyDescent="0.25">
      <c r="A250" s="25"/>
      <c r="B250" s="25"/>
      <c r="C250" s="25"/>
      <c r="D250" s="25"/>
      <c r="E250" s="25"/>
      <c r="F250" s="25"/>
      <c r="G250" s="25"/>
      <c r="H250"/>
      <c r="I250" s="24"/>
      <c r="J250" s="24"/>
    </row>
    <row r="251" spans="1:10" x14ac:dyDescent="0.25">
      <c r="A251" s="42"/>
      <c r="B251" s="42"/>
      <c r="C251" s="8"/>
      <c r="D251" s="8"/>
      <c r="E251" s="8"/>
      <c r="F251" s="8"/>
      <c r="G251" s="8"/>
      <c r="I251" s="44" t="s">
        <v>52</v>
      </c>
      <c r="J251" s="24"/>
    </row>
    <row r="252" spans="1:10" x14ac:dyDescent="0.25">
      <c r="A252" s="9" t="s">
        <v>26</v>
      </c>
      <c r="B252" s="9"/>
      <c r="C252" s="8"/>
      <c r="D252" s="8"/>
      <c r="E252" s="8"/>
      <c r="F252" s="8"/>
      <c r="G252" s="8"/>
      <c r="I252" s="9" t="s">
        <v>25</v>
      </c>
      <c r="J252" s="24"/>
    </row>
    <row r="253" spans="1:10" x14ac:dyDescent="0.25">
      <c r="A253" s="8"/>
      <c r="B253" s="8"/>
      <c r="C253" s="8"/>
      <c r="D253" s="8"/>
      <c r="E253" s="8"/>
      <c r="F253" s="8"/>
      <c r="G253" s="8"/>
      <c r="I253" s="9"/>
      <c r="J253" s="24"/>
    </row>
    <row r="254" spans="1:10" x14ac:dyDescent="0.25">
      <c r="A254" s="8"/>
      <c r="B254" s="8"/>
      <c r="C254" s="8"/>
      <c r="D254" s="8"/>
      <c r="E254" s="8"/>
      <c r="F254" s="8"/>
      <c r="G254" s="8"/>
      <c r="I254" s="9"/>
      <c r="J254" s="24"/>
    </row>
    <row r="255" spans="1:10" x14ac:dyDescent="0.25">
      <c r="A255" s="8"/>
      <c r="B255" s="8"/>
      <c r="C255" s="8"/>
      <c r="D255" s="8"/>
      <c r="E255" s="8"/>
      <c r="F255" s="8"/>
      <c r="G255" s="8"/>
      <c r="I255" s="9"/>
      <c r="J255" s="24"/>
    </row>
    <row r="256" spans="1:10" x14ac:dyDescent="0.25">
      <c r="A256" s="8"/>
      <c r="B256" s="8"/>
      <c r="C256" s="8"/>
      <c r="D256" s="8"/>
      <c r="E256" s="8"/>
      <c r="F256" s="8"/>
      <c r="G256" s="8"/>
      <c r="I256" s="9"/>
      <c r="J256" s="24"/>
    </row>
    <row r="257" spans="1:10" x14ac:dyDescent="0.25">
      <c r="A257" s="28" t="s">
        <v>34</v>
      </c>
      <c r="B257" s="28"/>
      <c r="C257" s="27"/>
      <c r="D257" s="27"/>
      <c r="E257" s="27"/>
      <c r="F257" s="27"/>
      <c r="G257" s="8" t="s">
        <v>11</v>
      </c>
      <c r="I257" s="28" t="s">
        <v>27</v>
      </c>
      <c r="J257" s="24"/>
    </row>
    <row r="262" spans="1:10" ht="15.75" x14ac:dyDescent="0.25">
      <c r="C262" s="3"/>
      <c r="D262" s="3"/>
      <c r="E262" s="3"/>
      <c r="F262" s="3"/>
    </row>
    <row r="263" spans="1:10" ht="15.75" x14ac:dyDescent="0.25">
      <c r="A263" s="2"/>
      <c r="B263" s="2"/>
      <c r="C263" s="3"/>
      <c r="D263" s="3"/>
      <c r="E263" s="3"/>
      <c r="F263" s="3"/>
      <c r="G263" s="2"/>
      <c r="H263" s="4"/>
      <c r="I263" s="4"/>
      <c r="J263" s="5"/>
    </row>
    <row r="264" spans="1:10" x14ac:dyDescent="0.25">
      <c r="H264" s="5"/>
      <c r="I264" s="5"/>
      <c r="J264" s="5"/>
    </row>
    <row r="265" spans="1:10" x14ac:dyDescent="0.25">
      <c r="H265" s="5"/>
      <c r="I265" s="5"/>
      <c r="J265" s="5"/>
    </row>
    <row r="266" spans="1:10" x14ac:dyDescent="0.25">
      <c r="A266" s="60" t="s">
        <v>29</v>
      </c>
      <c r="B266" s="60"/>
      <c r="C266" s="61"/>
      <c r="D266" s="61"/>
      <c r="E266" s="61"/>
      <c r="F266" s="61"/>
      <c r="G266" s="61"/>
      <c r="H266" s="61"/>
      <c r="I266" s="61"/>
      <c r="J266" s="61"/>
    </row>
    <row r="267" spans="1:10" x14ac:dyDescent="0.25">
      <c r="A267" s="61" t="s">
        <v>53</v>
      </c>
      <c r="B267" s="61"/>
      <c r="C267" s="61"/>
      <c r="D267" s="61"/>
      <c r="E267" s="61"/>
      <c r="F267" s="61"/>
      <c r="G267" s="61"/>
      <c r="H267" s="61"/>
      <c r="I267" s="61"/>
      <c r="J267" s="61"/>
    </row>
    <row r="268" spans="1:10" x14ac:dyDescent="0.25">
      <c r="A268" s="61" t="s">
        <v>13</v>
      </c>
      <c r="B268" s="61"/>
      <c r="C268" s="61"/>
      <c r="D268" s="61"/>
      <c r="E268" s="61"/>
      <c r="F268" s="61"/>
      <c r="G268" s="61"/>
      <c r="H268" s="61"/>
      <c r="I268" s="61"/>
      <c r="J268" s="61"/>
    </row>
    <row r="269" spans="1:10" x14ac:dyDescent="0.25">
      <c r="A269" s="61" t="s">
        <v>35</v>
      </c>
      <c r="B269" s="61"/>
      <c r="C269" s="61"/>
      <c r="D269" s="61"/>
      <c r="E269" s="61"/>
      <c r="F269" s="61"/>
      <c r="G269" s="61"/>
      <c r="H269" s="61"/>
      <c r="I269" s="61"/>
      <c r="J269" s="61"/>
    </row>
    <row r="270" spans="1:10" x14ac:dyDescent="0.25">
      <c r="A270" s="61" t="s">
        <v>24</v>
      </c>
      <c r="B270" s="61"/>
      <c r="C270" s="61"/>
      <c r="D270" s="61"/>
      <c r="E270" s="61"/>
      <c r="F270" s="61"/>
      <c r="G270" s="61"/>
      <c r="H270" s="61"/>
      <c r="I270" s="61"/>
      <c r="J270" s="61"/>
    </row>
    <row r="271" spans="1:10" x14ac:dyDescent="0.25">
      <c r="A271" s="29"/>
      <c r="B271" s="29"/>
      <c r="C271" s="7"/>
      <c r="D271" s="7"/>
      <c r="E271" s="7"/>
      <c r="F271" s="7"/>
      <c r="G271" s="6"/>
      <c r="H271" s="10"/>
      <c r="I271" s="10"/>
      <c r="J271" s="10"/>
    </row>
    <row r="272" spans="1:10" x14ac:dyDescent="0.25">
      <c r="A272" s="51" t="s">
        <v>18</v>
      </c>
      <c r="B272" s="51"/>
      <c r="C272" s="51"/>
      <c r="D272" s="35" t="s">
        <v>12</v>
      </c>
      <c r="E272" s="8" t="s">
        <v>30</v>
      </c>
      <c r="H272" s="9"/>
      <c r="I272" s="9"/>
      <c r="J272" s="10"/>
    </row>
    <row r="273" spans="1:10" x14ac:dyDescent="0.25">
      <c r="A273" s="51" t="s">
        <v>19</v>
      </c>
      <c r="B273" s="51"/>
      <c r="C273" s="51"/>
      <c r="D273" s="35" t="s">
        <v>12</v>
      </c>
      <c r="E273" s="8" t="s">
        <v>31</v>
      </c>
      <c r="H273" s="9"/>
      <c r="I273" s="9"/>
      <c r="J273" s="10"/>
    </row>
    <row r="274" spans="1:10" x14ac:dyDescent="0.25">
      <c r="A274" s="51" t="s">
        <v>20</v>
      </c>
      <c r="B274" s="51"/>
      <c r="C274" s="51"/>
      <c r="D274" s="35" t="s">
        <v>12</v>
      </c>
      <c r="E274" s="42">
        <v>2026</v>
      </c>
      <c r="H274" s="9"/>
      <c r="I274" s="9"/>
      <c r="J274" s="10"/>
    </row>
    <row r="275" spans="1:10" x14ac:dyDescent="0.25">
      <c r="A275" s="51" t="s">
        <v>21</v>
      </c>
      <c r="B275" s="51"/>
      <c r="C275" s="51"/>
      <c r="D275" s="35" t="s">
        <v>12</v>
      </c>
      <c r="E275" s="39">
        <f>I283</f>
        <v>3500000</v>
      </c>
      <c r="H275" s="9"/>
      <c r="I275" s="9"/>
      <c r="J275" s="10"/>
    </row>
    <row r="276" spans="1:10" ht="15.75" x14ac:dyDescent="0.25">
      <c r="A276" s="8"/>
      <c r="B276" s="8"/>
      <c r="C276" s="11" t="s">
        <v>0</v>
      </c>
      <c r="D276" s="35" t="s">
        <v>12</v>
      </c>
      <c r="E276" s="46" t="str">
        <f>PROPER(IF(E275=0,"nol",IF(E275&lt;0,"minus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275),"000000000000000"),1,3)=0,"",MID(TEXT(ABS(E275),"000000000000000"),1,1)&amp;" ratus "&amp;MID(TEXT(ABS(E275),"000000000000000"),2,1)&amp;" puluh "&amp;MID(TEXT(ABS(E275),"000000000000000"),3,1)&amp;" trilyun ")&amp;IF(--MID(TEXT(ABS(E275),"000000000000000"),4,3)=0,"",MID(TEXT(ABS(E275),"000000000000000"),4,1)&amp;" ratus "&amp;MID(TEXT(ABS(E275),"000000000000000"),5,1)&amp;" puluh "&amp;MID(TEXT(ABS(E275),"000000000000000"),6,1)&amp;" milyar ")&amp;IF(--MID(TEXT(ABS(E275),"000000000000000"),7,3)=0,"",MID(TEXT(ABS(E275),"000000000000000"),7,1)&amp;" ratus "&amp;MID(TEXT(ABS(E275),"000000000000000"),8,1)&amp;" puluh "&amp;MID(TEXT(ABS(E275),"000000000000000"),9,1)&amp;" juta ")&amp;IF(--MID(TEXT(ABS(E275),"000000000000000"),10,3)=0,"",IF(--MID(TEXT(ABS(E275),"000000000000000"),10,3)=1,"*",MID(TEXT(ABS(E275),"000000000000000"),10,1)&amp;" ratus "&amp;MID(TEXT(ABS(E275),"000000000000000"),11,1)&amp;" puluh ")&amp;MID(TEXT(ABS(E275),"000000000000000"),12,1)&amp;" ribu ")&amp;IF(--MID(TEXT(ABS(E275),"000000000000000"),13,3)=0,"",MID(TEXT(ABS(E275),"000000000000000"),13,1)&amp;" ratus "&amp;MID(TEXT(ABS(E275),"000000000000000"),14,1)&amp;" puluh "&amp;MID(TEXT(ABS(E275),"000000000000000"),15,1)),1,"satu"),2,"dua"),3,"tiga"),4,"empat"),5,"lima"),6,"enam"),7,"tujuh"),8,"delapan"),9,"sembilan"),"0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H276" s="9"/>
      <c r="I276" s="9"/>
      <c r="J276" s="10"/>
    </row>
    <row r="277" spans="1:10" ht="15.75" x14ac:dyDescent="0.25">
      <c r="A277" s="8"/>
      <c r="B277" s="8"/>
      <c r="C277" s="11"/>
      <c r="D277" s="11"/>
      <c r="E277" s="11"/>
      <c r="F277" s="35"/>
      <c r="G277" s="46"/>
      <c r="H277" s="9"/>
      <c r="I277" s="9"/>
      <c r="J277" s="10"/>
    </row>
    <row r="278" spans="1:10" x14ac:dyDescent="0.25">
      <c r="A278" s="8" t="s">
        <v>1</v>
      </c>
      <c r="B278" s="8"/>
      <c r="C278" s="8"/>
      <c r="D278" s="8"/>
      <c r="E278" s="8"/>
      <c r="F278" s="8"/>
      <c r="G278" s="8"/>
      <c r="H278" s="9"/>
      <c r="I278" s="9"/>
      <c r="J278" s="10"/>
    </row>
    <row r="279" spans="1:10" x14ac:dyDescent="0.25">
      <c r="A279" s="59" t="s">
        <v>2</v>
      </c>
      <c r="B279" s="59"/>
      <c r="C279" s="59"/>
      <c r="D279" s="59"/>
      <c r="E279" s="59"/>
      <c r="F279" s="59"/>
      <c r="G279" s="59"/>
      <c r="H279" s="59"/>
      <c r="I279" s="59"/>
      <c r="J279" s="59"/>
    </row>
    <row r="280" spans="1:10" ht="45" x14ac:dyDescent="0.25">
      <c r="A280" s="12" t="s">
        <v>3</v>
      </c>
      <c r="B280" s="57" t="s">
        <v>22</v>
      </c>
      <c r="C280" s="63" t="s">
        <v>4</v>
      </c>
      <c r="D280" s="64"/>
      <c r="E280" s="65"/>
      <c r="F280" s="45"/>
      <c r="G280" s="36" t="s">
        <v>5</v>
      </c>
      <c r="H280" s="13" t="s">
        <v>17</v>
      </c>
      <c r="I280" s="14" t="s">
        <v>6</v>
      </c>
      <c r="J280" s="15" t="s">
        <v>7</v>
      </c>
    </row>
    <row r="281" spans="1:10" x14ac:dyDescent="0.25">
      <c r="A281" s="58">
        <v>1</v>
      </c>
      <c r="B281" s="43"/>
      <c r="C281" s="54" t="s">
        <v>32</v>
      </c>
      <c r="D281" s="56"/>
      <c r="E281" s="53"/>
      <c r="F281" s="34"/>
      <c r="G281" s="55" t="s">
        <v>28</v>
      </c>
      <c r="H281" s="55" t="s">
        <v>28</v>
      </c>
      <c r="I281" s="55" t="s">
        <v>28</v>
      </c>
      <c r="J281" s="55" t="s">
        <v>28</v>
      </c>
    </row>
    <row r="282" spans="1:10" x14ac:dyDescent="0.25">
      <c r="A282" s="43"/>
      <c r="B282" s="43" t="s">
        <v>23</v>
      </c>
      <c r="C282" s="47" t="s">
        <v>33</v>
      </c>
      <c r="D282" s="48"/>
      <c r="E282" s="49"/>
      <c r="F282" s="34"/>
      <c r="G282" s="50">
        <v>900000000</v>
      </c>
      <c r="H282" s="40">
        <f>H239+I239</f>
        <v>16050000</v>
      </c>
      <c r="I282" s="40">
        <v>3500000</v>
      </c>
      <c r="J282" s="41">
        <f t="shared" ref="J282" si="6">G282-H282-I282</f>
        <v>880450000</v>
      </c>
    </row>
    <row r="283" spans="1:10" x14ac:dyDescent="0.25">
      <c r="A283" s="16"/>
      <c r="B283" s="16"/>
      <c r="C283" s="17" t="s">
        <v>8</v>
      </c>
      <c r="D283" s="17"/>
      <c r="E283" s="17"/>
      <c r="F283" s="38"/>
      <c r="G283" s="37">
        <f>SUM(G281:G282)</f>
        <v>900000000</v>
      </c>
      <c r="H283" s="18">
        <f>SUM(H281:H282)</f>
        <v>16050000</v>
      </c>
      <c r="I283" s="18">
        <f>SUM(I281:I282)</f>
        <v>3500000</v>
      </c>
      <c r="J283" s="18">
        <f>SUM(J281:J282)</f>
        <v>880450000</v>
      </c>
    </row>
    <row r="284" spans="1:10" x14ac:dyDescent="0.25">
      <c r="A284" s="19"/>
      <c r="B284" s="52"/>
      <c r="C284" s="6"/>
      <c r="D284" s="6"/>
      <c r="E284" s="6"/>
      <c r="F284" s="6"/>
      <c r="G284" s="20"/>
      <c r="H284" s="20"/>
      <c r="I284" s="20"/>
      <c r="J284" s="20"/>
    </row>
    <row r="285" spans="1:10" x14ac:dyDescent="0.25">
      <c r="A285" s="62" t="s">
        <v>14</v>
      </c>
      <c r="B285" s="62"/>
      <c r="C285" s="62"/>
      <c r="D285" s="30" t="s">
        <v>12</v>
      </c>
      <c r="E285" s="39">
        <f>I283</f>
        <v>3500000</v>
      </c>
      <c r="F285" s="33"/>
      <c r="G285" s="21"/>
      <c r="H285" s="21"/>
      <c r="I285" s="10"/>
      <c r="J285" s="10"/>
    </row>
    <row r="286" spans="1:10" x14ac:dyDescent="0.25">
      <c r="A286" s="8" t="s">
        <v>9</v>
      </c>
      <c r="B286" s="8"/>
      <c r="C286" s="8"/>
      <c r="D286" s="30" t="s">
        <v>12</v>
      </c>
      <c r="E286" s="31"/>
      <c r="F286" s="31"/>
      <c r="G286" s="22"/>
      <c r="H286" s="9"/>
      <c r="I286" s="10"/>
      <c r="J286" s="10"/>
    </row>
    <row r="287" spans="1:10" x14ac:dyDescent="0.25">
      <c r="A287" s="8" t="s">
        <v>16</v>
      </c>
      <c r="B287" s="8"/>
      <c r="C287" s="8"/>
      <c r="D287" s="30" t="s">
        <v>12</v>
      </c>
      <c r="E287" s="32"/>
      <c r="F287" s="32"/>
      <c r="G287" s="22"/>
      <c r="H287" s="9"/>
      <c r="I287" s="10"/>
      <c r="J287" s="10"/>
    </row>
    <row r="288" spans="1:10" x14ac:dyDescent="0.25">
      <c r="A288" s="8" t="s">
        <v>10</v>
      </c>
      <c r="B288" s="8"/>
      <c r="C288" s="8"/>
      <c r="D288" s="30" t="s">
        <v>12</v>
      </c>
      <c r="E288" s="32">
        <f>E286+E287</f>
        <v>0</v>
      </c>
      <c r="F288" s="32"/>
      <c r="G288" s="8"/>
      <c r="H288" s="9"/>
      <c r="I288" s="23"/>
      <c r="J288" s="24"/>
    </row>
    <row r="289" spans="1:10" x14ac:dyDescent="0.25">
      <c r="A289" s="42"/>
      <c r="B289" s="42"/>
      <c r="C289" s="42"/>
      <c r="D289" s="30"/>
      <c r="E289" s="42"/>
      <c r="F289" s="42"/>
      <c r="G289" s="8"/>
      <c r="H289" s="9"/>
      <c r="I289" s="23"/>
      <c r="J289" s="24"/>
    </row>
    <row r="290" spans="1:10" x14ac:dyDescent="0.25">
      <c r="A290" s="62" t="s">
        <v>15</v>
      </c>
      <c r="B290" s="62"/>
      <c r="C290" s="62"/>
      <c r="D290" s="30" t="s">
        <v>12</v>
      </c>
      <c r="E290" s="33">
        <f>E285-E288</f>
        <v>3500000</v>
      </c>
      <c r="F290" s="33"/>
      <c r="G290" s="8"/>
      <c r="H290" s="9"/>
      <c r="I290" s="23"/>
      <c r="J290" s="24"/>
    </row>
    <row r="291" spans="1:10" ht="15.75" x14ac:dyDescent="0.25">
      <c r="A291" s="42"/>
      <c r="B291" s="42"/>
      <c r="C291" s="8"/>
      <c r="D291" s="8"/>
      <c r="E291" s="46" t="str">
        <f>PROPER(IF(E290=0,"nol",IF(E290&lt;0,"minus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290),"000000000000000"),1,3)=0,"",MID(TEXT(ABS(E290),"000000000000000"),1,1)&amp;" ratus "&amp;MID(TEXT(ABS(E290),"000000000000000"),2,1)&amp;" puluh "&amp;MID(TEXT(ABS(E290),"000000000000000"),3,1)&amp;" trilyun ")&amp;IF(--MID(TEXT(ABS(E290),"000000000000000"),4,3)=0,"",MID(TEXT(ABS(E290),"000000000000000"),4,1)&amp;" ratus "&amp;MID(TEXT(ABS(E290),"000000000000000"),5,1)&amp;" puluh "&amp;MID(TEXT(ABS(E290),"000000000000000"),6,1)&amp;" milyar ")&amp;IF(--MID(TEXT(ABS(E290),"000000000000000"),7,3)=0,"",MID(TEXT(ABS(E290),"000000000000000"),7,1)&amp;" ratus "&amp;MID(TEXT(ABS(E290),"000000000000000"),8,1)&amp;" puluh "&amp;MID(TEXT(ABS(E290),"000000000000000"),9,1)&amp;" juta ")&amp;IF(--MID(TEXT(ABS(E290),"000000000000000"),10,3)=0,"",IF(--MID(TEXT(ABS(E290),"000000000000000"),10,3)=1,"*",MID(TEXT(ABS(E290),"000000000000000"),10,1)&amp;" ratus "&amp;MID(TEXT(ABS(E290),"000000000000000"),11,1)&amp;" puluh ")&amp;MID(TEXT(ABS(E290),"000000000000000"),12,1)&amp;" ribu ")&amp;IF(--MID(TEXT(ABS(E290),"000000000000000"),13,3)=0,"",MID(TEXT(ABS(E290),"000000000000000"),13,1)&amp;" ratus "&amp;MID(TEXT(ABS(E290),"000000000000000"),14,1)&amp;" puluh "&amp;MID(TEXT(ABS(E290),"000000000000000"),15,1)),1,"satu"),2,"dua"),3,"tiga"),4,"empat"),5,"lima"),6,"enam"),7,"tujuh"),8,"delapan"),9,"sembilan"),"0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F291" s="8"/>
      <c r="G291" s="8"/>
      <c r="H291" s="8"/>
      <c r="I291" s="23"/>
      <c r="J291" s="24"/>
    </row>
    <row r="292" spans="1:10" x14ac:dyDescent="0.25">
      <c r="A292" s="26"/>
      <c r="B292" s="26"/>
      <c r="C292" s="26"/>
      <c r="D292" s="26"/>
      <c r="E292" s="26"/>
      <c r="F292" s="26"/>
      <c r="G292" s="25"/>
      <c r="H292" s="24"/>
      <c r="I292" s="23"/>
      <c r="J292" s="24"/>
    </row>
    <row r="293" spans="1:10" x14ac:dyDescent="0.25">
      <c r="A293" s="25"/>
      <c r="B293" s="25"/>
      <c r="C293" s="25"/>
      <c r="D293" s="25"/>
      <c r="E293" s="25"/>
      <c r="F293" s="25"/>
      <c r="G293" s="25"/>
      <c r="H293"/>
      <c r="I293" s="24"/>
      <c r="J293" s="24"/>
    </row>
    <row r="294" spans="1:10" x14ac:dyDescent="0.25">
      <c r="A294" s="42"/>
      <c r="B294" s="42"/>
      <c r="C294" s="8"/>
      <c r="D294" s="8"/>
      <c r="E294" s="8"/>
      <c r="F294" s="8"/>
      <c r="G294" s="8"/>
      <c r="I294" s="44" t="s">
        <v>54</v>
      </c>
      <c r="J294" s="24"/>
    </row>
    <row r="295" spans="1:10" x14ac:dyDescent="0.25">
      <c r="A295" s="9" t="s">
        <v>26</v>
      </c>
      <c r="B295" s="9"/>
      <c r="C295" s="8"/>
      <c r="D295" s="8"/>
      <c r="E295" s="8"/>
      <c r="F295" s="8"/>
      <c r="G295" s="8"/>
      <c r="I295" s="9" t="s">
        <v>25</v>
      </c>
      <c r="J295" s="24"/>
    </row>
    <row r="296" spans="1:10" x14ac:dyDescent="0.25">
      <c r="A296" s="8"/>
      <c r="B296" s="8"/>
      <c r="C296" s="8"/>
      <c r="D296" s="8"/>
      <c r="E296" s="8"/>
      <c r="F296" s="8"/>
      <c r="G296" s="8"/>
      <c r="I296" s="9"/>
      <c r="J296" s="24"/>
    </row>
    <row r="297" spans="1:10" x14ac:dyDescent="0.25">
      <c r="A297" s="8"/>
      <c r="B297" s="8"/>
      <c r="C297" s="8"/>
      <c r="D297" s="8"/>
      <c r="E297" s="8"/>
      <c r="F297" s="8"/>
      <c r="G297" s="8"/>
      <c r="I297" s="9"/>
      <c r="J297" s="24"/>
    </row>
    <row r="298" spans="1:10" x14ac:dyDescent="0.25">
      <c r="A298" s="8"/>
      <c r="B298" s="8"/>
      <c r="C298" s="8"/>
      <c r="D298" s="8"/>
      <c r="E298" s="8"/>
      <c r="F298" s="8"/>
      <c r="G298" s="8"/>
      <c r="I298" s="9"/>
      <c r="J298" s="24"/>
    </row>
    <row r="299" spans="1:10" x14ac:dyDescent="0.25">
      <c r="A299" s="8"/>
      <c r="B299" s="8"/>
      <c r="C299" s="8"/>
      <c r="D299" s="8"/>
      <c r="E299" s="8"/>
      <c r="F299" s="8"/>
      <c r="G299" s="8"/>
      <c r="I299" s="9"/>
      <c r="J299" s="24"/>
    </row>
    <row r="300" spans="1:10" x14ac:dyDescent="0.25">
      <c r="A300" s="28" t="s">
        <v>34</v>
      </c>
      <c r="B300" s="28"/>
      <c r="C300" s="27"/>
      <c r="D300" s="27"/>
      <c r="E300" s="27"/>
      <c r="F300" s="27"/>
      <c r="G300" s="8" t="s">
        <v>11</v>
      </c>
      <c r="I300" s="28" t="s">
        <v>27</v>
      </c>
      <c r="J300" s="24"/>
    </row>
  </sheetData>
  <mergeCells count="63">
    <mergeCell ref="A236:J236"/>
    <mergeCell ref="C237:E237"/>
    <mergeCell ref="A242:C242"/>
    <mergeCell ref="A247:C247"/>
    <mergeCell ref="A223:J223"/>
    <mergeCell ref="A224:J224"/>
    <mergeCell ref="A225:J225"/>
    <mergeCell ref="A226:J226"/>
    <mergeCell ref="A227:J227"/>
    <mergeCell ref="A150:J150"/>
    <mergeCell ref="C151:E151"/>
    <mergeCell ref="A156:C156"/>
    <mergeCell ref="A161:C161"/>
    <mergeCell ref="A137:J137"/>
    <mergeCell ref="A138:J138"/>
    <mergeCell ref="A139:J139"/>
    <mergeCell ref="A140:J140"/>
    <mergeCell ref="A141:J141"/>
    <mergeCell ref="C108:E108"/>
    <mergeCell ref="A113:C113"/>
    <mergeCell ref="A118:C118"/>
    <mergeCell ref="A94:J94"/>
    <mergeCell ref="A95:J95"/>
    <mergeCell ref="A96:J96"/>
    <mergeCell ref="A97:J97"/>
    <mergeCell ref="A98:J98"/>
    <mergeCell ref="A107:J107"/>
    <mergeCell ref="A8:J8"/>
    <mergeCell ref="A9:J9"/>
    <mergeCell ref="A10:J10"/>
    <mergeCell ref="A11:J11"/>
    <mergeCell ref="A12:J12"/>
    <mergeCell ref="A21:J21"/>
    <mergeCell ref="A75:C75"/>
    <mergeCell ref="C22:E22"/>
    <mergeCell ref="A27:C27"/>
    <mergeCell ref="A32:C32"/>
    <mergeCell ref="A51:J51"/>
    <mergeCell ref="A52:J52"/>
    <mergeCell ref="A53:J53"/>
    <mergeCell ref="A54:J54"/>
    <mergeCell ref="A55:J55"/>
    <mergeCell ref="A64:J64"/>
    <mergeCell ref="C65:E65"/>
    <mergeCell ref="A70:C70"/>
    <mergeCell ref="A193:J193"/>
    <mergeCell ref="C194:E194"/>
    <mergeCell ref="A199:C199"/>
    <mergeCell ref="A204:C204"/>
    <mergeCell ref="A180:J180"/>
    <mergeCell ref="A181:J181"/>
    <mergeCell ref="A182:J182"/>
    <mergeCell ref="A183:J183"/>
    <mergeCell ref="A184:J184"/>
    <mergeCell ref="A279:J279"/>
    <mergeCell ref="C280:E280"/>
    <mergeCell ref="A285:C285"/>
    <mergeCell ref="A290:C290"/>
    <mergeCell ref="A266:J266"/>
    <mergeCell ref="A267:J267"/>
    <mergeCell ref="A268:J268"/>
    <mergeCell ref="A269:J269"/>
    <mergeCell ref="A270:J270"/>
  </mergeCells>
  <pageMargins left="0.23622047244094491" right="0.23622047244094491" top="0.15748031496062992" bottom="0.74803149606299213" header="0.31496062992125984" footer="0.31496062992125984"/>
  <pageSetup paperSize="9" scale="77" orientation="portrait" horizontalDpi="4294967293" r:id="rId1"/>
  <rowBreaks count="7" manualBreakCount="7">
    <brk id="43" max="9" man="1"/>
    <brk id="86" max="9" man="1"/>
    <brk id="129" max="9" man="1"/>
    <brk id="172" max="9" man="1"/>
    <brk id="215" max="9" man="1"/>
    <brk id="258" max="9" man="1"/>
    <brk id="30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BDFF-676B-484A-9FD0-F19D06BCE68B}">
  <dimension ref="A4:K300"/>
  <sheetViews>
    <sheetView tabSelected="1" view="pageBreakPreview" topLeftCell="A206" zoomScaleNormal="100" zoomScaleSheetLayoutView="100" workbookViewId="0">
      <selection activeCell="J257" sqref="A216:J257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36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4" spans="1:10" ht="15.75" x14ac:dyDescent="0.25">
      <c r="C4" s="3"/>
      <c r="D4" s="3"/>
      <c r="E4" s="3"/>
      <c r="F4" s="3"/>
    </row>
    <row r="5" spans="1:10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</row>
    <row r="6" spans="1:10" x14ac:dyDescent="0.25">
      <c r="H6" s="5"/>
      <c r="I6" s="5"/>
      <c r="J6" s="5"/>
    </row>
    <row r="7" spans="1:10" x14ac:dyDescent="0.25">
      <c r="H7" s="5"/>
      <c r="I7" s="5"/>
      <c r="J7" s="5"/>
    </row>
    <row r="8" spans="1:10" x14ac:dyDescent="0.25">
      <c r="A8" s="60" t="s">
        <v>29</v>
      </c>
      <c r="B8" s="60"/>
      <c r="C8" s="61"/>
      <c r="D8" s="61"/>
      <c r="E8" s="61"/>
      <c r="F8" s="61"/>
      <c r="G8" s="61"/>
      <c r="H8" s="61"/>
      <c r="I8" s="61"/>
      <c r="J8" s="61"/>
    </row>
    <row r="9" spans="1:10" x14ac:dyDescent="0.25">
      <c r="A9" s="61" t="s">
        <v>55</v>
      </c>
      <c r="B9" s="61"/>
      <c r="C9" s="61"/>
      <c r="D9" s="61"/>
      <c r="E9" s="61"/>
      <c r="F9" s="61"/>
      <c r="G9" s="61"/>
      <c r="H9" s="61"/>
      <c r="I9" s="61"/>
      <c r="J9" s="61"/>
    </row>
    <row r="10" spans="1:10" x14ac:dyDescent="0.25">
      <c r="A10" s="61" t="s">
        <v>13</v>
      </c>
      <c r="B10" s="61"/>
      <c r="C10" s="61"/>
      <c r="D10" s="61"/>
      <c r="E10" s="61"/>
      <c r="F10" s="61"/>
      <c r="G10" s="61"/>
      <c r="H10" s="61"/>
      <c r="I10" s="61"/>
      <c r="J10" s="61"/>
    </row>
    <row r="11" spans="1:10" x14ac:dyDescent="0.25">
      <c r="A11" s="61" t="s">
        <v>35</v>
      </c>
      <c r="B11" s="61"/>
      <c r="C11" s="61"/>
      <c r="D11" s="61"/>
      <c r="E11" s="61"/>
      <c r="F11" s="61"/>
      <c r="G11" s="61"/>
      <c r="H11" s="61"/>
      <c r="I11" s="61"/>
      <c r="J11" s="61"/>
    </row>
    <row r="12" spans="1:10" x14ac:dyDescent="0.25">
      <c r="A12" s="61" t="s">
        <v>24</v>
      </c>
      <c r="B12" s="61"/>
      <c r="C12" s="61"/>
      <c r="D12" s="61"/>
      <c r="E12" s="61"/>
      <c r="F12" s="61"/>
      <c r="G12" s="61"/>
      <c r="H12" s="61"/>
      <c r="I12" s="61"/>
      <c r="J12" s="61"/>
    </row>
    <row r="13" spans="1:10" x14ac:dyDescent="0.25">
      <c r="A13" s="29"/>
      <c r="B13" s="29"/>
      <c r="C13" s="7"/>
      <c r="D13" s="7"/>
      <c r="E13" s="7"/>
      <c r="F13" s="7"/>
      <c r="G13" s="6"/>
      <c r="H13" s="10"/>
      <c r="I13" s="10"/>
      <c r="J13" s="10"/>
    </row>
    <row r="14" spans="1:10" x14ac:dyDescent="0.25">
      <c r="A14" s="51" t="s">
        <v>18</v>
      </c>
      <c r="B14" s="51"/>
      <c r="C14" s="51"/>
      <c r="D14" s="35" t="s">
        <v>12</v>
      </c>
      <c r="E14" s="8" t="s">
        <v>30</v>
      </c>
      <c r="H14" s="9"/>
      <c r="I14" s="9"/>
      <c r="J14" s="10"/>
    </row>
    <row r="15" spans="1:10" x14ac:dyDescent="0.25">
      <c r="A15" s="51" t="s">
        <v>19</v>
      </c>
      <c r="B15" s="51"/>
      <c r="C15" s="51"/>
      <c r="D15" s="35" t="s">
        <v>12</v>
      </c>
      <c r="E15" s="8" t="s">
        <v>31</v>
      </c>
      <c r="H15" s="9"/>
      <c r="I15" s="9"/>
      <c r="J15" s="10"/>
    </row>
    <row r="16" spans="1:10" x14ac:dyDescent="0.25">
      <c r="A16" s="51" t="s">
        <v>20</v>
      </c>
      <c r="B16" s="51"/>
      <c r="C16" s="51"/>
      <c r="D16" s="35" t="s">
        <v>12</v>
      </c>
      <c r="E16" s="42">
        <v>2026</v>
      </c>
      <c r="H16" s="9"/>
      <c r="I16" s="9"/>
      <c r="J16" s="10"/>
    </row>
    <row r="17" spans="1:10" x14ac:dyDescent="0.25">
      <c r="A17" s="51" t="s">
        <v>21</v>
      </c>
      <c r="B17" s="51"/>
      <c r="C17" s="51"/>
      <c r="D17" s="35" t="s">
        <v>12</v>
      </c>
      <c r="E17" s="39">
        <f>I25</f>
        <v>41391000</v>
      </c>
      <c r="H17" s="9"/>
      <c r="I17" s="9"/>
      <c r="J17" s="10"/>
    </row>
    <row r="18" spans="1:10" ht="15.75" x14ac:dyDescent="0.25">
      <c r="A18" s="8"/>
      <c r="B18" s="8"/>
      <c r="C18" s="11" t="s">
        <v>0</v>
      </c>
      <c r="D18" s="35" t="s">
        <v>12</v>
      </c>
      <c r="E18" s="4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Satu Juta Tiga Ratus Sembilan Puluh Satu Ribu Rupiah</v>
      </c>
      <c r="H18" s="9"/>
      <c r="I18" s="9"/>
      <c r="J18" s="10"/>
    </row>
    <row r="19" spans="1:10" ht="15.75" x14ac:dyDescent="0.25">
      <c r="A19" s="8"/>
      <c r="B19" s="8"/>
      <c r="C19" s="11"/>
      <c r="D19" s="11"/>
      <c r="E19" s="11"/>
      <c r="F19" s="35"/>
      <c r="G19" s="46"/>
      <c r="H19" s="9"/>
      <c r="I19" s="9"/>
      <c r="J19" s="10"/>
    </row>
    <row r="20" spans="1:10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</row>
    <row r="21" spans="1:10" x14ac:dyDescent="0.25">
      <c r="A21" s="59" t="s">
        <v>2</v>
      </c>
      <c r="B21" s="59"/>
      <c r="C21" s="59"/>
      <c r="D21" s="59"/>
      <c r="E21" s="59"/>
      <c r="F21" s="59"/>
      <c r="G21" s="59"/>
      <c r="H21" s="59"/>
      <c r="I21" s="59"/>
      <c r="J21" s="59"/>
    </row>
    <row r="22" spans="1:10" ht="45" x14ac:dyDescent="0.25">
      <c r="A22" s="12" t="s">
        <v>3</v>
      </c>
      <c r="B22" s="57" t="s">
        <v>22</v>
      </c>
      <c r="C22" s="63" t="s">
        <v>4</v>
      </c>
      <c r="D22" s="64"/>
      <c r="E22" s="65"/>
      <c r="F22" s="45"/>
      <c r="G22" s="36" t="s">
        <v>5</v>
      </c>
      <c r="H22" s="13" t="s">
        <v>17</v>
      </c>
      <c r="I22" s="14" t="s">
        <v>6</v>
      </c>
      <c r="J22" s="15" t="s">
        <v>7</v>
      </c>
    </row>
    <row r="23" spans="1:10" x14ac:dyDescent="0.25">
      <c r="A23" s="58">
        <v>1</v>
      </c>
      <c r="B23" s="43"/>
      <c r="C23" s="54" t="s">
        <v>32</v>
      </c>
      <c r="D23" s="56"/>
      <c r="E23" s="53"/>
      <c r="F23" s="34"/>
      <c r="G23" s="55" t="s">
        <v>28</v>
      </c>
      <c r="H23" s="55" t="s">
        <v>28</v>
      </c>
      <c r="I23" s="55" t="s">
        <v>28</v>
      </c>
      <c r="J23" s="55" t="s">
        <v>28</v>
      </c>
    </row>
    <row r="24" spans="1:10" x14ac:dyDescent="0.25">
      <c r="A24" s="43"/>
      <c r="B24" s="43" t="s">
        <v>23</v>
      </c>
      <c r="C24" s="47" t="s">
        <v>33</v>
      </c>
      <c r="D24" s="48"/>
      <c r="E24" s="49"/>
      <c r="F24" s="34"/>
      <c r="G24" s="50">
        <v>900000000</v>
      </c>
      <c r="H24" s="40">
        <f>FEBRUARI!H282+FEBRUARI!I282</f>
        <v>19550000</v>
      </c>
      <c r="I24" s="40">
        <v>41391000</v>
      </c>
      <c r="J24" s="41">
        <f t="shared" ref="J24" si="0">G24-H24-I24</f>
        <v>839059000</v>
      </c>
    </row>
    <row r="25" spans="1:10" x14ac:dyDescent="0.25">
      <c r="A25" s="16"/>
      <c r="B25" s="16"/>
      <c r="C25" s="17" t="s">
        <v>8</v>
      </c>
      <c r="D25" s="17"/>
      <c r="E25" s="17"/>
      <c r="F25" s="38"/>
      <c r="G25" s="37">
        <f>SUM(G23:G24)</f>
        <v>900000000</v>
      </c>
      <c r="H25" s="18">
        <f>SUM(H23:H24)</f>
        <v>19550000</v>
      </c>
      <c r="I25" s="18">
        <f>SUM(I23:I24)</f>
        <v>41391000</v>
      </c>
      <c r="J25" s="18">
        <f>SUM(J23:J24)</f>
        <v>839059000</v>
      </c>
    </row>
    <row r="26" spans="1:10" x14ac:dyDescent="0.25">
      <c r="A26" s="19"/>
      <c r="B26" s="52"/>
      <c r="C26" s="6"/>
      <c r="D26" s="6"/>
      <c r="E26" s="6"/>
      <c r="F26" s="6"/>
      <c r="G26" s="20"/>
      <c r="H26" s="20"/>
      <c r="I26" s="20"/>
      <c r="J26" s="20"/>
    </row>
    <row r="27" spans="1:10" x14ac:dyDescent="0.25">
      <c r="A27" s="62" t="s">
        <v>14</v>
      </c>
      <c r="B27" s="62"/>
      <c r="C27" s="62"/>
      <c r="D27" s="30" t="s">
        <v>12</v>
      </c>
      <c r="E27" s="39">
        <f>I25</f>
        <v>41391000</v>
      </c>
      <c r="F27" s="33"/>
      <c r="G27" s="21"/>
      <c r="H27" s="21"/>
      <c r="I27" s="10"/>
      <c r="J27" s="10"/>
    </row>
    <row r="28" spans="1:10" x14ac:dyDescent="0.25">
      <c r="A28" s="8" t="s">
        <v>9</v>
      </c>
      <c r="B28" s="8"/>
      <c r="C28" s="8"/>
      <c r="D28" s="30" t="s">
        <v>12</v>
      </c>
      <c r="E28" s="31"/>
      <c r="F28" s="31"/>
      <c r="G28" s="22"/>
      <c r="H28" s="9"/>
      <c r="I28" s="10"/>
      <c r="J28" s="10"/>
    </row>
    <row r="29" spans="1:10" x14ac:dyDescent="0.25">
      <c r="A29" s="8" t="s">
        <v>16</v>
      </c>
      <c r="B29" s="8"/>
      <c r="C29" s="8"/>
      <c r="D29" s="30" t="s">
        <v>12</v>
      </c>
      <c r="E29" s="32"/>
      <c r="F29" s="32"/>
      <c r="G29" s="22"/>
      <c r="H29" s="9"/>
      <c r="I29" s="10"/>
      <c r="J29" s="10"/>
    </row>
    <row r="30" spans="1:10" x14ac:dyDescent="0.25">
      <c r="A30" s="8" t="s">
        <v>10</v>
      </c>
      <c r="B30" s="8"/>
      <c r="C30" s="8"/>
      <c r="D30" s="30" t="s">
        <v>12</v>
      </c>
      <c r="E30" s="32">
        <f>E28+E29</f>
        <v>0</v>
      </c>
      <c r="F30" s="32"/>
      <c r="G30" s="8"/>
      <c r="H30" s="9"/>
      <c r="I30" s="23"/>
      <c r="J30" s="24"/>
    </row>
    <row r="31" spans="1:10" x14ac:dyDescent="0.25">
      <c r="A31" s="42"/>
      <c r="B31" s="42"/>
      <c r="C31" s="42"/>
      <c r="D31" s="30"/>
      <c r="E31" s="42"/>
      <c r="F31" s="42"/>
      <c r="G31" s="8"/>
      <c r="H31" s="9"/>
      <c r="I31" s="23"/>
      <c r="J31" s="24"/>
    </row>
    <row r="32" spans="1:10" x14ac:dyDescent="0.25">
      <c r="A32" s="62" t="s">
        <v>15</v>
      </c>
      <c r="B32" s="62"/>
      <c r="C32" s="62"/>
      <c r="D32" s="30" t="s">
        <v>12</v>
      </c>
      <c r="E32" s="33">
        <f>E27-E30</f>
        <v>41391000</v>
      </c>
      <c r="F32" s="33"/>
      <c r="G32" s="8"/>
      <c r="H32" s="9"/>
      <c r="I32" s="23"/>
      <c r="J32" s="24"/>
    </row>
    <row r="33" spans="1:10" ht="15.75" x14ac:dyDescent="0.25">
      <c r="A33" s="42"/>
      <c r="B33" s="42"/>
      <c r="C33" s="8"/>
      <c r="D33" s="8"/>
      <c r="E33" s="46" t="str">
        <f>PROPER(IF(E32=0,"nol",IF(E32&lt;0,"minus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32),"000000000000000"),1,3)=0,"",MID(TEXT(ABS(E32),"000000000000000"),1,1)&amp;" ratus "&amp;MID(TEXT(ABS(E32),"000000000000000"),2,1)&amp;" puluh "&amp;MID(TEXT(ABS(E32),"000000000000000"),3,1)&amp;" trilyun ")&amp;IF(--MID(TEXT(ABS(E32),"000000000000000"),4,3)=0,"",MID(TEXT(ABS(E32),"000000000000000"),4,1)&amp;" ratus "&amp;MID(TEXT(ABS(E32),"000000000000000"),5,1)&amp;" puluh "&amp;MID(TEXT(ABS(E32),"000000000000000"),6,1)&amp;" milyar ")&amp;IF(--MID(TEXT(ABS(E32),"000000000000000"),7,3)=0,"",MID(TEXT(ABS(E32),"000000000000000"),7,1)&amp;" ratus "&amp;MID(TEXT(ABS(E32),"000000000000000"),8,1)&amp;" puluh "&amp;MID(TEXT(ABS(E32),"000000000000000"),9,1)&amp;" juta ")&amp;IF(--MID(TEXT(ABS(E32),"000000000000000"),10,3)=0,"",IF(--MID(TEXT(ABS(E32),"000000000000000"),10,3)=1,"*",MID(TEXT(ABS(E32),"000000000000000"),10,1)&amp;" ratus "&amp;MID(TEXT(ABS(E32),"000000000000000"),11,1)&amp;" puluh ")&amp;MID(TEXT(ABS(E32),"000000000000000"),12,1)&amp;" ribu ")&amp;IF(--MID(TEXT(ABS(E32),"000000000000000"),13,3)=0,"",MID(TEXT(ABS(E32),"000000000000000"),13,1)&amp;" ratus "&amp;MID(TEXT(ABS(E32),"000000000000000"),14,1)&amp;" puluh "&amp;MID(TEXT(ABS(E32),"000000000000000"),15,1)),1,"satu"),2,"dua"),3,"tiga"),4,"empat"),5,"lima"),6,"enam"),7,"tujuh"),8,"delapan"),9,"sembilan"),"0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Satu Juta Tiga Ratus Sembilan Puluh Satu Ribu Rupiah</v>
      </c>
      <c r="F33" s="8"/>
      <c r="G33" s="8"/>
      <c r="H33" s="8"/>
      <c r="I33" s="23"/>
      <c r="J33" s="24"/>
    </row>
    <row r="34" spans="1:10" x14ac:dyDescent="0.25">
      <c r="A34" s="26"/>
      <c r="B34" s="26"/>
      <c r="C34" s="26"/>
      <c r="D34" s="26"/>
      <c r="E34" s="26"/>
      <c r="F34" s="26"/>
      <c r="G34" s="25"/>
      <c r="H34" s="24"/>
      <c r="I34" s="23"/>
      <c r="J34" s="24"/>
    </row>
    <row r="35" spans="1:10" x14ac:dyDescent="0.25">
      <c r="A35" s="25"/>
      <c r="B35" s="25"/>
      <c r="C35" s="25"/>
      <c r="D35" s="25"/>
      <c r="E35" s="25"/>
      <c r="F35" s="25"/>
      <c r="G35" s="25"/>
      <c r="H35"/>
      <c r="I35" s="24"/>
      <c r="J35" s="24"/>
    </row>
    <row r="36" spans="1:10" x14ac:dyDescent="0.25">
      <c r="A36" s="42"/>
      <c r="B36" s="42"/>
      <c r="C36" s="8"/>
      <c r="D36" s="8"/>
      <c r="E36" s="8"/>
      <c r="F36" s="8"/>
      <c r="G36" s="8"/>
      <c r="I36" s="44" t="s">
        <v>56</v>
      </c>
      <c r="J36" s="24"/>
    </row>
    <row r="37" spans="1:10" x14ac:dyDescent="0.25">
      <c r="A37" s="9" t="s">
        <v>26</v>
      </c>
      <c r="B37" s="9"/>
      <c r="C37" s="8"/>
      <c r="D37" s="8"/>
      <c r="E37" s="8"/>
      <c r="F37" s="8"/>
      <c r="G37" s="8"/>
      <c r="I37" s="9" t="s">
        <v>25</v>
      </c>
      <c r="J37" s="24"/>
    </row>
    <row r="38" spans="1:10" x14ac:dyDescent="0.25">
      <c r="A38" s="8"/>
      <c r="B38" s="8"/>
      <c r="C38" s="8"/>
      <c r="D38" s="8"/>
      <c r="E38" s="8"/>
      <c r="F38" s="8"/>
      <c r="G38" s="8"/>
      <c r="I38" s="9"/>
      <c r="J38" s="24"/>
    </row>
    <row r="39" spans="1:10" x14ac:dyDescent="0.25">
      <c r="A39" s="8"/>
      <c r="B39" s="8"/>
      <c r="C39" s="8"/>
      <c r="D39" s="8"/>
      <c r="E39" s="8"/>
      <c r="F39" s="8"/>
      <c r="G39" s="8"/>
      <c r="I39" s="9"/>
      <c r="J39" s="24"/>
    </row>
    <row r="40" spans="1:10" x14ac:dyDescent="0.25">
      <c r="A40" s="8"/>
      <c r="B40" s="8"/>
      <c r="C40" s="8"/>
      <c r="D40" s="8"/>
      <c r="E40" s="8"/>
      <c r="F40" s="8"/>
      <c r="G40" s="8"/>
      <c r="I40" s="9"/>
      <c r="J40" s="24"/>
    </row>
    <row r="41" spans="1:10" x14ac:dyDescent="0.25">
      <c r="A41" s="8"/>
      <c r="B41" s="8"/>
      <c r="C41" s="8"/>
      <c r="D41" s="8"/>
      <c r="E41" s="8"/>
      <c r="F41" s="8"/>
      <c r="G41" s="8"/>
      <c r="I41" s="9"/>
      <c r="J41" s="24"/>
    </row>
    <row r="42" spans="1:10" x14ac:dyDescent="0.25">
      <c r="A42" s="28" t="s">
        <v>34</v>
      </c>
      <c r="B42" s="28"/>
      <c r="C42" s="27"/>
      <c r="D42" s="27"/>
      <c r="E42" s="27"/>
      <c r="F42" s="27"/>
      <c r="G42" s="8" t="s">
        <v>11</v>
      </c>
      <c r="I42" s="28" t="s">
        <v>27</v>
      </c>
      <c r="J42" s="24"/>
    </row>
    <row r="47" spans="1:10" ht="15.75" x14ac:dyDescent="0.25">
      <c r="C47" s="3"/>
      <c r="D47" s="3"/>
      <c r="E47" s="3"/>
      <c r="F47" s="3"/>
    </row>
    <row r="48" spans="1:10" ht="15.75" x14ac:dyDescent="0.25">
      <c r="A48" s="2"/>
      <c r="B48" s="2"/>
      <c r="C48" s="3"/>
      <c r="D48" s="3"/>
      <c r="E48" s="3"/>
      <c r="F48" s="3"/>
      <c r="G48" s="2"/>
      <c r="H48" s="4"/>
      <c r="I48" s="4"/>
      <c r="J48" s="5"/>
    </row>
    <row r="49" spans="1:10" x14ac:dyDescent="0.25">
      <c r="H49" s="5"/>
      <c r="I49" s="5"/>
      <c r="J49" s="5"/>
    </row>
    <row r="50" spans="1:10" x14ac:dyDescent="0.25">
      <c r="H50" s="5"/>
      <c r="I50" s="5"/>
      <c r="J50" s="5"/>
    </row>
    <row r="51" spans="1:10" x14ac:dyDescent="0.25">
      <c r="A51" s="60" t="s">
        <v>29</v>
      </c>
      <c r="B51" s="60"/>
      <c r="C51" s="61"/>
      <c r="D51" s="61"/>
      <c r="E51" s="61"/>
      <c r="F51" s="61"/>
      <c r="G51" s="61"/>
      <c r="H51" s="61"/>
      <c r="I51" s="61"/>
      <c r="J51" s="61"/>
    </row>
    <row r="52" spans="1:10" x14ac:dyDescent="0.25">
      <c r="A52" s="61" t="s">
        <v>57</v>
      </c>
      <c r="B52" s="61"/>
      <c r="C52" s="61"/>
      <c r="D52" s="61"/>
      <c r="E52" s="61"/>
      <c r="F52" s="61"/>
      <c r="G52" s="61"/>
      <c r="H52" s="61"/>
      <c r="I52" s="61"/>
      <c r="J52" s="61"/>
    </row>
    <row r="53" spans="1:10" x14ac:dyDescent="0.25">
      <c r="A53" s="61" t="s">
        <v>13</v>
      </c>
      <c r="B53" s="61"/>
      <c r="C53" s="61"/>
      <c r="D53" s="61"/>
      <c r="E53" s="61"/>
      <c r="F53" s="61"/>
      <c r="G53" s="61"/>
      <c r="H53" s="61"/>
      <c r="I53" s="61"/>
      <c r="J53" s="61"/>
    </row>
    <row r="54" spans="1:10" x14ac:dyDescent="0.25">
      <c r="A54" s="61" t="s">
        <v>35</v>
      </c>
      <c r="B54" s="61"/>
      <c r="C54" s="61"/>
      <c r="D54" s="61"/>
      <c r="E54" s="61"/>
      <c r="F54" s="61"/>
      <c r="G54" s="61"/>
      <c r="H54" s="61"/>
      <c r="I54" s="61"/>
      <c r="J54" s="61"/>
    </row>
    <row r="55" spans="1:10" x14ac:dyDescent="0.25">
      <c r="A55" s="61" t="s">
        <v>24</v>
      </c>
      <c r="B55" s="61"/>
      <c r="C55" s="61"/>
      <c r="D55" s="61"/>
      <c r="E55" s="61"/>
      <c r="F55" s="61"/>
      <c r="G55" s="61"/>
      <c r="H55" s="61"/>
      <c r="I55" s="61"/>
      <c r="J55" s="61"/>
    </row>
    <row r="56" spans="1:10" x14ac:dyDescent="0.25">
      <c r="A56" s="29"/>
      <c r="B56" s="29"/>
      <c r="C56" s="7"/>
      <c r="D56" s="7"/>
      <c r="E56" s="7"/>
      <c r="F56" s="7"/>
      <c r="G56" s="6"/>
      <c r="H56" s="10"/>
      <c r="I56" s="10"/>
      <c r="J56" s="10"/>
    </row>
    <row r="57" spans="1:10" x14ac:dyDescent="0.25">
      <c r="A57" s="51" t="s">
        <v>18</v>
      </c>
      <c r="B57" s="51"/>
      <c r="C57" s="51"/>
      <c r="D57" s="35" t="s">
        <v>12</v>
      </c>
      <c r="E57" s="8" t="s">
        <v>30</v>
      </c>
      <c r="H57" s="9"/>
      <c r="I57" s="9"/>
      <c r="J57" s="10"/>
    </row>
    <row r="58" spans="1:10" x14ac:dyDescent="0.25">
      <c r="A58" s="51" t="s">
        <v>19</v>
      </c>
      <c r="B58" s="51"/>
      <c r="C58" s="51"/>
      <c r="D58" s="35" t="s">
        <v>12</v>
      </c>
      <c r="E58" s="8" t="s">
        <v>31</v>
      </c>
      <c r="H58" s="9"/>
      <c r="I58" s="9"/>
      <c r="J58" s="10"/>
    </row>
    <row r="59" spans="1:10" x14ac:dyDescent="0.25">
      <c r="A59" s="51" t="s">
        <v>20</v>
      </c>
      <c r="B59" s="51"/>
      <c r="C59" s="51"/>
      <c r="D59" s="35" t="s">
        <v>12</v>
      </c>
      <c r="E59" s="42">
        <v>2026</v>
      </c>
      <c r="H59" s="9"/>
      <c r="I59" s="9"/>
      <c r="J59" s="10"/>
    </row>
    <row r="60" spans="1:10" x14ac:dyDescent="0.25">
      <c r="A60" s="51" t="s">
        <v>21</v>
      </c>
      <c r="B60" s="51"/>
      <c r="C60" s="51"/>
      <c r="D60" s="35" t="s">
        <v>12</v>
      </c>
      <c r="E60" s="39">
        <f>I68</f>
        <v>3300000</v>
      </c>
      <c r="H60" s="9"/>
      <c r="I60" s="9"/>
      <c r="J60" s="10"/>
    </row>
    <row r="61" spans="1:10" ht="15.75" x14ac:dyDescent="0.25">
      <c r="A61" s="8"/>
      <c r="B61" s="8"/>
      <c r="C61" s="11" t="s">
        <v>0</v>
      </c>
      <c r="D61" s="35" t="s">
        <v>12</v>
      </c>
      <c r="E61" s="46" t="str">
        <f>PROPER(IF(E60=0,"nol",IF(E60&lt;0,"minus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60),"000000000000000"),1,3)=0,"",MID(TEXT(ABS(E60),"000000000000000"),1,1)&amp;" ratus "&amp;MID(TEXT(ABS(E60),"000000000000000"),2,1)&amp;" puluh "&amp;MID(TEXT(ABS(E60),"000000000000000"),3,1)&amp;" trilyun ")&amp;IF(--MID(TEXT(ABS(E60),"000000000000000"),4,3)=0,"",MID(TEXT(ABS(E60),"000000000000000"),4,1)&amp;" ratus "&amp;MID(TEXT(ABS(E60),"000000000000000"),5,1)&amp;" puluh "&amp;MID(TEXT(ABS(E60),"000000000000000"),6,1)&amp;" milyar ")&amp;IF(--MID(TEXT(ABS(E60),"000000000000000"),7,3)=0,"",MID(TEXT(ABS(E60),"000000000000000"),7,1)&amp;" ratus "&amp;MID(TEXT(ABS(E60),"000000000000000"),8,1)&amp;" puluh "&amp;MID(TEXT(ABS(E60),"000000000000000"),9,1)&amp;" juta ")&amp;IF(--MID(TEXT(ABS(E60),"000000000000000"),10,3)=0,"",IF(--MID(TEXT(ABS(E60),"000000000000000"),10,3)=1,"*",MID(TEXT(ABS(E60),"000000000000000"),10,1)&amp;" ratus "&amp;MID(TEXT(ABS(E60),"000000000000000"),11,1)&amp;" puluh ")&amp;MID(TEXT(ABS(E60),"000000000000000"),12,1)&amp;" ribu ")&amp;IF(--MID(TEXT(ABS(E60),"000000000000000"),13,3)=0,"",MID(TEXT(ABS(E60),"000000000000000"),13,1)&amp;" ratus "&amp;MID(TEXT(ABS(E60),"000000000000000"),14,1)&amp;" puluh "&amp;MID(TEXT(ABS(E60),"000000000000000"),15,1)),1,"satu"),2,"dua"),3,"tiga"),4,"empat"),5,"lima"),6,"enam"),7,"tujuh"),8,"delapan"),9,"sembilan"),"0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Tiga Ratus Ribu Rupiah</v>
      </c>
      <c r="H61" s="9"/>
      <c r="I61" s="9"/>
      <c r="J61" s="10"/>
    </row>
    <row r="62" spans="1:10" ht="15.75" x14ac:dyDescent="0.25">
      <c r="A62" s="8"/>
      <c r="B62" s="8"/>
      <c r="C62" s="11"/>
      <c r="D62" s="11"/>
      <c r="E62" s="11"/>
      <c r="F62" s="35"/>
      <c r="G62" s="46"/>
      <c r="H62" s="9"/>
      <c r="I62" s="9"/>
      <c r="J62" s="10"/>
    </row>
    <row r="63" spans="1:10" x14ac:dyDescent="0.25">
      <c r="A63" s="8" t="s">
        <v>1</v>
      </c>
      <c r="B63" s="8"/>
      <c r="C63" s="8"/>
      <c r="D63" s="8"/>
      <c r="E63" s="8"/>
      <c r="F63" s="8"/>
      <c r="G63" s="8"/>
      <c r="H63" s="9"/>
      <c r="I63" s="9"/>
      <c r="J63" s="10"/>
    </row>
    <row r="64" spans="1:10" x14ac:dyDescent="0.25">
      <c r="A64" s="59" t="s">
        <v>2</v>
      </c>
      <c r="B64" s="59"/>
      <c r="C64" s="59"/>
      <c r="D64" s="59"/>
      <c r="E64" s="59"/>
      <c r="F64" s="59"/>
      <c r="G64" s="59"/>
      <c r="H64" s="59"/>
      <c r="I64" s="59"/>
      <c r="J64" s="59"/>
    </row>
    <row r="65" spans="1:10" ht="45" x14ac:dyDescent="0.25">
      <c r="A65" s="12" t="s">
        <v>3</v>
      </c>
      <c r="B65" s="57" t="s">
        <v>22</v>
      </c>
      <c r="C65" s="63" t="s">
        <v>4</v>
      </c>
      <c r="D65" s="64"/>
      <c r="E65" s="65"/>
      <c r="F65" s="45"/>
      <c r="G65" s="36" t="s">
        <v>5</v>
      </c>
      <c r="H65" s="13" t="s">
        <v>17</v>
      </c>
      <c r="I65" s="14" t="s">
        <v>6</v>
      </c>
      <c r="J65" s="15" t="s">
        <v>7</v>
      </c>
    </row>
    <row r="66" spans="1:10" x14ac:dyDescent="0.25">
      <c r="A66" s="58">
        <v>1</v>
      </c>
      <c r="B66" s="43"/>
      <c r="C66" s="54" t="s">
        <v>32</v>
      </c>
      <c r="D66" s="56"/>
      <c r="E66" s="53"/>
      <c r="F66" s="34"/>
      <c r="G66" s="55" t="s">
        <v>28</v>
      </c>
      <c r="H66" s="55" t="s">
        <v>28</v>
      </c>
      <c r="I66" s="55" t="s">
        <v>28</v>
      </c>
      <c r="J66" s="55" t="s">
        <v>28</v>
      </c>
    </row>
    <row r="67" spans="1:10" x14ac:dyDescent="0.25">
      <c r="A67" s="43"/>
      <c r="B67" s="43" t="s">
        <v>23</v>
      </c>
      <c r="C67" s="47" t="s">
        <v>33</v>
      </c>
      <c r="D67" s="48"/>
      <c r="E67" s="49"/>
      <c r="F67" s="34"/>
      <c r="G67" s="50">
        <v>900000000</v>
      </c>
      <c r="H67" s="40">
        <f>H24+I24</f>
        <v>60941000</v>
      </c>
      <c r="I67" s="40">
        <v>3300000</v>
      </c>
      <c r="J67" s="41">
        <f t="shared" ref="J67" si="1">G67-H67-I67</f>
        <v>835759000</v>
      </c>
    </row>
    <row r="68" spans="1:10" x14ac:dyDescent="0.25">
      <c r="A68" s="16"/>
      <c r="B68" s="16"/>
      <c r="C68" s="17" t="s">
        <v>8</v>
      </c>
      <c r="D68" s="17"/>
      <c r="E68" s="17"/>
      <c r="F68" s="38"/>
      <c r="G68" s="37">
        <f>SUM(G66:G67)</f>
        <v>900000000</v>
      </c>
      <c r="H68" s="18">
        <f>SUM(H66:H67)</f>
        <v>60941000</v>
      </c>
      <c r="I68" s="18">
        <f>SUM(I66:I67)</f>
        <v>3300000</v>
      </c>
      <c r="J68" s="18">
        <f>SUM(J66:J67)</f>
        <v>835759000</v>
      </c>
    </row>
    <row r="69" spans="1:10" x14ac:dyDescent="0.25">
      <c r="A69" s="19"/>
      <c r="B69" s="52"/>
      <c r="C69" s="6"/>
      <c r="D69" s="6"/>
      <c r="E69" s="6"/>
      <c r="F69" s="6"/>
      <c r="G69" s="20"/>
      <c r="H69" s="20"/>
      <c r="I69" s="20"/>
      <c r="J69" s="20"/>
    </row>
    <row r="70" spans="1:10" x14ac:dyDescent="0.25">
      <c r="A70" s="62" t="s">
        <v>14</v>
      </c>
      <c r="B70" s="62"/>
      <c r="C70" s="62"/>
      <c r="D70" s="30" t="s">
        <v>12</v>
      </c>
      <c r="E70" s="39">
        <f>I68</f>
        <v>3300000</v>
      </c>
      <c r="F70" s="33"/>
      <c r="G70" s="21"/>
      <c r="H70" s="21"/>
      <c r="I70" s="10"/>
      <c r="J70" s="10"/>
    </row>
    <row r="71" spans="1:10" x14ac:dyDescent="0.25">
      <c r="A71" s="8" t="s">
        <v>9</v>
      </c>
      <c r="B71" s="8"/>
      <c r="C71" s="8"/>
      <c r="D71" s="30" t="s">
        <v>12</v>
      </c>
      <c r="E71" s="31"/>
      <c r="F71" s="31"/>
      <c r="G71" s="22"/>
      <c r="H71" s="9"/>
      <c r="I71" s="10"/>
      <c r="J71" s="10"/>
    </row>
    <row r="72" spans="1:10" x14ac:dyDescent="0.25">
      <c r="A72" s="8" t="s">
        <v>16</v>
      </c>
      <c r="B72" s="8"/>
      <c r="C72" s="8"/>
      <c r="D72" s="30" t="s">
        <v>12</v>
      </c>
      <c r="E72" s="32"/>
      <c r="F72" s="32"/>
      <c r="G72" s="22"/>
      <c r="H72" s="9"/>
      <c r="I72" s="10"/>
      <c r="J72" s="10"/>
    </row>
    <row r="73" spans="1:10" x14ac:dyDescent="0.25">
      <c r="A73" s="8" t="s">
        <v>10</v>
      </c>
      <c r="B73" s="8"/>
      <c r="C73" s="8"/>
      <c r="D73" s="30" t="s">
        <v>12</v>
      </c>
      <c r="E73" s="32">
        <f>E71+E72</f>
        <v>0</v>
      </c>
      <c r="F73" s="32"/>
      <c r="G73" s="8"/>
      <c r="H73" s="9"/>
      <c r="I73" s="23"/>
      <c r="J73" s="24"/>
    </row>
    <row r="74" spans="1:10" x14ac:dyDescent="0.25">
      <c r="A74" s="42"/>
      <c r="B74" s="42"/>
      <c r="C74" s="42"/>
      <c r="D74" s="30"/>
      <c r="E74" s="42"/>
      <c r="F74" s="42"/>
      <c r="G74" s="8"/>
      <c r="H74" s="9"/>
      <c r="I74" s="23"/>
      <c r="J74" s="24"/>
    </row>
    <row r="75" spans="1:10" x14ac:dyDescent="0.25">
      <c r="A75" s="62" t="s">
        <v>15</v>
      </c>
      <c r="B75" s="62"/>
      <c r="C75" s="62"/>
      <c r="D75" s="30" t="s">
        <v>12</v>
      </c>
      <c r="E75" s="33">
        <f>E70-E73</f>
        <v>3300000</v>
      </c>
      <c r="F75" s="33"/>
      <c r="G75" s="8"/>
      <c r="H75" s="9"/>
      <c r="I75" s="23"/>
      <c r="J75" s="24"/>
    </row>
    <row r="76" spans="1:10" ht="15.75" x14ac:dyDescent="0.25">
      <c r="A76" s="42"/>
      <c r="B76" s="42"/>
      <c r="C76" s="8"/>
      <c r="D76" s="8"/>
      <c r="E76" s="46" t="str">
        <f>PROPER(IF(E75=0,"nol",IF(E75&lt;0,"minus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75),"000000000000000"),1,3)=0,"",MID(TEXT(ABS(E75),"000000000000000"),1,1)&amp;" ratus "&amp;MID(TEXT(ABS(E75),"000000000000000"),2,1)&amp;" puluh "&amp;MID(TEXT(ABS(E75),"000000000000000"),3,1)&amp;" trilyun ")&amp;IF(--MID(TEXT(ABS(E75),"000000000000000"),4,3)=0,"",MID(TEXT(ABS(E75),"000000000000000"),4,1)&amp;" ratus "&amp;MID(TEXT(ABS(E75),"000000000000000"),5,1)&amp;" puluh "&amp;MID(TEXT(ABS(E75),"000000000000000"),6,1)&amp;" milyar ")&amp;IF(--MID(TEXT(ABS(E75),"000000000000000"),7,3)=0,"",MID(TEXT(ABS(E75),"000000000000000"),7,1)&amp;" ratus "&amp;MID(TEXT(ABS(E75),"000000000000000"),8,1)&amp;" puluh "&amp;MID(TEXT(ABS(E75),"000000000000000"),9,1)&amp;" juta ")&amp;IF(--MID(TEXT(ABS(E75),"000000000000000"),10,3)=0,"",IF(--MID(TEXT(ABS(E75),"000000000000000"),10,3)=1,"*",MID(TEXT(ABS(E75),"000000000000000"),10,1)&amp;" ratus "&amp;MID(TEXT(ABS(E75),"000000000000000"),11,1)&amp;" puluh ")&amp;MID(TEXT(ABS(E75),"000000000000000"),12,1)&amp;" ribu ")&amp;IF(--MID(TEXT(ABS(E75),"000000000000000"),13,3)=0,"",MID(TEXT(ABS(E75),"000000000000000"),13,1)&amp;" ratus "&amp;MID(TEXT(ABS(E75),"000000000000000"),14,1)&amp;" puluh "&amp;MID(TEXT(ABS(E75),"000000000000000"),15,1)),1,"satu"),2,"dua"),3,"tiga"),4,"empat"),5,"lima"),6,"enam"),7,"tujuh"),8,"delapan"),9,"sembilan"),"0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Tiga Ratus Ribu Rupiah</v>
      </c>
      <c r="F76" s="8"/>
      <c r="G76" s="8"/>
      <c r="H76" s="8"/>
      <c r="I76" s="23"/>
      <c r="J76" s="24"/>
    </row>
    <row r="77" spans="1:10" x14ac:dyDescent="0.25">
      <c r="A77" s="26"/>
      <c r="B77" s="26"/>
      <c r="C77" s="26"/>
      <c r="D77" s="26"/>
      <c r="E77" s="26"/>
      <c r="F77" s="26"/>
      <c r="G77" s="25"/>
      <c r="H77" s="24"/>
      <c r="I77" s="23"/>
      <c r="J77" s="24"/>
    </row>
    <row r="78" spans="1:10" x14ac:dyDescent="0.25">
      <c r="A78" s="25"/>
      <c r="B78" s="25"/>
      <c r="C78" s="25"/>
      <c r="D78" s="25"/>
      <c r="E78" s="25"/>
      <c r="F78" s="25"/>
      <c r="G78" s="25"/>
      <c r="H78"/>
      <c r="I78" s="24"/>
      <c r="J78" s="24"/>
    </row>
    <row r="79" spans="1:10" x14ac:dyDescent="0.25">
      <c r="A79" s="42"/>
      <c r="B79" s="42"/>
      <c r="C79" s="8"/>
      <c r="D79" s="8"/>
      <c r="E79" s="8"/>
      <c r="F79" s="8"/>
      <c r="G79" s="8"/>
      <c r="I79" s="44" t="s">
        <v>58</v>
      </c>
      <c r="J79" s="24"/>
    </row>
    <row r="80" spans="1:10" x14ac:dyDescent="0.25">
      <c r="A80" s="9" t="s">
        <v>26</v>
      </c>
      <c r="B80" s="9"/>
      <c r="C80" s="8"/>
      <c r="D80" s="8"/>
      <c r="E80" s="8"/>
      <c r="F80" s="8"/>
      <c r="G80" s="8"/>
      <c r="I80" s="9" t="s">
        <v>25</v>
      </c>
      <c r="J80" s="24"/>
    </row>
    <row r="81" spans="1:10" x14ac:dyDescent="0.25">
      <c r="A81" s="8"/>
      <c r="B81" s="8"/>
      <c r="C81" s="8"/>
      <c r="D81" s="8"/>
      <c r="E81" s="8"/>
      <c r="F81" s="8"/>
      <c r="G81" s="8"/>
      <c r="I81" s="9"/>
      <c r="J81" s="24"/>
    </row>
    <row r="82" spans="1:10" x14ac:dyDescent="0.25">
      <c r="A82" s="8"/>
      <c r="B82" s="8"/>
      <c r="C82" s="8"/>
      <c r="D82" s="8"/>
      <c r="E82" s="8"/>
      <c r="F82" s="8"/>
      <c r="G82" s="8"/>
      <c r="I82" s="9"/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28" t="s">
        <v>34</v>
      </c>
      <c r="B85" s="28"/>
      <c r="C85" s="27"/>
      <c r="D85" s="27"/>
      <c r="E85" s="27"/>
      <c r="F85" s="27"/>
      <c r="G85" s="8" t="s">
        <v>11</v>
      </c>
      <c r="I85" s="28" t="s">
        <v>27</v>
      </c>
      <c r="J85" s="24"/>
    </row>
    <row r="90" spans="1:10" ht="15.75" x14ac:dyDescent="0.25">
      <c r="C90" s="3"/>
      <c r="D90" s="3"/>
      <c r="E90" s="3"/>
      <c r="F90" s="3"/>
    </row>
    <row r="91" spans="1:10" ht="15.75" x14ac:dyDescent="0.25">
      <c r="A91" s="2"/>
      <c r="B91" s="2"/>
      <c r="C91" s="3"/>
      <c r="D91" s="3"/>
      <c r="E91" s="3"/>
      <c r="F91" s="3"/>
      <c r="G91" s="2"/>
      <c r="H91" s="4"/>
      <c r="I91" s="4"/>
      <c r="J91" s="5"/>
    </row>
    <row r="92" spans="1:10" x14ac:dyDescent="0.25">
      <c r="H92" s="5"/>
      <c r="I92" s="5"/>
      <c r="J92" s="5"/>
    </row>
    <row r="93" spans="1:10" x14ac:dyDescent="0.25">
      <c r="H93" s="5"/>
      <c r="I93" s="5"/>
      <c r="J93" s="5"/>
    </row>
    <row r="94" spans="1:10" x14ac:dyDescent="0.25">
      <c r="A94" s="60" t="s">
        <v>29</v>
      </c>
      <c r="B94" s="60"/>
      <c r="C94" s="61"/>
      <c r="D94" s="61"/>
      <c r="E94" s="61"/>
      <c r="F94" s="61"/>
      <c r="G94" s="61"/>
      <c r="H94" s="61"/>
      <c r="I94" s="61"/>
      <c r="J94" s="61"/>
    </row>
    <row r="95" spans="1:10" x14ac:dyDescent="0.25">
      <c r="A95" s="61" t="s">
        <v>59</v>
      </c>
      <c r="B95" s="61"/>
      <c r="C95" s="61"/>
      <c r="D95" s="61"/>
      <c r="E95" s="61"/>
      <c r="F95" s="61"/>
      <c r="G95" s="61"/>
      <c r="H95" s="61"/>
      <c r="I95" s="61"/>
      <c r="J95" s="61"/>
    </row>
    <row r="96" spans="1:10" x14ac:dyDescent="0.25">
      <c r="A96" s="61" t="s">
        <v>13</v>
      </c>
      <c r="B96" s="61"/>
      <c r="C96" s="61"/>
      <c r="D96" s="61"/>
      <c r="E96" s="61"/>
      <c r="F96" s="61"/>
      <c r="G96" s="61"/>
      <c r="H96" s="61"/>
      <c r="I96" s="61"/>
      <c r="J96" s="61"/>
    </row>
    <row r="97" spans="1:10" x14ac:dyDescent="0.25">
      <c r="A97" s="61" t="s">
        <v>35</v>
      </c>
      <c r="B97" s="61"/>
      <c r="C97" s="61"/>
      <c r="D97" s="61"/>
      <c r="E97" s="61"/>
      <c r="F97" s="61"/>
      <c r="G97" s="61"/>
      <c r="H97" s="61"/>
      <c r="I97" s="61"/>
      <c r="J97" s="61"/>
    </row>
    <row r="98" spans="1:10" x14ac:dyDescent="0.25">
      <c r="A98" s="61" t="s">
        <v>24</v>
      </c>
      <c r="B98" s="61"/>
      <c r="C98" s="61"/>
      <c r="D98" s="61"/>
      <c r="E98" s="61"/>
      <c r="F98" s="61"/>
      <c r="G98" s="61"/>
      <c r="H98" s="61"/>
      <c r="I98" s="61"/>
      <c r="J98" s="61"/>
    </row>
    <row r="99" spans="1:10" x14ac:dyDescent="0.25">
      <c r="A99" s="29"/>
      <c r="B99" s="29"/>
      <c r="C99" s="7"/>
      <c r="D99" s="7"/>
      <c r="E99" s="7"/>
      <c r="F99" s="7"/>
      <c r="G99" s="6"/>
      <c r="H99" s="10"/>
      <c r="I99" s="10"/>
      <c r="J99" s="10"/>
    </row>
    <row r="100" spans="1:10" x14ac:dyDescent="0.25">
      <c r="A100" s="51" t="s">
        <v>18</v>
      </c>
      <c r="B100" s="51"/>
      <c r="C100" s="51"/>
      <c r="D100" s="35" t="s">
        <v>12</v>
      </c>
      <c r="E100" s="8" t="s">
        <v>30</v>
      </c>
      <c r="H100" s="9"/>
      <c r="I100" s="9"/>
      <c r="J100" s="10"/>
    </row>
    <row r="101" spans="1:10" x14ac:dyDescent="0.25">
      <c r="A101" s="51" t="s">
        <v>19</v>
      </c>
      <c r="B101" s="51"/>
      <c r="C101" s="51"/>
      <c r="D101" s="35" t="s">
        <v>12</v>
      </c>
      <c r="E101" s="8" t="s">
        <v>31</v>
      </c>
      <c r="H101" s="9"/>
      <c r="I101" s="9"/>
      <c r="J101" s="10"/>
    </row>
    <row r="102" spans="1:10" x14ac:dyDescent="0.25">
      <c r="A102" s="51" t="s">
        <v>20</v>
      </c>
      <c r="B102" s="51"/>
      <c r="C102" s="51"/>
      <c r="D102" s="35" t="s">
        <v>12</v>
      </c>
      <c r="E102" s="42">
        <v>2026</v>
      </c>
      <c r="H102" s="9"/>
      <c r="I102" s="9"/>
      <c r="J102" s="10"/>
    </row>
    <row r="103" spans="1:10" x14ac:dyDescent="0.25">
      <c r="A103" s="51" t="s">
        <v>21</v>
      </c>
      <c r="B103" s="51"/>
      <c r="C103" s="51"/>
      <c r="D103" s="35" t="s">
        <v>12</v>
      </c>
      <c r="E103" s="39">
        <f>I111</f>
        <v>300000</v>
      </c>
      <c r="H103" s="9"/>
      <c r="I103" s="9"/>
      <c r="J103" s="10"/>
    </row>
    <row r="104" spans="1:10" ht="15.75" x14ac:dyDescent="0.25">
      <c r="A104" s="8"/>
      <c r="B104" s="8"/>
      <c r="C104" s="11" t="s">
        <v>0</v>
      </c>
      <c r="D104" s="35" t="s">
        <v>12</v>
      </c>
      <c r="E104" s="46" t="str">
        <f>PROPER(IF(E103=0,"nol",IF(E103&lt;0,"minus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103),"000000000000000"),1,3)=0,"",MID(TEXT(ABS(E103),"000000000000000"),1,1)&amp;" ratus "&amp;MID(TEXT(ABS(E103),"000000000000000"),2,1)&amp;" puluh "&amp;MID(TEXT(ABS(E103),"000000000000000"),3,1)&amp;" trilyun ")&amp;IF(--MID(TEXT(ABS(E103),"000000000000000"),4,3)=0,"",MID(TEXT(ABS(E103),"000000000000000"),4,1)&amp;" ratus "&amp;MID(TEXT(ABS(E103),"000000000000000"),5,1)&amp;" puluh "&amp;MID(TEXT(ABS(E103),"000000000000000"),6,1)&amp;" milyar ")&amp;IF(--MID(TEXT(ABS(E103),"000000000000000"),7,3)=0,"",MID(TEXT(ABS(E103),"000000000000000"),7,1)&amp;" ratus "&amp;MID(TEXT(ABS(E103),"000000000000000"),8,1)&amp;" puluh "&amp;MID(TEXT(ABS(E103),"000000000000000"),9,1)&amp;" juta ")&amp;IF(--MID(TEXT(ABS(E103),"000000000000000"),10,3)=0,"",IF(--MID(TEXT(ABS(E103),"000000000000000"),10,3)=1,"*",MID(TEXT(ABS(E103),"000000000000000"),10,1)&amp;" ratus "&amp;MID(TEXT(ABS(E103),"000000000000000"),11,1)&amp;" puluh ")&amp;MID(TEXT(ABS(E103),"000000000000000"),12,1)&amp;" ribu ")&amp;IF(--MID(TEXT(ABS(E103),"000000000000000"),13,3)=0,"",MID(TEXT(ABS(E103),"000000000000000"),13,1)&amp;" ratus "&amp;MID(TEXT(ABS(E103),"000000000000000"),14,1)&amp;" puluh "&amp;MID(TEXT(ABS(E103),"000000000000000"),15,1)),1,"satu"),2,"dua"),3,"tiga"),4,"empat"),5,"lima"),6,"enam"),7,"tujuh"),8,"delapan"),9,"sembilan"),"0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H104" s="9"/>
      <c r="I104" s="9"/>
      <c r="J104" s="10"/>
    </row>
    <row r="105" spans="1:10" ht="15.75" x14ac:dyDescent="0.25">
      <c r="A105" s="8"/>
      <c r="B105" s="8"/>
      <c r="C105" s="11"/>
      <c r="D105" s="11"/>
      <c r="E105" s="11"/>
      <c r="F105" s="35"/>
      <c r="G105" s="46"/>
      <c r="H105" s="9"/>
      <c r="I105" s="9"/>
      <c r="J105" s="10"/>
    </row>
    <row r="106" spans="1:10" x14ac:dyDescent="0.25">
      <c r="A106" s="8" t="s">
        <v>1</v>
      </c>
      <c r="B106" s="8"/>
      <c r="C106" s="8"/>
      <c r="D106" s="8"/>
      <c r="E106" s="8"/>
      <c r="F106" s="8"/>
      <c r="G106" s="8"/>
      <c r="H106" s="9"/>
      <c r="I106" s="9"/>
      <c r="J106" s="10"/>
    </row>
    <row r="107" spans="1:10" x14ac:dyDescent="0.25">
      <c r="A107" s="59" t="s">
        <v>2</v>
      </c>
      <c r="B107" s="59"/>
      <c r="C107" s="59"/>
      <c r="D107" s="59"/>
      <c r="E107" s="59"/>
      <c r="F107" s="59"/>
      <c r="G107" s="59"/>
      <c r="H107" s="59"/>
      <c r="I107" s="59"/>
      <c r="J107" s="59"/>
    </row>
    <row r="108" spans="1:10" ht="45" x14ac:dyDescent="0.25">
      <c r="A108" s="12" t="s">
        <v>3</v>
      </c>
      <c r="B108" s="57" t="s">
        <v>22</v>
      </c>
      <c r="C108" s="63" t="s">
        <v>4</v>
      </c>
      <c r="D108" s="64"/>
      <c r="E108" s="65"/>
      <c r="F108" s="45"/>
      <c r="G108" s="36" t="s">
        <v>5</v>
      </c>
      <c r="H108" s="13" t="s">
        <v>17</v>
      </c>
      <c r="I108" s="14" t="s">
        <v>6</v>
      </c>
      <c r="J108" s="15" t="s">
        <v>7</v>
      </c>
    </row>
    <row r="109" spans="1:10" x14ac:dyDescent="0.25">
      <c r="A109" s="58">
        <v>1</v>
      </c>
      <c r="B109" s="43"/>
      <c r="C109" s="54" t="s">
        <v>32</v>
      </c>
      <c r="D109" s="56"/>
      <c r="E109" s="53"/>
      <c r="F109" s="34"/>
      <c r="G109" s="55" t="s">
        <v>28</v>
      </c>
      <c r="H109" s="55" t="s">
        <v>28</v>
      </c>
      <c r="I109" s="55" t="s">
        <v>28</v>
      </c>
      <c r="J109" s="55" t="s">
        <v>28</v>
      </c>
    </row>
    <row r="110" spans="1:10" x14ac:dyDescent="0.25">
      <c r="A110" s="43"/>
      <c r="B110" s="43" t="s">
        <v>23</v>
      </c>
      <c r="C110" s="47" t="s">
        <v>33</v>
      </c>
      <c r="D110" s="48"/>
      <c r="E110" s="49"/>
      <c r="F110" s="34"/>
      <c r="G110" s="50">
        <v>900000000</v>
      </c>
      <c r="H110" s="40">
        <f>H67+I67</f>
        <v>64241000</v>
      </c>
      <c r="I110" s="40">
        <v>300000</v>
      </c>
      <c r="J110" s="41">
        <f t="shared" ref="J110" si="2">G110-H110-I110</f>
        <v>835459000</v>
      </c>
    </row>
    <row r="111" spans="1:10" x14ac:dyDescent="0.25">
      <c r="A111" s="16"/>
      <c r="B111" s="16"/>
      <c r="C111" s="17" t="s">
        <v>8</v>
      </c>
      <c r="D111" s="17"/>
      <c r="E111" s="17"/>
      <c r="F111" s="38"/>
      <c r="G111" s="37">
        <f>SUM(G109:G110)</f>
        <v>900000000</v>
      </c>
      <c r="H111" s="18">
        <f>SUM(H109:H110)</f>
        <v>64241000</v>
      </c>
      <c r="I111" s="18">
        <f>SUM(I109:I110)</f>
        <v>300000</v>
      </c>
      <c r="J111" s="18">
        <f>SUM(J109:J110)</f>
        <v>835459000</v>
      </c>
    </row>
    <row r="112" spans="1:10" x14ac:dyDescent="0.25">
      <c r="A112" s="19"/>
      <c r="B112" s="52"/>
      <c r="C112" s="6"/>
      <c r="D112" s="6"/>
      <c r="E112" s="6"/>
      <c r="F112" s="6"/>
      <c r="G112" s="20"/>
      <c r="H112" s="20"/>
      <c r="I112" s="20"/>
      <c r="J112" s="20"/>
    </row>
    <row r="113" spans="1:10" x14ac:dyDescent="0.25">
      <c r="A113" s="62" t="s">
        <v>14</v>
      </c>
      <c r="B113" s="62"/>
      <c r="C113" s="62"/>
      <c r="D113" s="30" t="s">
        <v>12</v>
      </c>
      <c r="E113" s="39">
        <f>I111</f>
        <v>300000</v>
      </c>
      <c r="F113" s="33"/>
      <c r="G113" s="21"/>
      <c r="H113" s="21"/>
      <c r="I113" s="10"/>
      <c r="J113" s="10"/>
    </row>
    <row r="114" spans="1:10" x14ac:dyDescent="0.25">
      <c r="A114" s="8" t="s">
        <v>9</v>
      </c>
      <c r="B114" s="8"/>
      <c r="C114" s="8"/>
      <c r="D114" s="30" t="s">
        <v>12</v>
      </c>
      <c r="E114" s="31"/>
      <c r="F114" s="31"/>
      <c r="G114" s="22"/>
      <c r="H114" s="9"/>
      <c r="I114" s="10"/>
      <c r="J114" s="10"/>
    </row>
    <row r="115" spans="1:10" x14ac:dyDescent="0.25">
      <c r="A115" s="8" t="s">
        <v>16</v>
      </c>
      <c r="B115" s="8"/>
      <c r="C115" s="8"/>
      <c r="D115" s="30" t="s">
        <v>12</v>
      </c>
      <c r="E115" s="32"/>
      <c r="F115" s="32"/>
      <c r="G115" s="22"/>
      <c r="H115" s="9"/>
      <c r="I115" s="10"/>
      <c r="J115" s="10"/>
    </row>
    <row r="116" spans="1:10" x14ac:dyDescent="0.25">
      <c r="A116" s="8" t="s">
        <v>10</v>
      </c>
      <c r="B116" s="8"/>
      <c r="C116" s="8"/>
      <c r="D116" s="30" t="s">
        <v>12</v>
      </c>
      <c r="E116" s="32">
        <f>E114+E115</f>
        <v>0</v>
      </c>
      <c r="F116" s="32"/>
      <c r="G116" s="8"/>
      <c r="H116" s="9"/>
      <c r="I116" s="23"/>
      <c r="J116" s="24"/>
    </row>
    <row r="117" spans="1:10" x14ac:dyDescent="0.25">
      <c r="A117" s="42"/>
      <c r="B117" s="42"/>
      <c r="C117" s="42"/>
      <c r="D117" s="30"/>
      <c r="E117" s="42"/>
      <c r="F117" s="42"/>
      <c r="G117" s="8"/>
      <c r="H117" s="9"/>
      <c r="I117" s="23"/>
      <c r="J117" s="24"/>
    </row>
    <row r="118" spans="1:10" x14ac:dyDescent="0.25">
      <c r="A118" s="62" t="s">
        <v>15</v>
      </c>
      <c r="B118" s="62"/>
      <c r="C118" s="62"/>
      <c r="D118" s="30" t="s">
        <v>12</v>
      </c>
      <c r="E118" s="33">
        <f>E113-E116</f>
        <v>300000</v>
      </c>
      <c r="F118" s="33"/>
      <c r="G118" s="8"/>
      <c r="H118" s="9"/>
      <c r="I118" s="23"/>
      <c r="J118" s="24"/>
    </row>
    <row r="119" spans="1:10" ht="15.75" x14ac:dyDescent="0.25">
      <c r="A119" s="42"/>
      <c r="B119" s="42"/>
      <c r="C119" s="8"/>
      <c r="D119" s="8"/>
      <c r="E119" s="46" t="str">
        <f>PROPER(IF(E118=0,"nol",IF(E118&lt;0,"minus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118),"000000000000000"),1,3)=0,"",MID(TEXT(ABS(E118),"000000000000000"),1,1)&amp;" ratus "&amp;MID(TEXT(ABS(E118),"000000000000000"),2,1)&amp;" puluh "&amp;MID(TEXT(ABS(E118),"000000000000000"),3,1)&amp;" trilyun ")&amp;IF(--MID(TEXT(ABS(E118),"000000000000000"),4,3)=0,"",MID(TEXT(ABS(E118),"000000000000000"),4,1)&amp;" ratus "&amp;MID(TEXT(ABS(E118),"000000000000000"),5,1)&amp;" puluh "&amp;MID(TEXT(ABS(E118),"000000000000000"),6,1)&amp;" milyar ")&amp;IF(--MID(TEXT(ABS(E118),"000000000000000"),7,3)=0,"",MID(TEXT(ABS(E118),"000000000000000"),7,1)&amp;" ratus "&amp;MID(TEXT(ABS(E118),"000000000000000"),8,1)&amp;" puluh "&amp;MID(TEXT(ABS(E118),"000000000000000"),9,1)&amp;" juta ")&amp;IF(--MID(TEXT(ABS(E118),"000000000000000"),10,3)=0,"",IF(--MID(TEXT(ABS(E118),"000000000000000"),10,3)=1,"*",MID(TEXT(ABS(E118),"000000000000000"),10,1)&amp;" ratus "&amp;MID(TEXT(ABS(E118),"000000000000000"),11,1)&amp;" puluh ")&amp;MID(TEXT(ABS(E118),"000000000000000"),12,1)&amp;" ribu ")&amp;IF(--MID(TEXT(ABS(E118),"000000000000000"),13,3)=0,"",MID(TEXT(ABS(E118),"000000000000000"),13,1)&amp;" ratus "&amp;MID(TEXT(ABS(E118),"000000000000000"),14,1)&amp;" puluh "&amp;MID(TEXT(ABS(E118),"000000000000000"),15,1)),1,"satu"),2,"dua"),3,"tiga"),4,"empat"),5,"lima"),6,"enam"),7,"tujuh"),8,"delapan"),9,"sembilan"),"0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119" s="8"/>
      <c r="G119" s="8"/>
      <c r="H119" s="8"/>
      <c r="I119" s="23"/>
      <c r="J119" s="24"/>
    </row>
    <row r="120" spans="1:10" x14ac:dyDescent="0.25">
      <c r="A120" s="26"/>
      <c r="B120" s="26"/>
      <c r="C120" s="26"/>
      <c r="D120" s="26"/>
      <c r="E120" s="26"/>
      <c r="F120" s="26"/>
      <c r="G120" s="25"/>
      <c r="H120" s="24"/>
      <c r="I120" s="23"/>
      <c r="J120" s="24"/>
    </row>
    <row r="121" spans="1:10" x14ac:dyDescent="0.25">
      <c r="A121" s="25"/>
      <c r="B121" s="25"/>
      <c r="C121" s="25"/>
      <c r="D121" s="25"/>
      <c r="E121" s="25"/>
      <c r="F121" s="25"/>
      <c r="G121" s="25"/>
      <c r="H121"/>
      <c r="I121" s="24"/>
      <c r="J121" s="24"/>
    </row>
    <row r="122" spans="1:10" x14ac:dyDescent="0.25">
      <c r="A122" s="42"/>
      <c r="B122" s="42"/>
      <c r="C122" s="8"/>
      <c r="D122" s="8"/>
      <c r="E122" s="8"/>
      <c r="F122" s="8"/>
      <c r="G122" s="8"/>
      <c r="I122" s="44" t="s">
        <v>58</v>
      </c>
      <c r="J122" s="24"/>
    </row>
    <row r="123" spans="1:10" x14ac:dyDescent="0.25">
      <c r="A123" s="9" t="s">
        <v>26</v>
      </c>
      <c r="B123" s="9"/>
      <c r="C123" s="8"/>
      <c r="D123" s="8"/>
      <c r="E123" s="8"/>
      <c r="F123" s="8"/>
      <c r="G123" s="8"/>
      <c r="I123" s="9" t="s">
        <v>25</v>
      </c>
      <c r="J123" s="24"/>
    </row>
    <row r="124" spans="1:10" x14ac:dyDescent="0.25">
      <c r="A124" s="8"/>
      <c r="B124" s="8"/>
      <c r="C124" s="8"/>
      <c r="D124" s="8"/>
      <c r="E124" s="8"/>
      <c r="F124" s="8"/>
      <c r="G124" s="8"/>
      <c r="I124" s="9"/>
      <c r="J124" s="24"/>
    </row>
    <row r="125" spans="1:10" x14ac:dyDescent="0.25">
      <c r="A125" s="8"/>
      <c r="B125" s="8"/>
      <c r="C125" s="8"/>
      <c r="D125" s="8"/>
      <c r="E125" s="8"/>
      <c r="F125" s="8"/>
      <c r="G125" s="8"/>
      <c r="I125" s="9"/>
      <c r="J125" s="24"/>
    </row>
    <row r="126" spans="1:10" x14ac:dyDescent="0.25">
      <c r="A126" s="8"/>
      <c r="B126" s="8"/>
      <c r="C126" s="8"/>
      <c r="D126" s="8"/>
      <c r="E126" s="8"/>
      <c r="F126" s="8"/>
      <c r="G126" s="8"/>
      <c r="I126" s="9"/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28" t="s">
        <v>34</v>
      </c>
      <c r="B128" s="28"/>
      <c r="C128" s="27"/>
      <c r="D128" s="27"/>
      <c r="E128" s="27"/>
      <c r="F128" s="27"/>
      <c r="G128" s="8" t="s">
        <v>11</v>
      </c>
      <c r="I128" s="28" t="s">
        <v>27</v>
      </c>
      <c r="J128" s="24"/>
    </row>
    <row r="133" spans="1:10" ht="15.75" x14ac:dyDescent="0.25">
      <c r="C133" s="3"/>
      <c r="D133" s="3"/>
      <c r="E133" s="3"/>
      <c r="F133" s="3"/>
    </row>
    <row r="134" spans="1:10" ht="15.75" x14ac:dyDescent="0.25">
      <c r="A134" s="2"/>
      <c r="B134" s="2"/>
      <c r="C134" s="3"/>
      <c r="D134" s="3"/>
      <c r="E134" s="3"/>
      <c r="F134" s="3"/>
      <c r="G134" s="2"/>
      <c r="H134" s="4"/>
      <c r="I134" s="4"/>
      <c r="J134" s="5"/>
    </row>
    <row r="135" spans="1:10" x14ac:dyDescent="0.25">
      <c r="H135" s="5"/>
      <c r="I135" s="5"/>
      <c r="J135" s="5"/>
    </row>
    <row r="136" spans="1:10" x14ac:dyDescent="0.25">
      <c r="H136" s="5"/>
      <c r="I136" s="5"/>
      <c r="J136" s="5"/>
    </row>
    <row r="137" spans="1:10" x14ac:dyDescent="0.25">
      <c r="A137" s="60" t="s">
        <v>29</v>
      </c>
      <c r="B137" s="60"/>
      <c r="C137" s="61"/>
      <c r="D137" s="61"/>
      <c r="E137" s="61"/>
      <c r="F137" s="61"/>
      <c r="G137" s="61"/>
      <c r="H137" s="61"/>
      <c r="I137" s="61"/>
      <c r="J137" s="61"/>
    </row>
    <row r="138" spans="1:10" x14ac:dyDescent="0.25">
      <c r="A138" s="61" t="s">
        <v>60</v>
      </c>
      <c r="B138" s="61"/>
      <c r="C138" s="61"/>
      <c r="D138" s="61"/>
      <c r="E138" s="61"/>
      <c r="F138" s="61"/>
      <c r="G138" s="61"/>
      <c r="H138" s="61"/>
      <c r="I138" s="61"/>
      <c r="J138" s="61"/>
    </row>
    <row r="139" spans="1:10" x14ac:dyDescent="0.25">
      <c r="A139" s="61" t="s">
        <v>13</v>
      </c>
      <c r="B139" s="61"/>
      <c r="C139" s="61"/>
      <c r="D139" s="61"/>
      <c r="E139" s="61"/>
      <c r="F139" s="61"/>
      <c r="G139" s="61"/>
      <c r="H139" s="61"/>
      <c r="I139" s="61"/>
      <c r="J139" s="61"/>
    </row>
    <row r="140" spans="1:10" x14ac:dyDescent="0.25">
      <c r="A140" s="61" t="s">
        <v>35</v>
      </c>
      <c r="B140" s="61"/>
      <c r="C140" s="61"/>
      <c r="D140" s="61"/>
      <c r="E140" s="61"/>
      <c r="F140" s="61"/>
      <c r="G140" s="61"/>
      <c r="H140" s="61"/>
      <c r="I140" s="61"/>
      <c r="J140" s="61"/>
    </row>
    <row r="141" spans="1:10" x14ac:dyDescent="0.25">
      <c r="A141" s="61" t="s">
        <v>24</v>
      </c>
      <c r="B141" s="61"/>
      <c r="C141" s="61"/>
      <c r="D141" s="61"/>
      <c r="E141" s="61"/>
      <c r="F141" s="61"/>
      <c r="G141" s="61"/>
      <c r="H141" s="61"/>
      <c r="I141" s="61"/>
      <c r="J141" s="61"/>
    </row>
    <row r="142" spans="1:10" x14ac:dyDescent="0.25">
      <c r="A142" s="29"/>
      <c r="B142" s="29"/>
      <c r="C142" s="7"/>
      <c r="D142" s="7"/>
      <c r="E142" s="7"/>
      <c r="F142" s="7"/>
      <c r="G142" s="6"/>
      <c r="H142" s="10"/>
      <c r="I142" s="10"/>
      <c r="J142" s="10"/>
    </row>
    <row r="143" spans="1:10" x14ac:dyDescent="0.25">
      <c r="A143" s="51" t="s">
        <v>18</v>
      </c>
      <c r="B143" s="51"/>
      <c r="C143" s="51"/>
      <c r="D143" s="35" t="s">
        <v>12</v>
      </c>
      <c r="E143" s="8" t="s">
        <v>30</v>
      </c>
      <c r="H143" s="9"/>
      <c r="I143" s="9"/>
      <c r="J143" s="10"/>
    </row>
    <row r="144" spans="1:10" x14ac:dyDescent="0.25">
      <c r="A144" s="51" t="s">
        <v>19</v>
      </c>
      <c r="B144" s="51"/>
      <c r="C144" s="51"/>
      <c r="D144" s="35" t="s">
        <v>12</v>
      </c>
      <c r="E144" s="8" t="s">
        <v>31</v>
      </c>
      <c r="H144" s="9"/>
      <c r="I144" s="9"/>
      <c r="J144" s="10"/>
    </row>
    <row r="145" spans="1:10" x14ac:dyDescent="0.25">
      <c r="A145" s="51" t="s">
        <v>20</v>
      </c>
      <c r="B145" s="51"/>
      <c r="C145" s="51"/>
      <c r="D145" s="35" t="s">
        <v>12</v>
      </c>
      <c r="E145" s="42">
        <v>2026</v>
      </c>
      <c r="H145" s="9"/>
      <c r="I145" s="9"/>
      <c r="J145" s="10"/>
    </row>
    <row r="146" spans="1:10" x14ac:dyDescent="0.25">
      <c r="A146" s="51" t="s">
        <v>21</v>
      </c>
      <c r="B146" s="51"/>
      <c r="C146" s="51"/>
      <c r="D146" s="35" t="s">
        <v>12</v>
      </c>
      <c r="E146" s="39">
        <f>I154</f>
        <v>3500000</v>
      </c>
      <c r="H146" s="9"/>
      <c r="I146" s="9"/>
      <c r="J146" s="10"/>
    </row>
    <row r="147" spans="1:10" ht="15.75" x14ac:dyDescent="0.25">
      <c r="A147" s="8"/>
      <c r="B147" s="8"/>
      <c r="C147" s="11" t="s">
        <v>0</v>
      </c>
      <c r="D147" s="35" t="s">
        <v>12</v>
      </c>
      <c r="E147" s="46" t="str">
        <f>PROPER(IF(E146=0,"nol",IF(E146&lt;0,"minus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146),"000000000000000"),1,3)=0,"",MID(TEXT(ABS(E146),"000000000000000"),1,1)&amp;" ratus "&amp;MID(TEXT(ABS(E146),"000000000000000"),2,1)&amp;" puluh "&amp;MID(TEXT(ABS(E146),"000000000000000"),3,1)&amp;" trilyun ")&amp;IF(--MID(TEXT(ABS(E146),"000000000000000"),4,3)=0,"",MID(TEXT(ABS(E146),"000000000000000"),4,1)&amp;" ratus "&amp;MID(TEXT(ABS(E146),"000000000000000"),5,1)&amp;" puluh "&amp;MID(TEXT(ABS(E146),"000000000000000"),6,1)&amp;" milyar ")&amp;IF(--MID(TEXT(ABS(E146),"000000000000000"),7,3)=0,"",MID(TEXT(ABS(E146),"000000000000000"),7,1)&amp;" ratus "&amp;MID(TEXT(ABS(E146),"000000000000000"),8,1)&amp;" puluh "&amp;MID(TEXT(ABS(E146),"000000000000000"),9,1)&amp;" juta ")&amp;IF(--MID(TEXT(ABS(E146),"000000000000000"),10,3)=0,"",IF(--MID(TEXT(ABS(E146),"000000000000000"),10,3)=1,"*",MID(TEXT(ABS(E146),"000000000000000"),10,1)&amp;" ratus "&amp;MID(TEXT(ABS(E146),"000000000000000"),11,1)&amp;" puluh ")&amp;MID(TEXT(ABS(E146),"000000000000000"),12,1)&amp;" ribu ")&amp;IF(--MID(TEXT(ABS(E146),"000000000000000"),13,3)=0,"",MID(TEXT(ABS(E146),"000000000000000"),13,1)&amp;" ratus "&amp;MID(TEXT(ABS(E146),"000000000000000"),14,1)&amp;" puluh "&amp;MID(TEXT(ABS(E146),"000000000000000"),15,1)),1,"satu"),2,"dua"),3,"tiga"),4,"empat"),5,"lima"),6,"enam"),7,"tujuh"),8,"delapan"),9,"sembilan"),"0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H147" s="9"/>
      <c r="I147" s="9"/>
      <c r="J147" s="10"/>
    </row>
    <row r="148" spans="1:10" ht="15.75" x14ac:dyDescent="0.25">
      <c r="A148" s="8"/>
      <c r="B148" s="8"/>
      <c r="C148" s="11"/>
      <c r="D148" s="11"/>
      <c r="E148" s="11"/>
      <c r="F148" s="35"/>
      <c r="G148" s="46"/>
      <c r="H148" s="9"/>
      <c r="I148" s="9"/>
      <c r="J148" s="10"/>
    </row>
    <row r="149" spans="1:10" x14ac:dyDescent="0.25">
      <c r="A149" s="8" t="s">
        <v>1</v>
      </c>
      <c r="B149" s="8"/>
      <c r="C149" s="8"/>
      <c r="D149" s="8"/>
      <c r="E149" s="8"/>
      <c r="F149" s="8"/>
      <c r="G149" s="8"/>
      <c r="H149" s="9"/>
      <c r="I149" s="9"/>
      <c r="J149" s="10"/>
    </row>
    <row r="150" spans="1:10" x14ac:dyDescent="0.25">
      <c r="A150" s="59" t="s">
        <v>2</v>
      </c>
      <c r="B150" s="59"/>
      <c r="C150" s="59"/>
      <c r="D150" s="59"/>
      <c r="E150" s="59"/>
      <c r="F150" s="59"/>
      <c r="G150" s="59"/>
      <c r="H150" s="59"/>
      <c r="I150" s="59"/>
      <c r="J150" s="59"/>
    </row>
    <row r="151" spans="1:10" ht="45" x14ac:dyDescent="0.25">
      <c r="A151" s="12" t="s">
        <v>3</v>
      </c>
      <c r="B151" s="57" t="s">
        <v>22</v>
      </c>
      <c r="C151" s="63" t="s">
        <v>4</v>
      </c>
      <c r="D151" s="64"/>
      <c r="E151" s="65"/>
      <c r="F151" s="45"/>
      <c r="G151" s="36" t="s">
        <v>5</v>
      </c>
      <c r="H151" s="13" t="s">
        <v>17</v>
      </c>
      <c r="I151" s="14" t="s">
        <v>6</v>
      </c>
      <c r="J151" s="15" t="s">
        <v>7</v>
      </c>
    </row>
    <row r="152" spans="1:10" x14ac:dyDescent="0.25">
      <c r="A152" s="58">
        <v>1</v>
      </c>
      <c r="B152" s="43"/>
      <c r="C152" s="54" t="s">
        <v>32</v>
      </c>
      <c r="D152" s="56"/>
      <c r="E152" s="53"/>
      <c r="F152" s="34"/>
      <c r="G152" s="55" t="s">
        <v>28</v>
      </c>
      <c r="H152" s="55" t="s">
        <v>28</v>
      </c>
      <c r="I152" s="55" t="s">
        <v>28</v>
      </c>
      <c r="J152" s="55" t="s">
        <v>28</v>
      </c>
    </row>
    <row r="153" spans="1:10" x14ac:dyDescent="0.25">
      <c r="A153" s="43"/>
      <c r="B153" s="43" t="s">
        <v>23</v>
      </c>
      <c r="C153" s="47" t="s">
        <v>33</v>
      </c>
      <c r="D153" s="48"/>
      <c r="E153" s="49"/>
      <c r="F153" s="34"/>
      <c r="G153" s="50">
        <v>900000000</v>
      </c>
      <c r="H153" s="40">
        <f>H110+I110</f>
        <v>64541000</v>
      </c>
      <c r="I153" s="40">
        <v>3500000</v>
      </c>
      <c r="J153" s="41">
        <f t="shared" ref="J153" si="3">G153-H153-I153</f>
        <v>831959000</v>
      </c>
    </row>
    <row r="154" spans="1:10" x14ac:dyDescent="0.25">
      <c r="A154" s="16"/>
      <c r="B154" s="16"/>
      <c r="C154" s="17" t="s">
        <v>8</v>
      </c>
      <c r="D154" s="17"/>
      <c r="E154" s="17"/>
      <c r="F154" s="38"/>
      <c r="G154" s="37">
        <f>SUM(G152:G153)</f>
        <v>900000000</v>
      </c>
      <c r="H154" s="18">
        <f>SUM(H152:H153)</f>
        <v>64541000</v>
      </c>
      <c r="I154" s="18">
        <f>SUM(I152:I153)</f>
        <v>3500000</v>
      </c>
      <c r="J154" s="18">
        <f>SUM(J152:J153)</f>
        <v>831959000</v>
      </c>
    </row>
    <row r="155" spans="1:10" x14ac:dyDescent="0.25">
      <c r="A155" s="19"/>
      <c r="B155" s="52"/>
      <c r="C155" s="6"/>
      <c r="D155" s="6"/>
      <c r="E155" s="6"/>
      <c r="F155" s="6"/>
      <c r="G155" s="20"/>
      <c r="H155" s="20"/>
      <c r="I155" s="20"/>
      <c r="J155" s="20"/>
    </row>
    <row r="156" spans="1:10" x14ac:dyDescent="0.25">
      <c r="A156" s="62" t="s">
        <v>14</v>
      </c>
      <c r="B156" s="62"/>
      <c r="C156" s="62"/>
      <c r="D156" s="30" t="s">
        <v>12</v>
      </c>
      <c r="E156" s="39">
        <f>I154</f>
        <v>3500000</v>
      </c>
      <c r="F156" s="33"/>
      <c r="G156" s="21"/>
      <c r="H156" s="21"/>
      <c r="I156" s="10"/>
      <c r="J156" s="10"/>
    </row>
    <row r="157" spans="1:10" x14ac:dyDescent="0.25">
      <c r="A157" s="8" t="s">
        <v>9</v>
      </c>
      <c r="B157" s="8"/>
      <c r="C157" s="8"/>
      <c r="D157" s="30" t="s">
        <v>12</v>
      </c>
      <c r="E157" s="31"/>
      <c r="F157" s="31"/>
      <c r="G157" s="22"/>
      <c r="H157" s="9"/>
      <c r="I157" s="10"/>
      <c r="J157" s="10"/>
    </row>
    <row r="158" spans="1:10" x14ac:dyDescent="0.25">
      <c r="A158" s="8" t="s">
        <v>16</v>
      </c>
      <c r="B158" s="8"/>
      <c r="C158" s="8"/>
      <c r="D158" s="30" t="s">
        <v>12</v>
      </c>
      <c r="E158" s="32"/>
      <c r="F158" s="32"/>
      <c r="G158" s="22"/>
      <c r="H158" s="9"/>
      <c r="I158" s="10"/>
      <c r="J158" s="10"/>
    </row>
    <row r="159" spans="1:10" x14ac:dyDescent="0.25">
      <c r="A159" s="8" t="s">
        <v>10</v>
      </c>
      <c r="B159" s="8"/>
      <c r="C159" s="8"/>
      <c r="D159" s="30" t="s">
        <v>12</v>
      </c>
      <c r="E159" s="32">
        <f>E157+E158</f>
        <v>0</v>
      </c>
      <c r="F159" s="32"/>
      <c r="G159" s="8"/>
      <c r="H159" s="9"/>
      <c r="I159" s="23"/>
      <c r="J159" s="24"/>
    </row>
    <row r="160" spans="1:10" x14ac:dyDescent="0.25">
      <c r="A160" s="42"/>
      <c r="B160" s="42"/>
      <c r="C160" s="42"/>
      <c r="D160" s="30"/>
      <c r="E160" s="42"/>
      <c r="F160" s="42"/>
      <c r="G160" s="8"/>
      <c r="H160" s="9"/>
      <c r="I160" s="23"/>
      <c r="J160" s="24"/>
    </row>
    <row r="161" spans="1:10" x14ac:dyDescent="0.25">
      <c r="A161" s="62" t="s">
        <v>15</v>
      </c>
      <c r="B161" s="62"/>
      <c r="C161" s="62"/>
      <c r="D161" s="30" t="s">
        <v>12</v>
      </c>
      <c r="E161" s="33">
        <f>E156-E159</f>
        <v>3500000</v>
      </c>
      <c r="F161" s="33"/>
      <c r="G161" s="8"/>
      <c r="H161" s="9"/>
      <c r="I161" s="23"/>
      <c r="J161" s="24"/>
    </row>
    <row r="162" spans="1:10" ht="15.75" x14ac:dyDescent="0.25">
      <c r="A162" s="42"/>
      <c r="B162" s="42"/>
      <c r="C162" s="8"/>
      <c r="D162" s="8"/>
      <c r="E162" s="46" t="str">
        <f>PROPER(IF(E161=0,"nol",IF(E161&lt;0,"minus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161),"000000000000000"),1,3)=0,"",MID(TEXT(ABS(E161),"000000000000000"),1,1)&amp;" ratus "&amp;MID(TEXT(ABS(E161),"000000000000000"),2,1)&amp;" puluh "&amp;MID(TEXT(ABS(E161),"000000000000000"),3,1)&amp;" trilyun ")&amp;IF(--MID(TEXT(ABS(E161),"000000000000000"),4,3)=0,"",MID(TEXT(ABS(E161),"000000000000000"),4,1)&amp;" ratus "&amp;MID(TEXT(ABS(E161),"000000000000000"),5,1)&amp;" puluh "&amp;MID(TEXT(ABS(E161),"000000000000000"),6,1)&amp;" milyar ")&amp;IF(--MID(TEXT(ABS(E161),"000000000000000"),7,3)=0,"",MID(TEXT(ABS(E161),"000000000000000"),7,1)&amp;" ratus "&amp;MID(TEXT(ABS(E161),"000000000000000"),8,1)&amp;" puluh "&amp;MID(TEXT(ABS(E161),"000000000000000"),9,1)&amp;" juta ")&amp;IF(--MID(TEXT(ABS(E161),"000000000000000"),10,3)=0,"",IF(--MID(TEXT(ABS(E161),"000000000000000"),10,3)=1,"*",MID(TEXT(ABS(E161),"000000000000000"),10,1)&amp;" ratus "&amp;MID(TEXT(ABS(E161),"000000000000000"),11,1)&amp;" puluh ")&amp;MID(TEXT(ABS(E161),"000000000000000"),12,1)&amp;" ribu ")&amp;IF(--MID(TEXT(ABS(E161),"000000000000000"),13,3)=0,"",MID(TEXT(ABS(E161),"000000000000000"),13,1)&amp;" ratus "&amp;MID(TEXT(ABS(E161),"000000000000000"),14,1)&amp;" puluh "&amp;MID(TEXT(ABS(E161),"000000000000000"),15,1)),1,"satu"),2,"dua"),3,"tiga"),4,"empat"),5,"lima"),6,"enam"),7,"tujuh"),8,"delapan"),9,"sembilan"),"0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F162" s="8"/>
      <c r="G162" s="8"/>
      <c r="H162" s="8"/>
      <c r="I162" s="23"/>
      <c r="J162" s="24"/>
    </row>
    <row r="163" spans="1:10" x14ac:dyDescent="0.25">
      <c r="A163" s="26"/>
      <c r="B163" s="26"/>
      <c r="C163" s="26"/>
      <c r="D163" s="26"/>
      <c r="E163" s="26"/>
      <c r="F163" s="26"/>
      <c r="G163" s="25"/>
      <c r="H163" s="24"/>
      <c r="I163" s="23"/>
      <c r="J163" s="24"/>
    </row>
    <row r="164" spans="1:10" x14ac:dyDescent="0.25">
      <c r="A164" s="25"/>
      <c r="B164" s="25"/>
      <c r="C164" s="25"/>
      <c r="D164" s="25"/>
      <c r="E164" s="25"/>
      <c r="F164" s="25"/>
      <c r="G164" s="25"/>
      <c r="H164"/>
      <c r="I164" s="24"/>
      <c r="J164" s="24"/>
    </row>
    <row r="165" spans="1:10" x14ac:dyDescent="0.25">
      <c r="A165" s="42"/>
      <c r="B165" s="42"/>
      <c r="C165" s="8"/>
      <c r="D165" s="8"/>
      <c r="E165" s="8"/>
      <c r="F165" s="8"/>
      <c r="G165" s="8"/>
      <c r="I165" s="44" t="s">
        <v>58</v>
      </c>
      <c r="J165" s="24"/>
    </row>
    <row r="166" spans="1:10" x14ac:dyDescent="0.25">
      <c r="A166" s="9" t="s">
        <v>26</v>
      </c>
      <c r="B166" s="9"/>
      <c r="C166" s="8"/>
      <c r="D166" s="8"/>
      <c r="E166" s="8"/>
      <c r="F166" s="8"/>
      <c r="G166" s="8"/>
      <c r="I166" s="9" t="s">
        <v>25</v>
      </c>
      <c r="J166" s="24"/>
    </row>
    <row r="167" spans="1:10" x14ac:dyDescent="0.25">
      <c r="A167" s="8"/>
      <c r="B167" s="8"/>
      <c r="C167" s="8"/>
      <c r="D167" s="8"/>
      <c r="E167" s="8"/>
      <c r="F167" s="8"/>
      <c r="G167" s="8"/>
      <c r="I167" s="9"/>
      <c r="J167" s="24"/>
    </row>
    <row r="168" spans="1:10" x14ac:dyDescent="0.25">
      <c r="A168" s="8"/>
      <c r="B168" s="8"/>
      <c r="C168" s="8"/>
      <c r="D168" s="8"/>
      <c r="E168" s="8"/>
      <c r="F168" s="8"/>
      <c r="G168" s="8"/>
      <c r="I168" s="9"/>
      <c r="J168" s="24"/>
    </row>
    <row r="169" spans="1:10" x14ac:dyDescent="0.25">
      <c r="A169" s="8"/>
      <c r="B169" s="8"/>
      <c r="C169" s="8"/>
      <c r="D169" s="8"/>
      <c r="E169" s="8"/>
      <c r="F169" s="8"/>
      <c r="G169" s="8"/>
      <c r="I169" s="9"/>
      <c r="J169" s="24"/>
    </row>
    <row r="170" spans="1:10" x14ac:dyDescent="0.25">
      <c r="A170" s="8"/>
      <c r="B170" s="8"/>
      <c r="C170" s="8"/>
      <c r="D170" s="8"/>
      <c r="E170" s="8"/>
      <c r="F170" s="8"/>
      <c r="G170" s="8"/>
      <c r="I170" s="9"/>
      <c r="J170" s="24"/>
    </row>
    <row r="171" spans="1:10" x14ac:dyDescent="0.25">
      <c r="A171" s="28" t="s">
        <v>34</v>
      </c>
      <c r="B171" s="28"/>
      <c r="C171" s="27"/>
      <c r="D171" s="27"/>
      <c r="E171" s="27"/>
      <c r="F171" s="27"/>
      <c r="G171" s="8" t="s">
        <v>11</v>
      </c>
      <c r="I171" s="28" t="s">
        <v>27</v>
      </c>
      <c r="J171" s="24"/>
    </row>
    <row r="176" spans="1:10" ht="15.75" x14ac:dyDescent="0.25">
      <c r="C176" s="3"/>
      <c r="D176" s="3"/>
      <c r="E176" s="3"/>
      <c r="F176" s="3"/>
    </row>
    <row r="177" spans="1:10" ht="15.75" x14ac:dyDescent="0.25">
      <c r="A177" s="2"/>
      <c r="B177" s="2"/>
      <c r="C177" s="3"/>
      <c r="D177" s="3"/>
      <c r="E177" s="3"/>
      <c r="F177" s="3"/>
      <c r="G177" s="2"/>
      <c r="H177" s="4"/>
      <c r="I177" s="4"/>
      <c r="J177" s="5"/>
    </row>
    <row r="178" spans="1:10" x14ac:dyDescent="0.25">
      <c r="H178" s="5"/>
      <c r="I178" s="5"/>
      <c r="J178" s="5"/>
    </row>
    <row r="179" spans="1:10" x14ac:dyDescent="0.25">
      <c r="H179" s="5"/>
      <c r="I179" s="5"/>
      <c r="J179" s="5"/>
    </row>
    <row r="180" spans="1:10" x14ac:dyDescent="0.25">
      <c r="A180" s="60" t="s">
        <v>29</v>
      </c>
      <c r="B180" s="60"/>
      <c r="C180" s="61"/>
      <c r="D180" s="61"/>
      <c r="E180" s="61"/>
      <c r="F180" s="61"/>
      <c r="G180" s="61"/>
      <c r="H180" s="61"/>
      <c r="I180" s="61"/>
      <c r="J180" s="61"/>
    </row>
    <row r="181" spans="1:10" x14ac:dyDescent="0.25">
      <c r="A181" s="61" t="s">
        <v>61</v>
      </c>
      <c r="B181" s="61"/>
      <c r="C181" s="61"/>
      <c r="D181" s="61"/>
      <c r="E181" s="61"/>
      <c r="F181" s="61"/>
      <c r="G181" s="61"/>
      <c r="H181" s="61"/>
      <c r="I181" s="61"/>
      <c r="J181" s="61"/>
    </row>
    <row r="182" spans="1:10" x14ac:dyDescent="0.25">
      <c r="A182" s="61" t="s">
        <v>13</v>
      </c>
      <c r="B182" s="61"/>
      <c r="C182" s="61"/>
      <c r="D182" s="61"/>
      <c r="E182" s="61"/>
      <c r="F182" s="61"/>
      <c r="G182" s="61"/>
      <c r="H182" s="61"/>
      <c r="I182" s="61"/>
      <c r="J182" s="61"/>
    </row>
    <row r="183" spans="1:10" x14ac:dyDescent="0.25">
      <c r="A183" s="61" t="s">
        <v>35</v>
      </c>
      <c r="B183" s="61"/>
      <c r="C183" s="61"/>
      <c r="D183" s="61"/>
      <c r="E183" s="61"/>
      <c r="F183" s="61"/>
      <c r="G183" s="61"/>
      <c r="H183" s="61"/>
      <c r="I183" s="61"/>
      <c r="J183" s="61"/>
    </row>
    <row r="184" spans="1:10" x14ac:dyDescent="0.25">
      <c r="A184" s="61" t="s">
        <v>24</v>
      </c>
      <c r="B184" s="61"/>
      <c r="C184" s="61"/>
      <c r="D184" s="61"/>
      <c r="E184" s="61"/>
      <c r="F184" s="61"/>
      <c r="G184" s="61"/>
      <c r="H184" s="61"/>
      <c r="I184" s="61"/>
      <c r="J184" s="61"/>
    </row>
    <row r="185" spans="1:10" x14ac:dyDescent="0.25">
      <c r="A185" s="29"/>
      <c r="B185" s="29"/>
      <c r="C185" s="7"/>
      <c r="D185" s="7"/>
      <c r="E185" s="7"/>
      <c r="F185" s="7"/>
      <c r="G185" s="6"/>
      <c r="H185" s="10"/>
      <c r="I185" s="10"/>
      <c r="J185" s="10"/>
    </row>
    <row r="186" spans="1:10" x14ac:dyDescent="0.25">
      <c r="A186" s="51" t="s">
        <v>18</v>
      </c>
      <c r="B186" s="51"/>
      <c r="C186" s="51"/>
      <c r="D186" s="35" t="s">
        <v>12</v>
      </c>
      <c r="E186" s="8" t="s">
        <v>30</v>
      </c>
      <c r="H186" s="9"/>
      <c r="I186" s="9"/>
      <c r="J186" s="10"/>
    </row>
    <row r="187" spans="1:10" x14ac:dyDescent="0.25">
      <c r="A187" s="51" t="s">
        <v>19</v>
      </c>
      <c r="B187" s="51"/>
      <c r="C187" s="51"/>
      <c r="D187" s="35" t="s">
        <v>12</v>
      </c>
      <c r="E187" s="8" t="s">
        <v>31</v>
      </c>
      <c r="H187" s="9"/>
      <c r="I187" s="9"/>
      <c r="J187" s="10"/>
    </row>
    <row r="188" spans="1:10" x14ac:dyDescent="0.25">
      <c r="A188" s="51" t="s">
        <v>20</v>
      </c>
      <c r="B188" s="51"/>
      <c r="C188" s="51"/>
      <c r="D188" s="35" t="s">
        <v>12</v>
      </c>
      <c r="E188" s="42">
        <v>2026</v>
      </c>
      <c r="H188" s="9"/>
      <c r="I188" s="9"/>
      <c r="J188" s="10"/>
    </row>
    <row r="189" spans="1:10" x14ac:dyDescent="0.25">
      <c r="A189" s="51" t="s">
        <v>21</v>
      </c>
      <c r="B189" s="51"/>
      <c r="C189" s="51"/>
      <c r="D189" s="35" t="s">
        <v>12</v>
      </c>
      <c r="E189" s="39">
        <f>I197</f>
        <v>80000</v>
      </c>
      <c r="H189" s="9"/>
      <c r="I189" s="9"/>
      <c r="J189" s="10"/>
    </row>
    <row r="190" spans="1:10" ht="15.75" x14ac:dyDescent="0.25">
      <c r="A190" s="8"/>
      <c r="B190" s="8"/>
      <c r="C190" s="11" t="s">
        <v>0</v>
      </c>
      <c r="D190" s="35" t="s">
        <v>12</v>
      </c>
      <c r="E190" s="46" t="str">
        <f>PROPER(IF(E189=0,"nol",IF(E189&lt;0,"minus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189),"000000000000000"),1,3)=0,"",MID(TEXT(ABS(E189),"000000000000000"),1,1)&amp;" ratus "&amp;MID(TEXT(ABS(E189),"000000000000000"),2,1)&amp;" puluh "&amp;MID(TEXT(ABS(E189),"000000000000000"),3,1)&amp;" trilyun ")&amp;IF(--MID(TEXT(ABS(E189),"000000000000000"),4,3)=0,"",MID(TEXT(ABS(E189),"000000000000000"),4,1)&amp;" ratus "&amp;MID(TEXT(ABS(E189),"000000000000000"),5,1)&amp;" puluh "&amp;MID(TEXT(ABS(E189),"000000000000000"),6,1)&amp;" milyar ")&amp;IF(--MID(TEXT(ABS(E189),"000000000000000"),7,3)=0,"",MID(TEXT(ABS(E189),"000000000000000"),7,1)&amp;" ratus "&amp;MID(TEXT(ABS(E189),"000000000000000"),8,1)&amp;" puluh "&amp;MID(TEXT(ABS(E189),"000000000000000"),9,1)&amp;" juta ")&amp;IF(--MID(TEXT(ABS(E189),"000000000000000"),10,3)=0,"",IF(--MID(TEXT(ABS(E189),"000000000000000"),10,3)=1,"*",MID(TEXT(ABS(E189),"000000000000000"),10,1)&amp;" ratus "&amp;MID(TEXT(ABS(E189),"000000000000000"),11,1)&amp;" puluh ")&amp;MID(TEXT(ABS(E189),"000000000000000"),12,1)&amp;" ribu ")&amp;IF(--MID(TEXT(ABS(E189),"000000000000000"),13,3)=0,"",MID(TEXT(ABS(E189),"000000000000000"),13,1)&amp;" ratus "&amp;MID(TEXT(ABS(E189),"000000000000000"),14,1)&amp;" puluh "&amp;MID(TEXT(ABS(E189),"000000000000000"),15,1)),1,"satu"),2,"dua"),3,"tiga"),4,"empat"),5,"lima"),6,"enam"),7,"tujuh"),8,"delapan"),9,"sembilan"),"0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Ribu Rupiah</v>
      </c>
      <c r="H190" s="9"/>
      <c r="I190" s="9"/>
      <c r="J190" s="10"/>
    </row>
    <row r="191" spans="1:10" ht="15.75" x14ac:dyDescent="0.25">
      <c r="A191" s="8"/>
      <c r="B191" s="8"/>
      <c r="C191" s="11"/>
      <c r="D191" s="11"/>
      <c r="E191" s="11"/>
      <c r="F191" s="35"/>
      <c r="G191" s="46"/>
      <c r="H191" s="9"/>
      <c r="I191" s="9"/>
      <c r="J191" s="10"/>
    </row>
    <row r="192" spans="1:10" x14ac:dyDescent="0.25">
      <c r="A192" s="8" t="s">
        <v>1</v>
      </c>
      <c r="B192" s="8"/>
      <c r="C192" s="8"/>
      <c r="D192" s="8"/>
      <c r="E192" s="8"/>
      <c r="F192" s="8"/>
      <c r="G192" s="8"/>
      <c r="H192" s="9"/>
      <c r="I192" s="9"/>
      <c r="J192" s="10"/>
    </row>
    <row r="193" spans="1:10" x14ac:dyDescent="0.25">
      <c r="A193" s="59" t="s">
        <v>2</v>
      </c>
      <c r="B193" s="59"/>
      <c r="C193" s="59"/>
      <c r="D193" s="59"/>
      <c r="E193" s="59"/>
      <c r="F193" s="59"/>
      <c r="G193" s="59"/>
      <c r="H193" s="59"/>
      <c r="I193" s="59"/>
      <c r="J193" s="59"/>
    </row>
    <row r="194" spans="1:10" ht="45" x14ac:dyDescent="0.25">
      <c r="A194" s="12" t="s">
        <v>3</v>
      </c>
      <c r="B194" s="57" t="s">
        <v>22</v>
      </c>
      <c r="C194" s="63" t="s">
        <v>4</v>
      </c>
      <c r="D194" s="64"/>
      <c r="E194" s="65"/>
      <c r="F194" s="45"/>
      <c r="G194" s="36" t="s">
        <v>5</v>
      </c>
      <c r="H194" s="13" t="s">
        <v>17</v>
      </c>
      <c r="I194" s="14" t="s">
        <v>6</v>
      </c>
      <c r="J194" s="15" t="s">
        <v>7</v>
      </c>
    </row>
    <row r="195" spans="1:10" x14ac:dyDescent="0.25">
      <c r="A195" s="58">
        <v>1</v>
      </c>
      <c r="B195" s="43"/>
      <c r="C195" s="54" t="s">
        <v>32</v>
      </c>
      <c r="D195" s="56"/>
      <c r="E195" s="53"/>
      <c r="F195" s="34"/>
      <c r="G195" s="55" t="s">
        <v>28</v>
      </c>
      <c r="H195" s="55" t="s">
        <v>28</v>
      </c>
      <c r="I195" s="55" t="s">
        <v>28</v>
      </c>
      <c r="J195" s="55" t="s">
        <v>28</v>
      </c>
    </row>
    <row r="196" spans="1:10" x14ac:dyDescent="0.25">
      <c r="A196" s="43"/>
      <c r="B196" s="43" t="s">
        <v>23</v>
      </c>
      <c r="C196" s="47" t="s">
        <v>33</v>
      </c>
      <c r="D196" s="48"/>
      <c r="E196" s="49"/>
      <c r="F196" s="34"/>
      <c r="G196" s="50">
        <v>900000000</v>
      </c>
      <c r="H196" s="40">
        <f>H153+I153</f>
        <v>68041000</v>
      </c>
      <c r="I196" s="40">
        <v>80000</v>
      </c>
      <c r="J196" s="41">
        <f t="shared" ref="J196" si="4">G196-H196-I196</f>
        <v>831879000</v>
      </c>
    </row>
    <row r="197" spans="1:10" x14ac:dyDescent="0.25">
      <c r="A197" s="16"/>
      <c r="B197" s="16"/>
      <c r="C197" s="17" t="s">
        <v>8</v>
      </c>
      <c r="D197" s="17"/>
      <c r="E197" s="17"/>
      <c r="F197" s="38"/>
      <c r="G197" s="37">
        <f>SUM(G195:G196)</f>
        <v>900000000</v>
      </c>
      <c r="H197" s="18">
        <f>SUM(H195:H196)</f>
        <v>68041000</v>
      </c>
      <c r="I197" s="18">
        <f>SUM(I195:I196)</f>
        <v>80000</v>
      </c>
      <c r="J197" s="18">
        <f>SUM(J195:J196)</f>
        <v>831879000</v>
      </c>
    </row>
    <row r="198" spans="1:10" x14ac:dyDescent="0.25">
      <c r="A198" s="19"/>
      <c r="B198" s="52"/>
      <c r="C198" s="6"/>
      <c r="D198" s="6"/>
      <c r="E198" s="6"/>
      <c r="F198" s="6"/>
      <c r="G198" s="20"/>
      <c r="H198" s="20"/>
      <c r="I198" s="20"/>
      <c r="J198" s="20"/>
    </row>
    <row r="199" spans="1:10" x14ac:dyDescent="0.25">
      <c r="A199" s="62" t="s">
        <v>14</v>
      </c>
      <c r="B199" s="62"/>
      <c r="C199" s="62"/>
      <c r="D199" s="30" t="s">
        <v>12</v>
      </c>
      <c r="E199" s="39">
        <f>I197</f>
        <v>80000</v>
      </c>
      <c r="F199" s="33"/>
      <c r="G199" s="21"/>
      <c r="H199" s="21"/>
      <c r="I199" s="10"/>
      <c r="J199" s="10"/>
    </row>
    <row r="200" spans="1:10" x14ac:dyDescent="0.25">
      <c r="A200" s="8" t="s">
        <v>9</v>
      </c>
      <c r="B200" s="8"/>
      <c r="C200" s="8"/>
      <c r="D200" s="30" t="s">
        <v>12</v>
      </c>
      <c r="E200" s="31"/>
      <c r="F200" s="31"/>
      <c r="G200" s="22"/>
      <c r="H200" s="9"/>
      <c r="I200" s="10"/>
      <c r="J200" s="10"/>
    </row>
    <row r="201" spans="1:10" x14ac:dyDescent="0.25">
      <c r="A201" s="8" t="s">
        <v>16</v>
      </c>
      <c r="B201" s="8"/>
      <c r="C201" s="8"/>
      <c r="D201" s="30" t="s">
        <v>12</v>
      </c>
      <c r="E201" s="32"/>
      <c r="F201" s="32"/>
      <c r="G201" s="22"/>
      <c r="H201" s="9"/>
      <c r="I201" s="10"/>
      <c r="J201" s="10"/>
    </row>
    <row r="202" spans="1:10" x14ac:dyDescent="0.25">
      <c r="A202" s="8" t="s">
        <v>10</v>
      </c>
      <c r="B202" s="8"/>
      <c r="C202" s="8"/>
      <c r="D202" s="30" t="s">
        <v>12</v>
      </c>
      <c r="E202" s="32">
        <f>E200+E201</f>
        <v>0</v>
      </c>
      <c r="F202" s="32"/>
      <c r="G202" s="8"/>
      <c r="H202" s="9"/>
      <c r="I202" s="23"/>
      <c r="J202" s="24"/>
    </row>
    <row r="203" spans="1:10" x14ac:dyDescent="0.25">
      <c r="A203" s="42"/>
      <c r="B203" s="42"/>
      <c r="C203" s="42"/>
      <c r="D203" s="30"/>
      <c r="E203" s="42"/>
      <c r="F203" s="42"/>
      <c r="G203" s="8"/>
      <c r="H203" s="9"/>
      <c r="I203" s="23"/>
      <c r="J203" s="24"/>
    </row>
    <row r="204" spans="1:10" x14ac:dyDescent="0.25">
      <c r="A204" s="62" t="s">
        <v>15</v>
      </c>
      <c r="B204" s="62"/>
      <c r="C204" s="62"/>
      <c r="D204" s="30" t="s">
        <v>12</v>
      </c>
      <c r="E204" s="33">
        <f>E199-E202</f>
        <v>80000</v>
      </c>
      <c r="F204" s="33"/>
      <c r="G204" s="8"/>
      <c r="H204" s="9"/>
      <c r="I204" s="23"/>
      <c r="J204" s="24"/>
    </row>
    <row r="205" spans="1:10" ht="15.75" x14ac:dyDescent="0.25">
      <c r="A205" s="42"/>
      <c r="B205" s="42"/>
      <c r="C205" s="8"/>
      <c r="D205" s="8"/>
      <c r="E205" s="46" t="str">
        <f>PROPER(IF(E204=0,"nol",IF(E204&lt;0,"minus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204),"000000000000000"),1,3)=0,"",MID(TEXT(ABS(E204),"000000000000000"),1,1)&amp;" ratus "&amp;MID(TEXT(ABS(E204),"000000000000000"),2,1)&amp;" puluh "&amp;MID(TEXT(ABS(E204),"000000000000000"),3,1)&amp;" trilyun ")&amp;IF(--MID(TEXT(ABS(E204),"000000000000000"),4,3)=0,"",MID(TEXT(ABS(E204),"000000000000000"),4,1)&amp;" ratus "&amp;MID(TEXT(ABS(E204),"000000000000000"),5,1)&amp;" puluh "&amp;MID(TEXT(ABS(E204),"000000000000000"),6,1)&amp;" milyar ")&amp;IF(--MID(TEXT(ABS(E204),"000000000000000"),7,3)=0,"",MID(TEXT(ABS(E204),"000000000000000"),7,1)&amp;" ratus "&amp;MID(TEXT(ABS(E204),"000000000000000"),8,1)&amp;" puluh "&amp;MID(TEXT(ABS(E204),"000000000000000"),9,1)&amp;" juta ")&amp;IF(--MID(TEXT(ABS(E204),"000000000000000"),10,3)=0,"",IF(--MID(TEXT(ABS(E204),"000000000000000"),10,3)=1,"*",MID(TEXT(ABS(E204),"000000000000000"),10,1)&amp;" ratus "&amp;MID(TEXT(ABS(E204),"000000000000000"),11,1)&amp;" puluh ")&amp;MID(TEXT(ABS(E204),"000000000000000"),12,1)&amp;" ribu ")&amp;IF(--MID(TEXT(ABS(E204),"000000000000000"),13,3)=0,"",MID(TEXT(ABS(E204),"000000000000000"),13,1)&amp;" ratus "&amp;MID(TEXT(ABS(E204),"000000000000000"),14,1)&amp;" puluh "&amp;MID(TEXT(ABS(E204),"000000000000000"),15,1)),1,"satu"),2,"dua"),3,"tiga"),4,"empat"),5,"lima"),6,"enam"),7,"tujuh"),8,"delapan"),9,"sembilan"),"0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Ribu Rupiah</v>
      </c>
      <c r="F205" s="8"/>
      <c r="G205" s="8"/>
      <c r="H205" s="8"/>
      <c r="I205" s="23"/>
      <c r="J205" s="24"/>
    </row>
    <row r="206" spans="1:10" x14ac:dyDescent="0.25">
      <c r="A206" s="26"/>
      <c r="B206" s="26"/>
      <c r="C206" s="26"/>
      <c r="D206" s="26"/>
      <c r="E206" s="26"/>
      <c r="F206" s="26"/>
      <c r="G206" s="25"/>
      <c r="H206" s="24"/>
      <c r="I206" s="23"/>
      <c r="J206" s="24"/>
    </row>
    <row r="207" spans="1:10" x14ac:dyDescent="0.25">
      <c r="A207" s="25"/>
      <c r="B207" s="25"/>
      <c r="C207" s="25"/>
      <c r="D207" s="25"/>
      <c r="E207" s="25"/>
      <c r="F207" s="25"/>
      <c r="G207" s="25"/>
      <c r="H207"/>
      <c r="I207" s="24"/>
      <c r="J207" s="24"/>
    </row>
    <row r="208" spans="1:10" x14ac:dyDescent="0.25">
      <c r="A208" s="42"/>
      <c r="B208" s="42"/>
      <c r="C208" s="8"/>
      <c r="D208" s="8"/>
      <c r="E208" s="8"/>
      <c r="F208" s="8"/>
      <c r="G208" s="8"/>
      <c r="I208" s="44" t="s">
        <v>62</v>
      </c>
      <c r="J208" s="24"/>
    </row>
    <row r="209" spans="1:10" x14ac:dyDescent="0.25">
      <c r="A209" s="9" t="s">
        <v>26</v>
      </c>
      <c r="B209" s="9"/>
      <c r="C209" s="8"/>
      <c r="D209" s="8"/>
      <c r="E209" s="8"/>
      <c r="F209" s="8"/>
      <c r="G209" s="8"/>
      <c r="I209" s="9" t="s">
        <v>25</v>
      </c>
      <c r="J209" s="24"/>
    </row>
    <row r="210" spans="1:10" x14ac:dyDescent="0.25">
      <c r="A210" s="8"/>
      <c r="B210" s="8"/>
      <c r="C210" s="8"/>
      <c r="D210" s="8"/>
      <c r="E210" s="8"/>
      <c r="F210" s="8"/>
      <c r="G210" s="8"/>
      <c r="I210" s="9"/>
      <c r="J210" s="24"/>
    </row>
    <row r="211" spans="1:10" x14ac:dyDescent="0.25">
      <c r="A211" s="8"/>
      <c r="B211" s="8"/>
      <c r="C211" s="8"/>
      <c r="D211" s="8"/>
      <c r="E211" s="8"/>
      <c r="F211" s="8"/>
      <c r="G211" s="8"/>
      <c r="I211" s="9"/>
      <c r="J211" s="24"/>
    </row>
    <row r="212" spans="1:10" x14ac:dyDescent="0.25">
      <c r="A212" s="8"/>
      <c r="B212" s="8"/>
      <c r="C212" s="8"/>
      <c r="D212" s="8"/>
      <c r="E212" s="8"/>
      <c r="F212" s="8"/>
      <c r="G212" s="8"/>
      <c r="I212" s="9"/>
      <c r="J212" s="24"/>
    </row>
    <row r="213" spans="1:10" x14ac:dyDescent="0.25">
      <c r="A213" s="8"/>
      <c r="B213" s="8"/>
      <c r="C213" s="8"/>
      <c r="D213" s="8"/>
      <c r="E213" s="8"/>
      <c r="F213" s="8"/>
      <c r="G213" s="8"/>
      <c r="I213" s="9"/>
      <c r="J213" s="24"/>
    </row>
    <row r="214" spans="1:10" x14ac:dyDescent="0.25">
      <c r="A214" s="28" t="s">
        <v>34</v>
      </c>
      <c r="B214" s="28"/>
      <c r="C214" s="27"/>
      <c r="D214" s="27"/>
      <c r="E214" s="27"/>
      <c r="F214" s="27"/>
      <c r="G214" s="8" t="s">
        <v>11</v>
      </c>
      <c r="I214" s="28" t="s">
        <v>27</v>
      </c>
      <c r="J214" s="24"/>
    </row>
    <row r="219" spans="1:10" ht="15.75" x14ac:dyDescent="0.25">
      <c r="C219" s="3"/>
      <c r="D219" s="3"/>
      <c r="E219" s="3"/>
      <c r="F219" s="3"/>
    </row>
    <row r="220" spans="1:10" ht="15.75" x14ac:dyDescent="0.25">
      <c r="A220" s="2"/>
      <c r="B220" s="2"/>
      <c r="C220" s="3"/>
      <c r="D220" s="3"/>
      <c r="E220" s="3"/>
      <c r="F220" s="3"/>
      <c r="G220" s="2"/>
      <c r="H220" s="4"/>
      <c r="I220" s="4"/>
      <c r="J220" s="5"/>
    </row>
    <row r="221" spans="1:10" x14ac:dyDescent="0.25">
      <c r="H221" s="5"/>
      <c r="I221" s="5"/>
      <c r="J221" s="5"/>
    </row>
    <row r="222" spans="1:10" x14ac:dyDescent="0.25">
      <c r="H222" s="5"/>
      <c r="I222" s="5"/>
      <c r="J222" s="5"/>
    </row>
    <row r="223" spans="1:10" x14ac:dyDescent="0.25">
      <c r="A223" s="60" t="s">
        <v>29</v>
      </c>
      <c r="B223" s="60"/>
      <c r="C223" s="61"/>
      <c r="D223" s="61"/>
      <c r="E223" s="61"/>
      <c r="F223" s="61"/>
      <c r="G223" s="61"/>
      <c r="H223" s="61"/>
      <c r="I223" s="61"/>
      <c r="J223" s="61"/>
    </row>
    <row r="224" spans="1:10" x14ac:dyDescent="0.25">
      <c r="A224" s="61" t="s">
        <v>63</v>
      </c>
      <c r="B224" s="61"/>
      <c r="C224" s="61"/>
      <c r="D224" s="61"/>
      <c r="E224" s="61"/>
      <c r="F224" s="61"/>
      <c r="G224" s="61"/>
      <c r="H224" s="61"/>
      <c r="I224" s="61"/>
      <c r="J224" s="61"/>
    </row>
    <row r="225" spans="1:10" x14ac:dyDescent="0.25">
      <c r="A225" s="61" t="s">
        <v>13</v>
      </c>
      <c r="B225" s="61"/>
      <c r="C225" s="61"/>
      <c r="D225" s="61"/>
      <c r="E225" s="61"/>
      <c r="F225" s="61"/>
      <c r="G225" s="61"/>
      <c r="H225" s="61"/>
      <c r="I225" s="61"/>
      <c r="J225" s="61"/>
    </row>
    <row r="226" spans="1:10" x14ac:dyDescent="0.25">
      <c r="A226" s="61" t="s">
        <v>35</v>
      </c>
      <c r="B226" s="61"/>
      <c r="C226" s="61"/>
      <c r="D226" s="61"/>
      <c r="E226" s="61"/>
      <c r="F226" s="61"/>
      <c r="G226" s="61"/>
      <c r="H226" s="61"/>
      <c r="I226" s="61"/>
      <c r="J226" s="61"/>
    </row>
    <row r="227" spans="1:10" x14ac:dyDescent="0.25">
      <c r="A227" s="61" t="s">
        <v>24</v>
      </c>
      <c r="B227" s="61"/>
      <c r="C227" s="61"/>
      <c r="D227" s="61"/>
      <c r="E227" s="61"/>
      <c r="F227" s="61"/>
      <c r="G227" s="61"/>
      <c r="H227" s="61"/>
      <c r="I227" s="61"/>
      <c r="J227" s="61"/>
    </row>
    <row r="228" spans="1:10" x14ac:dyDescent="0.25">
      <c r="A228" s="29"/>
      <c r="B228" s="29"/>
      <c r="C228" s="7"/>
      <c r="D228" s="7"/>
      <c r="E228" s="7"/>
      <c r="F228" s="7"/>
      <c r="G228" s="6"/>
      <c r="H228" s="10"/>
      <c r="I228" s="10"/>
      <c r="J228" s="10"/>
    </row>
    <row r="229" spans="1:10" x14ac:dyDescent="0.25">
      <c r="A229" s="51" t="s">
        <v>18</v>
      </c>
      <c r="B229" s="51"/>
      <c r="C229" s="51"/>
      <c r="D229" s="35" t="s">
        <v>12</v>
      </c>
      <c r="E229" s="8" t="s">
        <v>30</v>
      </c>
      <c r="H229" s="9"/>
      <c r="I229" s="9"/>
      <c r="J229" s="10"/>
    </row>
    <row r="230" spans="1:10" x14ac:dyDescent="0.25">
      <c r="A230" s="51" t="s">
        <v>19</v>
      </c>
      <c r="B230" s="51"/>
      <c r="C230" s="51"/>
      <c r="D230" s="35" t="s">
        <v>12</v>
      </c>
      <c r="E230" s="8" t="s">
        <v>31</v>
      </c>
      <c r="H230" s="9"/>
      <c r="I230" s="9"/>
      <c r="J230" s="10"/>
    </row>
    <row r="231" spans="1:10" x14ac:dyDescent="0.25">
      <c r="A231" s="51" t="s">
        <v>20</v>
      </c>
      <c r="B231" s="51"/>
      <c r="C231" s="51"/>
      <c r="D231" s="35" t="s">
        <v>12</v>
      </c>
      <c r="E231" s="42">
        <v>2026</v>
      </c>
      <c r="H231" s="9"/>
      <c r="I231" s="9"/>
      <c r="J231" s="10"/>
    </row>
    <row r="232" spans="1:10" x14ac:dyDescent="0.25">
      <c r="A232" s="51" t="s">
        <v>21</v>
      </c>
      <c r="B232" s="51"/>
      <c r="C232" s="51"/>
      <c r="D232" s="35" t="s">
        <v>12</v>
      </c>
      <c r="E232" s="39">
        <f>I240</f>
        <v>2100000</v>
      </c>
      <c r="H232" s="9"/>
      <c r="I232" s="9"/>
      <c r="J232" s="10"/>
    </row>
    <row r="233" spans="1:10" ht="15.75" x14ac:dyDescent="0.25">
      <c r="A233" s="8"/>
      <c r="B233" s="8"/>
      <c r="C233" s="11" t="s">
        <v>0</v>
      </c>
      <c r="D233" s="35" t="s">
        <v>12</v>
      </c>
      <c r="E233" s="46" t="str">
        <f>PROPER(IF(E232=0,"nol",IF(E232&lt;0,"minus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232),"000000000000000"),1,3)=0,"",MID(TEXT(ABS(E232),"000000000000000"),1,1)&amp;" ratus "&amp;MID(TEXT(ABS(E232),"000000000000000"),2,1)&amp;" puluh "&amp;MID(TEXT(ABS(E232),"000000000000000"),3,1)&amp;" trilyun ")&amp;IF(--MID(TEXT(ABS(E232),"000000000000000"),4,3)=0,"",MID(TEXT(ABS(E232),"000000000000000"),4,1)&amp;" ratus "&amp;MID(TEXT(ABS(E232),"000000000000000"),5,1)&amp;" puluh "&amp;MID(TEXT(ABS(E232),"000000000000000"),6,1)&amp;" milyar ")&amp;IF(--MID(TEXT(ABS(E232),"000000000000000"),7,3)=0,"",MID(TEXT(ABS(E232),"000000000000000"),7,1)&amp;" ratus "&amp;MID(TEXT(ABS(E232),"000000000000000"),8,1)&amp;" puluh "&amp;MID(TEXT(ABS(E232),"000000000000000"),9,1)&amp;" juta ")&amp;IF(--MID(TEXT(ABS(E232),"000000000000000"),10,3)=0,"",IF(--MID(TEXT(ABS(E232),"000000000000000"),10,3)=1,"*",MID(TEXT(ABS(E232),"000000000000000"),10,1)&amp;" ratus "&amp;MID(TEXT(ABS(E232),"000000000000000"),11,1)&amp;" puluh ")&amp;MID(TEXT(ABS(E232),"000000000000000"),12,1)&amp;" ribu ")&amp;IF(--MID(TEXT(ABS(E232),"000000000000000"),13,3)=0,"",MID(TEXT(ABS(E232),"000000000000000"),13,1)&amp;" ratus "&amp;MID(TEXT(ABS(E232),"000000000000000"),14,1)&amp;" puluh "&amp;MID(TEXT(ABS(E232),"000000000000000"),15,1)),1,"satu"),2,"dua"),3,"tiga"),4,"empat"),5,"lima"),6,"enam"),7,"tujuh"),8,"delapan"),9,"sembilan"),"0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Seratus Ribu Rupiah</v>
      </c>
      <c r="H233" s="9"/>
      <c r="I233" s="9"/>
      <c r="J233" s="10"/>
    </row>
    <row r="234" spans="1:10" ht="15.75" x14ac:dyDescent="0.25">
      <c r="A234" s="8"/>
      <c r="B234" s="8"/>
      <c r="C234" s="11"/>
      <c r="D234" s="11"/>
      <c r="E234" s="11"/>
      <c r="F234" s="35"/>
      <c r="G234" s="46"/>
      <c r="H234" s="9"/>
      <c r="I234" s="9"/>
      <c r="J234" s="10"/>
    </row>
    <row r="235" spans="1:10" x14ac:dyDescent="0.25">
      <c r="A235" s="8" t="s">
        <v>1</v>
      </c>
      <c r="B235" s="8"/>
      <c r="C235" s="8"/>
      <c r="D235" s="8"/>
      <c r="E235" s="8"/>
      <c r="F235" s="8"/>
      <c r="G235" s="8"/>
      <c r="H235" s="9"/>
      <c r="I235" s="9"/>
      <c r="J235" s="10"/>
    </row>
    <row r="236" spans="1:10" x14ac:dyDescent="0.25">
      <c r="A236" s="59" t="s">
        <v>2</v>
      </c>
      <c r="B236" s="59"/>
      <c r="C236" s="59"/>
      <c r="D236" s="59"/>
      <c r="E236" s="59"/>
      <c r="F236" s="59"/>
      <c r="G236" s="59"/>
      <c r="H236" s="59"/>
      <c r="I236" s="59"/>
      <c r="J236" s="59"/>
    </row>
    <row r="237" spans="1:10" ht="45" x14ac:dyDescent="0.25">
      <c r="A237" s="12" t="s">
        <v>3</v>
      </c>
      <c r="B237" s="57" t="s">
        <v>22</v>
      </c>
      <c r="C237" s="63" t="s">
        <v>4</v>
      </c>
      <c r="D237" s="64"/>
      <c r="E237" s="65"/>
      <c r="F237" s="45"/>
      <c r="G237" s="36" t="s">
        <v>5</v>
      </c>
      <c r="H237" s="13" t="s">
        <v>17</v>
      </c>
      <c r="I237" s="14" t="s">
        <v>6</v>
      </c>
      <c r="J237" s="15" t="s">
        <v>7</v>
      </c>
    </row>
    <row r="238" spans="1:10" x14ac:dyDescent="0.25">
      <c r="A238" s="58">
        <v>1</v>
      </c>
      <c r="B238" s="43"/>
      <c r="C238" s="54" t="s">
        <v>32</v>
      </c>
      <c r="D238" s="56"/>
      <c r="E238" s="53"/>
      <c r="F238" s="34"/>
      <c r="G238" s="55" t="s">
        <v>28</v>
      </c>
      <c r="H238" s="55" t="s">
        <v>28</v>
      </c>
      <c r="I238" s="55" t="s">
        <v>28</v>
      </c>
      <c r="J238" s="55" t="s">
        <v>28</v>
      </c>
    </row>
    <row r="239" spans="1:10" x14ac:dyDescent="0.25">
      <c r="A239" s="43"/>
      <c r="B239" s="43" t="s">
        <v>23</v>
      </c>
      <c r="C239" s="47" t="s">
        <v>33</v>
      </c>
      <c r="D239" s="48"/>
      <c r="E239" s="49"/>
      <c r="F239" s="34"/>
      <c r="G239" s="50">
        <v>900000000</v>
      </c>
      <c r="H239" s="40">
        <f>H196+I196</f>
        <v>68121000</v>
      </c>
      <c r="I239" s="40">
        <v>2100000</v>
      </c>
      <c r="J239" s="41">
        <f t="shared" ref="J239" si="5">G239-H239-I239</f>
        <v>829779000</v>
      </c>
    </row>
    <row r="240" spans="1:10" x14ac:dyDescent="0.25">
      <c r="A240" s="16"/>
      <c r="B240" s="16"/>
      <c r="C240" s="17" t="s">
        <v>8</v>
      </c>
      <c r="D240" s="17"/>
      <c r="E240" s="17"/>
      <c r="F240" s="38"/>
      <c r="G240" s="37">
        <f>SUM(G238:G239)</f>
        <v>900000000</v>
      </c>
      <c r="H240" s="18">
        <f>SUM(H238:H239)</f>
        <v>68121000</v>
      </c>
      <c r="I240" s="18">
        <f>SUM(I238:I239)</f>
        <v>2100000</v>
      </c>
      <c r="J240" s="18">
        <f>SUM(J238:J239)</f>
        <v>829779000</v>
      </c>
    </row>
    <row r="241" spans="1:10" x14ac:dyDescent="0.25">
      <c r="A241" s="19"/>
      <c r="B241" s="52"/>
      <c r="C241" s="6"/>
      <c r="D241" s="6"/>
      <c r="E241" s="6"/>
      <c r="F241" s="6"/>
      <c r="G241" s="20"/>
      <c r="H241" s="20"/>
      <c r="I241" s="20"/>
      <c r="J241" s="20"/>
    </row>
    <row r="242" spans="1:10" x14ac:dyDescent="0.25">
      <c r="A242" s="62" t="s">
        <v>14</v>
      </c>
      <c r="B242" s="62"/>
      <c r="C242" s="62"/>
      <c r="D242" s="30" t="s">
        <v>12</v>
      </c>
      <c r="E242" s="39">
        <f>I240</f>
        <v>2100000</v>
      </c>
      <c r="F242" s="33"/>
      <c r="G242" s="21"/>
      <c r="H242" s="21"/>
      <c r="I242" s="10"/>
      <c r="J242" s="10"/>
    </row>
    <row r="243" spans="1:10" x14ac:dyDescent="0.25">
      <c r="A243" s="8" t="s">
        <v>9</v>
      </c>
      <c r="B243" s="8"/>
      <c r="C243" s="8"/>
      <c r="D243" s="30" t="s">
        <v>12</v>
      </c>
      <c r="E243" s="31"/>
      <c r="F243" s="31"/>
      <c r="G243" s="22"/>
      <c r="H243" s="9"/>
      <c r="I243" s="10"/>
      <c r="J243" s="10"/>
    </row>
    <row r="244" spans="1:10" x14ac:dyDescent="0.25">
      <c r="A244" s="8" t="s">
        <v>16</v>
      </c>
      <c r="B244" s="8"/>
      <c r="C244" s="8"/>
      <c r="D244" s="30" t="s">
        <v>12</v>
      </c>
      <c r="E244" s="32"/>
      <c r="F244" s="32"/>
      <c r="G244" s="22"/>
      <c r="H244" s="9"/>
      <c r="I244" s="10"/>
      <c r="J244" s="10"/>
    </row>
    <row r="245" spans="1:10" x14ac:dyDescent="0.25">
      <c r="A245" s="8" t="s">
        <v>10</v>
      </c>
      <c r="B245" s="8"/>
      <c r="C245" s="8"/>
      <c r="D245" s="30" t="s">
        <v>12</v>
      </c>
      <c r="E245" s="32">
        <f>E243+E244</f>
        <v>0</v>
      </c>
      <c r="F245" s="32"/>
      <c r="G245" s="8"/>
      <c r="H245" s="9"/>
      <c r="I245" s="23"/>
      <c r="J245" s="24"/>
    </row>
    <row r="246" spans="1:10" x14ac:dyDescent="0.25">
      <c r="A246" s="42"/>
      <c r="B246" s="42"/>
      <c r="C246" s="42"/>
      <c r="D246" s="30"/>
      <c r="E246" s="42"/>
      <c r="F246" s="42"/>
      <c r="G246" s="8"/>
      <c r="H246" s="9"/>
      <c r="I246" s="23"/>
      <c r="J246" s="24"/>
    </row>
    <row r="247" spans="1:10" x14ac:dyDescent="0.25">
      <c r="A247" s="62" t="s">
        <v>15</v>
      </c>
      <c r="B247" s="62"/>
      <c r="C247" s="62"/>
      <c r="D247" s="30" t="s">
        <v>12</v>
      </c>
      <c r="E247" s="33">
        <f>E242-E245</f>
        <v>2100000</v>
      </c>
      <c r="F247" s="33"/>
      <c r="G247" s="8"/>
      <c r="H247" s="9"/>
      <c r="I247" s="23"/>
      <c r="J247" s="24"/>
    </row>
    <row r="248" spans="1:10" ht="15.75" x14ac:dyDescent="0.25">
      <c r="A248" s="42"/>
      <c r="B248" s="42"/>
      <c r="C248" s="8"/>
      <c r="D248" s="8"/>
      <c r="E248" s="46" t="str">
        <f>PROPER(IF(E247=0,"nol",IF(E247&lt;0,"minus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247),"000000000000000"),1,3)=0,"",MID(TEXT(ABS(E247),"000000000000000"),1,1)&amp;" ratus "&amp;MID(TEXT(ABS(E247),"000000000000000"),2,1)&amp;" puluh "&amp;MID(TEXT(ABS(E247),"000000000000000"),3,1)&amp;" trilyun ")&amp;IF(--MID(TEXT(ABS(E247),"000000000000000"),4,3)=0,"",MID(TEXT(ABS(E247),"000000000000000"),4,1)&amp;" ratus "&amp;MID(TEXT(ABS(E247),"000000000000000"),5,1)&amp;" puluh "&amp;MID(TEXT(ABS(E247),"000000000000000"),6,1)&amp;" milyar ")&amp;IF(--MID(TEXT(ABS(E247),"000000000000000"),7,3)=0,"",MID(TEXT(ABS(E247),"000000000000000"),7,1)&amp;" ratus "&amp;MID(TEXT(ABS(E247),"000000000000000"),8,1)&amp;" puluh "&amp;MID(TEXT(ABS(E247),"000000000000000"),9,1)&amp;" juta ")&amp;IF(--MID(TEXT(ABS(E247),"000000000000000"),10,3)=0,"",IF(--MID(TEXT(ABS(E247),"000000000000000"),10,3)=1,"*",MID(TEXT(ABS(E247),"000000000000000"),10,1)&amp;" ratus "&amp;MID(TEXT(ABS(E247),"000000000000000"),11,1)&amp;" puluh ")&amp;MID(TEXT(ABS(E247),"000000000000000"),12,1)&amp;" ribu ")&amp;IF(--MID(TEXT(ABS(E247),"000000000000000"),13,3)=0,"",MID(TEXT(ABS(E247),"000000000000000"),13,1)&amp;" ratus "&amp;MID(TEXT(ABS(E247),"000000000000000"),14,1)&amp;" puluh "&amp;MID(TEXT(ABS(E247),"000000000000000"),15,1)),1,"satu"),2,"dua"),3,"tiga"),4,"empat"),5,"lima"),6,"enam"),7,"tujuh"),8,"delapan"),9,"sembilan"),"0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Seratus Ribu Rupiah</v>
      </c>
      <c r="F248" s="8"/>
      <c r="G248" s="8"/>
      <c r="H248" s="8"/>
      <c r="I248" s="23"/>
      <c r="J248" s="24"/>
    </row>
    <row r="249" spans="1:10" x14ac:dyDescent="0.25">
      <c r="A249" s="26"/>
      <c r="B249" s="26"/>
      <c r="C249" s="26"/>
      <c r="D249" s="26"/>
      <c r="E249" s="26"/>
      <c r="F249" s="26"/>
      <c r="G249" s="25"/>
      <c r="H249" s="24"/>
      <c r="I249" s="23"/>
      <c r="J249" s="24"/>
    </row>
    <row r="250" spans="1:10" x14ac:dyDescent="0.25">
      <c r="A250" s="25"/>
      <c r="B250" s="25"/>
      <c r="C250" s="25"/>
      <c r="D250" s="25"/>
      <c r="E250" s="25"/>
      <c r="F250" s="25"/>
      <c r="G250" s="25"/>
      <c r="H250"/>
      <c r="I250" s="24"/>
      <c r="J250" s="24"/>
    </row>
    <row r="251" spans="1:10" x14ac:dyDescent="0.25">
      <c r="A251" s="42"/>
      <c r="B251" s="42"/>
      <c r="C251" s="8"/>
      <c r="D251" s="8"/>
      <c r="E251" s="8"/>
      <c r="F251" s="8"/>
      <c r="G251" s="8"/>
      <c r="I251" s="44" t="s">
        <v>64</v>
      </c>
      <c r="J251" s="24"/>
    </row>
    <row r="252" spans="1:10" x14ac:dyDescent="0.25">
      <c r="A252" s="9" t="s">
        <v>26</v>
      </c>
      <c r="B252" s="9"/>
      <c r="C252" s="8"/>
      <c r="D252" s="8"/>
      <c r="E252" s="8"/>
      <c r="F252" s="8"/>
      <c r="G252" s="8"/>
      <c r="I252" s="9" t="s">
        <v>25</v>
      </c>
      <c r="J252" s="24"/>
    </row>
    <row r="253" spans="1:10" x14ac:dyDescent="0.25">
      <c r="A253" s="8"/>
      <c r="B253" s="8"/>
      <c r="C253" s="8"/>
      <c r="D253" s="8"/>
      <c r="E253" s="8"/>
      <c r="F253" s="8"/>
      <c r="G253" s="8"/>
      <c r="I253" s="9"/>
      <c r="J253" s="24"/>
    </row>
    <row r="254" spans="1:10" x14ac:dyDescent="0.25">
      <c r="A254" s="8"/>
      <c r="B254" s="8"/>
      <c r="C254" s="8"/>
      <c r="D254" s="8"/>
      <c r="E254" s="8"/>
      <c r="F254" s="8"/>
      <c r="G254" s="8"/>
      <c r="I254" s="9"/>
      <c r="J254" s="24"/>
    </row>
    <row r="255" spans="1:10" x14ac:dyDescent="0.25">
      <c r="A255" s="8"/>
      <c r="B255" s="8"/>
      <c r="C255" s="8"/>
      <c r="D255" s="8"/>
      <c r="E255" s="8"/>
      <c r="F255" s="8"/>
      <c r="G255" s="8"/>
      <c r="I255" s="9"/>
      <c r="J255" s="24"/>
    </row>
    <row r="256" spans="1:10" x14ac:dyDescent="0.25">
      <c r="A256" s="8"/>
      <c r="B256" s="8"/>
      <c r="C256" s="8"/>
      <c r="D256" s="8"/>
      <c r="E256" s="8"/>
      <c r="F256" s="8"/>
      <c r="G256" s="8"/>
      <c r="I256" s="9"/>
      <c r="J256" s="24"/>
    </row>
    <row r="257" spans="1:10" x14ac:dyDescent="0.25">
      <c r="A257" s="28" t="s">
        <v>34</v>
      </c>
      <c r="B257" s="28"/>
      <c r="C257" s="27"/>
      <c r="D257" s="27"/>
      <c r="E257" s="27"/>
      <c r="F257" s="27"/>
      <c r="G257" s="8" t="s">
        <v>11</v>
      </c>
      <c r="I257" s="28" t="s">
        <v>27</v>
      </c>
      <c r="J257" s="24"/>
    </row>
    <row r="262" spans="1:10" ht="15.75" x14ac:dyDescent="0.25">
      <c r="C262" s="3"/>
      <c r="D262" s="3"/>
      <c r="E262" s="3"/>
      <c r="F262" s="3"/>
    </row>
    <row r="263" spans="1:10" ht="15.75" x14ac:dyDescent="0.25">
      <c r="A263" s="2"/>
      <c r="B263" s="2"/>
      <c r="C263" s="3"/>
      <c r="D263" s="3"/>
      <c r="E263" s="3"/>
      <c r="F263" s="3"/>
      <c r="G263" s="2"/>
      <c r="H263" s="4"/>
      <c r="I263" s="4"/>
      <c r="J263" s="5"/>
    </row>
    <row r="264" spans="1:10" x14ac:dyDescent="0.25">
      <c r="H264" s="5"/>
      <c r="I264" s="5"/>
      <c r="J264" s="5"/>
    </row>
    <row r="265" spans="1:10" x14ac:dyDescent="0.25">
      <c r="H265" s="5"/>
      <c r="I265" s="5"/>
      <c r="J265" s="5"/>
    </row>
    <row r="266" spans="1:10" x14ac:dyDescent="0.25">
      <c r="A266" s="60" t="s">
        <v>29</v>
      </c>
      <c r="B266" s="60"/>
      <c r="C266" s="61"/>
      <c r="D266" s="61"/>
      <c r="E266" s="61"/>
      <c r="F266" s="61"/>
      <c r="G266" s="61"/>
      <c r="H266" s="61"/>
      <c r="I266" s="61"/>
      <c r="J266" s="61"/>
    </row>
    <row r="267" spans="1:10" x14ac:dyDescent="0.25">
      <c r="A267" s="61" t="s">
        <v>53</v>
      </c>
      <c r="B267" s="61"/>
      <c r="C267" s="61"/>
      <c r="D267" s="61"/>
      <c r="E267" s="61"/>
      <c r="F267" s="61"/>
      <c r="G267" s="61"/>
      <c r="H267" s="61"/>
      <c r="I267" s="61"/>
      <c r="J267" s="61"/>
    </row>
    <row r="268" spans="1:10" x14ac:dyDescent="0.25">
      <c r="A268" s="61" t="s">
        <v>13</v>
      </c>
      <c r="B268" s="61"/>
      <c r="C268" s="61"/>
      <c r="D268" s="61"/>
      <c r="E268" s="61"/>
      <c r="F268" s="61"/>
      <c r="G268" s="61"/>
      <c r="H268" s="61"/>
      <c r="I268" s="61"/>
      <c r="J268" s="61"/>
    </row>
    <row r="269" spans="1:10" x14ac:dyDescent="0.25">
      <c r="A269" s="61" t="s">
        <v>35</v>
      </c>
      <c r="B269" s="61"/>
      <c r="C269" s="61"/>
      <c r="D269" s="61"/>
      <c r="E269" s="61"/>
      <c r="F269" s="61"/>
      <c r="G269" s="61"/>
      <c r="H269" s="61"/>
      <c r="I269" s="61"/>
      <c r="J269" s="61"/>
    </row>
    <row r="270" spans="1:10" x14ac:dyDescent="0.25">
      <c r="A270" s="61" t="s">
        <v>24</v>
      </c>
      <c r="B270" s="61"/>
      <c r="C270" s="61"/>
      <c r="D270" s="61"/>
      <c r="E270" s="61"/>
      <c r="F270" s="61"/>
      <c r="G270" s="61"/>
      <c r="H270" s="61"/>
      <c r="I270" s="61"/>
      <c r="J270" s="61"/>
    </row>
    <row r="271" spans="1:10" x14ac:dyDescent="0.25">
      <c r="A271" s="29"/>
      <c r="B271" s="29"/>
      <c r="C271" s="7"/>
      <c r="D271" s="7"/>
      <c r="E271" s="7"/>
      <c r="F271" s="7"/>
      <c r="G271" s="6"/>
      <c r="H271" s="10"/>
      <c r="I271" s="10"/>
      <c r="J271" s="10"/>
    </row>
    <row r="272" spans="1:10" x14ac:dyDescent="0.25">
      <c r="A272" s="51" t="s">
        <v>18</v>
      </c>
      <c r="B272" s="51"/>
      <c r="C272" s="51"/>
      <c r="D272" s="35" t="s">
        <v>12</v>
      </c>
      <c r="E272" s="8" t="s">
        <v>30</v>
      </c>
      <c r="H272" s="9"/>
      <c r="I272" s="9"/>
      <c r="J272" s="10"/>
    </row>
    <row r="273" spans="1:10" x14ac:dyDescent="0.25">
      <c r="A273" s="51" t="s">
        <v>19</v>
      </c>
      <c r="B273" s="51"/>
      <c r="C273" s="51"/>
      <c r="D273" s="35" t="s">
        <v>12</v>
      </c>
      <c r="E273" s="8" t="s">
        <v>31</v>
      </c>
      <c r="H273" s="9"/>
      <c r="I273" s="9"/>
      <c r="J273" s="10"/>
    </row>
    <row r="274" spans="1:10" x14ac:dyDescent="0.25">
      <c r="A274" s="51" t="s">
        <v>20</v>
      </c>
      <c r="B274" s="51"/>
      <c r="C274" s="51"/>
      <c r="D274" s="35" t="s">
        <v>12</v>
      </c>
      <c r="E274" s="42">
        <v>2026</v>
      </c>
      <c r="H274" s="9"/>
      <c r="I274" s="9"/>
      <c r="J274" s="10"/>
    </row>
    <row r="275" spans="1:10" x14ac:dyDescent="0.25">
      <c r="A275" s="51" t="s">
        <v>21</v>
      </c>
      <c r="B275" s="51"/>
      <c r="C275" s="51"/>
      <c r="D275" s="35" t="s">
        <v>12</v>
      </c>
      <c r="E275" s="39">
        <f>I283</f>
        <v>3500000</v>
      </c>
      <c r="H275" s="9"/>
      <c r="I275" s="9"/>
      <c r="J275" s="10"/>
    </row>
    <row r="276" spans="1:10" ht="15.75" x14ac:dyDescent="0.25">
      <c r="A276" s="8"/>
      <c r="B276" s="8"/>
      <c r="C276" s="11" t="s">
        <v>0</v>
      </c>
      <c r="D276" s="35" t="s">
        <v>12</v>
      </c>
      <c r="E276" s="46" t="str">
        <f>PROPER(IF(E275=0,"nol",IF(E275&lt;0,"minus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275),"000000000000000"),1,3)=0,"",MID(TEXT(ABS(E275),"000000000000000"),1,1)&amp;" ratus "&amp;MID(TEXT(ABS(E275),"000000000000000"),2,1)&amp;" puluh "&amp;MID(TEXT(ABS(E275),"000000000000000"),3,1)&amp;" trilyun ")&amp;IF(--MID(TEXT(ABS(E275),"000000000000000"),4,3)=0,"",MID(TEXT(ABS(E275),"000000000000000"),4,1)&amp;" ratus "&amp;MID(TEXT(ABS(E275),"000000000000000"),5,1)&amp;" puluh "&amp;MID(TEXT(ABS(E275),"000000000000000"),6,1)&amp;" milyar ")&amp;IF(--MID(TEXT(ABS(E275),"000000000000000"),7,3)=0,"",MID(TEXT(ABS(E275),"000000000000000"),7,1)&amp;" ratus "&amp;MID(TEXT(ABS(E275),"000000000000000"),8,1)&amp;" puluh "&amp;MID(TEXT(ABS(E275),"000000000000000"),9,1)&amp;" juta ")&amp;IF(--MID(TEXT(ABS(E275),"000000000000000"),10,3)=0,"",IF(--MID(TEXT(ABS(E275),"000000000000000"),10,3)=1,"*",MID(TEXT(ABS(E275),"000000000000000"),10,1)&amp;" ratus "&amp;MID(TEXT(ABS(E275),"000000000000000"),11,1)&amp;" puluh ")&amp;MID(TEXT(ABS(E275),"000000000000000"),12,1)&amp;" ribu ")&amp;IF(--MID(TEXT(ABS(E275),"000000000000000"),13,3)=0,"",MID(TEXT(ABS(E275),"000000000000000"),13,1)&amp;" ratus "&amp;MID(TEXT(ABS(E275),"000000000000000"),14,1)&amp;" puluh "&amp;MID(TEXT(ABS(E275),"000000000000000"),15,1)),1,"satu"),2,"dua"),3,"tiga"),4,"empat"),5,"lima"),6,"enam"),7,"tujuh"),8,"delapan"),9,"sembilan"),"0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H276" s="9"/>
      <c r="I276" s="9"/>
      <c r="J276" s="10"/>
    </row>
    <row r="277" spans="1:10" ht="15.75" x14ac:dyDescent="0.25">
      <c r="A277" s="8"/>
      <c r="B277" s="8"/>
      <c r="C277" s="11"/>
      <c r="D277" s="11"/>
      <c r="E277" s="11"/>
      <c r="F277" s="35"/>
      <c r="G277" s="46"/>
      <c r="H277" s="9"/>
      <c r="I277" s="9"/>
      <c r="J277" s="10"/>
    </row>
    <row r="278" spans="1:10" x14ac:dyDescent="0.25">
      <c r="A278" s="8" t="s">
        <v>1</v>
      </c>
      <c r="B278" s="8"/>
      <c r="C278" s="8"/>
      <c r="D278" s="8"/>
      <c r="E278" s="8"/>
      <c r="F278" s="8"/>
      <c r="G278" s="8"/>
      <c r="H278" s="9"/>
      <c r="I278" s="9"/>
      <c r="J278" s="10"/>
    </row>
    <row r="279" spans="1:10" x14ac:dyDescent="0.25">
      <c r="A279" s="59" t="s">
        <v>2</v>
      </c>
      <c r="B279" s="59"/>
      <c r="C279" s="59"/>
      <c r="D279" s="59"/>
      <c r="E279" s="59"/>
      <c r="F279" s="59"/>
      <c r="G279" s="59"/>
      <c r="H279" s="59"/>
      <c r="I279" s="59"/>
      <c r="J279" s="59"/>
    </row>
    <row r="280" spans="1:10" ht="45" x14ac:dyDescent="0.25">
      <c r="A280" s="12" t="s">
        <v>3</v>
      </c>
      <c r="B280" s="57" t="s">
        <v>22</v>
      </c>
      <c r="C280" s="63" t="s">
        <v>4</v>
      </c>
      <c r="D280" s="64"/>
      <c r="E280" s="65"/>
      <c r="F280" s="45"/>
      <c r="G280" s="36" t="s">
        <v>5</v>
      </c>
      <c r="H280" s="13" t="s">
        <v>17</v>
      </c>
      <c r="I280" s="14" t="s">
        <v>6</v>
      </c>
      <c r="J280" s="15" t="s">
        <v>7</v>
      </c>
    </row>
    <row r="281" spans="1:10" x14ac:dyDescent="0.25">
      <c r="A281" s="58">
        <v>1</v>
      </c>
      <c r="B281" s="43"/>
      <c r="C281" s="54" t="s">
        <v>32</v>
      </c>
      <c r="D281" s="56"/>
      <c r="E281" s="53"/>
      <c r="F281" s="34"/>
      <c r="G281" s="55" t="s">
        <v>28</v>
      </c>
      <c r="H281" s="55" t="s">
        <v>28</v>
      </c>
      <c r="I281" s="55" t="s">
        <v>28</v>
      </c>
      <c r="J281" s="55" t="s">
        <v>28</v>
      </c>
    </row>
    <row r="282" spans="1:10" x14ac:dyDescent="0.25">
      <c r="A282" s="43"/>
      <c r="B282" s="43" t="s">
        <v>23</v>
      </c>
      <c r="C282" s="47" t="s">
        <v>33</v>
      </c>
      <c r="D282" s="48"/>
      <c r="E282" s="49"/>
      <c r="F282" s="34"/>
      <c r="G282" s="50">
        <v>900000000</v>
      </c>
      <c r="H282" s="40">
        <f>H239+I239</f>
        <v>70221000</v>
      </c>
      <c r="I282" s="40">
        <v>3500000</v>
      </c>
      <c r="J282" s="41">
        <f t="shared" ref="J282" si="6">G282-H282-I282</f>
        <v>826279000</v>
      </c>
    </row>
    <row r="283" spans="1:10" x14ac:dyDescent="0.25">
      <c r="A283" s="16"/>
      <c r="B283" s="16"/>
      <c r="C283" s="17" t="s">
        <v>8</v>
      </c>
      <c r="D283" s="17"/>
      <c r="E283" s="17"/>
      <c r="F283" s="38"/>
      <c r="G283" s="37">
        <f>SUM(G281:G282)</f>
        <v>900000000</v>
      </c>
      <c r="H283" s="18">
        <f>SUM(H281:H282)</f>
        <v>70221000</v>
      </c>
      <c r="I283" s="18">
        <f>SUM(I281:I282)</f>
        <v>3500000</v>
      </c>
      <c r="J283" s="18">
        <f>SUM(J281:J282)</f>
        <v>826279000</v>
      </c>
    </row>
    <row r="284" spans="1:10" x14ac:dyDescent="0.25">
      <c r="A284" s="19"/>
      <c r="B284" s="52"/>
      <c r="C284" s="6"/>
      <c r="D284" s="6"/>
      <c r="E284" s="6"/>
      <c r="F284" s="6"/>
      <c r="G284" s="20"/>
      <c r="H284" s="20"/>
      <c r="I284" s="20"/>
      <c r="J284" s="20"/>
    </row>
    <row r="285" spans="1:10" x14ac:dyDescent="0.25">
      <c r="A285" s="62" t="s">
        <v>14</v>
      </c>
      <c r="B285" s="62"/>
      <c r="C285" s="62"/>
      <c r="D285" s="30" t="s">
        <v>12</v>
      </c>
      <c r="E285" s="39">
        <f>I283</f>
        <v>3500000</v>
      </c>
      <c r="F285" s="33"/>
      <c r="G285" s="21"/>
      <c r="H285" s="21"/>
      <c r="I285" s="10"/>
      <c r="J285" s="10"/>
    </row>
    <row r="286" spans="1:10" x14ac:dyDescent="0.25">
      <c r="A286" s="8" t="s">
        <v>9</v>
      </c>
      <c r="B286" s="8"/>
      <c r="C286" s="8"/>
      <c r="D286" s="30" t="s">
        <v>12</v>
      </c>
      <c r="E286" s="31"/>
      <c r="F286" s="31"/>
      <c r="G286" s="22"/>
      <c r="H286" s="9"/>
      <c r="I286" s="10"/>
      <c r="J286" s="10"/>
    </row>
    <row r="287" spans="1:10" x14ac:dyDescent="0.25">
      <c r="A287" s="8" t="s">
        <v>16</v>
      </c>
      <c r="B287" s="8"/>
      <c r="C287" s="8"/>
      <c r="D287" s="30" t="s">
        <v>12</v>
      </c>
      <c r="E287" s="32"/>
      <c r="F287" s="32"/>
      <c r="G287" s="22"/>
      <c r="H287" s="9"/>
      <c r="I287" s="10"/>
      <c r="J287" s="10"/>
    </row>
    <row r="288" spans="1:10" x14ac:dyDescent="0.25">
      <c r="A288" s="8" t="s">
        <v>10</v>
      </c>
      <c r="B288" s="8"/>
      <c r="C288" s="8"/>
      <c r="D288" s="30" t="s">
        <v>12</v>
      </c>
      <c r="E288" s="32">
        <f>E286+E287</f>
        <v>0</v>
      </c>
      <c r="F288" s="32"/>
      <c r="G288" s="8"/>
      <c r="H288" s="9"/>
      <c r="I288" s="23"/>
      <c r="J288" s="24"/>
    </row>
    <row r="289" spans="1:10" x14ac:dyDescent="0.25">
      <c r="A289" s="42"/>
      <c r="B289" s="42"/>
      <c r="C289" s="42"/>
      <c r="D289" s="30"/>
      <c r="E289" s="42"/>
      <c r="F289" s="42"/>
      <c r="G289" s="8"/>
      <c r="H289" s="9"/>
      <c r="I289" s="23"/>
      <c r="J289" s="24"/>
    </row>
    <row r="290" spans="1:10" x14ac:dyDescent="0.25">
      <c r="A290" s="62" t="s">
        <v>15</v>
      </c>
      <c r="B290" s="62"/>
      <c r="C290" s="62"/>
      <c r="D290" s="30" t="s">
        <v>12</v>
      </c>
      <c r="E290" s="33">
        <f>E285-E288</f>
        <v>3500000</v>
      </c>
      <c r="F290" s="33"/>
      <c r="G290" s="8"/>
      <c r="H290" s="9"/>
      <c r="I290" s="23"/>
      <c r="J290" s="24"/>
    </row>
    <row r="291" spans="1:10" ht="15.75" x14ac:dyDescent="0.25">
      <c r="A291" s="42"/>
      <c r="B291" s="42"/>
      <c r="C291" s="8"/>
      <c r="D291" s="8"/>
      <c r="E291" s="46" t="str">
        <f>PROPER(IF(E290=0,"nol",IF(E290&lt;0,"minus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290),"000000000000000"),1,3)=0,"",MID(TEXT(ABS(E290),"000000000000000"),1,1)&amp;" ratus "&amp;MID(TEXT(ABS(E290),"000000000000000"),2,1)&amp;" puluh "&amp;MID(TEXT(ABS(E290),"000000000000000"),3,1)&amp;" trilyun ")&amp;IF(--MID(TEXT(ABS(E290),"000000000000000"),4,3)=0,"",MID(TEXT(ABS(E290),"000000000000000"),4,1)&amp;" ratus "&amp;MID(TEXT(ABS(E290),"000000000000000"),5,1)&amp;" puluh "&amp;MID(TEXT(ABS(E290),"000000000000000"),6,1)&amp;" milyar ")&amp;IF(--MID(TEXT(ABS(E290),"000000000000000"),7,3)=0,"",MID(TEXT(ABS(E290),"000000000000000"),7,1)&amp;" ratus "&amp;MID(TEXT(ABS(E290),"000000000000000"),8,1)&amp;" puluh "&amp;MID(TEXT(ABS(E290),"000000000000000"),9,1)&amp;" juta ")&amp;IF(--MID(TEXT(ABS(E290),"000000000000000"),10,3)=0,"",IF(--MID(TEXT(ABS(E290),"000000000000000"),10,3)=1,"*",MID(TEXT(ABS(E290),"000000000000000"),10,1)&amp;" ratus "&amp;MID(TEXT(ABS(E290),"000000000000000"),11,1)&amp;" puluh ")&amp;MID(TEXT(ABS(E290),"000000000000000"),12,1)&amp;" ribu ")&amp;IF(--MID(TEXT(ABS(E290),"000000000000000"),13,3)=0,"",MID(TEXT(ABS(E290),"000000000000000"),13,1)&amp;" ratus "&amp;MID(TEXT(ABS(E290),"000000000000000"),14,1)&amp;" puluh "&amp;MID(TEXT(ABS(E290),"000000000000000"),15,1)),1,"satu"),2,"dua"),3,"tiga"),4,"empat"),5,"lima"),6,"enam"),7,"tujuh"),8,"delapan"),9,"sembilan"),"0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F291" s="8"/>
      <c r="G291" s="8"/>
      <c r="H291" s="8"/>
      <c r="I291" s="23"/>
      <c r="J291" s="24"/>
    </row>
    <row r="292" spans="1:10" x14ac:dyDescent="0.25">
      <c r="A292" s="26"/>
      <c r="B292" s="26"/>
      <c r="C292" s="26"/>
      <c r="D292" s="26"/>
      <c r="E292" s="26"/>
      <c r="F292" s="26"/>
      <c r="G292" s="25"/>
      <c r="H292" s="24"/>
      <c r="I292" s="23"/>
      <c r="J292" s="24"/>
    </row>
    <row r="293" spans="1:10" x14ac:dyDescent="0.25">
      <c r="A293" s="25"/>
      <c r="B293" s="25"/>
      <c r="C293" s="25"/>
      <c r="D293" s="25"/>
      <c r="E293" s="25"/>
      <c r="F293" s="25"/>
      <c r="G293" s="25"/>
      <c r="H293"/>
      <c r="I293" s="24"/>
      <c r="J293" s="24"/>
    </row>
    <row r="294" spans="1:10" x14ac:dyDescent="0.25">
      <c r="A294" s="42"/>
      <c r="B294" s="42"/>
      <c r="C294" s="8"/>
      <c r="D294" s="8"/>
      <c r="E294" s="8"/>
      <c r="F294" s="8"/>
      <c r="G294" s="8"/>
      <c r="I294" s="44" t="s">
        <v>54</v>
      </c>
      <c r="J294" s="24"/>
    </row>
    <row r="295" spans="1:10" x14ac:dyDescent="0.25">
      <c r="A295" s="9" t="s">
        <v>26</v>
      </c>
      <c r="B295" s="9"/>
      <c r="C295" s="8"/>
      <c r="D295" s="8"/>
      <c r="E295" s="8"/>
      <c r="F295" s="8"/>
      <c r="G295" s="8"/>
      <c r="I295" s="9" t="s">
        <v>25</v>
      </c>
      <c r="J295" s="24"/>
    </row>
    <row r="296" spans="1:10" x14ac:dyDescent="0.25">
      <c r="A296" s="8"/>
      <c r="B296" s="8"/>
      <c r="C296" s="8"/>
      <c r="D296" s="8"/>
      <c r="E296" s="8"/>
      <c r="F296" s="8"/>
      <c r="G296" s="8"/>
      <c r="I296" s="9"/>
      <c r="J296" s="24"/>
    </row>
    <row r="297" spans="1:10" x14ac:dyDescent="0.25">
      <c r="A297" s="8"/>
      <c r="B297" s="8"/>
      <c r="C297" s="8"/>
      <c r="D297" s="8"/>
      <c r="E297" s="8"/>
      <c r="F297" s="8"/>
      <c r="G297" s="8"/>
      <c r="I297" s="9"/>
      <c r="J297" s="24"/>
    </row>
    <row r="298" spans="1:10" x14ac:dyDescent="0.25">
      <c r="A298" s="8"/>
      <c r="B298" s="8"/>
      <c r="C298" s="8"/>
      <c r="D298" s="8"/>
      <c r="E298" s="8"/>
      <c r="F298" s="8"/>
      <c r="G298" s="8"/>
      <c r="I298" s="9"/>
      <c r="J298" s="24"/>
    </row>
    <row r="299" spans="1:10" x14ac:dyDescent="0.25">
      <c r="A299" s="8"/>
      <c r="B299" s="8"/>
      <c r="C299" s="8"/>
      <c r="D299" s="8"/>
      <c r="E299" s="8"/>
      <c r="F299" s="8"/>
      <c r="G299" s="8"/>
      <c r="I299" s="9"/>
      <c r="J299" s="24"/>
    </row>
    <row r="300" spans="1:10" x14ac:dyDescent="0.25">
      <c r="A300" s="28" t="s">
        <v>34</v>
      </c>
      <c r="B300" s="28"/>
      <c r="C300" s="27"/>
      <c r="D300" s="27"/>
      <c r="E300" s="27"/>
      <c r="F300" s="27"/>
      <c r="G300" s="8" t="s">
        <v>11</v>
      </c>
      <c r="I300" s="28" t="s">
        <v>27</v>
      </c>
      <c r="J300" s="24"/>
    </row>
  </sheetData>
  <mergeCells count="63">
    <mergeCell ref="C280:E280"/>
    <mergeCell ref="A285:C285"/>
    <mergeCell ref="A290:C290"/>
    <mergeCell ref="A266:J266"/>
    <mergeCell ref="A267:J267"/>
    <mergeCell ref="A268:J268"/>
    <mergeCell ref="A269:J269"/>
    <mergeCell ref="A270:J270"/>
    <mergeCell ref="A279:J279"/>
    <mergeCell ref="A247:C247"/>
    <mergeCell ref="C194:E194"/>
    <mergeCell ref="A199:C199"/>
    <mergeCell ref="A204:C204"/>
    <mergeCell ref="A223:J223"/>
    <mergeCell ref="A224:J224"/>
    <mergeCell ref="A225:J225"/>
    <mergeCell ref="A226:J226"/>
    <mergeCell ref="A227:J227"/>
    <mergeCell ref="A236:J236"/>
    <mergeCell ref="C237:E237"/>
    <mergeCell ref="A242:C242"/>
    <mergeCell ref="A193:J193"/>
    <mergeCell ref="A140:J140"/>
    <mergeCell ref="A141:J141"/>
    <mergeCell ref="A150:J150"/>
    <mergeCell ref="C151:E151"/>
    <mergeCell ref="A156:C156"/>
    <mergeCell ref="A161:C161"/>
    <mergeCell ref="A180:J180"/>
    <mergeCell ref="A181:J181"/>
    <mergeCell ref="A182:J182"/>
    <mergeCell ref="A183:J183"/>
    <mergeCell ref="A184:J184"/>
    <mergeCell ref="A139:J139"/>
    <mergeCell ref="A94:J94"/>
    <mergeCell ref="A95:J95"/>
    <mergeCell ref="A96:J96"/>
    <mergeCell ref="A97:J97"/>
    <mergeCell ref="A98:J98"/>
    <mergeCell ref="A107:J107"/>
    <mergeCell ref="C108:E108"/>
    <mergeCell ref="A113:C113"/>
    <mergeCell ref="A118:C118"/>
    <mergeCell ref="A137:J137"/>
    <mergeCell ref="A138:J138"/>
    <mergeCell ref="A75:C75"/>
    <mergeCell ref="C22:E22"/>
    <mergeCell ref="A27:C27"/>
    <mergeCell ref="A32:C32"/>
    <mergeCell ref="A51:J51"/>
    <mergeCell ref="A52:J52"/>
    <mergeCell ref="A53:J53"/>
    <mergeCell ref="A54:J54"/>
    <mergeCell ref="A55:J55"/>
    <mergeCell ref="A64:J64"/>
    <mergeCell ref="C65:E65"/>
    <mergeCell ref="A70:C70"/>
    <mergeCell ref="A21:J21"/>
    <mergeCell ref="A8:J8"/>
    <mergeCell ref="A9:J9"/>
    <mergeCell ref="A10:J10"/>
    <mergeCell ref="A11:J11"/>
    <mergeCell ref="A12:J12"/>
  </mergeCells>
  <pageMargins left="0.23622047244094491" right="0.23622047244094491" top="0.15748031496062992" bottom="0.74803149606299213" header="0.31496062992125984" footer="0.31496062992125984"/>
  <pageSetup paperSize="9" scale="77" orientation="portrait" horizontalDpi="4294967293" r:id="rId1"/>
  <rowBreaks count="7" manualBreakCount="7">
    <brk id="43" max="9" man="1"/>
    <brk id="86" max="9" man="1"/>
    <brk id="129" max="9" man="1"/>
    <brk id="172" max="9" man="1"/>
    <brk id="215" max="9" man="1"/>
    <brk id="258" max="9" man="1"/>
    <brk id="301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2026-03-27T06:37:33Z</cp:lastPrinted>
  <dcterms:created xsi:type="dcterms:W3CDTF">2017-02-01T01:06:13Z</dcterms:created>
  <dcterms:modified xsi:type="dcterms:W3CDTF">2026-03-27T06:54:26Z</dcterms:modified>
</cp:coreProperties>
</file>