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0A2DA448-A1E3-4451-86A2-A066632D2629}" xr6:coauthVersionLast="47" xr6:coauthVersionMax="47" xr10:uidLastSave="{00000000-0000-0000-0000-000000000000}"/>
  <bookViews>
    <workbookView xWindow="1935" yWindow="3960" windowWidth="21600" windowHeight="11295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FEBRUARI!$A$1:$J$328</definedName>
    <definedName name="_xlnm.Print_Area" localSheetId="0">JANUARI!$A$1:$J$168</definedName>
    <definedName name="_xlnm.Print_Area" localSheetId="2">MARET!$A$1:$J$328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3" i="17" l="1"/>
  <c r="H112" i="17"/>
  <c r="H69" i="17"/>
  <c r="H25" i="17"/>
  <c r="H24" i="17"/>
  <c r="E295" i="17"/>
  <c r="I290" i="17"/>
  <c r="E292" i="17" s="1"/>
  <c r="E297" i="17" s="1"/>
  <c r="E298" i="17" s="1"/>
  <c r="G290" i="17"/>
  <c r="E281" i="17"/>
  <c r="E282" i="17" s="1"/>
  <c r="E251" i="17"/>
  <c r="I246" i="17"/>
  <c r="E248" i="17" s="1"/>
  <c r="E253" i="17" s="1"/>
  <c r="E254" i="17" s="1"/>
  <c r="G246" i="17"/>
  <c r="E238" i="17"/>
  <c r="E237" i="17"/>
  <c r="E207" i="17"/>
  <c r="I202" i="17"/>
  <c r="E204" i="17" s="1"/>
  <c r="E209" i="17" s="1"/>
  <c r="E210" i="17" s="1"/>
  <c r="G202" i="17"/>
  <c r="E193" i="17"/>
  <c r="E194" i="17" s="1"/>
  <c r="E163" i="17"/>
  <c r="I158" i="17"/>
  <c r="E160" i="17" s="1"/>
  <c r="E165" i="17" s="1"/>
  <c r="E166" i="17" s="1"/>
  <c r="G158" i="17"/>
  <c r="E149" i="17"/>
  <c r="E150" i="17" s="1"/>
  <c r="E119" i="17"/>
  <c r="I114" i="17"/>
  <c r="G114" i="17"/>
  <c r="E75" i="17"/>
  <c r="I70" i="17"/>
  <c r="E72" i="17" s="1"/>
  <c r="E77" i="17" s="1"/>
  <c r="E78" i="17" s="1"/>
  <c r="G70" i="17"/>
  <c r="E61" i="17"/>
  <c r="E62" i="17" s="1"/>
  <c r="E31" i="17"/>
  <c r="I26" i="17"/>
  <c r="E28" i="17" s="1"/>
  <c r="E33" i="17" s="1"/>
  <c r="E34" i="17" s="1"/>
  <c r="G26" i="17"/>
  <c r="E17" i="17"/>
  <c r="E18" i="17" s="1"/>
  <c r="H289" i="16"/>
  <c r="E295" i="16"/>
  <c r="I290" i="16"/>
  <c r="G290" i="16"/>
  <c r="J289" i="16"/>
  <c r="H288" i="16"/>
  <c r="H244" i="16"/>
  <c r="E251" i="16"/>
  <c r="I246" i="16"/>
  <c r="E248" i="16" s="1"/>
  <c r="E253" i="16" s="1"/>
  <c r="E254" i="16" s="1"/>
  <c r="G246" i="16"/>
  <c r="H245" i="16"/>
  <c r="J245" i="16" s="1"/>
  <c r="E237" i="16"/>
  <c r="E238" i="16" s="1"/>
  <c r="E207" i="16"/>
  <c r="I202" i="16"/>
  <c r="E204" i="16" s="1"/>
  <c r="E209" i="16" s="1"/>
  <c r="E210" i="16" s="1"/>
  <c r="G202" i="16"/>
  <c r="H201" i="16"/>
  <c r="J201" i="16" s="1"/>
  <c r="H200" i="16"/>
  <c r="E193" i="16"/>
  <c r="E194" i="16" s="1"/>
  <c r="H68" i="16"/>
  <c r="E163" i="16"/>
  <c r="I158" i="16"/>
  <c r="E160" i="16" s="1"/>
  <c r="E165" i="16" s="1"/>
  <c r="E166" i="16" s="1"/>
  <c r="G158" i="16"/>
  <c r="E149" i="16"/>
  <c r="E150" i="16" s="1"/>
  <c r="H25" i="16"/>
  <c r="J25" i="16" s="1"/>
  <c r="E119" i="16"/>
  <c r="I114" i="16"/>
  <c r="E116" i="16" s="1"/>
  <c r="E121" i="16" s="1"/>
  <c r="E122" i="16" s="1"/>
  <c r="G114" i="16"/>
  <c r="E105" i="16"/>
  <c r="E106" i="16" s="1"/>
  <c r="E75" i="16"/>
  <c r="I70" i="16"/>
  <c r="G70" i="16"/>
  <c r="E31" i="16"/>
  <c r="I26" i="16"/>
  <c r="E28" i="16" s="1"/>
  <c r="E33" i="16" s="1"/>
  <c r="E34" i="16" s="1"/>
  <c r="G26" i="16"/>
  <c r="H69" i="15"/>
  <c r="H113" i="15"/>
  <c r="J113" i="15" s="1"/>
  <c r="E119" i="15"/>
  <c r="I114" i="15"/>
  <c r="E116" i="15" s="1"/>
  <c r="E121" i="15" s="1"/>
  <c r="E122" i="15" s="1"/>
  <c r="G114" i="15"/>
  <c r="H112" i="15"/>
  <c r="H24" i="16" s="1"/>
  <c r="H68" i="15"/>
  <c r="E75" i="15"/>
  <c r="I70" i="15"/>
  <c r="E72" i="15" s="1"/>
  <c r="E77" i="15" s="1"/>
  <c r="E78" i="15" s="1"/>
  <c r="G70" i="15"/>
  <c r="J69" i="15"/>
  <c r="J68" i="15"/>
  <c r="J70" i="15" s="1"/>
  <c r="E116" i="17" l="1"/>
  <c r="E121" i="17" s="1"/>
  <c r="E122" i="17" s="1"/>
  <c r="E105" i="17"/>
  <c r="E106" i="17" s="1"/>
  <c r="J25" i="17"/>
  <c r="H68" i="17"/>
  <c r="H26" i="17"/>
  <c r="J24" i="17"/>
  <c r="J26" i="17" s="1"/>
  <c r="E292" i="16"/>
  <c r="E297" i="16" s="1"/>
  <c r="E298" i="16" s="1"/>
  <c r="E281" i="16"/>
  <c r="E282" i="16" s="1"/>
  <c r="H290" i="16"/>
  <c r="J288" i="16"/>
  <c r="J290" i="16" s="1"/>
  <c r="H246" i="16"/>
  <c r="J244" i="16"/>
  <c r="J246" i="16" s="1"/>
  <c r="H202" i="16"/>
  <c r="J200" i="16"/>
  <c r="J202" i="16" s="1"/>
  <c r="E72" i="16"/>
  <c r="E77" i="16" s="1"/>
  <c r="E78" i="16" s="1"/>
  <c r="E61" i="16"/>
  <c r="E62" i="16" s="1"/>
  <c r="J24" i="16"/>
  <c r="J26" i="16" s="1"/>
  <c r="H26" i="16"/>
  <c r="H70" i="15"/>
  <c r="E17" i="16"/>
  <c r="E18" i="16" s="1"/>
  <c r="H69" i="16"/>
  <c r="E105" i="15"/>
  <c r="E106" i="15" s="1"/>
  <c r="H114" i="15"/>
  <c r="J112" i="15"/>
  <c r="J114" i="15" s="1"/>
  <c r="E61" i="15"/>
  <c r="E62" i="15" s="1"/>
  <c r="J24" i="15"/>
  <c r="E31" i="15"/>
  <c r="I26" i="15"/>
  <c r="E17" i="15" s="1"/>
  <c r="E18" i="15" s="1"/>
  <c r="G26" i="15"/>
  <c r="J69" i="17" l="1"/>
  <c r="J68" i="17"/>
  <c r="H70" i="17"/>
  <c r="J69" i="16"/>
  <c r="H70" i="16"/>
  <c r="H113" i="16"/>
  <c r="J113" i="16"/>
  <c r="H157" i="16"/>
  <c r="H112" i="16"/>
  <c r="H156" i="16" s="1"/>
  <c r="J156" i="16" s="1"/>
  <c r="J68" i="16"/>
  <c r="J70" i="16" s="1"/>
  <c r="H114" i="16"/>
  <c r="J112" i="16"/>
  <c r="H26" i="15"/>
  <c r="J25" i="15"/>
  <c r="J26" i="15" s="1"/>
  <c r="E28" i="15"/>
  <c r="E33" i="15" s="1"/>
  <c r="E34" i="15" s="1"/>
  <c r="H157" i="17" l="1"/>
  <c r="J113" i="17"/>
  <c r="H156" i="17"/>
  <c r="J112" i="17"/>
  <c r="H114" i="17"/>
  <c r="J70" i="17"/>
  <c r="J114" i="16"/>
  <c r="H158" i="16"/>
  <c r="J157" i="16"/>
  <c r="J158" i="16" s="1"/>
  <c r="J114" i="17" l="1"/>
  <c r="J157" i="17"/>
  <c r="H201" i="17"/>
  <c r="H158" i="17"/>
  <c r="J156" i="17"/>
  <c r="H200" i="17"/>
  <c r="J158" i="17" l="1"/>
  <c r="H245" i="17"/>
  <c r="J201" i="17"/>
  <c r="J200" i="17"/>
  <c r="H202" i="17"/>
  <c r="H244" i="17"/>
  <c r="J202" i="17" l="1"/>
  <c r="H289" i="17"/>
  <c r="J289" i="17" s="1"/>
  <c r="J245" i="17"/>
  <c r="H246" i="17"/>
  <c r="J244" i="17"/>
  <c r="H288" i="17"/>
  <c r="J246" i="17" l="1"/>
  <c r="J288" i="17"/>
  <c r="J290" i="17" s="1"/>
  <c r="H290" i="17"/>
</calcChain>
</file>

<file path=xl/sharedStrings.xml><?xml version="1.0" encoding="utf-8"?>
<sst xmlns="http://schemas.openxmlformats.org/spreadsheetml/2006/main" count="884" uniqueCount="59">
  <si>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</si>
  <si>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</si>
  <si>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</si>
  <si>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</si>
  <si>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</si>
  <si>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</si>
  <si>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</si>
  <si>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</si>
  <si>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</si>
  <si>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</si>
  <si>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</si>
  <si>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</si>
  <si>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</si>
  <si>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</si>
  <si>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</si>
  <si>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</si>
  <si>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</si>
  <si>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</si>
  <si>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</si>
  <si>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</si>
  <si>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</si>
  <si>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</si>
  <si>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</si>
  <si>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</si>
  <si>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</si>
  <si>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</si>
  <si>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</si>
  <si>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</si>
  <si>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</si>
  <si>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</si>
  <si>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</si>
  <si>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</si>
  <si>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</si>
  <si>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Honor Tenaga Kontrak dan Harian Lepas</t>
  </si>
  <si>
    <t>Honor Tenaga Harian Lepas</t>
  </si>
  <si>
    <t>IRNA WAHYUNI N.</t>
  </si>
  <si>
    <t>PERUMDA PASAR BANJARMASIN</t>
  </si>
  <si>
    <t>Honor Tenaga Outsourcing/Kontrak</t>
  </si>
  <si>
    <t>Banjarmasin, 05 Januari 2026</t>
  </si>
  <si>
    <r>
      <t>Nomor : 74/DIV-KEU/PPB/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</si>
  <si>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Januari 2026</t>
  </si>
  <si>
    <r>
      <t>Nomor : 75/DIV-KEU/PPB/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</si>
  <si>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Februari 2026</t>
  </si>
  <si>
    <r>
      <t>Nomor : 29/DIV-KEU/PPB/I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</si>
  <si>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119/DIV-KEU/PPB/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</si>
  <si>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051/DIV-KEU/PPB/I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</si>
  <si>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Februari 2026</t>
  </si>
  <si>
    <t>Banjarmasin, 20 Februari 2026</t>
  </si>
  <si>
    <r>
      <t>Nomor : 085/DIV-KEU/PPB/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</si>
  <si>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032/DIV-KEU/PPB/I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</si>
  <si>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094D/DIV-KEU/PPB/I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</si>
  <si>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24 Februari 2026</t>
  </si>
  <si>
    <r>
      <t>Nomor : 094E/DIV-KEU/PPB/I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</si>
  <si>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</si>
  <si>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017/DIV-KEU/PPB/II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</si>
  <si>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Maret 2026</t>
  </si>
  <si>
    <r>
      <t>Nomor : 046/DIV-KEU/PPB/II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</si>
  <si>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25 Maret 2026</t>
  </si>
  <si>
    <r>
      <t>Nomor : 050B/DIV-KEU/PPB/I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</si>
</sst>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9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88</xdr:row>
      <xdr:rowOff>9525</xdr:rowOff>
    </xdr:from>
    <xdr:to>
      <xdr:col>9</xdr:col>
      <xdr:colOff>1162051</xdr:colOff>
      <xdr:row>97</xdr:row>
      <xdr:rowOff>56721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E1CA28-4E55-45C4-ACE0-50B356BFF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3077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53</xdr:row>
      <xdr:rowOff>56721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B096BC-44CB-46AB-9FCB-3C90F866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015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9</xdr:row>
      <xdr:rowOff>75772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4BEE4-B49F-4301-B44F-98E98EF9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5189C1-8ACE-4BEF-A65A-8F2D77AF8993}"/>
            </a:ext>
          </a:extLst>
        </xdr:cNvPr>
        <xdr:cNvCxnSpPr/>
      </xdr:nvCxnSpPr>
      <xdr:spPr>
        <a:xfrm>
          <a:off x="19050" y="12096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7A67F13-884B-4610-A72B-5E5E588E1E62}"/>
            </a:ext>
          </a:extLst>
        </xdr:cNvPr>
        <xdr:cNvCxnSpPr/>
      </xdr:nvCxnSpPr>
      <xdr:spPr>
        <a:xfrm>
          <a:off x="19050" y="12096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E6BB2BF-4197-4901-A98C-3915477F4352}"/>
            </a:ext>
          </a:extLst>
        </xdr:cNvPr>
        <xdr:cNvCxnSpPr/>
      </xdr:nvCxnSpPr>
      <xdr:spPr>
        <a:xfrm>
          <a:off x="19050" y="1002030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264</xdr:row>
      <xdr:rowOff>9525</xdr:rowOff>
    </xdr:from>
    <xdr:to>
      <xdr:col>9</xdr:col>
      <xdr:colOff>1162051</xdr:colOff>
      <xdr:row>273</xdr:row>
      <xdr:rowOff>56721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D391F4-06B0-4B91-AFA8-C8C047DC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287327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220</xdr:row>
      <xdr:rowOff>9525</xdr:rowOff>
    </xdr:from>
    <xdr:to>
      <xdr:col>9</xdr:col>
      <xdr:colOff>1162051</xdr:colOff>
      <xdr:row>229</xdr:row>
      <xdr:rowOff>56721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D9CC5-17FD-4A62-8992-A1D1D8A6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406265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176</xdr:row>
      <xdr:rowOff>9525</xdr:rowOff>
    </xdr:from>
    <xdr:to>
      <xdr:col>9</xdr:col>
      <xdr:colOff>1162051</xdr:colOff>
      <xdr:row>185</xdr:row>
      <xdr:rowOff>56721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B8132A4-939B-479B-BFF9-FCE83CF7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525202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132</xdr:row>
      <xdr:rowOff>9525</xdr:rowOff>
    </xdr:from>
    <xdr:to>
      <xdr:col>9</xdr:col>
      <xdr:colOff>1162051</xdr:colOff>
      <xdr:row>141</xdr:row>
      <xdr:rowOff>56721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8D6469-03FB-4571-B516-AE657FBC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44140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88</xdr:row>
      <xdr:rowOff>9525</xdr:rowOff>
    </xdr:from>
    <xdr:to>
      <xdr:col>9</xdr:col>
      <xdr:colOff>1162051</xdr:colOff>
      <xdr:row>97</xdr:row>
      <xdr:rowOff>56721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F90D8-4E3B-4A62-B996-BF9DF8085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3077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53</xdr:row>
      <xdr:rowOff>56721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1C4D6C-7F5D-414A-869A-9A0081A0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015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9</xdr:row>
      <xdr:rowOff>75772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E7C8C5-7978-4CC9-B404-99CEF714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98B041C-1556-4FFB-9429-75FF39F62E6A}"/>
            </a:ext>
          </a:extLst>
        </xdr:cNvPr>
        <xdr:cNvCxnSpPr/>
      </xdr:nvCxnSpPr>
      <xdr:spPr>
        <a:xfrm>
          <a:off x="19050" y="12096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4236C92-CA31-4DE3-938F-DC98DEF29695}"/>
            </a:ext>
          </a:extLst>
        </xdr:cNvPr>
        <xdr:cNvCxnSpPr/>
      </xdr:nvCxnSpPr>
      <xdr:spPr>
        <a:xfrm>
          <a:off x="19050" y="1002030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586B5DD-3D3F-420D-90DF-0159715050D6}"/>
            </a:ext>
          </a:extLst>
        </xdr:cNvPr>
        <xdr:cNvCxnSpPr/>
      </xdr:nvCxnSpPr>
      <xdr:spPr>
        <a:xfrm>
          <a:off x="19050" y="1883092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9E95DE-7786-43D8-9180-17C877AAAC78}"/>
            </a:ext>
          </a:extLst>
        </xdr:cNvPr>
        <xdr:cNvCxnSpPr/>
      </xdr:nvCxnSpPr>
      <xdr:spPr>
        <a:xfrm>
          <a:off x="19050" y="1883092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182</xdr:row>
      <xdr:rowOff>47625</xdr:rowOff>
    </xdr:from>
    <xdr:to>
      <xdr:col>9</xdr:col>
      <xdr:colOff>1162050</xdr:colOff>
      <xdr:row>182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429E85E-1259-4FD5-8091-D950ACD48643}"/>
            </a:ext>
          </a:extLst>
        </xdr:cNvPr>
        <xdr:cNvCxnSpPr/>
      </xdr:nvCxnSpPr>
      <xdr:spPr>
        <a:xfrm>
          <a:off x="19050" y="2764155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226</xdr:row>
      <xdr:rowOff>47625</xdr:rowOff>
    </xdr:from>
    <xdr:to>
      <xdr:col>9</xdr:col>
      <xdr:colOff>1162050</xdr:colOff>
      <xdr:row>226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9D4CD68-13EB-4A40-B0CF-C4FF1A981845}"/>
            </a:ext>
          </a:extLst>
        </xdr:cNvPr>
        <xdr:cNvCxnSpPr/>
      </xdr:nvCxnSpPr>
      <xdr:spPr>
        <a:xfrm>
          <a:off x="19050" y="364521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270</xdr:row>
      <xdr:rowOff>47625</xdr:rowOff>
    </xdr:from>
    <xdr:to>
      <xdr:col>9</xdr:col>
      <xdr:colOff>1162050</xdr:colOff>
      <xdr:row>270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421D6D5-5FBD-4723-9B2C-069F93D33948}"/>
            </a:ext>
          </a:extLst>
        </xdr:cNvPr>
        <xdr:cNvCxnSpPr/>
      </xdr:nvCxnSpPr>
      <xdr:spPr>
        <a:xfrm>
          <a:off x="19050" y="4526280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264</xdr:row>
      <xdr:rowOff>9525</xdr:rowOff>
    </xdr:from>
    <xdr:to>
      <xdr:col>9</xdr:col>
      <xdr:colOff>1162051</xdr:colOff>
      <xdr:row>273</xdr:row>
      <xdr:rowOff>56721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11D72-0ED9-4BF7-BB2D-26A05946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287327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220</xdr:row>
      <xdr:rowOff>9525</xdr:rowOff>
    </xdr:from>
    <xdr:to>
      <xdr:col>9</xdr:col>
      <xdr:colOff>1162051</xdr:colOff>
      <xdr:row>229</xdr:row>
      <xdr:rowOff>56721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24540A-1526-4CB0-9388-132D8D58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406265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176</xdr:row>
      <xdr:rowOff>9525</xdr:rowOff>
    </xdr:from>
    <xdr:to>
      <xdr:col>9</xdr:col>
      <xdr:colOff>1162051</xdr:colOff>
      <xdr:row>185</xdr:row>
      <xdr:rowOff>56721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08C291-4DC7-4574-9D2B-0DBF6987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525202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132</xdr:row>
      <xdr:rowOff>9525</xdr:rowOff>
    </xdr:from>
    <xdr:to>
      <xdr:col>9</xdr:col>
      <xdr:colOff>1162051</xdr:colOff>
      <xdr:row>141</xdr:row>
      <xdr:rowOff>56721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22610B-6ABE-4D8B-9E8E-B11C697F7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44140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88</xdr:row>
      <xdr:rowOff>9525</xdr:rowOff>
    </xdr:from>
    <xdr:to>
      <xdr:col>9</xdr:col>
      <xdr:colOff>1162051</xdr:colOff>
      <xdr:row>97</xdr:row>
      <xdr:rowOff>56721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D7B5D-0A79-451D-B56A-C3ED19083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30775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53</xdr:row>
      <xdr:rowOff>56721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C2D48F-B7FC-43C3-B074-986EF78A2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0150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9</xdr:row>
      <xdr:rowOff>75772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A2237C-700B-4CB3-A8D6-1442D61C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800976" cy="1780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46BF9C3-2246-4EFA-B5EB-98A6C3F7DE1B}"/>
            </a:ext>
          </a:extLst>
        </xdr:cNvPr>
        <xdr:cNvCxnSpPr/>
      </xdr:nvCxnSpPr>
      <xdr:spPr>
        <a:xfrm>
          <a:off x="19050" y="12096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1B83FCC-DA1F-409A-B473-7EC50B650A4B}"/>
            </a:ext>
          </a:extLst>
        </xdr:cNvPr>
        <xdr:cNvCxnSpPr/>
      </xdr:nvCxnSpPr>
      <xdr:spPr>
        <a:xfrm>
          <a:off x="19050" y="1002030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EB6999E-D253-4E47-AAA5-EDC6313BAC98}"/>
            </a:ext>
          </a:extLst>
        </xdr:cNvPr>
        <xdr:cNvCxnSpPr/>
      </xdr:nvCxnSpPr>
      <xdr:spPr>
        <a:xfrm>
          <a:off x="19050" y="1883092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7F42CE5-3FFD-4058-B7AA-BF630E22450E}"/>
            </a:ext>
          </a:extLst>
        </xdr:cNvPr>
        <xdr:cNvCxnSpPr/>
      </xdr:nvCxnSpPr>
      <xdr:spPr>
        <a:xfrm>
          <a:off x="19050" y="2764155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182</xdr:row>
      <xdr:rowOff>47625</xdr:rowOff>
    </xdr:from>
    <xdr:to>
      <xdr:col>9</xdr:col>
      <xdr:colOff>1162050</xdr:colOff>
      <xdr:row>182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9B09ADB-446F-48EC-BCCA-1CE2B531A29E}"/>
            </a:ext>
          </a:extLst>
        </xdr:cNvPr>
        <xdr:cNvCxnSpPr/>
      </xdr:nvCxnSpPr>
      <xdr:spPr>
        <a:xfrm>
          <a:off x="19050" y="3645217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226</xdr:row>
      <xdr:rowOff>47625</xdr:rowOff>
    </xdr:from>
    <xdr:to>
      <xdr:col>9</xdr:col>
      <xdr:colOff>1162050</xdr:colOff>
      <xdr:row>226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14317D5-3100-4936-8A9C-CD018EC4CB64}"/>
            </a:ext>
          </a:extLst>
        </xdr:cNvPr>
        <xdr:cNvCxnSpPr/>
      </xdr:nvCxnSpPr>
      <xdr:spPr>
        <a:xfrm>
          <a:off x="19050" y="45262800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270</xdr:row>
      <xdr:rowOff>47625</xdr:rowOff>
    </xdr:from>
    <xdr:to>
      <xdr:col>9</xdr:col>
      <xdr:colOff>1162050</xdr:colOff>
      <xdr:row>270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44F61A3-3331-4A9F-ADCB-7D2CA78D72E3}"/>
            </a:ext>
          </a:extLst>
        </xdr:cNvPr>
        <xdr:cNvCxnSpPr/>
      </xdr:nvCxnSpPr>
      <xdr:spPr>
        <a:xfrm>
          <a:off x="19050" y="54073425"/>
          <a:ext cx="78009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B9CB-D9D2-4C81-815A-77B00A50FF33}">
  <dimension ref="A1:V131"/>
  <sheetViews>
    <sheetView view="pageBreakPreview" topLeftCell="A109" zoomScaleNormal="100" zoomScaleSheetLayoutView="100" workbookViewId="0">
      <selection activeCell="J43" sqref="A1:J43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5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30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44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36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25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250000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448560000</v>
      </c>
      <c r="H24" s="46">
        <v>0</v>
      </c>
      <c r="I24" s="36">
        <v>250000</v>
      </c>
      <c r="J24" s="37">
        <f t="shared" ref="J24:J25" si="0">G24-H24-I24</f>
        <v>448310000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34</v>
      </c>
      <c r="D25" s="8"/>
      <c r="E25" s="45"/>
      <c r="F25" s="39"/>
      <c r="G25" s="52">
        <v>2687040000</v>
      </c>
      <c r="H25" s="46">
        <v>0</v>
      </c>
      <c r="I25" s="36">
        <v>0</v>
      </c>
      <c r="J25" s="37">
        <f t="shared" si="0"/>
        <v>2687040000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3135600000</v>
      </c>
      <c r="H26" s="18">
        <f>SUM(H23:H25)</f>
        <v>0</v>
      </c>
      <c r="I26" s="18">
        <f>SUM(I23:I25)</f>
        <v>250000</v>
      </c>
      <c r="J26" s="18">
        <f>SUM(J23:J25)</f>
        <v>3135350000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3" t="s">
        <v>14</v>
      </c>
      <c r="B28" s="63"/>
      <c r="C28" s="63"/>
      <c r="D28" s="33" t="s">
        <v>12</v>
      </c>
      <c r="E28" s="44">
        <f>I26</f>
        <v>250000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3" t="s">
        <v>15</v>
      </c>
      <c r="B33" s="63"/>
      <c r="C33" s="63"/>
      <c r="D33" s="33" t="s">
        <v>12</v>
      </c>
      <c r="E33" s="38">
        <f>E28-E31</f>
        <v>250000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38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35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4" t="s">
        <v>30</v>
      </c>
      <c r="B52" s="64"/>
      <c r="C52" s="65"/>
      <c r="D52" s="65"/>
      <c r="E52" s="65"/>
      <c r="F52" s="65"/>
      <c r="G52" s="65"/>
      <c r="H52" s="65"/>
      <c r="I52" s="65"/>
      <c r="J52" s="65"/>
    </row>
    <row r="53" spans="1:10" x14ac:dyDescent="0.25">
      <c r="A53" s="65" t="s">
        <v>39</v>
      </c>
      <c r="B53" s="65"/>
      <c r="C53" s="65"/>
      <c r="D53" s="65"/>
      <c r="E53" s="65"/>
      <c r="F53" s="65"/>
      <c r="G53" s="65"/>
      <c r="H53" s="65"/>
      <c r="I53" s="65"/>
      <c r="J53" s="65"/>
    </row>
    <row r="54" spans="1:10" x14ac:dyDescent="0.25">
      <c r="A54" s="65" t="s">
        <v>13</v>
      </c>
      <c r="B54" s="65"/>
      <c r="C54" s="65"/>
      <c r="D54" s="65"/>
      <c r="E54" s="65"/>
      <c r="F54" s="65"/>
      <c r="G54" s="65"/>
      <c r="H54" s="65"/>
      <c r="I54" s="65"/>
      <c r="J54" s="65"/>
    </row>
    <row r="55" spans="1:10" x14ac:dyDescent="0.25">
      <c r="A55" s="65" t="s">
        <v>36</v>
      </c>
      <c r="B55" s="65"/>
      <c r="C55" s="65"/>
      <c r="D55" s="65"/>
      <c r="E55" s="65"/>
      <c r="F55" s="65"/>
      <c r="G55" s="65"/>
      <c r="H55" s="65"/>
      <c r="I55" s="65"/>
      <c r="J55" s="65"/>
    </row>
    <row r="56" spans="1:10" x14ac:dyDescent="0.25">
      <c r="A56" s="65" t="s">
        <v>25</v>
      </c>
      <c r="B56" s="65"/>
      <c r="C56" s="65"/>
      <c r="D56" s="65"/>
      <c r="E56" s="65"/>
      <c r="F56" s="65"/>
      <c r="G56" s="65"/>
      <c r="H56" s="65"/>
      <c r="I56" s="65"/>
      <c r="J56" s="65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3" t="s">
        <v>18</v>
      </c>
      <c r="B58" s="53"/>
      <c r="C58" s="53"/>
      <c r="D58" s="40" t="s">
        <v>12</v>
      </c>
      <c r="E58" s="8" t="s">
        <v>31</v>
      </c>
      <c r="H58" s="9"/>
      <c r="I58" s="9"/>
      <c r="J58" s="10"/>
    </row>
    <row r="59" spans="1:10" x14ac:dyDescent="0.25">
      <c r="A59" s="53" t="s">
        <v>19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20</v>
      </c>
      <c r="B60" s="53"/>
      <c r="C60" s="53"/>
      <c r="D60" s="40" t="s">
        <v>12</v>
      </c>
      <c r="E60" s="47">
        <v>2026</v>
      </c>
      <c r="H60" s="9"/>
      <c r="I60" s="9"/>
      <c r="J60" s="10"/>
    </row>
    <row r="61" spans="1:10" x14ac:dyDescent="0.25">
      <c r="A61" s="53" t="s">
        <v>21</v>
      </c>
      <c r="B61" s="53"/>
      <c r="C61" s="53"/>
      <c r="D61" s="40" t="s">
        <v>12</v>
      </c>
      <c r="E61" s="44">
        <f>I70</f>
        <v>179780125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40" t="s">
        <v>12</v>
      </c>
      <c r="E62" s="51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Juta Tujuh Ratus Delapan Puluh Ribu Seratus Dua Puluh Lima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1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6" t="s">
        <v>2</v>
      </c>
      <c r="B65" s="66"/>
      <c r="C65" s="66"/>
      <c r="D65" s="66"/>
      <c r="E65" s="66"/>
      <c r="F65" s="66"/>
      <c r="G65" s="66"/>
      <c r="H65" s="66"/>
      <c r="I65" s="66"/>
      <c r="J65" s="66"/>
    </row>
    <row r="66" spans="1:10" ht="45" x14ac:dyDescent="0.25">
      <c r="A66" s="12" t="s">
        <v>3</v>
      </c>
      <c r="B66" s="58" t="s">
        <v>22</v>
      </c>
      <c r="C66" s="60" t="s">
        <v>4</v>
      </c>
      <c r="D66" s="61"/>
      <c r="E66" s="62"/>
      <c r="F66" s="50"/>
      <c r="G66" s="41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59">
        <v>1</v>
      </c>
      <c r="B67" s="48"/>
      <c r="C67" s="55" t="s">
        <v>33</v>
      </c>
      <c r="D67" s="57"/>
      <c r="E67" s="45"/>
      <c r="F67" s="39"/>
      <c r="G67" s="56" t="s">
        <v>29</v>
      </c>
      <c r="H67" s="56" t="s">
        <v>29</v>
      </c>
      <c r="I67" s="56" t="s">
        <v>29</v>
      </c>
      <c r="J67" s="56" t="s">
        <v>29</v>
      </c>
    </row>
    <row r="68" spans="1:10" x14ac:dyDescent="0.25">
      <c r="A68" s="48"/>
      <c r="B68" s="48" t="s">
        <v>23</v>
      </c>
      <c r="C68" s="39" t="s">
        <v>37</v>
      </c>
      <c r="D68" s="8"/>
      <c r="E68" s="45"/>
      <c r="F68" s="39"/>
      <c r="G68" s="52">
        <v>448560000</v>
      </c>
      <c r="H68" s="46">
        <f>H24+I24</f>
        <v>250000</v>
      </c>
      <c r="I68" s="36">
        <v>0</v>
      </c>
      <c r="J68" s="37">
        <f t="shared" ref="J68:J69" si="1">G68-H68-I68</f>
        <v>448310000</v>
      </c>
    </row>
    <row r="69" spans="1:10" x14ac:dyDescent="0.25">
      <c r="A69" s="48"/>
      <c r="B69" s="48" t="s">
        <v>24</v>
      </c>
      <c r="C69" s="39" t="s">
        <v>34</v>
      </c>
      <c r="D69" s="8"/>
      <c r="E69" s="45"/>
      <c r="F69" s="39"/>
      <c r="G69" s="52">
        <v>2687040000</v>
      </c>
      <c r="H69" s="46">
        <f>H25+I25</f>
        <v>0</v>
      </c>
      <c r="I69" s="36">
        <v>179780125</v>
      </c>
      <c r="J69" s="37">
        <f t="shared" si="1"/>
        <v>2507259875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3135600000</v>
      </c>
      <c r="H70" s="18">
        <f>SUM(H67:H69)</f>
        <v>250000</v>
      </c>
      <c r="I70" s="18">
        <f>SUM(I67:I69)</f>
        <v>179780125</v>
      </c>
      <c r="J70" s="18">
        <f>SUM(J67:J69)</f>
        <v>2955569875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3" t="s">
        <v>14</v>
      </c>
      <c r="B72" s="63"/>
      <c r="C72" s="63"/>
      <c r="D72" s="33" t="s">
        <v>12</v>
      </c>
      <c r="E72" s="44">
        <f>I70</f>
        <v>179780125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3" t="s">
        <v>15</v>
      </c>
      <c r="B77" s="63"/>
      <c r="C77" s="63"/>
      <c r="D77" s="33" t="s">
        <v>12</v>
      </c>
      <c r="E77" s="38">
        <f>E72-E75</f>
        <v>179780125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1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Sembilan Juta Tujuh Ratus Delapan Puluh Ribu Seratus Dua Puluh Lima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40</v>
      </c>
      <c r="J81" s="24"/>
    </row>
    <row r="82" spans="1:10" x14ac:dyDescent="0.25">
      <c r="A82" s="9" t="s">
        <v>27</v>
      </c>
      <c r="B82" s="9"/>
      <c r="C82" s="8"/>
      <c r="D82" s="8"/>
      <c r="E82" s="8"/>
      <c r="F82" s="8"/>
      <c r="G82" s="8"/>
      <c r="I82" s="9" t="s">
        <v>26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35</v>
      </c>
      <c r="B87" s="28"/>
      <c r="C87" s="27"/>
      <c r="D87" s="27"/>
      <c r="E87" s="27"/>
      <c r="F87" s="27"/>
      <c r="G87" s="8" t="s">
        <v>11</v>
      </c>
      <c r="I87" s="28" t="s">
        <v>28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4" t="s">
        <v>30</v>
      </c>
      <c r="B96" s="64"/>
      <c r="C96" s="65"/>
      <c r="D96" s="65"/>
      <c r="E96" s="65"/>
      <c r="F96" s="65"/>
      <c r="G96" s="65"/>
      <c r="H96" s="65"/>
      <c r="I96" s="65"/>
      <c r="J96" s="65"/>
    </row>
    <row r="97" spans="1:10" x14ac:dyDescent="0.25">
      <c r="A97" s="65" t="s">
        <v>41</v>
      </c>
      <c r="B97" s="65"/>
      <c r="C97" s="65"/>
      <c r="D97" s="65"/>
      <c r="E97" s="65"/>
      <c r="F97" s="65"/>
      <c r="G97" s="65"/>
      <c r="H97" s="65"/>
      <c r="I97" s="65"/>
      <c r="J97" s="65"/>
    </row>
    <row r="98" spans="1:10" x14ac:dyDescent="0.25">
      <c r="A98" s="65" t="s">
        <v>13</v>
      </c>
      <c r="B98" s="65"/>
      <c r="C98" s="65"/>
      <c r="D98" s="65"/>
      <c r="E98" s="65"/>
      <c r="F98" s="65"/>
      <c r="G98" s="65"/>
      <c r="H98" s="65"/>
      <c r="I98" s="65"/>
      <c r="J98" s="65"/>
    </row>
    <row r="99" spans="1:10" x14ac:dyDescent="0.25">
      <c r="A99" s="65" t="s">
        <v>36</v>
      </c>
      <c r="B99" s="65"/>
      <c r="C99" s="65"/>
      <c r="D99" s="65"/>
      <c r="E99" s="65"/>
      <c r="F99" s="65"/>
      <c r="G99" s="65"/>
      <c r="H99" s="65"/>
      <c r="I99" s="65"/>
      <c r="J99" s="65"/>
    </row>
    <row r="100" spans="1:10" x14ac:dyDescent="0.25">
      <c r="A100" s="65" t="s">
        <v>25</v>
      </c>
      <c r="B100" s="65"/>
      <c r="C100" s="65"/>
      <c r="D100" s="65"/>
      <c r="E100" s="65"/>
      <c r="F100" s="65"/>
      <c r="G100" s="65"/>
      <c r="H100" s="65"/>
      <c r="I100" s="65"/>
      <c r="J100" s="65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3" t="s">
        <v>18</v>
      </c>
      <c r="B102" s="53"/>
      <c r="C102" s="53"/>
      <c r="D102" s="40" t="s">
        <v>12</v>
      </c>
      <c r="E102" s="8" t="s">
        <v>31</v>
      </c>
      <c r="H102" s="9"/>
      <c r="I102" s="9"/>
      <c r="J102" s="10"/>
    </row>
    <row r="103" spans="1:10" x14ac:dyDescent="0.25">
      <c r="A103" s="53" t="s">
        <v>19</v>
      </c>
      <c r="B103" s="53"/>
      <c r="C103" s="53"/>
      <c r="D103" s="40" t="s">
        <v>12</v>
      </c>
      <c r="E103" s="8" t="s">
        <v>32</v>
      </c>
      <c r="H103" s="9"/>
      <c r="I103" s="9"/>
      <c r="J103" s="10"/>
    </row>
    <row r="104" spans="1:10" x14ac:dyDescent="0.25">
      <c r="A104" s="53" t="s">
        <v>20</v>
      </c>
      <c r="B104" s="53"/>
      <c r="C104" s="53"/>
      <c r="D104" s="40" t="s">
        <v>12</v>
      </c>
      <c r="E104" s="47">
        <v>2026</v>
      </c>
      <c r="H104" s="9"/>
      <c r="I104" s="9"/>
      <c r="J104" s="10"/>
    </row>
    <row r="105" spans="1:10" x14ac:dyDescent="0.25">
      <c r="A105" s="53" t="s">
        <v>21</v>
      </c>
      <c r="B105" s="53"/>
      <c r="C105" s="53"/>
      <c r="D105" s="40" t="s">
        <v>12</v>
      </c>
      <c r="E105" s="44">
        <f>I114</f>
        <v>2431128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40" t="s">
        <v>12</v>
      </c>
      <c r="E106" s="51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Empat Ratus Tiga Puluh Satu Ribu Seratus Dua Puluh Delapan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1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6" t="s">
        <v>2</v>
      </c>
      <c r="B109" s="66"/>
      <c r="C109" s="66"/>
      <c r="D109" s="66"/>
      <c r="E109" s="66"/>
      <c r="F109" s="66"/>
      <c r="G109" s="66"/>
      <c r="H109" s="66"/>
      <c r="I109" s="66"/>
      <c r="J109" s="66"/>
    </row>
    <row r="110" spans="1:10" ht="45" x14ac:dyDescent="0.25">
      <c r="A110" s="12" t="s">
        <v>3</v>
      </c>
      <c r="B110" s="58" t="s">
        <v>22</v>
      </c>
      <c r="C110" s="60" t="s">
        <v>4</v>
      </c>
      <c r="D110" s="61"/>
      <c r="E110" s="62"/>
      <c r="F110" s="50"/>
      <c r="G110" s="41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59">
        <v>1</v>
      </c>
      <c r="B111" s="48"/>
      <c r="C111" s="55" t="s">
        <v>33</v>
      </c>
      <c r="D111" s="57"/>
      <c r="E111" s="45"/>
      <c r="F111" s="39"/>
      <c r="G111" s="56" t="s">
        <v>29</v>
      </c>
      <c r="H111" s="56" t="s">
        <v>29</v>
      </c>
      <c r="I111" s="56" t="s">
        <v>29</v>
      </c>
      <c r="J111" s="56" t="s">
        <v>29</v>
      </c>
    </row>
    <row r="112" spans="1:10" x14ac:dyDescent="0.25">
      <c r="A112" s="48"/>
      <c r="B112" s="48" t="s">
        <v>23</v>
      </c>
      <c r="C112" s="39" t="s">
        <v>37</v>
      </c>
      <c r="D112" s="8"/>
      <c r="E112" s="45"/>
      <c r="F112" s="39"/>
      <c r="G112" s="52">
        <v>448560000</v>
      </c>
      <c r="H112" s="46">
        <f>H68+I68</f>
        <v>250000</v>
      </c>
      <c r="I112" s="36">
        <v>2431128</v>
      </c>
      <c r="J112" s="37">
        <f t="shared" ref="J112:J113" si="2">G112-H112-I112</f>
        <v>445878872</v>
      </c>
    </row>
    <row r="113" spans="1:10" x14ac:dyDescent="0.25">
      <c r="A113" s="48"/>
      <c r="B113" s="48" t="s">
        <v>24</v>
      </c>
      <c r="C113" s="39" t="s">
        <v>34</v>
      </c>
      <c r="D113" s="8"/>
      <c r="E113" s="45"/>
      <c r="F113" s="39"/>
      <c r="G113" s="52">
        <v>2687040000</v>
      </c>
      <c r="H113" s="46">
        <f>H69+I69</f>
        <v>179780125</v>
      </c>
      <c r="I113" s="36">
        <v>0</v>
      </c>
      <c r="J113" s="37">
        <f t="shared" si="2"/>
        <v>2507259875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3135600000</v>
      </c>
      <c r="H114" s="18">
        <f>SUM(H111:H113)</f>
        <v>180030125</v>
      </c>
      <c r="I114" s="18">
        <f>SUM(I111:I113)</f>
        <v>2431128</v>
      </c>
      <c r="J114" s="18">
        <f>SUM(J111:J113)</f>
        <v>2953138747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3" t="s">
        <v>14</v>
      </c>
      <c r="B116" s="63"/>
      <c r="C116" s="63"/>
      <c r="D116" s="33" t="s">
        <v>12</v>
      </c>
      <c r="E116" s="44">
        <f>I114</f>
        <v>2431128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3" t="s">
        <v>15</v>
      </c>
      <c r="B121" s="63"/>
      <c r="C121" s="63"/>
      <c r="D121" s="33" t="s">
        <v>12</v>
      </c>
      <c r="E121" s="38">
        <f>E116-E119</f>
        <v>2431128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1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Empat Ratus Tiga Puluh Satu Ribu Seratus Dua Puluh Delapan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40</v>
      </c>
      <c r="J125" s="24"/>
    </row>
    <row r="126" spans="1:10" x14ac:dyDescent="0.25">
      <c r="A126" s="9" t="s">
        <v>27</v>
      </c>
      <c r="B126" s="9"/>
      <c r="C126" s="8"/>
      <c r="D126" s="8"/>
      <c r="E126" s="8"/>
      <c r="F126" s="8"/>
      <c r="G126" s="8"/>
      <c r="I126" s="9" t="s">
        <v>26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35</v>
      </c>
      <c r="B131" s="28"/>
      <c r="C131" s="27"/>
      <c r="D131" s="27"/>
      <c r="E131" s="27"/>
      <c r="F131" s="27"/>
      <c r="G131" s="8" t="s">
        <v>11</v>
      </c>
      <c r="I131" s="28" t="s">
        <v>28</v>
      </c>
      <c r="J131" s="24"/>
    </row>
  </sheetData>
  <mergeCells count="27">
    <mergeCell ref="C110:E110"/>
    <mergeCell ref="A116:C116"/>
    <mergeCell ref="A121:C121"/>
    <mergeCell ref="A97:J97"/>
    <mergeCell ref="A98:J98"/>
    <mergeCell ref="A99:J99"/>
    <mergeCell ref="A100:J100"/>
    <mergeCell ref="A109:J109"/>
    <mergeCell ref="A65:J65"/>
    <mergeCell ref="C66:E66"/>
    <mergeCell ref="A72:C72"/>
    <mergeCell ref="A77:C77"/>
    <mergeCell ref="A96:J96"/>
    <mergeCell ref="A52:J52"/>
    <mergeCell ref="A53:J53"/>
    <mergeCell ref="A54:J54"/>
    <mergeCell ref="A55:J55"/>
    <mergeCell ref="A56:J56"/>
    <mergeCell ref="C22:E22"/>
    <mergeCell ref="A28:C28"/>
    <mergeCell ref="A33:C33"/>
    <mergeCell ref="A21:J21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83" orientation="portrait" horizontalDpi="4294967293" r:id="rId1"/>
  <rowBreaks count="2" manualBreakCount="2">
    <brk id="44" max="9" man="1"/>
    <brk id="8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4C63-159E-4953-9DF9-0145DF95C4AA}">
  <dimension ref="A1:V307"/>
  <sheetViews>
    <sheetView view="pageBreakPreview" topLeftCell="A279" zoomScaleNormal="100" zoomScaleSheetLayoutView="100" workbookViewId="0">
      <selection activeCell="J307" sqref="A265:J307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5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30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43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36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25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250000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448560000</v>
      </c>
      <c r="H24" s="46">
        <f>JANUARI!H112+JANUARI!I112</f>
        <v>2681128</v>
      </c>
      <c r="I24" s="36">
        <v>0</v>
      </c>
      <c r="J24" s="37">
        <f t="shared" ref="J24:J25" si="0">G24-H24-I24</f>
        <v>445878872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34</v>
      </c>
      <c r="D25" s="8"/>
      <c r="E25" s="45"/>
      <c r="F25" s="39"/>
      <c r="G25" s="52">
        <v>2687040000</v>
      </c>
      <c r="H25" s="46">
        <f>JANUARI!H113+JANUARI!I113</f>
        <v>179780125</v>
      </c>
      <c r="I25" s="36">
        <v>250000</v>
      </c>
      <c r="J25" s="37">
        <f t="shared" si="0"/>
        <v>2507009875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3135600000</v>
      </c>
      <c r="H26" s="18">
        <f>SUM(H23:H25)</f>
        <v>182461253</v>
      </c>
      <c r="I26" s="18">
        <f>SUM(I23:I25)</f>
        <v>250000</v>
      </c>
      <c r="J26" s="18">
        <f>SUM(J23:J25)</f>
        <v>2952888747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3" t="s">
        <v>14</v>
      </c>
      <c r="B28" s="63"/>
      <c r="C28" s="63"/>
      <c r="D28" s="33" t="s">
        <v>12</v>
      </c>
      <c r="E28" s="44">
        <f>I26</f>
        <v>250000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3" t="s">
        <v>15</v>
      </c>
      <c r="B33" s="63"/>
      <c r="C33" s="63"/>
      <c r="D33" s="33" t="s">
        <v>12</v>
      </c>
      <c r="E33" s="38">
        <f>E28-E31</f>
        <v>250000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42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35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4" t="s">
        <v>30</v>
      </c>
      <c r="B52" s="64"/>
      <c r="C52" s="65"/>
      <c r="D52" s="65"/>
      <c r="E52" s="65"/>
      <c r="F52" s="65"/>
      <c r="G52" s="65"/>
      <c r="H52" s="65"/>
      <c r="I52" s="65"/>
      <c r="J52" s="65"/>
    </row>
    <row r="53" spans="1:10" x14ac:dyDescent="0.25">
      <c r="A53" s="65" t="s">
        <v>45</v>
      </c>
      <c r="B53" s="65"/>
      <c r="C53" s="65"/>
      <c r="D53" s="65"/>
      <c r="E53" s="65"/>
      <c r="F53" s="65"/>
      <c r="G53" s="65"/>
      <c r="H53" s="65"/>
      <c r="I53" s="65"/>
      <c r="J53" s="65"/>
    </row>
    <row r="54" spans="1:10" x14ac:dyDescent="0.25">
      <c r="A54" s="65" t="s">
        <v>13</v>
      </c>
      <c r="B54" s="65"/>
      <c r="C54" s="65"/>
      <c r="D54" s="65"/>
      <c r="E54" s="65"/>
      <c r="F54" s="65"/>
      <c r="G54" s="65"/>
      <c r="H54" s="65"/>
      <c r="I54" s="65"/>
      <c r="J54" s="65"/>
    </row>
    <row r="55" spans="1:10" x14ac:dyDescent="0.25">
      <c r="A55" s="65" t="s">
        <v>36</v>
      </c>
      <c r="B55" s="65"/>
      <c r="C55" s="65"/>
      <c r="D55" s="65"/>
      <c r="E55" s="65"/>
      <c r="F55" s="65"/>
      <c r="G55" s="65"/>
      <c r="H55" s="65"/>
      <c r="I55" s="65"/>
      <c r="J55" s="65"/>
    </row>
    <row r="56" spans="1:10" x14ac:dyDescent="0.25">
      <c r="A56" s="65" t="s">
        <v>25</v>
      </c>
      <c r="B56" s="65"/>
      <c r="C56" s="65"/>
      <c r="D56" s="65"/>
      <c r="E56" s="65"/>
      <c r="F56" s="65"/>
      <c r="G56" s="65"/>
      <c r="H56" s="65"/>
      <c r="I56" s="65"/>
      <c r="J56" s="65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3" t="s">
        <v>18</v>
      </c>
      <c r="B58" s="53"/>
      <c r="C58" s="53"/>
      <c r="D58" s="40" t="s">
        <v>12</v>
      </c>
      <c r="E58" s="8" t="s">
        <v>31</v>
      </c>
      <c r="H58" s="9"/>
      <c r="I58" s="9"/>
      <c r="J58" s="10"/>
    </row>
    <row r="59" spans="1:10" x14ac:dyDescent="0.25">
      <c r="A59" s="53" t="s">
        <v>19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20</v>
      </c>
      <c r="B60" s="53"/>
      <c r="C60" s="53"/>
      <c r="D60" s="40" t="s">
        <v>12</v>
      </c>
      <c r="E60" s="47">
        <v>2026</v>
      </c>
      <c r="H60" s="9"/>
      <c r="I60" s="9"/>
      <c r="J60" s="10"/>
    </row>
    <row r="61" spans="1:10" x14ac:dyDescent="0.25">
      <c r="A61" s="53" t="s">
        <v>21</v>
      </c>
      <c r="B61" s="53"/>
      <c r="C61" s="53"/>
      <c r="D61" s="40" t="s">
        <v>12</v>
      </c>
      <c r="E61" s="44">
        <f>I70</f>
        <v>600000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40" t="s">
        <v>12</v>
      </c>
      <c r="E62" s="51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1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6" t="s">
        <v>2</v>
      </c>
      <c r="B65" s="66"/>
      <c r="C65" s="66"/>
      <c r="D65" s="66"/>
      <c r="E65" s="66"/>
      <c r="F65" s="66"/>
      <c r="G65" s="66"/>
      <c r="H65" s="66"/>
      <c r="I65" s="66"/>
      <c r="J65" s="66"/>
    </row>
    <row r="66" spans="1:10" ht="45" x14ac:dyDescent="0.25">
      <c r="A66" s="12" t="s">
        <v>3</v>
      </c>
      <c r="B66" s="58" t="s">
        <v>22</v>
      </c>
      <c r="C66" s="60" t="s">
        <v>4</v>
      </c>
      <c r="D66" s="61"/>
      <c r="E66" s="62"/>
      <c r="F66" s="50"/>
      <c r="G66" s="41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59">
        <v>1</v>
      </c>
      <c r="B67" s="48"/>
      <c r="C67" s="55" t="s">
        <v>33</v>
      </c>
      <c r="D67" s="57"/>
      <c r="E67" s="45"/>
      <c r="F67" s="39"/>
      <c r="G67" s="56" t="s">
        <v>29</v>
      </c>
      <c r="H67" s="56" t="s">
        <v>29</v>
      </c>
      <c r="I67" s="56" t="s">
        <v>29</v>
      </c>
      <c r="J67" s="56" t="s">
        <v>29</v>
      </c>
    </row>
    <row r="68" spans="1:10" x14ac:dyDescent="0.25">
      <c r="A68" s="48"/>
      <c r="B68" s="48" t="s">
        <v>23</v>
      </c>
      <c r="C68" s="39" t="s">
        <v>37</v>
      </c>
      <c r="D68" s="8"/>
      <c r="E68" s="45"/>
      <c r="F68" s="39"/>
      <c r="G68" s="52">
        <v>448560000</v>
      </c>
      <c r="H68" s="46">
        <f>H24+I24</f>
        <v>2681128</v>
      </c>
      <c r="I68" s="36">
        <v>0</v>
      </c>
      <c r="J68" s="37">
        <f t="shared" ref="J68:J69" si="1">G68-H68-I68</f>
        <v>445878872</v>
      </c>
    </row>
    <row r="69" spans="1:10" x14ac:dyDescent="0.25">
      <c r="A69" s="48"/>
      <c r="B69" s="48" t="s">
        <v>24</v>
      </c>
      <c r="C69" s="39" t="s">
        <v>34</v>
      </c>
      <c r="D69" s="8"/>
      <c r="E69" s="45"/>
      <c r="F69" s="39"/>
      <c r="G69" s="52">
        <v>2687040000</v>
      </c>
      <c r="H69" s="46">
        <f>H25+I25</f>
        <v>180030125</v>
      </c>
      <c r="I69" s="36">
        <v>600000</v>
      </c>
      <c r="J69" s="37">
        <f t="shared" si="1"/>
        <v>2506409875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3135600000</v>
      </c>
      <c r="H70" s="18">
        <f>SUM(H67:H69)</f>
        <v>182711253</v>
      </c>
      <c r="I70" s="18">
        <f>SUM(I67:I69)</f>
        <v>600000</v>
      </c>
      <c r="J70" s="18">
        <f>SUM(J67:J69)</f>
        <v>2952288747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3" t="s">
        <v>14</v>
      </c>
      <c r="B72" s="63"/>
      <c r="C72" s="63"/>
      <c r="D72" s="33" t="s">
        <v>12</v>
      </c>
      <c r="E72" s="44">
        <f>I70</f>
        <v>600000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3" t="s">
        <v>15</v>
      </c>
      <c r="B77" s="63"/>
      <c r="C77" s="63"/>
      <c r="D77" s="33" t="s">
        <v>12</v>
      </c>
      <c r="E77" s="38">
        <f>E72-E75</f>
        <v>600000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1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46</v>
      </c>
      <c r="J81" s="24"/>
    </row>
    <row r="82" spans="1:10" x14ac:dyDescent="0.25">
      <c r="A82" s="9" t="s">
        <v>27</v>
      </c>
      <c r="B82" s="9"/>
      <c r="C82" s="8"/>
      <c r="D82" s="8"/>
      <c r="E82" s="8"/>
      <c r="F82" s="8"/>
      <c r="G82" s="8"/>
      <c r="I82" s="9" t="s">
        <v>26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35</v>
      </c>
      <c r="B87" s="28"/>
      <c r="C87" s="27"/>
      <c r="D87" s="27"/>
      <c r="E87" s="27"/>
      <c r="F87" s="27"/>
      <c r="G87" s="8" t="s">
        <v>11</v>
      </c>
      <c r="I87" s="28" t="s">
        <v>28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4" t="s">
        <v>30</v>
      </c>
      <c r="B96" s="64"/>
      <c r="C96" s="65"/>
      <c r="D96" s="65"/>
      <c r="E96" s="65"/>
      <c r="F96" s="65"/>
      <c r="G96" s="65"/>
      <c r="H96" s="65"/>
      <c r="I96" s="65"/>
      <c r="J96" s="65"/>
    </row>
    <row r="97" spans="1:10" x14ac:dyDescent="0.25">
      <c r="A97" s="65" t="s">
        <v>48</v>
      </c>
      <c r="B97" s="65"/>
      <c r="C97" s="65"/>
      <c r="D97" s="65"/>
      <c r="E97" s="65"/>
      <c r="F97" s="65"/>
      <c r="G97" s="65"/>
      <c r="H97" s="65"/>
      <c r="I97" s="65"/>
      <c r="J97" s="65"/>
    </row>
    <row r="98" spans="1:10" x14ac:dyDescent="0.25">
      <c r="A98" s="65" t="s">
        <v>13</v>
      </c>
      <c r="B98" s="65"/>
      <c r="C98" s="65"/>
      <c r="D98" s="65"/>
      <c r="E98" s="65"/>
      <c r="F98" s="65"/>
      <c r="G98" s="65"/>
      <c r="H98" s="65"/>
      <c r="I98" s="65"/>
      <c r="J98" s="65"/>
    </row>
    <row r="99" spans="1:10" x14ac:dyDescent="0.25">
      <c r="A99" s="65" t="s">
        <v>36</v>
      </c>
      <c r="B99" s="65"/>
      <c r="C99" s="65"/>
      <c r="D99" s="65"/>
      <c r="E99" s="65"/>
      <c r="F99" s="65"/>
      <c r="G99" s="65"/>
      <c r="H99" s="65"/>
      <c r="I99" s="65"/>
      <c r="J99" s="65"/>
    </row>
    <row r="100" spans="1:10" x14ac:dyDescent="0.25">
      <c r="A100" s="65" t="s">
        <v>25</v>
      </c>
      <c r="B100" s="65"/>
      <c r="C100" s="65"/>
      <c r="D100" s="65"/>
      <c r="E100" s="65"/>
      <c r="F100" s="65"/>
      <c r="G100" s="65"/>
      <c r="H100" s="65"/>
      <c r="I100" s="65"/>
      <c r="J100" s="65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3" t="s">
        <v>18</v>
      </c>
      <c r="B102" s="53"/>
      <c r="C102" s="53"/>
      <c r="D102" s="40" t="s">
        <v>12</v>
      </c>
      <c r="E102" s="8" t="s">
        <v>31</v>
      </c>
      <c r="H102" s="9"/>
      <c r="I102" s="9"/>
      <c r="J102" s="10"/>
    </row>
    <row r="103" spans="1:10" x14ac:dyDescent="0.25">
      <c r="A103" s="53" t="s">
        <v>19</v>
      </c>
      <c r="B103" s="53"/>
      <c r="C103" s="53"/>
      <c r="D103" s="40" t="s">
        <v>12</v>
      </c>
      <c r="E103" s="8" t="s">
        <v>32</v>
      </c>
      <c r="H103" s="9"/>
      <c r="I103" s="9"/>
      <c r="J103" s="10"/>
    </row>
    <row r="104" spans="1:10" x14ac:dyDescent="0.25">
      <c r="A104" s="53" t="s">
        <v>20</v>
      </c>
      <c r="B104" s="53"/>
      <c r="C104" s="53"/>
      <c r="D104" s="40" t="s">
        <v>12</v>
      </c>
      <c r="E104" s="47">
        <v>2026</v>
      </c>
      <c r="H104" s="9"/>
      <c r="I104" s="9"/>
      <c r="J104" s="10"/>
    </row>
    <row r="105" spans="1:10" x14ac:dyDescent="0.25">
      <c r="A105" s="53" t="s">
        <v>21</v>
      </c>
      <c r="B105" s="53"/>
      <c r="C105" s="53"/>
      <c r="D105" s="40" t="s">
        <v>12</v>
      </c>
      <c r="E105" s="44">
        <f>I114</f>
        <v>750000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40" t="s">
        <v>12</v>
      </c>
      <c r="E106" s="51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1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6" t="s">
        <v>2</v>
      </c>
      <c r="B109" s="66"/>
      <c r="C109" s="66"/>
      <c r="D109" s="66"/>
      <c r="E109" s="66"/>
      <c r="F109" s="66"/>
      <c r="G109" s="66"/>
      <c r="H109" s="66"/>
      <c r="I109" s="66"/>
      <c r="J109" s="66"/>
    </row>
    <row r="110" spans="1:10" ht="45" x14ac:dyDescent="0.25">
      <c r="A110" s="12" t="s">
        <v>3</v>
      </c>
      <c r="B110" s="58" t="s">
        <v>22</v>
      </c>
      <c r="C110" s="60" t="s">
        <v>4</v>
      </c>
      <c r="D110" s="61"/>
      <c r="E110" s="62"/>
      <c r="F110" s="50"/>
      <c r="G110" s="41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59">
        <v>1</v>
      </c>
      <c r="B111" s="48"/>
      <c r="C111" s="55" t="s">
        <v>33</v>
      </c>
      <c r="D111" s="57"/>
      <c r="E111" s="45"/>
      <c r="F111" s="39"/>
      <c r="G111" s="56" t="s">
        <v>29</v>
      </c>
      <c r="H111" s="56" t="s">
        <v>29</v>
      </c>
      <c r="I111" s="56" t="s">
        <v>29</v>
      </c>
      <c r="J111" s="56" t="s">
        <v>29</v>
      </c>
    </row>
    <row r="112" spans="1:10" x14ac:dyDescent="0.25">
      <c r="A112" s="48"/>
      <c r="B112" s="48" t="s">
        <v>23</v>
      </c>
      <c r="C112" s="39" t="s">
        <v>37</v>
      </c>
      <c r="D112" s="8"/>
      <c r="E112" s="45"/>
      <c r="F112" s="39"/>
      <c r="G112" s="52">
        <v>448560000</v>
      </c>
      <c r="H112" s="46">
        <f>H68+I68</f>
        <v>2681128</v>
      </c>
      <c r="I112" s="36">
        <v>0</v>
      </c>
      <c r="J112" s="37">
        <f t="shared" ref="J112:J113" si="2">G112-H112-I112</f>
        <v>445878872</v>
      </c>
    </row>
    <row r="113" spans="1:10" x14ac:dyDescent="0.25">
      <c r="A113" s="48"/>
      <c r="B113" s="48" t="s">
        <v>24</v>
      </c>
      <c r="C113" s="39" t="s">
        <v>34</v>
      </c>
      <c r="D113" s="8"/>
      <c r="E113" s="45"/>
      <c r="F113" s="39"/>
      <c r="G113" s="52">
        <v>2687040000</v>
      </c>
      <c r="H113" s="46">
        <f>H69+I69</f>
        <v>180630125</v>
      </c>
      <c r="I113" s="36">
        <v>750000</v>
      </c>
      <c r="J113" s="37">
        <f t="shared" si="2"/>
        <v>2505659875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3135600000</v>
      </c>
      <c r="H114" s="18">
        <f>SUM(H111:H113)</f>
        <v>183311253</v>
      </c>
      <c r="I114" s="18">
        <f>SUM(I111:I113)</f>
        <v>750000</v>
      </c>
      <c r="J114" s="18">
        <f>SUM(J111:J113)</f>
        <v>2951538747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3" t="s">
        <v>14</v>
      </c>
      <c r="B116" s="63"/>
      <c r="C116" s="63"/>
      <c r="D116" s="33" t="s">
        <v>12</v>
      </c>
      <c r="E116" s="44">
        <f>I114</f>
        <v>750000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3" t="s">
        <v>15</v>
      </c>
      <c r="B121" s="63"/>
      <c r="C121" s="63"/>
      <c r="D121" s="33" t="s">
        <v>12</v>
      </c>
      <c r="E121" s="38">
        <f>E116-E119</f>
        <v>750000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1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47</v>
      </c>
      <c r="J125" s="24"/>
    </row>
    <row r="126" spans="1:10" x14ac:dyDescent="0.25">
      <c r="A126" s="9" t="s">
        <v>27</v>
      </c>
      <c r="B126" s="9"/>
      <c r="C126" s="8"/>
      <c r="D126" s="8"/>
      <c r="E126" s="8"/>
      <c r="F126" s="8"/>
      <c r="G126" s="8"/>
      <c r="I126" s="9" t="s">
        <v>26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35</v>
      </c>
      <c r="B131" s="28"/>
      <c r="C131" s="27"/>
      <c r="D131" s="27"/>
      <c r="E131" s="27"/>
      <c r="F131" s="27"/>
      <c r="G131" s="8" t="s">
        <v>11</v>
      </c>
      <c r="I131" s="28" t="s">
        <v>28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4" t="s">
        <v>30</v>
      </c>
      <c r="B140" s="64"/>
      <c r="C140" s="65"/>
      <c r="D140" s="65"/>
      <c r="E140" s="65"/>
      <c r="F140" s="65"/>
      <c r="G140" s="65"/>
      <c r="H140" s="65"/>
      <c r="I140" s="65"/>
      <c r="J140" s="65"/>
    </row>
    <row r="141" spans="1:10" x14ac:dyDescent="0.25">
      <c r="A141" s="65" t="s">
        <v>49</v>
      </c>
      <c r="B141" s="65"/>
      <c r="C141" s="65"/>
      <c r="D141" s="65"/>
      <c r="E141" s="65"/>
      <c r="F141" s="65"/>
      <c r="G141" s="65"/>
      <c r="H141" s="65"/>
      <c r="I141" s="65"/>
      <c r="J141" s="65"/>
    </row>
    <row r="142" spans="1:10" x14ac:dyDescent="0.25">
      <c r="A142" s="65" t="s">
        <v>13</v>
      </c>
      <c r="B142" s="65"/>
      <c r="C142" s="65"/>
      <c r="D142" s="65"/>
      <c r="E142" s="65"/>
      <c r="F142" s="65"/>
      <c r="G142" s="65"/>
      <c r="H142" s="65"/>
      <c r="I142" s="65"/>
      <c r="J142" s="65"/>
    </row>
    <row r="143" spans="1:10" x14ac:dyDescent="0.25">
      <c r="A143" s="65" t="s">
        <v>36</v>
      </c>
      <c r="B143" s="65"/>
      <c r="C143" s="65"/>
      <c r="D143" s="65"/>
      <c r="E143" s="65"/>
      <c r="F143" s="65"/>
      <c r="G143" s="65"/>
      <c r="H143" s="65"/>
      <c r="I143" s="65"/>
      <c r="J143" s="65"/>
    </row>
    <row r="144" spans="1:10" x14ac:dyDescent="0.25">
      <c r="A144" s="65" t="s">
        <v>25</v>
      </c>
      <c r="B144" s="65"/>
      <c r="C144" s="65"/>
      <c r="D144" s="65"/>
      <c r="E144" s="65"/>
      <c r="F144" s="65"/>
      <c r="G144" s="65"/>
      <c r="H144" s="65"/>
      <c r="I144" s="65"/>
      <c r="J144" s="65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3" t="s">
        <v>18</v>
      </c>
      <c r="B146" s="53"/>
      <c r="C146" s="53"/>
      <c r="D146" s="40" t="s">
        <v>12</v>
      </c>
      <c r="E146" s="8" t="s">
        <v>31</v>
      </c>
      <c r="H146" s="9"/>
      <c r="I146" s="9"/>
      <c r="J146" s="10"/>
    </row>
    <row r="147" spans="1:10" x14ac:dyDescent="0.25">
      <c r="A147" s="53" t="s">
        <v>19</v>
      </c>
      <c r="B147" s="53"/>
      <c r="C147" s="53"/>
      <c r="D147" s="40" t="s">
        <v>12</v>
      </c>
      <c r="E147" s="8" t="s">
        <v>32</v>
      </c>
      <c r="H147" s="9"/>
      <c r="I147" s="9"/>
      <c r="J147" s="10"/>
    </row>
    <row r="148" spans="1:10" x14ac:dyDescent="0.25">
      <c r="A148" s="53" t="s">
        <v>20</v>
      </c>
      <c r="B148" s="53"/>
      <c r="C148" s="53"/>
      <c r="D148" s="40" t="s">
        <v>12</v>
      </c>
      <c r="E148" s="47">
        <v>2026</v>
      </c>
      <c r="H148" s="9"/>
      <c r="I148" s="9"/>
      <c r="J148" s="10"/>
    </row>
    <row r="149" spans="1:10" x14ac:dyDescent="0.25">
      <c r="A149" s="53" t="s">
        <v>21</v>
      </c>
      <c r="B149" s="53"/>
      <c r="C149" s="53"/>
      <c r="D149" s="40" t="s">
        <v>12</v>
      </c>
      <c r="E149" s="44">
        <f>I158</f>
        <v>525000</v>
      </c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40" t="s">
        <v>12</v>
      </c>
      <c r="E150" s="51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Lima Ribu Rupiah</v>
      </c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40"/>
      <c r="G151" s="51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6" t="s">
        <v>2</v>
      </c>
      <c r="B153" s="66"/>
      <c r="C153" s="66"/>
      <c r="D153" s="66"/>
      <c r="E153" s="66"/>
      <c r="F153" s="66"/>
      <c r="G153" s="66"/>
      <c r="H153" s="66"/>
      <c r="I153" s="66"/>
      <c r="J153" s="66"/>
    </row>
    <row r="154" spans="1:10" ht="45" x14ac:dyDescent="0.25">
      <c r="A154" s="12" t="s">
        <v>3</v>
      </c>
      <c r="B154" s="58" t="s">
        <v>22</v>
      </c>
      <c r="C154" s="60" t="s">
        <v>4</v>
      </c>
      <c r="D154" s="61"/>
      <c r="E154" s="62"/>
      <c r="F154" s="50"/>
      <c r="G154" s="41" t="s">
        <v>5</v>
      </c>
      <c r="H154" s="13" t="s">
        <v>17</v>
      </c>
      <c r="I154" s="14" t="s">
        <v>6</v>
      </c>
      <c r="J154" s="15" t="s">
        <v>7</v>
      </c>
    </row>
    <row r="155" spans="1:10" x14ac:dyDescent="0.25">
      <c r="A155" s="59">
        <v>1</v>
      </c>
      <c r="B155" s="48"/>
      <c r="C155" s="55" t="s">
        <v>33</v>
      </c>
      <c r="D155" s="57"/>
      <c r="E155" s="45"/>
      <c r="F155" s="39"/>
      <c r="G155" s="56" t="s">
        <v>29</v>
      </c>
      <c r="H155" s="56" t="s">
        <v>29</v>
      </c>
      <c r="I155" s="56" t="s">
        <v>29</v>
      </c>
      <c r="J155" s="56" t="s">
        <v>29</v>
      </c>
    </row>
    <row r="156" spans="1:10" x14ac:dyDescent="0.25">
      <c r="A156" s="48"/>
      <c r="B156" s="48" t="s">
        <v>23</v>
      </c>
      <c r="C156" s="39" t="s">
        <v>37</v>
      </c>
      <c r="D156" s="8"/>
      <c r="E156" s="45"/>
      <c r="F156" s="39"/>
      <c r="G156" s="52">
        <v>448560000</v>
      </c>
      <c r="H156" s="46">
        <f>H112+I112</f>
        <v>2681128</v>
      </c>
      <c r="I156" s="36">
        <v>0</v>
      </c>
      <c r="J156" s="37">
        <f t="shared" ref="J156:J157" si="3">G156-H156-I156</f>
        <v>445878872</v>
      </c>
    </row>
    <row r="157" spans="1:10" x14ac:dyDescent="0.25">
      <c r="A157" s="48"/>
      <c r="B157" s="48" t="s">
        <v>24</v>
      </c>
      <c r="C157" s="39" t="s">
        <v>34</v>
      </c>
      <c r="D157" s="8"/>
      <c r="E157" s="45"/>
      <c r="F157" s="39"/>
      <c r="G157" s="52">
        <v>2687040000</v>
      </c>
      <c r="H157" s="46">
        <f>H113+I113</f>
        <v>181380125</v>
      </c>
      <c r="I157" s="36">
        <v>525000</v>
      </c>
      <c r="J157" s="37">
        <f t="shared" si="3"/>
        <v>2505134875</v>
      </c>
    </row>
    <row r="158" spans="1:10" x14ac:dyDescent="0.25">
      <c r="A158" s="16"/>
      <c r="B158" s="16"/>
      <c r="C158" s="17" t="s">
        <v>8</v>
      </c>
      <c r="D158" s="17"/>
      <c r="E158" s="17"/>
      <c r="F158" s="43"/>
      <c r="G158" s="42">
        <f>SUM(G155:G157)</f>
        <v>3135600000</v>
      </c>
      <c r="H158" s="18">
        <f>SUM(H155:H157)</f>
        <v>184061253</v>
      </c>
      <c r="I158" s="18">
        <f>SUM(I155:I157)</f>
        <v>525000</v>
      </c>
      <c r="J158" s="18">
        <f>SUM(J155:J157)</f>
        <v>2951013747</v>
      </c>
    </row>
    <row r="159" spans="1:10" x14ac:dyDescent="0.25">
      <c r="A159" s="19"/>
      <c r="B159" s="54"/>
      <c r="C159" s="6"/>
      <c r="D159" s="6"/>
      <c r="E159" s="6"/>
      <c r="F159" s="6"/>
      <c r="G159" s="20"/>
      <c r="H159" s="20"/>
      <c r="I159" s="20"/>
      <c r="J159" s="20"/>
    </row>
    <row r="160" spans="1:10" x14ac:dyDescent="0.25">
      <c r="A160" s="63" t="s">
        <v>14</v>
      </c>
      <c r="B160" s="63"/>
      <c r="C160" s="63"/>
      <c r="D160" s="33" t="s">
        <v>12</v>
      </c>
      <c r="E160" s="44">
        <f>I158</f>
        <v>525000</v>
      </c>
      <c r="F160" s="38"/>
      <c r="G160" s="21"/>
      <c r="H160" s="21"/>
      <c r="I160" s="10"/>
      <c r="J160" s="10"/>
    </row>
    <row r="161" spans="1:10" x14ac:dyDescent="0.25">
      <c r="A161" s="8" t="s">
        <v>9</v>
      </c>
      <c r="B161" s="8"/>
      <c r="C161" s="8"/>
      <c r="D161" s="33" t="s">
        <v>12</v>
      </c>
      <c r="E161" s="34"/>
      <c r="F161" s="34"/>
      <c r="G161" s="22"/>
      <c r="H161" s="9"/>
      <c r="I161" s="10"/>
      <c r="J161" s="10"/>
    </row>
    <row r="162" spans="1:10" x14ac:dyDescent="0.25">
      <c r="A162" s="8" t="s">
        <v>16</v>
      </c>
      <c r="B162" s="8"/>
      <c r="C162" s="8"/>
      <c r="D162" s="33" t="s">
        <v>12</v>
      </c>
      <c r="E162" s="35"/>
      <c r="F162" s="35"/>
      <c r="G162" s="22"/>
      <c r="H162" s="9"/>
      <c r="I162" s="10"/>
      <c r="J162" s="10"/>
    </row>
    <row r="163" spans="1:10" x14ac:dyDescent="0.25">
      <c r="A163" s="8" t="s">
        <v>10</v>
      </c>
      <c r="B163" s="8"/>
      <c r="C163" s="8"/>
      <c r="D163" s="33" t="s">
        <v>12</v>
      </c>
      <c r="E163" s="35">
        <f>E161+E162</f>
        <v>0</v>
      </c>
      <c r="F163" s="35"/>
      <c r="G163" s="8"/>
      <c r="H163" s="9"/>
      <c r="I163" s="23"/>
      <c r="J163" s="24"/>
    </row>
    <row r="164" spans="1:10" x14ac:dyDescent="0.25">
      <c r="A164" s="47"/>
      <c r="B164" s="47"/>
      <c r="C164" s="47"/>
      <c r="D164" s="33"/>
      <c r="E164" s="47"/>
      <c r="F164" s="47"/>
      <c r="G164" s="8"/>
      <c r="H164" s="9"/>
      <c r="I164" s="23"/>
      <c r="J164" s="24"/>
    </row>
    <row r="165" spans="1:10" x14ac:dyDescent="0.25">
      <c r="A165" s="63" t="s">
        <v>15</v>
      </c>
      <c r="B165" s="63"/>
      <c r="C165" s="63"/>
      <c r="D165" s="33" t="s">
        <v>12</v>
      </c>
      <c r="E165" s="38">
        <f>E160-E163</f>
        <v>525000</v>
      </c>
      <c r="F165" s="38"/>
      <c r="G165" s="8"/>
      <c r="H165" s="9"/>
      <c r="I165" s="23"/>
      <c r="J165" s="24"/>
    </row>
    <row r="166" spans="1:10" ht="15.75" x14ac:dyDescent="0.25">
      <c r="A166" s="47"/>
      <c r="B166" s="47"/>
      <c r="C166" s="8"/>
      <c r="D166" s="8"/>
      <c r="E166" s="51" t="str">
        <f>PROPER(IF(E165=0,"nol",IF(E165&lt;0,"minus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165),"000000000000000"),1,3)=0,"",MID(TEXT(ABS(E165),"000000000000000"),1,1)&amp;" ratus "&amp;MID(TEXT(ABS(E165),"000000000000000"),2,1)&amp;" puluh "&amp;MID(TEXT(ABS(E165),"000000000000000"),3,1)&amp;" trilyun ")&amp;IF(--MID(TEXT(ABS(E165),"000000000000000"),4,3)=0,"",MID(TEXT(ABS(E165),"000000000000000"),4,1)&amp;" ratus "&amp;MID(TEXT(ABS(E165),"000000000000000"),5,1)&amp;" puluh "&amp;MID(TEXT(ABS(E165),"000000000000000"),6,1)&amp;" milyar ")&amp;IF(--MID(TEXT(ABS(E165),"000000000000000"),7,3)=0,"",MID(TEXT(ABS(E165),"000000000000000"),7,1)&amp;" ratus "&amp;MID(TEXT(ABS(E165),"000000000000000"),8,1)&amp;" puluh "&amp;MID(TEXT(ABS(E165),"000000000000000"),9,1)&amp;" juta ")&amp;IF(--MID(TEXT(ABS(E165),"000000000000000"),10,3)=0,"",IF(--MID(TEXT(ABS(E165),"000000000000000"),10,3)=1,"*",MID(TEXT(ABS(E165),"000000000000000"),10,1)&amp;" ratus "&amp;MID(TEXT(ABS(E165),"000000000000000"),11,1)&amp;" puluh ")&amp;MID(TEXT(ABS(E165),"000000000000000"),12,1)&amp;" ribu ")&amp;IF(--MID(TEXT(ABS(E165),"000000000000000"),13,3)=0,"",MID(TEXT(ABS(E165),"000000000000000"),13,1)&amp;" ratus "&amp;MID(TEXT(ABS(E165),"000000000000000"),14,1)&amp;" puluh "&amp;MID(TEXT(ABS(E165),"000000000000000"),15,1)),1,"satu"),2,"dua"),3,"tiga"),4,"empat"),5,"lima"),6,"enam"),7,"tujuh"),8,"delapan"),9,"sembilan"),"0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Lima Ribu Rupiah</v>
      </c>
      <c r="F166" s="8"/>
      <c r="G166" s="8"/>
      <c r="H166" s="8"/>
      <c r="I166" s="23"/>
      <c r="J166" s="24"/>
    </row>
    <row r="167" spans="1:10" x14ac:dyDescent="0.25">
      <c r="A167" s="26"/>
      <c r="B167" s="26"/>
      <c r="C167" s="26"/>
      <c r="D167" s="26"/>
      <c r="E167" s="26"/>
      <c r="F167" s="26"/>
      <c r="G167" s="25"/>
      <c r="H167" s="24"/>
      <c r="I167" s="23"/>
      <c r="J167" s="24"/>
    </row>
    <row r="168" spans="1:10" x14ac:dyDescent="0.25">
      <c r="A168" s="25"/>
      <c r="B168" s="25"/>
      <c r="C168" s="25"/>
      <c r="D168" s="25"/>
      <c r="E168" s="25"/>
      <c r="F168" s="25"/>
      <c r="G168" s="25"/>
      <c r="H168"/>
      <c r="I168" s="24"/>
      <c r="J168" s="24"/>
    </row>
    <row r="169" spans="1:10" x14ac:dyDescent="0.25">
      <c r="A169" s="47"/>
      <c r="B169" s="47"/>
      <c r="C169" s="8"/>
      <c r="D169" s="8"/>
      <c r="E169" s="8"/>
      <c r="F169" s="8"/>
      <c r="G169" s="8"/>
      <c r="I169" s="49" t="s">
        <v>42</v>
      </c>
      <c r="J169" s="24"/>
    </row>
    <row r="170" spans="1:10" x14ac:dyDescent="0.25">
      <c r="A170" s="9" t="s">
        <v>27</v>
      </c>
      <c r="B170" s="9"/>
      <c r="C170" s="8"/>
      <c r="D170" s="8"/>
      <c r="E170" s="8"/>
      <c r="F170" s="8"/>
      <c r="G170" s="8"/>
      <c r="I170" s="9" t="s">
        <v>26</v>
      </c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8"/>
      <c r="B174" s="8"/>
      <c r="C174" s="8"/>
      <c r="D174" s="8"/>
      <c r="E174" s="8"/>
      <c r="F174" s="8"/>
      <c r="G174" s="8"/>
      <c r="I174" s="9"/>
      <c r="J174" s="24"/>
    </row>
    <row r="175" spans="1:10" x14ac:dyDescent="0.25">
      <c r="A175" s="28" t="s">
        <v>35</v>
      </c>
      <c r="B175" s="28"/>
      <c r="C175" s="27"/>
      <c r="D175" s="27"/>
      <c r="E175" s="27"/>
      <c r="F175" s="27"/>
      <c r="G175" s="8" t="s">
        <v>11</v>
      </c>
      <c r="I175" s="28" t="s">
        <v>28</v>
      </c>
      <c r="J175" s="24"/>
    </row>
    <row r="180" spans="1:10" ht="15.75" x14ac:dyDescent="0.25">
      <c r="C180" s="3"/>
      <c r="D180" s="3"/>
      <c r="E180" s="3"/>
      <c r="F180" s="3"/>
    </row>
    <row r="181" spans="1:10" ht="15.75" x14ac:dyDescent="0.25">
      <c r="A181" s="2"/>
      <c r="B181" s="2"/>
      <c r="C181" s="3"/>
      <c r="D181" s="3"/>
      <c r="E181" s="3"/>
      <c r="F181" s="3"/>
      <c r="G181" s="2"/>
      <c r="H181" s="4"/>
      <c r="I181" s="4"/>
      <c r="J181" s="5"/>
    </row>
    <row r="182" spans="1:10" x14ac:dyDescent="0.25">
      <c r="H182" s="5"/>
      <c r="I182" s="5"/>
      <c r="J182" s="5"/>
    </row>
    <row r="183" spans="1:10" x14ac:dyDescent="0.25">
      <c r="H183" s="5"/>
      <c r="I183" s="5"/>
      <c r="J183" s="5"/>
    </row>
    <row r="184" spans="1:10" x14ac:dyDescent="0.25">
      <c r="A184" s="64" t="s">
        <v>30</v>
      </c>
      <c r="B184" s="64"/>
      <c r="C184" s="65"/>
      <c r="D184" s="65"/>
      <c r="E184" s="65"/>
      <c r="F184" s="65"/>
      <c r="G184" s="65"/>
      <c r="H184" s="65"/>
      <c r="I184" s="65"/>
      <c r="J184" s="65"/>
    </row>
    <row r="185" spans="1:10" x14ac:dyDescent="0.25">
      <c r="A185" s="65" t="s">
        <v>50</v>
      </c>
      <c r="B185" s="65"/>
      <c r="C185" s="65"/>
      <c r="D185" s="65"/>
      <c r="E185" s="65"/>
      <c r="F185" s="65"/>
      <c r="G185" s="65"/>
      <c r="H185" s="65"/>
      <c r="I185" s="65"/>
      <c r="J185" s="65"/>
    </row>
    <row r="186" spans="1:10" x14ac:dyDescent="0.25">
      <c r="A186" s="65" t="s">
        <v>13</v>
      </c>
      <c r="B186" s="65"/>
      <c r="C186" s="65"/>
      <c r="D186" s="65"/>
      <c r="E186" s="65"/>
      <c r="F186" s="65"/>
      <c r="G186" s="65"/>
      <c r="H186" s="65"/>
      <c r="I186" s="65"/>
      <c r="J186" s="65"/>
    </row>
    <row r="187" spans="1:10" x14ac:dyDescent="0.25">
      <c r="A187" s="65" t="s">
        <v>36</v>
      </c>
      <c r="B187" s="65"/>
      <c r="C187" s="65"/>
      <c r="D187" s="65"/>
      <c r="E187" s="65"/>
      <c r="F187" s="65"/>
      <c r="G187" s="65"/>
      <c r="H187" s="65"/>
      <c r="I187" s="65"/>
      <c r="J187" s="65"/>
    </row>
    <row r="188" spans="1:10" x14ac:dyDescent="0.25">
      <c r="A188" s="65" t="s">
        <v>25</v>
      </c>
      <c r="B188" s="65"/>
      <c r="C188" s="65"/>
      <c r="D188" s="65"/>
      <c r="E188" s="65"/>
      <c r="F188" s="65"/>
      <c r="G188" s="65"/>
      <c r="H188" s="65"/>
      <c r="I188" s="65"/>
      <c r="J188" s="65"/>
    </row>
    <row r="189" spans="1:10" x14ac:dyDescent="0.25">
      <c r="A189" s="32"/>
      <c r="B189" s="32"/>
      <c r="C189" s="7"/>
      <c r="D189" s="7"/>
      <c r="E189" s="7"/>
      <c r="F189" s="7"/>
      <c r="G189" s="6"/>
      <c r="H189" s="10"/>
      <c r="I189" s="10"/>
      <c r="J189" s="10"/>
    </row>
    <row r="190" spans="1:10" x14ac:dyDescent="0.25">
      <c r="A190" s="53" t="s">
        <v>18</v>
      </c>
      <c r="B190" s="53"/>
      <c r="C190" s="53"/>
      <c r="D190" s="40" t="s">
        <v>12</v>
      </c>
      <c r="E190" s="8" t="s">
        <v>31</v>
      </c>
      <c r="H190" s="9"/>
      <c r="I190" s="9"/>
      <c r="J190" s="10"/>
    </row>
    <row r="191" spans="1:10" x14ac:dyDescent="0.25">
      <c r="A191" s="53" t="s">
        <v>19</v>
      </c>
      <c r="B191" s="53"/>
      <c r="C191" s="53"/>
      <c r="D191" s="40" t="s">
        <v>12</v>
      </c>
      <c r="E191" s="8" t="s">
        <v>32</v>
      </c>
      <c r="H191" s="9"/>
      <c r="I191" s="9"/>
      <c r="J191" s="10"/>
    </row>
    <row r="192" spans="1:10" x14ac:dyDescent="0.25">
      <c r="A192" s="53" t="s">
        <v>20</v>
      </c>
      <c r="B192" s="53"/>
      <c r="C192" s="53"/>
      <c r="D192" s="40" t="s">
        <v>12</v>
      </c>
      <c r="E192" s="47">
        <v>2026</v>
      </c>
      <c r="H192" s="9"/>
      <c r="I192" s="9"/>
      <c r="J192" s="10"/>
    </row>
    <row r="193" spans="1:10" x14ac:dyDescent="0.25">
      <c r="A193" s="53" t="s">
        <v>21</v>
      </c>
      <c r="B193" s="53"/>
      <c r="C193" s="53"/>
      <c r="D193" s="40" t="s">
        <v>12</v>
      </c>
      <c r="E193" s="44">
        <f>I202</f>
        <v>2533928</v>
      </c>
      <c r="H193" s="9"/>
      <c r="I193" s="9"/>
      <c r="J193" s="10"/>
    </row>
    <row r="194" spans="1:10" ht="15.75" x14ac:dyDescent="0.25">
      <c r="A194" s="8"/>
      <c r="B194" s="8"/>
      <c r="C194" s="11" t="s">
        <v>0</v>
      </c>
      <c r="D194" s="40" t="s">
        <v>12</v>
      </c>
      <c r="E194" s="51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Tiga Puluh Tiga Ribu Sembilan Ratus Dua Puluh Delapan Rupiah</v>
      </c>
      <c r="H194" s="9"/>
      <c r="I194" s="9"/>
      <c r="J194" s="10"/>
    </row>
    <row r="195" spans="1:10" ht="15.75" x14ac:dyDescent="0.25">
      <c r="A195" s="8"/>
      <c r="B195" s="8"/>
      <c r="C195" s="11"/>
      <c r="D195" s="11"/>
      <c r="E195" s="11"/>
      <c r="F195" s="40"/>
      <c r="G195" s="51"/>
      <c r="H195" s="9"/>
      <c r="I195" s="9"/>
      <c r="J195" s="10"/>
    </row>
    <row r="196" spans="1:10" x14ac:dyDescent="0.25">
      <c r="A196" s="8" t="s">
        <v>1</v>
      </c>
      <c r="B196" s="8"/>
      <c r="C196" s="8"/>
      <c r="D196" s="8"/>
      <c r="E196" s="8"/>
      <c r="F196" s="8"/>
      <c r="G196" s="8"/>
      <c r="H196" s="9"/>
      <c r="I196" s="9"/>
      <c r="J196" s="10"/>
    </row>
    <row r="197" spans="1:10" x14ac:dyDescent="0.25">
      <c r="A197" s="66" t="s">
        <v>2</v>
      </c>
      <c r="B197" s="66"/>
      <c r="C197" s="66"/>
      <c r="D197" s="66"/>
      <c r="E197" s="66"/>
      <c r="F197" s="66"/>
      <c r="G197" s="66"/>
      <c r="H197" s="66"/>
      <c r="I197" s="66"/>
      <c r="J197" s="66"/>
    </row>
    <row r="198" spans="1:10" ht="45" x14ac:dyDescent="0.25">
      <c r="A198" s="12" t="s">
        <v>3</v>
      </c>
      <c r="B198" s="58" t="s">
        <v>22</v>
      </c>
      <c r="C198" s="60" t="s">
        <v>4</v>
      </c>
      <c r="D198" s="61"/>
      <c r="E198" s="62"/>
      <c r="F198" s="50"/>
      <c r="G198" s="41" t="s">
        <v>5</v>
      </c>
      <c r="H198" s="13" t="s">
        <v>17</v>
      </c>
      <c r="I198" s="14" t="s">
        <v>6</v>
      </c>
      <c r="J198" s="15" t="s">
        <v>7</v>
      </c>
    </row>
    <row r="199" spans="1:10" x14ac:dyDescent="0.25">
      <c r="A199" s="59">
        <v>1</v>
      </c>
      <c r="B199" s="48"/>
      <c r="C199" s="55" t="s">
        <v>33</v>
      </c>
      <c r="D199" s="57"/>
      <c r="E199" s="45"/>
      <c r="F199" s="39"/>
      <c r="G199" s="56" t="s">
        <v>29</v>
      </c>
      <c r="H199" s="56" t="s">
        <v>29</v>
      </c>
      <c r="I199" s="56" t="s">
        <v>29</v>
      </c>
      <c r="J199" s="56" t="s">
        <v>29</v>
      </c>
    </row>
    <row r="200" spans="1:10" x14ac:dyDescent="0.25">
      <c r="A200" s="48"/>
      <c r="B200" s="48" t="s">
        <v>23</v>
      </c>
      <c r="C200" s="39" t="s">
        <v>37</v>
      </c>
      <c r="D200" s="8"/>
      <c r="E200" s="45"/>
      <c r="F200" s="39"/>
      <c r="G200" s="52">
        <v>448560000</v>
      </c>
      <c r="H200" s="46">
        <f>H156+I156</f>
        <v>2681128</v>
      </c>
      <c r="I200" s="36">
        <v>2533928</v>
      </c>
      <c r="J200" s="37">
        <f t="shared" ref="J200:J201" si="4">G200-H200-I200</f>
        <v>443344944</v>
      </c>
    </row>
    <row r="201" spans="1:10" x14ac:dyDescent="0.25">
      <c r="A201" s="48"/>
      <c r="B201" s="48" t="s">
        <v>24</v>
      </c>
      <c r="C201" s="39" t="s">
        <v>34</v>
      </c>
      <c r="D201" s="8"/>
      <c r="E201" s="45"/>
      <c r="F201" s="39"/>
      <c r="G201" s="52">
        <v>2687040000</v>
      </c>
      <c r="H201" s="46">
        <f>H157+I157</f>
        <v>181905125</v>
      </c>
      <c r="I201" s="36">
        <v>0</v>
      </c>
      <c r="J201" s="37">
        <f t="shared" si="4"/>
        <v>2505134875</v>
      </c>
    </row>
    <row r="202" spans="1:10" x14ac:dyDescent="0.25">
      <c r="A202" s="16"/>
      <c r="B202" s="16"/>
      <c r="C202" s="17" t="s">
        <v>8</v>
      </c>
      <c r="D202" s="17"/>
      <c r="E202" s="17"/>
      <c r="F202" s="43"/>
      <c r="G202" s="42">
        <f>SUM(G199:G201)</f>
        <v>3135600000</v>
      </c>
      <c r="H202" s="18">
        <f>SUM(H199:H201)</f>
        <v>184586253</v>
      </c>
      <c r="I202" s="18">
        <f>SUM(I199:I201)</f>
        <v>2533928</v>
      </c>
      <c r="J202" s="18">
        <f>SUM(J199:J201)</f>
        <v>2948479819</v>
      </c>
    </row>
    <row r="203" spans="1:10" x14ac:dyDescent="0.25">
      <c r="A203" s="19"/>
      <c r="B203" s="54"/>
      <c r="C203" s="6"/>
      <c r="D203" s="6"/>
      <c r="E203" s="6"/>
      <c r="F203" s="6"/>
      <c r="G203" s="20"/>
      <c r="H203" s="20"/>
      <c r="I203" s="20"/>
      <c r="J203" s="20"/>
    </row>
    <row r="204" spans="1:10" x14ac:dyDescent="0.25">
      <c r="A204" s="63" t="s">
        <v>14</v>
      </c>
      <c r="B204" s="63"/>
      <c r="C204" s="63"/>
      <c r="D204" s="33" t="s">
        <v>12</v>
      </c>
      <c r="E204" s="44">
        <f>I202</f>
        <v>2533928</v>
      </c>
      <c r="F204" s="38"/>
      <c r="G204" s="21"/>
      <c r="H204" s="21"/>
      <c r="I204" s="10"/>
      <c r="J204" s="10"/>
    </row>
    <row r="205" spans="1:10" x14ac:dyDescent="0.25">
      <c r="A205" s="8" t="s">
        <v>9</v>
      </c>
      <c r="B205" s="8"/>
      <c r="C205" s="8"/>
      <c r="D205" s="33" t="s">
        <v>12</v>
      </c>
      <c r="E205" s="34"/>
      <c r="F205" s="34"/>
      <c r="G205" s="22"/>
      <c r="H205" s="9"/>
      <c r="I205" s="10"/>
      <c r="J205" s="10"/>
    </row>
    <row r="206" spans="1:10" x14ac:dyDescent="0.25">
      <c r="A206" s="8" t="s">
        <v>16</v>
      </c>
      <c r="B206" s="8"/>
      <c r="C206" s="8"/>
      <c r="D206" s="33" t="s">
        <v>12</v>
      </c>
      <c r="E206" s="35"/>
      <c r="F206" s="35"/>
      <c r="G206" s="22"/>
      <c r="H206" s="9"/>
      <c r="I206" s="10"/>
      <c r="J206" s="10"/>
    </row>
    <row r="207" spans="1:10" x14ac:dyDescent="0.25">
      <c r="A207" s="8" t="s">
        <v>10</v>
      </c>
      <c r="B207" s="8"/>
      <c r="C207" s="8"/>
      <c r="D207" s="33" t="s">
        <v>12</v>
      </c>
      <c r="E207" s="35">
        <f>E205+E206</f>
        <v>0</v>
      </c>
      <c r="F207" s="35"/>
      <c r="G207" s="8"/>
      <c r="H207" s="9"/>
      <c r="I207" s="23"/>
      <c r="J207" s="24"/>
    </row>
    <row r="208" spans="1:10" x14ac:dyDescent="0.25">
      <c r="A208" s="47"/>
      <c r="B208" s="47"/>
      <c r="C208" s="47"/>
      <c r="D208" s="33"/>
      <c r="E208" s="47"/>
      <c r="F208" s="47"/>
      <c r="G208" s="8"/>
      <c r="H208" s="9"/>
      <c r="I208" s="23"/>
      <c r="J208" s="24"/>
    </row>
    <row r="209" spans="1:10" x14ac:dyDescent="0.25">
      <c r="A209" s="63" t="s">
        <v>15</v>
      </c>
      <c r="B209" s="63"/>
      <c r="C209" s="63"/>
      <c r="D209" s="33" t="s">
        <v>12</v>
      </c>
      <c r="E209" s="38">
        <f>E204-E207</f>
        <v>2533928</v>
      </c>
      <c r="F209" s="38"/>
      <c r="G209" s="8"/>
      <c r="H209" s="9"/>
      <c r="I209" s="23"/>
      <c r="J209" s="24"/>
    </row>
    <row r="210" spans="1:10" ht="15.75" x14ac:dyDescent="0.25">
      <c r="A210" s="47"/>
      <c r="B210" s="47"/>
      <c r="C210" s="8"/>
      <c r="D210" s="8"/>
      <c r="E210" s="51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Tiga Puluh Tiga Ribu Sembilan Ratus Dua Puluh Delapan Rupiah</v>
      </c>
      <c r="F210" s="8"/>
      <c r="G210" s="8"/>
      <c r="H210" s="8"/>
      <c r="I210" s="23"/>
      <c r="J210" s="24"/>
    </row>
    <row r="211" spans="1:10" x14ac:dyDescent="0.25">
      <c r="A211" s="26"/>
      <c r="B211" s="26"/>
      <c r="C211" s="26"/>
      <c r="D211" s="26"/>
      <c r="E211" s="26"/>
      <c r="F211" s="26"/>
      <c r="G211" s="25"/>
      <c r="H211" s="24"/>
      <c r="I211" s="23"/>
      <c r="J211" s="24"/>
    </row>
    <row r="212" spans="1:10" x14ac:dyDescent="0.25">
      <c r="A212" s="25"/>
      <c r="B212" s="25"/>
      <c r="C212" s="25"/>
      <c r="D212" s="25"/>
      <c r="E212" s="25"/>
      <c r="F212" s="25"/>
      <c r="G212" s="25"/>
      <c r="H212"/>
      <c r="I212" s="24"/>
      <c r="J212" s="24"/>
    </row>
    <row r="213" spans="1:10" x14ac:dyDescent="0.25">
      <c r="A213" s="47"/>
      <c r="B213" s="47"/>
      <c r="C213" s="8"/>
      <c r="D213" s="8"/>
      <c r="E213" s="8"/>
      <c r="F213" s="8"/>
      <c r="G213" s="8"/>
      <c r="I213" s="49" t="s">
        <v>51</v>
      </c>
      <c r="J213" s="24"/>
    </row>
    <row r="214" spans="1:10" x14ac:dyDescent="0.25">
      <c r="A214" s="9" t="s">
        <v>27</v>
      </c>
      <c r="B214" s="9"/>
      <c r="C214" s="8"/>
      <c r="D214" s="8"/>
      <c r="E214" s="8"/>
      <c r="F214" s="8"/>
      <c r="G214" s="8"/>
      <c r="I214" s="9" t="s">
        <v>26</v>
      </c>
      <c r="J214" s="24"/>
    </row>
    <row r="215" spans="1:10" x14ac:dyDescent="0.25">
      <c r="A215" s="8"/>
      <c r="B215" s="8"/>
      <c r="C215" s="8"/>
      <c r="D215" s="8"/>
      <c r="E215" s="8"/>
      <c r="F215" s="8"/>
      <c r="G215" s="8"/>
      <c r="I215" s="9"/>
      <c r="J215" s="24"/>
    </row>
    <row r="216" spans="1:10" x14ac:dyDescent="0.25">
      <c r="A216" s="8"/>
      <c r="B216" s="8"/>
      <c r="C216" s="8"/>
      <c r="D216" s="8"/>
      <c r="E216" s="8"/>
      <c r="F216" s="8"/>
      <c r="G216" s="8"/>
      <c r="I216" s="9"/>
      <c r="J216" s="24"/>
    </row>
    <row r="217" spans="1:10" x14ac:dyDescent="0.25">
      <c r="A217" s="8"/>
      <c r="B217" s="8"/>
      <c r="C217" s="8"/>
      <c r="D217" s="8"/>
      <c r="E217" s="8"/>
      <c r="F217" s="8"/>
      <c r="G217" s="8"/>
      <c r="I217" s="9"/>
      <c r="J217" s="24"/>
    </row>
    <row r="218" spans="1:10" x14ac:dyDescent="0.25">
      <c r="A218" s="8"/>
      <c r="B218" s="8"/>
      <c r="C218" s="8"/>
      <c r="D218" s="8"/>
      <c r="E218" s="8"/>
      <c r="F218" s="8"/>
      <c r="G218" s="8"/>
      <c r="I218" s="9"/>
      <c r="J218" s="24"/>
    </row>
    <row r="219" spans="1:10" x14ac:dyDescent="0.25">
      <c r="A219" s="28" t="s">
        <v>35</v>
      </c>
      <c r="B219" s="28"/>
      <c r="C219" s="27"/>
      <c r="D219" s="27"/>
      <c r="E219" s="27"/>
      <c r="F219" s="27"/>
      <c r="G219" s="8" t="s">
        <v>11</v>
      </c>
      <c r="I219" s="28" t="s">
        <v>28</v>
      </c>
      <c r="J219" s="24"/>
    </row>
    <row r="224" spans="1:10" ht="15.75" x14ac:dyDescent="0.25">
      <c r="C224" s="3"/>
      <c r="D224" s="3"/>
      <c r="E224" s="3"/>
      <c r="F224" s="3"/>
    </row>
    <row r="225" spans="1:10" ht="15.75" x14ac:dyDescent="0.25">
      <c r="A225" s="2"/>
      <c r="B225" s="2"/>
      <c r="C225" s="3"/>
      <c r="D225" s="3"/>
      <c r="E225" s="3"/>
      <c r="F225" s="3"/>
      <c r="G225" s="2"/>
      <c r="H225" s="4"/>
      <c r="I225" s="4"/>
      <c r="J225" s="5"/>
    </row>
    <row r="226" spans="1:10" x14ac:dyDescent="0.25">
      <c r="H226" s="5"/>
      <c r="I226" s="5"/>
      <c r="J226" s="5"/>
    </row>
    <row r="227" spans="1:10" x14ac:dyDescent="0.25">
      <c r="H227" s="5"/>
      <c r="I227" s="5"/>
      <c r="J227" s="5"/>
    </row>
    <row r="228" spans="1:10" x14ac:dyDescent="0.25">
      <c r="A228" s="64" t="s">
        <v>30</v>
      </c>
      <c r="B228" s="64"/>
      <c r="C228" s="65"/>
      <c r="D228" s="65"/>
      <c r="E228" s="65"/>
      <c r="F228" s="65"/>
      <c r="G228" s="65"/>
      <c r="H228" s="65"/>
      <c r="I228" s="65"/>
      <c r="J228" s="65"/>
    </row>
    <row r="229" spans="1:10" x14ac:dyDescent="0.25">
      <c r="A229" s="65" t="s">
        <v>52</v>
      </c>
      <c r="B229" s="65"/>
      <c r="C229" s="65"/>
      <c r="D229" s="65"/>
      <c r="E229" s="65"/>
      <c r="F229" s="65"/>
      <c r="G229" s="65"/>
      <c r="H229" s="65"/>
      <c r="I229" s="65"/>
      <c r="J229" s="65"/>
    </row>
    <row r="230" spans="1:10" x14ac:dyDescent="0.25">
      <c r="A230" s="65" t="s">
        <v>13</v>
      </c>
      <c r="B230" s="65"/>
      <c r="C230" s="65"/>
      <c r="D230" s="65"/>
      <c r="E230" s="65"/>
      <c r="F230" s="65"/>
      <c r="G230" s="65"/>
      <c r="H230" s="65"/>
      <c r="I230" s="65"/>
      <c r="J230" s="65"/>
    </row>
    <row r="231" spans="1:10" x14ac:dyDescent="0.25">
      <c r="A231" s="65" t="s">
        <v>36</v>
      </c>
      <c r="B231" s="65"/>
      <c r="C231" s="65"/>
      <c r="D231" s="65"/>
      <c r="E231" s="65"/>
      <c r="F231" s="65"/>
      <c r="G231" s="65"/>
      <c r="H231" s="65"/>
      <c r="I231" s="65"/>
      <c r="J231" s="65"/>
    </row>
    <row r="232" spans="1:10" x14ac:dyDescent="0.25">
      <c r="A232" s="65" t="s">
        <v>25</v>
      </c>
      <c r="B232" s="65"/>
      <c r="C232" s="65"/>
      <c r="D232" s="65"/>
      <c r="E232" s="65"/>
      <c r="F232" s="65"/>
      <c r="G232" s="65"/>
      <c r="H232" s="65"/>
      <c r="I232" s="65"/>
      <c r="J232" s="65"/>
    </row>
    <row r="233" spans="1:10" x14ac:dyDescent="0.25">
      <c r="A233" s="32"/>
      <c r="B233" s="32"/>
      <c r="C233" s="7"/>
      <c r="D233" s="7"/>
      <c r="E233" s="7"/>
      <c r="F233" s="7"/>
      <c r="G233" s="6"/>
      <c r="H233" s="10"/>
      <c r="I233" s="10"/>
      <c r="J233" s="10"/>
    </row>
    <row r="234" spans="1:10" x14ac:dyDescent="0.25">
      <c r="A234" s="53" t="s">
        <v>18</v>
      </c>
      <c r="B234" s="53"/>
      <c r="C234" s="53"/>
      <c r="D234" s="40" t="s">
        <v>12</v>
      </c>
      <c r="E234" s="8" t="s">
        <v>31</v>
      </c>
      <c r="H234" s="9"/>
      <c r="I234" s="9"/>
      <c r="J234" s="10"/>
    </row>
    <row r="235" spans="1:10" x14ac:dyDescent="0.25">
      <c r="A235" s="53" t="s">
        <v>19</v>
      </c>
      <c r="B235" s="53"/>
      <c r="C235" s="53"/>
      <c r="D235" s="40" t="s">
        <v>12</v>
      </c>
      <c r="E235" s="8" t="s">
        <v>32</v>
      </c>
      <c r="H235" s="9"/>
      <c r="I235" s="9"/>
      <c r="J235" s="10"/>
    </row>
    <row r="236" spans="1:10" x14ac:dyDescent="0.25">
      <c r="A236" s="53" t="s">
        <v>20</v>
      </c>
      <c r="B236" s="53"/>
      <c r="C236" s="53"/>
      <c r="D236" s="40" t="s">
        <v>12</v>
      </c>
      <c r="E236" s="47">
        <v>2026</v>
      </c>
      <c r="H236" s="9"/>
      <c r="I236" s="9"/>
      <c r="J236" s="10"/>
    </row>
    <row r="237" spans="1:10" x14ac:dyDescent="0.25">
      <c r="A237" s="53" t="s">
        <v>21</v>
      </c>
      <c r="B237" s="53"/>
      <c r="C237" s="53"/>
      <c r="D237" s="40" t="s">
        <v>12</v>
      </c>
      <c r="E237" s="44">
        <f>I246</f>
        <v>177906051</v>
      </c>
      <c r="H237" s="9"/>
      <c r="I237" s="9"/>
      <c r="J237" s="10"/>
    </row>
    <row r="238" spans="1:10" ht="15.75" x14ac:dyDescent="0.25">
      <c r="A238" s="8"/>
      <c r="B238" s="8"/>
      <c r="C238" s="11" t="s">
        <v>0</v>
      </c>
      <c r="D238" s="40" t="s">
        <v>12</v>
      </c>
      <c r="E238" s="51" t="str">
        <f>PROPER(IF(E237=0,"nol",IF(E237&lt;0,"minus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237),"000000000000000"),1,3)=0,"",MID(TEXT(ABS(E237),"000000000000000"),1,1)&amp;" ratus "&amp;MID(TEXT(ABS(E237),"000000000000000"),2,1)&amp;" puluh "&amp;MID(TEXT(ABS(E237),"000000000000000"),3,1)&amp;" trilyun ")&amp;IF(--MID(TEXT(ABS(E237),"000000000000000"),4,3)=0,"",MID(TEXT(ABS(E237),"000000000000000"),4,1)&amp;" ratus "&amp;MID(TEXT(ABS(E237),"000000000000000"),5,1)&amp;" puluh "&amp;MID(TEXT(ABS(E237),"000000000000000"),6,1)&amp;" milyar ")&amp;IF(--MID(TEXT(ABS(E237),"000000000000000"),7,3)=0,"",MID(TEXT(ABS(E237),"000000000000000"),7,1)&amp;" ratus "&amp;MID(TEXT(ABS(E237),"000000000000000"),8,1)&amp;" puluh "&amp;MID(TEXT(ABS(E237),"000000000000000"),9,1)&amp;" juta ")&amp;IF(--MID(TEXT(ABS(E237),"000000000000000"),10,3)=0,"",IF(--MID(TEXT(ABS(E237),"000000000000000"),10,3)=1,"*",MID(TEXT(ABS(E237),"000000000000000"),10,1)&amp;" ratus "&amp;MID(TEXT(ABS(E237),"000000000000000"),11,1)&amp;" puluh ")&amp;MID(TEXT(ABS(E237),"000000000000000"),12,1)&amp;" ribu ")&amp;IF(--MID(TEXT(ABS(E237),"000000000000000"),13,3)=0,"",MID(TEXT(ABS(E237),"000000000000000"),13,1)&amp;" ratus "&amp;MID(TEXT(ABS(E237),"000000000000000"),14,1)&amp;" puluh "&amp;MID(TEXT(ABS(E237),"000000000000000"),15,1)),1,"satu"),2,"dua"),3,"tiga"),4,"empat"),5,"lima"),6,"enam"),7,"tujuh"),8,"delapan"),9,"sembilan"),"0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Tujuh Juta Sembilan Ratus Enam Ribu Lima Puluh Satu Rupiah</v>
      </c>
      <c r="H238" s="9"/>
      <c r="I238" s="9"/>
      <c r="J238" s="10"/>
    </row>
    <row r="239" spans="1:10" ht="15.75" x14ac:dyDescent="0.25">
      <c r="A239" s="8"/>
      <c r="B239" s="8"/>
      <c r="C239" s="11"/>
      <c r="D239" s="11"/>
      <c r="E239" s="11"/>
      <c r="F239" s="40"/>
      <c r="G239" s="51"/>
      <c r="H239" s="9"/>
      <c r="I239" s="9"/>
      <c r="J239" s="10"/>
    </row>
    <row r="240" spans="1:10" x14ac:dyDescent="0.25">
      <c r="A240" s="8" t="s">
        <v>1</v>
      </c>
      <c r="B240" s="8"/>
      <c r="C240" s="8"/>
      <c r="D240" s="8"/>
      <c r="E240" s="8"/>
      <c r="F240" s="8"/>
      <c r="G240" s="8"/>
      <c r="H240" s="9"/>
      <c r="I240" s="9"/>
      <c r="J240" s="10"/>
    </row>
    <row r="241" spans="1:10" x14ac:dyDescent="0.25">
      <c r="A241" s="66" t="s">
        <v>2</v>
      </c>
      <c r="B241" s="66"/>
      <c r="C241" s="66"/>
      <c r="D241" s="66"/>
      <c r="E241" s="66"/>
      <c r="F241" s="66"/>
      <c r="G241" s="66"/>
      <c r="H241" s="66"/>
      <c r="I241" s="66"/>
      <c r="J241" s="66"/>
    </row>
    <row r="242" spans="1:10" ht="45" x14ac:dyDescent="0.25">
      <c r="A242" s="12" t="s">
        <v>3</v>
      </c>
      <c r="B242" s="58" t="s">
        <v>22</v>
      </c>
      <c r="C242" s="60" t="s">
        <v>4</v>
      </c>
      <c r="D242" s="61"/>
      <c r="E242" s="62"/>
      <c r="F242" s="50"/>
      <c r="G242" s="41" t="s">
        <v>5</v>
      </c>
      <c r="H242" s="13" t="s">
        <v>17</v>
      </c>
      <c r="I242" s="14" t="s">
        <v>6</v>
      </c>
      <c r="J242" s="15" t="s">
        <v>7</v>
      </c>
    </row>
    <row r="243" spans="1:10" x14ac:dyDescent="0.25">
      <c r="A243" s="59">
        <v>1</v>
      </c>
      <c r="B243" s="48"/>
      <c r="C243" s="55" t="s">
        <v>33</v>
      </c>
      <c r="D243" s="57"/>
      <c r="E243" s="45"/>
      <c r="F243" s="39"/>
      <c r="G243" s="56" t="s">
        <v>29</v>
      </c>
      <c r="H243" s="56" t="s">
        <v>29</v>
      </c>
      <c r="I243" s="56" t="s">
        <v>29</v>
      </c>
      <c r="J243" s="56" t="s">
        <v>29</v>
      </c>
    </row>
    <row r="244" spans="1:10" x14ac:dyDescent="0.25">
      <c r="A244" s="48"/>
      <c r="B244" s="48" t="s">
        <v>23</v>
      </c>
      <c r="C244" s="39" t="s">
        <v>37</v>
      </c>
      <c r="D244" s="8"/>
      <c r="E244" s="45"/>
      <c r="F244" s="39"/>
      <c r="G244" s="52">
        <v>448560000</v>
      </c>
      <c r="H244" s="46">
        <f>H200+I200</f>
        <v>5215056</v>
      </c>
      <c r="I244" s="36">
        <v>0</v>
      </c>
      <c r="J244" s="37">
        <f t="shared" ref="J244:J245" si="5">G244-H244-I244</f>
        <v>443344944</v>
      </c>
    </row>
    <row r="245" spans="1:10" x14ac:dyDescent="0.25">
      <c r="A245" s="48"/>
      <c r="B245" s="48" t="s">
        <v>24</v>
      </c>
      <c r="C245" s="39" t="s">
        <v>34</v>
      </c>
      <c r="D245" s="8"/>
      <c r="E245" s="45"/>
      <c r="F245" s="39"/>
      <c r="G245" s="52">
        <v>2687040000</v>
      </c>
      <c r="H245" s="46">
        <f>H201+I201</f>
        <v>181905125</v>
      </c>
      <c r="I245" s="36">
        <v>177906051</v>
      </c>
      <c r="J245" s="37">
        <f t="shared" si="5"/>
        <v>2327228824</v>
      </c>
    </row>
    <row r="246" spans="1:10" x14ac:dyDescent="0.25">
      <c r="A246" s="16"/>
      <c r="B246" s="16"/>
      <c r="C246" s="17" t="s">
        <v>8</v>
      </c>
      <c r="D246" s="17"/>
      <c r="E246" s="17"/>
      <c r="F246" s="43"/>
      <c r="G246" s="42">
        <f>SUM(G243:G245)</f>
        <v>3135600000</v>
      </c>
      <c r="H246" s="18">
        <f>SUM(H243:H245)</f>
        <v>187120181</v>
      </c>
      <c r="I246" s="18">
        <f>SUM(I243:I245)</f>
        <v>177906051</v>
      </c>
      <c r="J246" s="18">
        <f>SUM(J243:J245)</f>
        <v>2770573768</v>
      </c>
    </row>
    <row r="247" spans="1:10" x14ac:dyDescent="0.25">
      <c r="A247" s="19"/>
      <c r="B247" s="54"/>
      <c r="C247" s="6"/>
      <c r="D247" s="6"/>
      <c r="E247" s="6"/>
      <c r="F247" s="6"/>
      <c r="G247" s="20"/>
      <c r="H247" s="20"/>
      <c r="I247" s="20"/>
      <c r="J247" s="20"/>
    </row>
    <row r="248" spans="1:10" x14ac:dyDescent="0.25">
      <c r="A248" s="63" t="s">
        <v>14</v>
      </c>
      <c r="B248" s="63"/>
      <c r="C248" s="63"/>
      <c r="D248" s="33" t="s">
        <v>12</v>
      </c>
      <c r="E248" s="44">
        <f>I246</f>
        <v>177906051</v>
      </c>
      <c r="F248" s="38"/>
      <c r="G248" s="21"/>
      <c r="H248" s="21"/>
      <c r="I248" s="10"/>
      <c r="J248" s="10"/>
    </row>
    <row r="249" spans="1:10" x14ac:dyDescent="0.25">
      <c r="A249" s="8" t="s">
        <v>9</v>
      </c>
      <c r="B249" s="8"/>
      <c r="C249" s="8"/>
      <c r="D249" s="33" t="s">
        <v>12</v>
      </c>
      <c r="E249" s="34"/>
      <c r="F249" s="34"/>
      <c r="G249" s="22"/>
      <c r="H249" s="9"/>
      <c r="I249" s="10"/>
      <c r="J249" s="10"/>
    </row>
    <row r="250" spans="1:10" x14ac:dyDescent="0.25">
      <c r="A250" s="8" t="s">
        <v>16</v>
      </c>
      <c r="B250" s="8"/>
      <c r="C250" s="8"/>
      <c r="D250" s="33" t="s">
        <v>12</v>
      </c>
      <c r="E250" s="35"/>
      <c r="F250" s="35"/>
      <c r="G250" s="22"/>
      <c r="H250" s="9"/>
      <c r="I250" s="10"/>
      <c r="J250" s="10"/>
    </row>
    <row r="251" spans="1:10" x14ac:dyDescent="0.25">
      <c r="A251" s="8" t="s">
        <v>10</v>
      </c>
      <c r="B251" s="8"/>
      <c r="C251" s="8"/>
      <c r="D251" s="33" t="s">
        <v>12</v>
      </c>
      <c r="E251" s="35">
        <f>E249+E250</f>
        <v>0</v>
      </c>
      <c r="F251" s="35"/>
      <c r="G251" s="8"/>
      <c r="H251" s="9"/>
      <c r="I251" s="23"/>
      <c r="J251" s="24"/>
    </row>
    <row r="252" spans="1:10" x14ac:dyDescent="0.25">
      <c r="A252" s="47"/>
      <c r="B252" s="47"/>
      <c r="C252" s="47"/>
      <c r="D252" s="33"/>
      <c r="E252" s="47"/>
      <c r="F252" s="47"/>
      <c r="G252" s="8"/>
      <c r="H252" s="9"/>
      <c r="I252" s="23"/>
      <c r="J252" s="24"/>
    </row>
    <row r="253" spans="1:10" x14ac:dyDescent="0.25">
      <c r="A253" s="63" t="s">
        <v>15</v>
      </c>
      <c r="B253" s="63"/>
      <c r="C253" s="63"/>
      <c r="D253" s="33" t="s">
        <v>12</v>
      </c>
      <c r="E253" s="38">
        <f>E248-E251</f>
        <v>177906051</v>
      </c>
      <c r="F253" s="38"/>
      <c r="G253" s="8"/>
      <c r="H253" s="9"/>
      <c r="I253" s="23"/>
      <c r="J253" s="24"/>
    </row>
    <row r="254" spans="1:10" ht="15.75" x14ac:dyDescent="0.25">
      <c r="A254" s="47"/>
      <c r="B254" s="47"/>
      <c r="C254" s="8"/>
      <c r="D254" s="8"/>
      <c r="E254" s="51" t="str">
        <f>PROPER(IF(E253=0,"nol",IF(E253&lt;0,"minus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253),"000000000000000"),1,3)=0,"",MID(TEXT(ABS(E253),"000000000000000"),1,1)&amp;" ratus "&amp;MID(TEXT(ABS(E253),"000000000000000"),2,1)&amp;" puluh "&amp;MID(TEXT(ABS(E253),"000000000000000"),3,1)&amp;" trilyun ")&amp;IF(--MID(TEXT(ABS(E253),"000000000000000"),4,3)=0,"",MID(TEXT(ABS(E253),"000000000000000"),4,1)&amp;" ratus "&amp;MID(TEXT(ABS(E253),"000000000000000"),5,1)&amp;" puluh "&amp;MID(TEXT(ABS(E253),"000000000000000"),6,1)&amp;" milyar ")&amp;IF(--MID(TEXT(ABS(E253),"000000000000000"),7,3)=0,"",MID(TEXT(ABS(E253),"000000000000000"),7,1)&amp;" ratus "&amp;MID(TEXT(ABS(E253),"000000000000000"),8,1)&amp;" puluh "&amp;MID(TEXT(ABS(E253),"000000000000000"),9,1)&amp;" juta ")&amp;IF(--MID(TEXT(ABS(E253),"000000000000000"),10,3)=0,"",IF(--MID(TEXT(ABS(E253),"000000000000000"),10,3)=1,"*",MID(TEXT(ABS(E253),"000000000000000"),10,1)&amp;" ratus "&amp;MID(TEXT(ABS(E253),"000000000000000"),11,1)&amp;" puluh ")&amp;MID(TEXT(ABS(E253),"000000000000000"),12,1)&amp;" ribu ")&amp;IF(--MID(TEXT(ABS(E253),"000000000000000"),13,3)=0,"",MID(TEXT(ABS(E253),"000000000000000"),13,1)&amp;" ratus "&amp;MID(TEXT(ABS(E253),"000000000000000"),14,1)&amp;" puluh "&amp;MID(TEXT(ABS(E253),"000000000000000"),15,1)),1,"satu"),2,"dua"),3,"tiga"),4,"empat"),5,"lima"),6,"enam"),7,"tujuh"),8,"delapan"),9,"sembilan"),"0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Tujuh Juta Sembilan Ratus Enam Ribu Lima Puluh Satu Rupiah</v>
      </c>
      <c r="F254" s="8"/>
      <c r="G254" s="8"/>
      <c r="H254" s="8"/>
      <c r="I254" s="23"/>
      <c r="J254" s="24"/>
    </row>
    <row r="255" spans="1:10" x14ac:dyDescent="0.25">
      <c r="A255" s="26"/>
      <c r="B255" s="26"/>
      <c r="C255" s="26"/>
      <c r="D255" s="26"/>
      <c r="E255" s="26"/>
      <c r="F255" s="26"/>
      <c r="G255" s="25"/>
      <c r="H255" s="24"/>
      <c r="I255" s="23"/>
      <c r="J255" s="24"/>
    </row>
    <row r="256" spans="1:10" x14ac:dyDescent="0.25">
      <c r="A256" s="25"/>
      <c r="B256" s="25"/>
      <c r="C256" s="25"/>
      <c r="D256" s="25"/>
      <c r="E256" s="25"/>
      <c r="F256" s="25"/>
      <c r="G256" s="25"/>
      <c r="H256"/>
      <c r="I256" s="24"/>
      <c r="J256" s="24"/>
    </row>
    <row r="257" spans="1:10" x14ac:dyDescent="0.25">
      <c r="A257" s="47"/>
      <c r="B257" s="47"/>
      <c r="C257" s="8"/>
      <c r="D257" s="8"/>
      <c r="E257" s="8"/>
      <c r="F257" s="8"/>
      <c r="G257" s="8"/>
      <c r="I257" s="49" t="s">
        <v>51</v>
      </c>
      <c r="J257" s="24"/>
    </row>
    <row r="258" spans="1:10" x14ac:dyDescent="0.25">
      <c r="A258" s="9" t="s">
        <v>27</v>
      </c>
      <c r="B258" s="9"/>
      <c r="C258" s="8"/>
      <c r="D258" s="8"/>
      <c r="E258" s="8"/>
      <c r="F258" s="8"/>
      <c r="G258" s="8"/>
      <c r="I258" s="9" t="s">
        <v>26</v>
      </c>
      <c r="J258" s="24"/>
    </row>
    <row r="259" spans="1:10" x14ac:dyDescent="0.25">
      <c r="A259" s="8"/>
      <c r="B259" s="8"/>
      <c r="C259" s="8"/>
      <c r="D259" s="8"/>
      <c r="E259" s="8"/>
      <c r="F259" s="8"/>
      <c r="G259" s="8"/>
      <c r="I259" s="9"/>
      <c r="J259" s="24"/>
    </row>
    <row r="260" spans="1:10" x14ac:dyDescent="0.25">
      <c r="A260" s="8"/>
      <c r="B260" s="8"/>
      <c r="C260" s="8"/>
      <c r="D260" s="8"/>
      <c r="E260" s="8"/>
      <c r="F260" s="8"/>
      <c r="G260" s="8"/>
      <c r="I260" s="9"/>
      <c r="J260" s="24"/>
    </row>
    <row r="261" spans="1:10" x14ac:dyDescent="0.25">
      <c r="A261" s="8"/>
      <c r="B261" s="8"/>
      <c r="C261" s="8"/>
      <c r="D261" s="8"/>
      <c r="E261" s="8"/>
      <c r="F261" s="8"/>
      <c r="G261" s="8"/>
      <c r="I261" s="9"/>
      <c r="J261" s="24"/>
    </row>
    <row r="262" spans="1:10" x14ac:dyDescent="0.25">
      <c r="A262" s="8"/>
      <c r="B262" s="8"/>
      <c r="C262" s="8"/>
      <c r="D262" s="8"/>
      <c r="E262" s="8"/>
      <c r="F262" s="8"/>
      <c r="G262" s="8"/>
      <c r="I262" s="9"/>
      <c r="J262" s="24"/>
    </row>
    <row r="263" spans="1:10" x14ac:dyDescent="0.25">
      <c r="A263" s="28" t="s">
        <v>35</v>
      </c>
      <c r="B263" s="28"/>
      <c r="C263" s="27"/>
      <c r="D263" s="27"/>
      <c r="E263" s="27"/>
      <c r="F263" s="27"/>
      <c r="G263" s="8" t="s">
        <v>11</v>
      </c>
      <c r="I263" s="28" t="s">
        <v>28</v>
      </c>
      <c r="J263" s="24"/>
    </row>
    <row r="268" spans="1:10" ht="15.75" x14ac:dyDescent="0.25">
      <c r="C268" s="3"/>
      <c r="D268" s="3"/>
      <c r="E268" s="3"/>
      <c r="F268" s="3"/>
    </row>
    <row r="269" spans="1:10" ht="15.75" x14ac:dyDescent="0.25">
      <c r="A269" s="2"/>
      <c r="B269" s="2"/>
      <c r="C269" s="3"/>
      <c r="D269" s="3"/>
      <c r="E269" s="3"/>
      <c r="F269" s="3"/>
      <c r="G269" s="2"/>
      <c r="H269" s="4"/>
      <c r="I269" s="4"/>
      <c r="J269" s="5"/>
    </row>
    <row r="270" spans="1:10" x14ac:dyDescent="0.25">
      <c r="H270" s="5"/>
      <c r="I270" s="5"/>
      <c r="J270" s="5"/>
    </row>
    <row r="271" spans="1:10" x14ac:dyDescent="0.25">
      <c r="H271" s="5"/>
      <c r="I271" s="5"/>
      <c r="J271" s="5"/>
    </row>
    <row r="272" spans="1:10" x14ac:dyDescent="0.25">
      <c r="A272" s="64" t="s">
        <v>30</v>
      </c>
      <c r="B272" s="64"/>
      <c r="C272" s="65"/>
      <c r="D272" s="65"/>
      <c r="E272" s="65"/>
      <c r="F272" s="65"/>
      <c r="G272" s="65"/>
      <c r="H272" s="65"/>
      <c r="I272" s="65"/>
      <c r="J272" s="65"/>
    </row>
    <row r="273" spans="1:10" x14ac:dyDescent="0.25">
      <c r="A273" s="65" t="s">
        <v>53</v>
      </c>
      <c r="B273" s="65"/>
      <c r="C273" s="65"/>
      <c r="D273" s="65"/>
      <c r="E273" s="65"/>
      <c r="F273" s="65"/>
      <c r="G273" s="65"/>
      <c r="H273" s="65"/>
      <c r="I273" s="65"/>
      <c r="J273" s="65"/>
    </row>
    <row r="274" spans="1:10" x14ac:dyDescent="0.25">
      <c r="A274" s="65" t="s">
        <v>13</v>
      </c>
      <c r="B274" s="65"/>
      <c r="C274" s="65"/>
      <c r="D274" s="65"/>
      <c r="E274" s="65"/>
      <c r="F274" s="65"/>
      <c r="G274" s="65"/>
      <c r="H274" s="65"/>
      <c r="I274" s="65"/>
      <c r="J274" s="65"/>
    </row>
    <row r="275" spans="1:10" x14ac:dyDescent="0.25">
      <c r="A275" s="65" t="s">
        <v>36</v>
      </c>
      <c r="B275" s="65"/>
      <c r="C275" s="65"/>
      <c r="D275" s="65"/>
      <c r="E275" s="65"/>
      <c r="F275" s="65"/>
      <c r="G275" s="65"/>
      <c r="H275" s="65"/>
      <c r="I275" s="65"/>
      <c r="J275" s="65"/>
    </row>
    <row r="276" spans="1:10" x14ac:dyDescent="0.25">
      <c r="A276" s="65" t="s">
        <v>25</v>
      </c>
      <c r="B276" s="65"/>
      <c r="C276" s="65"/>
      <c r="D276" s="65"/>
      <c r="E276" s="65"/>
      <c r="F276" s="65"/>
      <c r="G276" s="65"/>
      <c r="H276" s="65"/>
      <c r="I276" s="65"/>
      <c r="J276" s="65"/>
    </row>
    <row r="277" spans="1:10" x14ac:dyDescent="0.25">
      <c r="A277" s="32"/>
      <c r="B277" s="32"/>
      <c r="C277" s="7"/>
      <c r="D277" s="7"/>
      <c r="E277" s="7"/>
      <c r="F277" s="7"/>
      <c r="G277" s="6"/>
      <c r="H277" s="10"/>
      <c r="I277" s="10"/>
      <c r="J277" s="10"/>
    </row>
    <row r="278" spans="1:10" x14ac:dyDescent="0.25">
      <c r="A278" s="53" t="s">
        <v>18</v>
      </c>
      <c r="B278" s="53"/>
      <c r="C278" s="53"/>
      <c r="D278" s="40" t="s">
        <v>12</v>
      </c>
      <c r="E278" s="8" t="s">
        <v>31</v>
      </c>
      <c r="H278" s="9"/>
      <c r="I278" s="9"/>
      <c r="J278" s="10"/>
    </row>
    <row r="279" spans="1:10" x14ac:dyDescent="0.25">
      <c r="A279" s="53" t="s">
        <v>19</v>
      </c>
      <c r="B279" s="53"/>
      <c r="C279" s="53"/>
      <c r="D279" s="40" t="s">
        <v>12</v>
      </c>
      <c r="E279" s="8" t="s">
        <v>32</v>
      </c>
      <c r="H279" s="9"/>
      <c r="I279" s="9"/>
      <c r="J279" s="10"/>
    </row>
    <row r="280" spans="1:10" x14ac:dyDescent="0.25">
      <c r="A280" s="53" t="s">
        <v>20</v>
      </c>
      <c r="B280" s="53"/>
      <c r="C280" s="53"/>
      <c r="D280" s="40" t="s">
        <v>12</v>
      </c>
      <c r="E280" s="47">
        <v>2026</v>
      </c>
      <c r="H280" s="9"/>
      <c r="I280" s="9"/>
      <c r="J280" s="10"/>
    </row>
    <row r="281" spans="1:10" x14ac:dyDescent="0.25">
      <c r="A281" s="53" t="s">
        <v>21</v>
      </c>
      <c r="B281" s="53"/>
      <c r="C281" s="53"/>
      <c r="D281" s="40" t="s">
        <v>12</v>
      </c>
      <c r="E281" s="44">
        <f>I290</f>
        <v>20400000</v>
      </c>
      <c r="H281" s="9"/>
      <c r="I281" s="9"/>
      <c r="J281" s="10"/>
    </row>
    <row r="282" spans="1:10" ht="15.75" x14ac:dyDescent="0.25">
      <c r="A282" s="8"/>
      <c r="B282" s="8"/>
      <c r="C282" s="11" t="s">
        <v>0</v>
      </c>
      <c r="D282" s="40" t="s">
        <v>12</v>
      </c>
      <c r="E282" s="51" t="str">
        <f>PROPER(IF(E281=0,"nol",IF(E281&lt;0,"minus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281),"000000000000000"),1,3)=0,"",MID(TEXT(ABS(E281),"000000000000000"),1,1)&amp;" ratus "&amp;MID(TEXT(ABS(E281),"000000000000000"),2,1)&amp;" puluh "&amp;MID(TEXT(ABS(E281),"000000000000000"),3,1)&amp;" trilyun ")&amp;IF(--MID(TEXT(ABS(E281),"000000000000000"),4,3)=0,"",MID(TEXT(ABS(E281),"000000000000000"),4,1)&amp;" ratus "&amp;MID(TEXT(ABS(E281),"000000000000000"),5,1)&amp;" puluh "&amp;MID(TEXT(ABS(E281),"000000000000000"),6,1)&amp;" milyar ")&amp;IF(--MID(TEXT(ABS(E281),"000000000000000"),7,3)=0,"",MID(TEXT(ABS(E281),"000000000000000"),7,1)&amp;" ratus "&amp;MID(TEXT(ABS(E281),"000000000000000"),8,1)&amp;" puluh "&amp;MID(TEXT(ABS(E281),"000000000000000"),9,1)&amp;" juta ")&amp;IF(--MID(TEXT(ABS(E281),"000000000000000"),10,3)=0,"",IF(--MID(TEXT(ABS(E281),"000000000000000"),10,3)=1,"*",MID(TEXT(ABS(E281),"000000000000000"),10,1)&amp;" ratus "&amp;MID(TEXT(ABS(E281),"000000000000000"),11,1)&amp;" puluh ")&amp;MID(TEXT(ABS(E281),"000000000000000"),12,1)&amp;" ribu ")&amp;IF(--MID(TEXT(ABS(E281),"000000000000000"),13,3)=0,"",MID(TEXT(ABS(E281),"000000000000000"),13,1)&amp;" ratus "&amp;MID(TEXT(ABS(E281),"000000000000000"),14,1)&amp;" puluh "&amp;MID(TEXT(ABS(E281),"000000000000000"),15,1)),1,"satu"),2,"dua"),3,"tiga"),4,"empat"),5,"lima"),6,"enam"),7,"tujuh"),8,"delapan"),9,"sembilan"),"0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Empat Ratus Ribu Rupiah</v>
      </c>
      <c r="H282" s="9"/>
      <c r="I282" s="9"/>
      <c r="J282" s="10"/>
    </row>
    <row r="283" spans="1:10" ht="15.75" x14ac:dyDescent="0.25">
      <c r="A283" s="8"/>
      <c r="B283" s="8"/>
      <c r="C283" s="11"/>
      <c r="D283" s="11"/>
      <c r="E283" s="11"/>
      <c r="F283" s="40"/>
      <c r="G283" s="51"/>
      <c r="H283" s="9"/>
      <c r="I283" s="9"/>
      <c r="J283" s="10"/>
    </row>
    <row r="284" spans="1:10" x14ac:dyDescent="0.25">
      <c r="A284" s="8" t="s">
        <v>1</v>
      </c>
      <c r="B284" s="8"/>
      <c r="C284" s="8"/>
      <c r="D284" s="8"/>
      <c r="E284" s="8"/>
      <c r="F284" s="8"/>
      <c r="G284" s="8"/>
      <c r="H284" s="9"/>
      <c r="I284" s="9"/>
      <c r="J284" s="10"/>
    </row>
    <row r="285" spans="1:10" x14ac:dyDescent="0.25">
      <c r="A285" s="66" t="s">
        <v>2</v>
      </c>
      <c r="B285" s="66"/>
      <c r="C285" s="66"/>
      <c r="D285" s="66"/>
      <c r="E285" s="66"/>
      <c r="F285" s="66"/>
      <c r="G285" s="66"/>
      <c r="H285" s="66"/>
      <c r="I285" s="66"/>
      <c r="J285" s="66"/>
    </row>
    <row r="286" spans="1:10" ht="45" x14ac:dyDescent="0.25">
      <c r="A286" s="12" t="s">
        <v>3</v>
      </c>
      <c r="B286" s="58" t="s">
        <v>22</v>
      </c>
      <c r="C286" s="60" t="s">
        <v>4</v>
      </c>
      <c r="D286" s="61"/>
      <c r="E286" s="62"/>
      <c r="F286" s="50"/>
      <c r="G286" s="41" t="s">
        <v>5</v>
      </c>
      <c r="H286" s="13" t="s">
        <v>17</v>
      </c>
      <c r="I286" s="14" t="s">
        <v>6</v>
      </c>
      <c r="J286" s="15" t="s">
        <v>7</v>
      </c>
    </row>
    <row r="287" spans="1:10" x14ac:dyDescent="0.25">
      <c r="A287" s="59">
        <v>1</v>
      </c>
      <c r="B287" s="48"/>
      <c r="C287" s="55" t="s">
        <v>33</v>
      </c>
      <c r="D287" s="57"/>
      <c r="E287" s="45"/>
      <c r="F287" s="39"/>
      <c r="G287" s="56" t="s">
        <v>29</v>
      </c>
      <c r="H287" s="56" t="s">
        <v>29</v>
      </c>
      <c r="I287" s="56" t="s">
        <v>29</v>
      </c>
      <c r="J287" s="56" t="s">
        <v>29</v>
      </c>
    </row>
    <row r="288" spans="1:10" x14ac:dyDescent="0.25">
      <c r="A288" s="48"/>
      <c r="B288" s="48" t="s">
        <v>23</v>
      </c>
      <c r="C288" s="39" t="s">
        <v>37</v>
      </c>
      <c r="D288" s="8"/>
      <c r="E288" s="45"/>
      <c r="F288" s="39"/>
      <c r="G288" s="52">
        <v>448560000</v>
      </c>
      <c r="H288" s="46">
        <f>H244+I244</f>
        <v>5215056</v>
      </c>
      <c r="I288" s="36">
        <v>0</v>
      </c>
      <c r="J288" s="37">
        <f t="shared" ref="J288:J289" si="6">G288-H288-I288</f>
        <v>443344944</v>
      </c>
    </row>
    <row r="289" spans="1:10" x14ac:dyDescent="0.25">
      <c r="A289" s="48"/>
      <c r="B289" s="48" t="s">
        <v>24</v>
      </c>
      <c r="C289" s="39" t="s">
        <v>34</v>
      </c>
      <c r="D289" s="8"/>
      <c r="E289" s="45"/>
      <c r="F289" s="39"/>
      <c r="G289" s="52">
        <v>2687040000</v>
      </c>
      <c r="H289" s="46">
        <f>H245+I245</f>
        <v>359811176</v>
      </c>
      <c r="I289" s="36">
        <v>20400000</v>
      </c>
      <c r="J289" s="37">
        <f t="shared" si="6"/>
        <v>2306828824</v>
      </c>
    </row>
    <row r="290" spans="1:10" x14ac:dyDescent="0.25">
      <c r="A290" s="16"/>
      <c r="B290" s="16"/>
      <c r="C290" s="17" t="s">
        <v>8</v>
      </c>
      <c r="D290" s="17"/>
      <c r="E290" s="17"/>
      <c r="F290" s="43"/>
      <c r="G290" s="42">
        <f>SUM(G287:G289)</f>
        <v>3135600000</v>
      </c>
      <c r="H290" s="18">
        <f>SUM(H287:H289)</f>
        <v>365026232</v>
      </c>
      <c r="I290" s="18">
        <f>SUM(I287:I289)</f>
        <v>20400000</v>
      </c>
      <c r="J290" s="18">
        <f>SUM(J287:J289)</f>
        <v>2750173768</v>
      </c>
    </row>
    <row r="291" spans="1:10" x14ac:dyDescent="0.25">
      <c r="A291" s="19"/>
      <c r="B291" s="54"/>
      <c r="C291" s="6"/>
      <c r="D291" s="6"/>
      <c r="E291" s="6"/>
      <c r="F291" s="6"/>
      <c r="G291" s="20"/>
      <c r="H291" s="20"/>
      <c r="I291" s="20"/>
      <c r="J291" s="20"/>
    </row>
    <row r="292" spans="1:10" x14ac:dyDescent="0.25">
      <c r="A292" s="63" t="s">
        <v>14</v>
      </c>
      <c r="B292" s="63"/>
      <c r="C292" s="63"/>
      <c r="D292" s="33" t="s">
        <v>12</v>
      </c>
      <c r="E292" s="44">
        <f>I290</f>
        <v>20400000</v>
      </c>
      <c r="F292" s="38"/>
      <c r="G292" s="21"/>
      <c r="H292" s="21"/>
      <c r="I292" s="10"/>
      <c r="J292" s="10"/>
    </row>
    <row r="293" spans="1:10" x14ac:dyDescent="0.25">
      <c r="A293" s="8" t="s">
        <v>9</v>
      </c>
      <c r="B293" s="8"/>
      <c r="C293" s="8"/>
      <c r="D293" s="33" t="s">
        <v>12</v>
      </c>
      <c r="E293" s="34"/>
      <c r="F293" s="34"/>
      <c r="G293" s="22"/>
      <c r="H293" s="9"/>
      <c r="I293" s="10"/>
      <c r="J293" s="10"/>
    </row>
    <row r="294" spans="1:10" x14ac:dyDescent="0.25">
      <c r="A294" s="8" t="s">
        <v>16</v>
      </c>
      <c r="B294" s="8"/>
      <c r="C294" s="8"/>
      <c r="D294" s="33" t="s">
        <v>12</v>
      </c>
      <c r="E294" s="35"/>
      <c r="F294" s="35"/>
      <c r="G294" s="22"/>
      <c r="H294" s="9"/>
      <c r="I294" s="10"/>
      <c r="J294" s="10"/>
    </row>
    <row r="295" spans="1:10" x14ac:dyDescent="0.25">
      <c r="A295" s="8" t="s">
        <v>10</v>
      </c>
      <c r="B295" s="8"/>
      <c r="C295" s="8"/>
      <c r="D295" s="33" t="s">
        <v>12</v>
      </c>
      <c r="E295" s="35">
        <f>E293+E294</f>
        <v>0</v>
      </c>
      <c r="F295" s="35"/>
      <c r="G295" s="8"/>
      <c r="H295" s="9"/>
      <c r="I295" s="23"/>
      <c r="J295" s="24"/>
    </row>
    <row r="296" spans="1:10" x14ac:dyDescent="0.25">
      <c r="A296" s="47"/>
      <c r="B296" s="47"/>
      <c r="C296" s="47"/>
      <c r="D296" s="33"/>
      <c r="E296" s="47"/>
      <c r="F296" s="47"/>
      <c r="G296" s="8"/>
      <c r="H296" s="9"/>
      <c r="I296" s="23"/>
      <c r="J296" s="24"/>
    </row>
    <row r="297" spans="1:10" x14ac:dyDescent="0.25">
      <c r="A297" s="63" t="s">
        <v>15</v>
      </c>
      <c r="B297" s="63"/>
      <c r="C297" s="63"/>
      <c r="D297" s="33" t="s">
        <v>12</v>
      </c>
      <c r="E297" s="38">
        <f>E292-E295</f>
        <v>20400000</v>
      </c>
      <c r="F297" s="38"/>
      <c r="G297" s="8"/>
      <c r="H297" s="9"/>
      <c r="I297" s="23"/>
      <c r="J297" s="24"/>
    </row>
    <row r="298" spans="1:10" ht="15.75" x14ac:dyDescent="0.25">
      <c r="A298" s="47"/>
      <c r="B298" s="47"/>
      <c r="C298" s="8"/>
      <c r="D298" s="8"/>
      <c r="E298" s="51" t="str">
        <f>PROPER(IF(E297=0,"nol",IF(E297&lt;0,"minus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297),"000000000000000"),1,3)=0,"",MID(TEXT(ABS(E297),"000000000000000"),1,1)&amp;" ratus "&amp;MID(TEXT(ABS(E297),"000000000000000"),2,1)&amp;" puluh "&amp;MID(TEXT(ABS(E297),"000000000000000"),3,1)&amp;" trilyun ")&amp;IF(--MID(TEXT(ABS(E297),"000000000000000"),4,3)=0,"",MID(TEXT(ABS(E297),"000000000000000"),4,1)&amp;" ratus "&amp;MID(TEXT(ABS(E297),"000000000000000"),5,1)&amp;" puluh "&amp;MID(TEXT(ABS(E297),"000000000000000"),6,1)&amp;" milyar ")&amp;IF(--MID(TEXT(ABS(E297),"000000000000000"),7,3)=0,"",MID(TEXT(ABS(E297),"000000000000000"),7,1)&amp;" ratus "&amp;MID(TEXT(ABS(E297),"000000000000000"),8,1)&amp;" puluh "&amp;MID(TEXT(ABS(E297),"000000000000000"),9,1)&amp;" juta ")&amp;IF(--MID(TEXT(ABS(E297),"000000000000000"),10,3)=0,"",IF(--MID(TEXT(ABS(E297),"000000000000000"),10,3)=1,"*",MID(TEXT(ABS(E297),"000000000000000"),10,1)&amp;" ratus "&amp;MID(TEXT(ABS(E297),"000000000000000"),11,1)&amp;" puluh ")&amp;MID(TEXT(ABS(E297),"000000000000000"),12,1)&amp;" ribu ")&amp;IF(--MID(TEXT(ABS(E297),"000000000000000"),13,3)=0,"",MID(TEXT(ABS(E297),"000000000000000"),13,1)&amp;" ratus "&amp;MID(TEXT(ABS(E297),"000000000000000"),14,1)&amp;" puluh "&amp;MID(TEXT(ABS(E297),"000000000000000"),15,1)),1,"satu"),2,"dua"),3,"tiga"),4,"empat"),5,"lima"),6,"enam"),7,"tujuh"),8,"delapan"),9,"sembilan"),"0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Empat Ratus Ribu Rupiah</v>
      </c>
      <c r="F298" s="8"/>
      <c r="G298" s="8"/>
      <c r="H298" s="8"/>
      <c r="I298" s="23"/>
      <c r="J298" s="24"/>
    </row>
    <row r="299" spans="1:10" x14ac:dyDescent="0.25">
      <c r="A299" s="26"/>
      <c r="B299" s="26"/>
      <c r="C299" s="26"/>
      <c r="D299" s="26"/>
      <c r="E299" s="26"/>
      <c r="F299" s="26"/>
      <c r="G299" s="25"/>
      <c r="H299" s="24"/>
      <c r="I299" s="23"/>
      <c r="J299" s="24"/>
    </row>
    <row r="300" spans="1:10" x14ac:dyDescent="0.25">
      <c r="A300" s="25"/>
      <c r="B300" s="25"/>
      <c r="C300" s="25"/>
      <c r="D300" s="25"/>
      <c r="E300" s="25"/>
      <c r="F300" s="25"/>
      <c r="G300" s="25"/>
      <c r="H300"/>
      <c r="I300" s="24"/>
      <c r="J300" s="24"/>
    </row>
    <row r="301" spans="1:10" x14ac:dyDescent="0.25">
      <c r="A301" s="47"/>
      <c r="B301" s="47"/>
      <c r="C301" s="8"/>
      <c r="D301" s="8"/>
      <c r="E301" s="8"/>
      <c r="F301" s="8"/>
      <c r="G301" s="8"/>
      <c r="I301" s="49" t="s">
        <v>51</v>
      </c>
      <c r="J301" s="24"/>
    </row>
    <row r="302" spans="1:10" x14ac:dyDescent="0.25">
      <c r="A302" s="9" t="s">
        <v>27</v>
      </c>
      <c r="B302" s="9"/>
      <c r="C302" s="8"/>
      <c r="D302" s="8"/>
      <c r="E302" s="8"/>
      <c r="F302" s="8"/>
      <c r="G302" s="8"/>
      <c r="I302" s="9" t="s">
        <v>26</v>
      </c>
      <c r="J302" s="24"/>
    </row>
    <row r="303" spans="1:10" x14ac:dyDescent="0.25">
      <c r="A303" s="8"/>
      <c r="B303" s="8"/>
      <c r="C303" s="8"/>
      <c r="D303" s="8"/>
      <c r="E303" s="8"/>
      <c r="F303" s="8"/>
      <c r="G303" s="8"/>
      <c r="I303" s="9"/>
      <c r="J303" s="24"/>
    </row>
    <row r="304" spans="1:10" x14ac:dyDescent="0.25">
      <c r="A304" s="8"/>
      <c r="B304" s="8"/>
      <c r="C304" s="8"/>
      <c r="D304" s="8"/>
      <c r="E304" s="8"/>
      <c r="F304" s="8"/>
      <c r="G304" s="8"/>
      <c r="I304" s="9"/>
      <c r="J304" s="24"/>
    </row>
    <row r="305" spans="1:10" x14ac:dyDescent="0.25">
      <c r="A305" s="8"/>
      <c r="B305" s="8"/>
      <c r="C305" s="8"/>
      <c r="D305" s="8"/>
      <c r="E305" s="8"/>
      <c r="F305" s="8"/>
      <c r="G305" s="8"/>
      <c r="I305" s="9"/>
      <c r="J305" s="24"/>
    </row>
    <row r="306" spans="1:10" x14ac:dyDescent="0.25">
      <c r="A306" s="8"/>
      <c r="B306" s="8"/>
      <c r="C306" s="8"/>
      <c r="D306" s="8"/>
      <c r="E306" s="8"/>
      <c r="F306" s="8"/>
      <c r="G306" s="8"/>
      <c r="I306" s="9"/>
      <c r="J306" s="24"/>
    </row>
    <row r="307" spans="1:10" x14ac:dyDescent="0.25">
      <c r="A307" s="28" t="s">
        <v>35</v>
      </c>
      <c r="B307" s="28"/>
      <c r="C307" s="27"/>
      <c r="D307" s="27"/>
      <c r="E307" s="27"/>
      <c r="F307" s="27"/>
      <c r="G307" s="8" t="s">
        <v>11</v>
      </c>
      <c r="I307" s="28" t="s">
        <v>28</v>
      </c>
      <c r="J307" s="24"/>
    </row>
  </sheetData>
  <mergeCells count="63">
    <mergeCell ref="A285:J285"/>
    <mergeCell ref="C286:E286"/>
    <mergeCell ref="A292:C292"/>
    <mergeCell ref="A297:C297"/>
    <mergeCell ref="A272:J272"/>
    <mergeCell ref="A273:J273"/>
    <mergeCell ref="A274:J274"/>
    <mergeCell ref="A275:J275"/>
    <mergeCell ref="A276:J276"/>
    <mergeCell ref="A21:J21"/>
    <mergeCell ref="A8:J8"/>
    <mergeCell ref="A9:J9"/>
    <mergeCell ref="A10:J10"/>
    <mergeCell ref="A11:J11"/>
    <mergeCell ref="A12:J12"/>
    <mergeCell ref="A77:C77"/>
    <mergeCell ref="C22:E22"/>
    <mergeCell ref="A28:C28"/>
    <mergeCell ref="A33:C33"/>
    <mergeCell ref="A52:J52"/>
    <mergeCell ref="A53:J53"/>
    <mergeCell ref="A54:J54"/>
    <mergeCell ref="A55:J55"/>
    <mergeCell ref="A56:J56"/>
    <mergeCell ref="A65:J65"/>
    <mergeCell ref="C66:E66"/>
    <mergeCell ref="A72:C72"/>
    <mergeCell ref="C110:E110"/>
    <mergeCell ref="A116:C116"/>
    <mergeCell ref="A121:C121"/>
    <mergeCell ref="A96:J96"/>
    <mergeCell ref="A97:J97"/>
    <mergeCell ref="A98:J98"/>
    <mergeCell ref="A99:J99"/>
    <mergeCell ref="A100:J100"/>
    <mergeCell ref="A109:J109"/>
    <mergeCell ref="A153:J153"/>
    <mergeCell ref="C154:E154"/>
    <mergeCell ref="A160:C160"/>
    <mergeCell ref="A165:C165"/>
    <mergeCell ref="A140:J140"/>
    <mergeCell ref="A141:J141"/>
    <mergeCell ref="A142:J142"/>
    <mergeCell ref="A143:J143"/>
    <mergeCell ref="A144:J144"/>
    <mergeCell ref="A184:J184"/>
    <mergeCell ref="A185:J185"/>
    <mergeCell ref="A186:J186"/>
    <mergeCell ref="A187:J187"/>
    <mergeCell ref="A188:J188"/>
    <mergeCell ref="A197:J197"/>
    <mergeCell ref="C198:E198"/>
    <mergeCell ref="A204:C204"/>
    <mergeCell ref="A209:C209"/>
    <mergeCell ref="A228:J228"/>
    <mergeCell ref="C242:E242"/>
    <mergeCell ref="A248:C248"/>
    <mergeCell ref="A253:C253"/>
    <mergeCell ref="A229:J229"/>
    <mergeCell ref="A230:J230"/>
    <mergeCell ref="A231:J231"/>
    <mergeCell ref="A232:J232"/>
    <mergeCell ref="A241:J241"/>
  </mergeCells>
  <pageMargins left="0.23622047244094491" right="0.23622047244094491" top="0.15748031496062992" bottom="0.74803149606299213" header="0.31496062992125984" footer="0.31496062992125984"/>
  <pageSetup paperSize="9" scale="83" orientation="portrait" horizontalDpi="4294967293" r:id="rId1"/>
  <rowBreaks count="6" manualBreakCount="6">
    <brk id="44" max="9" man="1"/>
    <brk id="88" max="9" man="1"/>
    <brk id="132" max="9" man="1"/>
    <brk id="176" max="9" man="1"/>
    <brk id="220" max="9" man="1"/>
    <brk id="264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60A2-5FED-4645-860D-7A14BEEDCF45}">
  <dimension ref="A1:V307"/>
  <sheetViews>
    <sheetView tabSelected="1" view="pageBreakPreview" topLeftCell="A87" zoomScaleNormal="100" zoomScaleSheetLayoutView="100" workbookViewId="0">
      <selection activeCell="J131" sqref="A89:J131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5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4" t="s">
        <v>30</v>
      </c>
      <c r="B8" s="64"/>
      <c r="C8" s="65"/>
      <c r="D8" s="65"/>
      <c r="E8" s="65"/>
      <c r="F8" s="65"/>
      <c r="G8" s="65"/>
      <c r="H8" s="65"/>
      <c r="I8" s="65"/>
      <c r="J8" s="65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5" t="s">
        <v>54</v>
      </c>
      <c r="B9" s="65"/>
      <c r="C9" s="65"/>
      <c r="D9" s="65"/>
      <c r="E9" s="65"/>
      <c r="F9" s="65"/>
      <c r="G9" s="65"/>
      <c r="H9" s="65"/>
      <c r="I9" s="65"/>
      <c r="J9" s="65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5" t="s">
        <v>13</v>
      </c>
      <c r="B10" s="65"/>
      <c r="C10" s="65"/>
      <c r="D10" s="65"/>
      <c r="E10" s="65"/>
      <c r="F10" s="65"/>
      <c r="G10" s="65"/>
      <c r="H10" s="65"/>
      <c r="I10" s="65"/>
      <c r="J10" s="65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5" t="s">
        <v>36</v>
      </c>
      <c r="B11" s="65"/>
      <c r="C11" s="65"/>
      <c r="D11" s="65"/>
      <c r="E11" s="65"/>
      <c r="F11" s="65"/>
      <c r="G11" s="65"/>
      <c r="H11" s="65"/>
      <c r="I11" s="65"/>
      <c r="J11" s="65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5" t="s">
        <v>25</v>
      </c>
      <c r="B12" s="65"/>
      <c r="C12" s="65"/>
      <c r="D12" s="65"/>
      <c r="E12" s="65"/>
      <c r="F12" s="65"/>
      <c r="G12" s="65"/>
      <c r="H12" s="65"/>
      <c r="I12" s="65"/>
      <c r="J12" s="65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I26</f>
        <v>250000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33</v>
      </c>
      <c r="D23" s="57"/>
      <c r="E23" s="45"/>
      <c r="F23" s="39"/>
      <c r="G23" s="56" t="s">
        <v>29</v>
      </c>
      <c r="H23" s="56" t="s">
        <v>29</v>
      </c>
      <c r="I23" s="56" t="s">
        <v>29</v>
      </c>
      <c r="J23" s="56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2">
        <v>448560000</v>
      </c>
      <c r="H24" s="46">
        <f>FEBRUARI!H288+FEBRUARI!I288</f>
        <v>5215056</v>
      </c>
      <c r="I24" s="36">
        <v>0</v>
      </c>
      <c r="J24" s="37">
        <f t="shared" ref="J24:J25" si="0">G24-H24-I24</f>
        <v>443344944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34</v>
      </c>
      <c r="D25" s="8"/>
      <c r="E25" s="45"/>
      <c r="F25" s="39"/>
      <c r="G25" s="52">
        <v>2687040000</v>
      </c>
      <c r="H25" s="46">
        <f>FEBRUARI!H289+FEBRUARI!I289</f>
        <v>380211176</v>
      </c>
      <c r="I25" s="36">
        <v>250000</v>
      </c>
      <c r="J25" s="37">
        <f t="shared" si="0"/>
        <v>2306578824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3135600000</v>
      </c>
      <c r="H26" s="18">
        <f>SUM(H23:H25)</f>
        <v>385426232</v>
      </c>
      <c r="I26" s="18">
        <f>SUM(I23:I25)</f>
        <v>250000</v>
      </c>
      <c r="J26" s="18">
        <f>SUM(J23:J25)</f>
        <v>2749923768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3" t="s">
        <v>14</v>
      </c>
      <c r="B28" s="63"/>
      <c r="C28" s="63"/>
      <c r="D28" s="33" t="s">
        <v>12</v>
      </c>
      <c r="E28" s="44">
        <f>I26</f>
        <v>250000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3" t="s">
        <v>15</v>
      </c>
      <c r="B33" s="63"/>
      <c r="C33" s="63"/>
      <c r="D33" s="33" t="s">
        <v>12</v>
      </c>
      <c r="E33" s="38">
        <f>E28-E31</f>
        <v>250000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1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55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27</v>
      </c>
      <c r="B38" s="9"/>
      <c r="C38" s="8"/>
      <c r="D38" s="8"/>
      <c r="E38" s="8"/>
      <c r="F38" s="8"/>
      <c r="G38" s="8"/>
      <c r="I38" s="9" t="s">
        <v>26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35</v>
      </c>
      <c r="B43" s="28"/>
      <c r="C43" s="27"/>
      <c r="D43" s="27"/>
      <c r="E43" s="27"/>
      <c r="F43" s="27"/>
      <c r="G43" s="8" t="s">
        <v>11</v>
      </c>
      <c r="I43" s="28" t="s">
        <v>28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4" t="s">
        <v>30</v>
      </c>
      <c r="B52" s="64"/>
      <c r="C52" s="65"/>
      <c r="D52" s="65"/>
      <c r="E52" s="65"/>
      <c r="F52" s="65"/>
      <c r="G52" s="65"/>
      <c r="H52" s="65"/>
      <c r="I52" s="65"/>
      <c r="J52" s="65"/>
    </row>
    <row r="53" spans="1:10" x14ac:dyDescent="0.25">
      <c r="A53" s="65" t="s">
        <v>56</v>
      </c>
      <c r="B53" s="65"/>
      <c r="C53" s="65"/>
      <c r="D53" s="65"/>
      <c r="E53" s="65"/>
      <c r="F53" s="65"/>
      <c r="G53" s="65"/>
      <c r="H53" s="65"/>
      <c r="I53" s="65"/>
      <c r="J53" s="65"/>
    </row>
    <row r="54" spans="1:10" x14ac:dyDescent="0.25">
      <c r="A54" s="65" t="s">
        <v>13</v>
      </c>
      <c r="B54" s="65"/>
      <c r="C54" s="65"/>
      <c r="D54" s="65"/>
      <c r="E54" s="65"/>
      <c r="F54" s="65"/>
      <c r="G54" s="65"/>
      <c r="H54" s="65"/>
      <c r="I54" s="65"/>
      <c r="J54" s="65"/>
    </row>
    <row r="55" spans="1:10" x14ac:dyDescent="0.25">
      <c r="A55" s="65" t="s">
        <v>36</v>
      </c>
      <c r="B55" s="65"/>
      <c r="C55" s="65"/>
      <c r="D55" s="65"/>
      <c r="E55" s="65"/>
      <c r="F55" s="65"/>
      <c r="G55" s="65"/>
      <c r="H55" s="65"/>
      <c r="I55" s="65"/>
      <c r="J55" s="65"/>
    </row>
    <row r="56" spans="1:10" x14ac:dyDescent="0.25">
      <c r="A56" s="65" t="s">
        <v>25</v>
      </c>
      <c r="B56" s="65"/>
      <c r="C56" s="65"/>
      <c r="D56" s="65"/>
      <c r="E56" s="65"/>
      <c r="F56" s="65"/>
      <c r="G56" s="65"/>
      <c r="H56" s="65"/>
      <c r="I56" s="65"/>
      <c r="J56" s="65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3" t="s">
        <v>18</v>
      </c>
      <c r="B58" s="53"/>
      <c r="C58" s="53"/>
      <c r="D58" s="40" t="s">
        <v>12</v>
      </c>
      <c r="E58" s="8" t="s">
        <v>31</v>
      </c>
      <c r="H58" s="9"/>
      <c r="I58" s="9"/>
      <c r="J58" s="10"/>
    </row>
    <row r="59" spans="1:10" x14ac:dyDescent="0.25">
      <c r="A59" s="53" t="s">
        <v>19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20</v>
      </c>
      <c r="B60" s="53"/>
      <c r="C60" s="53"/>
      <c r="D60" s="40" t="s">
        <v>12</v>
      </c>
      <c r="E60" s="47">
        <v>2026</v>
      </c>
      <c r="H60" s="9"/>
      <c r="I60" s="9"/>
      <c r="J60" s="10"/>
    </row>
    <row r="61" spans="1:10" x14ac:dyDescent="0.25">
      <c r="A61" s="53" t="s">
        <v>21</v>
      </c>
      <c r="B61" s="53"/>
      <c r="C61" s="53"/>
      <c r="D61" s="40" t="s">
        <v>12</v>
      </c>
      <c r="E61" s="44">
        <f>I70</f>
        <v>200000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40" t="s">
        <v>12</v>
      </c>
      <c r="E62" s="51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1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6" t="s">
        <v>2</v>
      </c>
      <c r="B65" s="66"/>
      <c r="C65" s="66"/>
      <c r="D65" s="66"/>
      <c r="E65" s="66"/>
      <c r="F65" s="66"/>
      <c r="G65" s="66"/>
      <c r="H65" s="66"/>
      <c r="I65" s="66"/>
      <c r="J65" s="66"/>
    </row>
    <row r="66" spans="1:10" ht="45" x14ac:dyDescent="0.25">
      <c r="A66" s="12" t="s">
        <v>3</v>
      </c>
      <c r="B66" s="58" t="s">
        <v>22</v>
      </c>
      <c r="C66" s="60" t="s">
        <v>4</v>
      </c>
      <c r="D66" s="61"/>
      <c r="E66" s="62"/>
      <c r="F66" s="50"/>
      <c r="G66" s="41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59">
        <v>1</v>
      </c>
      <c r="B67" s="48"/>
      <c r="C67" s="55" t="s">
        <v>33</v>
      </c>
      <c r="D67" s="57"/>
      <c r="E67" s="45"/>
      <c r="F67" s="39"/>
      <c r="G67" s="56" t="s">
        <v>29</v>
      </c>
      <c r="H67" s="56" t="s">
        <v>29</v>
      </c>
      <c r="I67" s="56" t="s">
        <v>29</v>
      </c>
      <c r="J67" s="56" t="s">
        <v>29</v>
      </c>
    </row>
    <row r="68" spans="1:10" x14ac:dyDescent="0.25">
      <c r="A68" s="48"/>
      <c r="B68" s="48" t="s">
        <v>23</v>
      </c>
      <c r="C68" s="39" t="s">
        <v>37</v>
      </c>
      <c r="D68" s="8"/>
      <c r="E68" s="45"/>
      <c r="F68" s="39"/>
      <c r="G68" s="52">
        <v>448560000</v>
      </c>
      <c r="H68" s="46">
        <f>H24+I24</f>
        <v>5215056</v>
      </c>
      <c r="I68" s="36">
        <v>0</v>
      </c>
      <c r="J68" s="37">
        <f t="shared" ref="J68:J69" si="1">G68-H68-I68</f>
        <v>443344944</v>
      </c>
    </row>
    <row r="69" spans="1:10" x14ac:dyDescent="0.25">
      <c r="A69" s="48"/>
      <c r="B69" s="48" t="s">
        <v>24</v>
      </c>
      <c r="C69" s="39" t="s">
        <v>34</v>
      </c>
      <c r="D69" s="8"/>
      <c r="E69" s="45"/>
      <c r="F69" s="39"/>
      <c r="G69" s="52">
        <v>2687040000</v>
      </c>
      <c r="H69" s="46">
        <f>H25+I25</f>
        <v>380461176</v>
      </c>
      <c r="I69" s="36">
        <v>200000</v>
      </c>
      <c r="J69" s="37">
        <f t="shared" si="1"/>
        <v>2306378824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3135600000</v>
      </c>
      <c r="H70" s="18">
        <f>SUM(H67:H69)</f>
        <v>385676232</v>
      </c>
      <c r="I70" s="18">
        <f>SUM(I67:I69)</f>
        <v>200000</v>
      </c>
      <c r="J70" s="18">
        <f>SUM(J67:J69)</f>
        <v>2749723768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3" t="s">
        <v>14</v>
      </c>
      <c r="B72" s="63"/>
      <c r="C72" s="63"/>
      <c r="D72" s="33" t="s">
        <v>12</v>
      </c>
      <c r="E72" s="44">
        <f>I70</f>
        <v>200000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3" t="s">
        <v>15</v>
      </c>
      <c r="B77" s="63"/>
      <c r="C77" s="63"/>
      <c r="D77" s="33" t="s">
        <v>12</v>
      </c>
      <c r="E77" s="38">
        <f>E72-E75</f>
        <v>200000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1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57</v>
      </c>
      <c r="J81" s="24"/>
    </row>
    <row r="82" spans="1:10" x14ac:dyDescent="0.25">
      <c r="A82" s="9" t="s">
        <v>27</v>
      </c>
      <c r="B82" s="9"/>
      <c r="C82" s="8"/>
      <c r="D82" s="8"/>
      <c r="E82" s="8"/>
      <c r="F82" s="8"/>
      <c r="G82" s="8"/>
      <c r="I82" s="9" t="s">
        <v>26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35</v>
      </c>
      <c r="B87" s="28"/>
      <c r="C87" s="27"/>
      <c r="D87" s="27"/>
      <c r="E87" s="27"/>
      <c r="F87" s="27"/>
      <c r="G87" s="8" t="s">
        <v>11</v>
      </c>
      <c r="I87" s="28" t="s">
        <v>28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4" t="s">
        <v>30</v>
      </c>
      <c r="B96" s="64"/>
      <c r="C96" s="65"/>
      <c r="D96" s="65"/>
      <c r="E96" s="65"/>
      <c r="F96" s="65"/>
      <c r="G96" s="65"/>
      <c r="H96" s="65"/>
      <c r="I96" s="65"/>
      <c r="J96" s="65"/>
    </row>
    <row r="97" spans="1:10" x14ac:dyDescent="0.25">
      <c r="A97" s="65" t="s">
        <v>58</v>
      </c>
      <c r="B97" s="65"/>
      <c r="C97" s="65"/>
      <c r="D97" s="65"/>
      <c r="E97" s="65"/>
      <c r="F97" s="65"/>
      <c r="G97" s="65"/>
      <c r="H97" s="65"/>
      <c r="I97" s="65"/>
      <c r="J97" s="65"/>
    </row>
    <row r="98" spans="1:10" x14ac:dyDescent="0.25">
      <c r="A98" s="65" t="s">
        <v>13</v>
      </c>
      <c r="B98" s="65"/>
      <c r="C98" s="65"/>
      <c r="D98" s="65"/>
      <c r="E98" s="65"/>
      <c r="F98" s="65"/>
      <c r="G98" s="65"/>
      <c r="H98" s="65"/>
      <c r="I98" s="65"/>
      <c r="J98" s="65"/>
    </row>
    <row r="99" spans="1:10" x14ac:dyDescent="0.25">
      <c r="A99" s="65" t="s">
        <v>36</v>
      </c>
      <c r="B99" s="65"/>
      <c r="C99" s="65"/>
      <c r="D99" s="65"/>
      <c r="E99" s="65"/>
      <c r="F99" s="65"/>
      <c r="G99" s="65"/>
      <c r="H99" s="65"/>
      <c r="I99" s="65"/>
      <c r="J99" s="65"/>
    </row>
    <row r="100" spans="1:10" x14ac:dyDescent="0.25">
      <c r="A100" s="65" t="s">
        <v>25</v>
      </c>
      <c r="B100" s="65"/>
      <c r="C100" s="65"/>
      <c r="D100" s="65"/>
      <c r="E100" s="65"/>
      <c r="F100" s="65"/>
      <c r="G100" s="65"/>
      <c r="H100" s="65"/>
      <c r="I100" s="65"/>
      <c r="J100" s="65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3" t="s">
        <v>18</v>
      </c>
      <c r="B102" s="53"/>
      <c r="C102" s="53"/>
      <c r="D102" s="40" t="s">
        <v>12</v>
      </c>
      <c r="E102" s="8" t="s">
        <v>31</v>
      </c>
      <c r="H102" s="9"/>
      <c r="I102" s="9"/>
      <c r="J102" s="10"/>
    </row>
    <row r="103" spans="1:10" x14ac:dyDescent="0.25">
      <c r="A103" s="53" t="s">
        <v>19</v>
      </c>
      <c r="B103" s="53"/>
      <c r="C103" s="53"/>
      <c r="D103" s="40" t="s">
        <v>12</v>
      </c>
      <c r="E103" s="8" t="s">
        <v>32</v>
      </c>
      <c r="H103" s="9"/>
      <c r="I103" s="9"/>
      <c r="J103" s="10"/>
    </row>
    <row r="104" spans="1:10" x14ac:dyDescent="0.25">
      <c r="A104" s="53" t="s">
        <v>20</v>
      </c>
      <c r="B104" s="53"/>
      <c r="C104" s="53"/>
      <c r="D104" s="40" t="s">
        <v>12</v>
      </c>
      <c r="E104" s="47">
        <v>2026</v>
      </c>
      <c r="H104" s="9"/>
      <c r="I104" s="9"/>
      <c r="J104" s="10"/>
    </row>
    <row r="105" spans="1:10" x14ac:dyDescent="0.25">
      <c r="A105" s="53" t="s">
        <v>21</v>
      </c>
      <c r="B105" s="53"/>
      <c r="C105" s="53"/>
      <c r="D105" s="40" t="s">
        <v>12</v>
      </c>
      <c r="E105" s="44">
        <f>I114</f>
        <v>195891802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40" t="s">
        <v>12</v>
      </c>
      <c r="E106" s="51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Lima Juta Delapan Ratus Sembilan Puluh Satu Ribu Delapan Ratus Dua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1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6" t="s">
        <v>2</v>
      </c>
      <c r="B109" s="66"/>
      <c r="C109" s="66"/>
      <c r="D109" s="66"/>
      <c r="E109" s="66"/>
      <c r="F109" s="66"/>
      <c r="G109" s="66"/>
      <c r="H109" s="66"/>
      <c r="I109" s="66"/>
      <c r="J109" s="66"/>
    </row>
    <row r="110" spans="1:10" ht="45" x14ac:dyDescent="0.25">
      <c r="A110" s="12" t="s">
        <v>3</v>
      </c>
      <c r="B110" s="58" t="s">
        <v>22</v>
      </c>
      <c r="C110" s="60" t="s">
        <v>4</v>
      </c>
      <c r="D110" s="61"/>
      <c r="E110" s="62"/>
      <c r="F110" s="50"/>
      <c r="G110" s="41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59">
        <v>1</v>
      </c>
      <c r="B111" s="48"/>
      <c r="C111" s="55" t="s">
        <v>33</v>
      </c>
      <c r="D111" s="57"/>
      <c r="E111" s="45"/>
      <c r="F111" s="39"/>
      <c r="G111" s="56" t="s">
        <v>29</v>
      </c>
      <c r="H111" s="56" t="s">
        <v>29</v>
      </c>
      <c r="I111" s="56" t="s">
        <v>29</v>
      </c>
      <c r="J111" s="56" t="s">
        <v>29</v>
      </c>
    </row>
    <row r="112" spans="1:10" x14ac:dyDescent="0.25">
      <c r="A112" s="48"/>
      <c r="B112" s="48" t="s">
        <v>23</v>
      </c>
      <c r="C112" s="39" t="s">
        <v>37</v>
      </c>
      <c r="D112" s="8"/>
      <c r="E112" s="45"/>
      <c r="F112" s="39"/>
      <c r="G112" s="52">
        <v>448560000</v>
      </c>
      <c r="H112" s="46">
        <f>H68+I68</f>
        <v>5215056</v>
      </c>
      <c r="I112" s="36">
        <v>0</v>
      </c>
      <c r="J112" s="37">
        <f t="shared" ref="J112:J113" si="2">G112-H112-I112</f>
        <v>443344944</v>
      </c>
    </row>
    <row r="113" spans="1:10" x14ac:dyDescent="0.25">
      <c r="A113" s="48"/>
      <c r="B113" s="48" t="s">
        <v>24</v>
      </c>
      <c r="C113" s="39" t="s">
        <v>34</v>
      </c>
      <c r="D113" s="8"/>
      <c r="E113" s="45"/>
      <c r="F113" s="39"/>
      <c r="G113" s="52">
        <v>2687040000</v>
      </c>
      <c r="H113" s="46">
        <f>H69+I69</f>
        <v>380661176</v>
      </c>
      <c r="I113" s="36">
        <v>195891802</v>
      </c>
      <c r="J113" s="37">
        <f t="shared" si="2"/>
        <v>2110487022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3135600000</v>
      </c>
      <c r="H114" s="18">
        <f>SUM(H111:H113)</f>
        <v>385876232</v>
      </c>
      <c r="I114" s="18">
        <f>SUM(I111:I113)</f>
        <v>195891802</v>
      </c>
      <c r="J114" s="18">
        <f>SUM(J111:J113)</f>
        <v>2553831966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3" t="s">
        <v>14</v>
      </c>
      <c r="B116" s="63"/>
      <c r="C116" s="63"/>
      <c r="D116" s="33" t="s">
        <v>12</v>
      </c>
      <c r="E116" s="44">
        <f>I114</f>
        <v>195891802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3" t="s">
        <v>15</v>
      </c>
      <c r="B121" s="63"/>
      <c r="C121" s="63"/>
      <c r="D121" s="33" t="s">
        <v>12</v>
      </c>
      <c r="E121" s="38">
        <f>E116-E119</f>
        <v>195891802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1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Lima Juta Delapan Ratus Sembilan Puluh Satu Ribu Delapan Ratus Dua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57</v>
      </c>
      <c r="J125" s="24"/>
    </row>
    <row r="126" spans="1:10" x14ac:dyDescent="0.25">
      <c r="A126" s="9" t="s">
        <v>27</v>
      </c>
      <c r="B126" s="9"/>
      <c r="C126" s="8"/>
      <c r="D126" s="8"/>
      <c r="E126" s="8"/>
      <c r="F126" s="8"/>
      <c r="G126" s="8"/>
      <c r="I126" s="9" t="s">
        <v>26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35</v>
      </c>
      <c r="B131" s="28"/>
      <c r="C131" s="27"/>
      <c r="D131" s="27"/>
      <c r="E131" s="27"/>
      <c r="F131" s="27"/>
      <c r="G131" s="8" t="s">
        <v>11</v>
      </c>
      <c r="I131" s="28" t="s">
        <v>28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4" t="s">
        <v>30</v>
      </c>
      <c r="B140" s="64"/>
      <c r="C140" s="65"/>
      <c r="D140" s="65"/>
      <c r="E140" s="65"/>
      <c r="F140" s="65"/>
      <c r="G140" s="65"/>
      <c r="H140" s="65"/>
      <c r="I140" s="65"/>
      <c r="J140" s="65"/>
    </row>
    <row r="141" spans="1:10" x14ac:dyDescent="0.25">
      <c r="A141" s="65" t="s">
        <v>49</v>
      </c>
      <c r="B141" s="65"/>
      <c r="C141" s="65"/>
      <c r="D141" s="65"/>
      <c r="E141" s="65"/>
      <c r="F141" s="65"/>
      <c r="G141" s="65"/>
      <c r="H141" s="65"/>
      <c r="I141" s="65"/>
      <c r="J141" s="65"/>
    </row>
    <row r="142" spans="1:10" x14ac:dyDescent="0.25">
      <c r="A142" s="65" t="s">
        <v>13</v>
      </c>
      <c r="B142" s="65"/>
      <c r="C142" s="65"/>
      <c r="D142" s="65"/>
      <c r="E142" s="65"/>
      <c r="F142" s="65"/>
      <c r="G142" s="65"/>
      <c r="H142" s="65"/>
      <c r="I142" s="65"/>
      <c r="J142" s="65"/>
    </row>
    <row r="143" spans="1:10" x14ac:dyDescent="0.25">
      <c r="A143" s="65" t="s">
        <v>36</v>
      </c>
      <c r="B143" s="65"/>
      <c r="C143" s="65"/>
      <c r="D143" s="65"/>
      <c r="E143" s="65"/>
      <c r="F143" s="65"/>
      <c r="G143" s="65"/>
      <c r="H143" s="65"/>
      <c r="I143" s="65"/>
      <c r="J143" s="65"/>
    </row>
    <row r="144" spans="1:10" x14ac:dyDescent="0.25">
      <c r="A144" s="65" t="s">
        <v>25</v>
      </c>
      <c r="B144" s="65"/>
      <c r="C144" s="65"/>
      <c r="D144" s="65"/>
      <c r="E144" s="65"/>
      <c r="F144" s="65"/>
      <c r="G144" s="65"/>
      <c r="H144" s="65"/>
      <c r="I144" s="65"/>
      <c r="J144" s="65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3" t="s">
        <v>18</v>
      </c>
      <c r="B146" s="53"/>
      <c r="C146" s="53"/>
      <c r="D146" s="40" t="s">
        <v>12</v>
      </c>
      <c r="E146" s="8" t="s">
        <v>31</v>
      </c>
      <c r="H146" s="9"/>
      <c r="I146" s="9"/>
      <c r="J146" s="10"/>
    </row>
    <row r="147" spans="1:10" x14ac:dyDescent="0.25">
      <c r="A147" s="53" t="s">
        <v>19</v>
      </c>
      <c r="B147" s="53"/>
      <c r="C147" s="53"/>
      <c r="D147" s="40" t="s">
        <v>12</v>
      </c>
      <c r="E147" s="8" t="s">
        <v>32</v>
      </c>
      <c r="H147" s="9"/>
      <c r="I147" s="9"/>
      <c r="J147" s="10"/>
    </row>
    <row r="148" spans="1:10" x14ac:dyDescent="0.25">
      <c r="A148" s="53" t="s">
        <v>20</v>
      </c>
      <c r="B148" s="53"/>
      <c r="C148" s="53"/>
      <c r="D148" s="40" t="s">
        <v>12</v>
      </c>
      <c r="E148" s="47">
        <v>2026</v>
      </c>
      <c r="H148" s="9"/>
      <c r="I148" s="9"/>
      <c r="J148" s="10"/>
    </row>
    <row r="149" spans="1:10" x14ac:dyDescent="0.25">
      <c r="A149" s="53" t="s">
        <v>21</v>
      </c>
      <c r="B149" s="53"/>
      <c r="C149" s="53"/>
      <c r="D149" s="40" t="s">
        <v>12</v>
      </c>
      <c r="E149" s="44">
        <f>I158</f>
        <v>525000</v>
      </c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40" t="s">
        <v>12</v>
      </c>
      <c r="E150" s="51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Lima Ribu Rupiah</v>
      </c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40"/>
      <c r="G151" s="51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6" t="s">
        <v>2</v>
      </c>
      <c r="B153" s="66"/>
      <c r="C153" s="66"/>
      <c r="D153" s="66"/>
      <c r="E153" s="66"/>
      <c r="F153" s="66"/>
      <c r="G153" s="66"/>
      <c r="H153" s="66"/>
      <c r="I153" s="66"/>
      <c r="J153" s="66"/>
    </row>
    <row r="154" spans="1:10" ht="45" x14ac:dyDescent="0.25">
      <c r="A154" s="12" t="s">
        <v>3</v>
      </c>
      <c r="B154" s="58" t="s">
        <v>22</v>
      </c>
      <c r="C154" s="60" t="s">
        <v>4</v>
      </c>
      <c r="D154" s="61"/>
      <c r="E154" s="62"/>
      <c r="F154" s="50"/>
      <c r="G154" s="41" t="s">
        <v>5</v>
      </c>
      <c r="H154" s="13" t="s">
        <v>17</v>
      </c>
      <c r="I154" s="14" t="s">
        <v>6</v>
      </c>
      <c r="J154" s="15" t="s">
        <v>7</v>
      </c>
    </row>
    <row r="155" spans="1:10" x14ac:dyDescent="0.25">
      <c r="A155" s="59">
        <v>1</v>
      </c>
      <c r="B155" s="48"/>
      <c r="C155" s="55" t="s">
        <v>33</v>
      </c>
      <c r="D155" s="57"/>
      <c r="E155" s="45"/>
      <c r="F155" s="39"/>
      <c r="G155" s="56" t="s">
        <v>29</v>
      </c>
      <c r="H155" s="56" t="s">
        <v>29</v>
      </c>
      <c r="I155" s="56" t="s">
        <v>29</v>
      </c>
      <c r="J155" s="56" t="s">
        <v>29</v>
      </c>
    </row>
    <row r="156" spans="1:10" x14ac:dyDescent="0.25">
      <c r="A156" s="48"/>
      <c r="B156" s="48" t="s">
        <v>23</v>
      </c>
      <c r="C156" s="39" t="s">
        <v>37</v>
      </c>
      <c r="D156" s="8"/>
      <c r="E156" s="45"/>
      <c r="F156" s="39"/>
      <c r="G156" s="52">
        <v>448560000</v>
      </c>
      <c r="H156" s="46">
        <f>H112+I112</f>
        <v>5215056</v>
      </c>
      <c r="I156" s="36">
        <v>0</v>
      </c>
      <c r="J156" s="37">
        <f t="shared" ref="J156:J157" si="3">G156-H156-I156</f>
        <v>443344944</v>
      </c>
    </row>
    <row r="157" spans="1:10" x14ac:dyDescent="0.25">
      <c r="A157" s="48"/>
      <c r="B157" s="48" t="s">
        <v>24</v>
      </c>
      <c r="C157" s="39" t="s">
        <v>34</v>
      </c>
      <c r="D157" s="8"/>
      <c r="E157" s="45"/>
      <c r="F157" s="39"/>
      <c r="G157" s="52">
        <v>2687040000</v>
      </c>
      <c r="H157" s="46">
        <f>H113+I113</f>
        <v>576552978</v>
      </c>
      <c r="I157" s="36">
        <v>525000</v>
      </c>
      <c r="J157" s="37">
        <f t="shared" si="3"/>
        <v>2109962022</v>
      </c>
    </row>
    <row r="158" spans="1:10" x14ac:dyDescent="0.25">
      <c r="A158" s="16"/>
      <c r="B158" s="16"/>
      <c r="C158" s="17" t="s">
        <v>8</v>
      </c>
      <c r="D158" s="17"/>
      <c r="E158" s="17"/>
      <c r="F158" s="43"/>
      <c r="G158" s="42">
        <f>SUM(G155:G157)</f>
        <v>3135600000</v>
      </c>
      <c r="H158" s="18">
        <f>SUM(H155:H157)</f>
        <v>581768034</v>
      </c>
      <c r="I158" s="18">
        <f>SUM(I155:I157)</f>
        <v>525000</v>
      </c>
      <c r="J158" s="18">
        <f>SUM(J155:J157)</f>
        <v>2553306966</v>
      </c>
    </row>
    <row r="159" spans="1:10" x14ac:dyDescent="0.25">
      <c r="A159" s="19"/>
      <c r="B159" s="54"/>
      <c r="C159" s="6"/>
      <c r="D159" s="6"/>
      <c r="E159" s="6"/>
      <c r="F159" s="6"/>
      <c r="G159" s="20"/>
      <c r="H159" s="20"/>
      <c r="I159" s="20"/>
      <c r="J159" s="20"/>
    </row>
    <row r="160" spans="1:10" x14ac:dyDescent="0.25">
      <c r="A160" s="63" t="s">
        <v>14</v>
      </c>
      <c r="B160" s="63"/>
      <c r="C160" s="63"/>
      <c r="D160" s="33" t="s">
        <v>12</v>
      </c>
      <c r="E160" s="44">
        <f>I158</f>
        <v>525000</v>
      </c>
      <c r="F160" s="38"/>
      <c r="G160" s="21"/>
      <c r="H160" s="21"/>
      <c r="I160" s="10"/>
      <c r="J160" s="10"/>
    </row>
    <row r="161" spans="1:10" x14ac:dyDescent="0.25">
      <c r="A161" s="8" t="s">
        <v>9</v>
      </c>
      <c r="B161" s="8"/>
      <c r="C161" s="8"/>
      <c r="D161" s="33" t="s">
        <v>12</v>
      </c>
      <c r="E161" s="34"/>
      <c r="F161" s="34"/>
      <c r="G161" s="22"/>
      <c r="H161" s="9"/>
      <c r="I161" s="10"/>
      <c r="J161" s="10"/>
    </row>
    <row r="162" spans="1:10" x14ac:dyDescent="0.25">
      <c r="A162" s="8" t="s">
        <v>16</v>
      </c>
      <c r="B162" s="8"/>
      <c r="C162" s="8"/>
      <c r="D162" s="33" t="s">
        <v>12</v>
      </c>
      <c r="E162" s="35"/>
      <c r="F162" s="35"/>
      <c r="G162" s="22"/>
      <c r="H162" s="9"/>
      <c r="I162" s="10"/>
      <c r="J162" s="10"/>
    </row>
    <row r="163" spans="1:10" x14ac:dyDescent="0.25">
      <c r="A163" s="8" t="s">
        <v>10</v>
      </c>
      <c r="B163" s="8"/>
      <c r="C163" s="8"/>
      <c r="D163" s="33" t="s">
        <v>12</v>
      </c>
      <c r="E163" s="35">
        <f>E161+E162</f>
        <v>0</v>
      </c>
      <c r="F163" s="35"/>
      <c r="G163" s="8"/>
      <c r="H163" s="9"/>
      <c r="I163" s="23"/>
      <c r="J163" s="24"/>
    </row>
    <row r="164" spans="1:10" x14ac:dyDescent="0.25">
      <c r="A164" s="47"/>
      <c r="B164" s="47"/>
      <c r="C164" s="47"/>
      <c r="D164" s="33"/>
      <c r="E164" s="47"/>
      <c r="F164" s="47"/>
      <c r="G164" s="8"/>
      <c r="H164" s="9"/>
      <c r="I164" s="23"/>
      <c r="J164" s="24"/>
    </row>
    <row r="165" spans="1:10" x14ac:dyDescent="0.25">
      <c r="A165" s="63" t="s">
        <v>15</v>
      </c>
      <c r="B165" s="63"/>
      <c r="C165" s="63"/>
      <c r="D165" s="33" t="s">
        <v>12</v>
      </c>
      <c r="E165" s="38">
        <f>E160-E163</f>
        <v>525000</v>
      </c>
      <c r="F165" s="38"/>
      <c r="G165" s="8"/>
      <c r="H165" s="9"/>
      <c r="I165" s="23"/>
      <c r="J165" s="24"/>
    </row>
    <row r="166" spans="1:10" ht="15.75" x14ac:dyDescent="0.25">
      <c r="A166" s="47"/>
      <c r="B166" s="47"/>
      <c r="C166" s="8"/>
      <c r="D166" s="8"/>
      <c r="E166" s="51" t="str">
        <f>PROPER(IF(E165=0,"nol",IF(E165&lt;0,"minus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165),"000000000000000"),1,3)=0,"",MID(TEXT(ABS(E165),"000000000000000"),1,1)&amp;" ratus "&amp;MID(TEXT(ABS(E165),"000000000000000"),2,1)&amp;" puluh "&amp;MID(TEXT(ABS(E165),"000000000000000"),3,1)&amp;" trilyun ")&amp;IF(--MID(TEXT(ABS(E165),"000000000000000"),4,3)=0,"",MID(TEXT(ABS(E165),"000000000000000"),4,1)&amp;" ratus "&amp;MID(TEXT(ABS(E165),"000000000000000"),5,1)&amp;" puluh "&amp;MID(TEXT(ABS(E165),"000000000000000"),6,1)&amp;" milyar ")&amp;IF(--MID(TEXT(ABS(E165),"000000000000000"),7,3)=0,"",MID(TEXT(ABS(E165),"000000000000000"),7,1)&amp;" ratus "&amp;MID(TEXT(ABS(E165),"000000000000000"),8,1)&amp;" puluh "&amp;MID(TEXT(ABS(E165),"000000000000000"),9,1)&amp;" juta ")&amp;IF(--MID(TEXT(ABS(E165),"000000000000000"),10,3)=0,"",IF(--MID(TEXT(ABS(E165),"000000000000000"),10,3)=1,"*",MID(TEXT(ABS(E165),"000000000000000"),10,1)&amp;" ratus "&amp;MID(TEXT(ABS(E165),"000000000000000"),11,1)&amp;" puluh ")&amp;MID(TEXT(ABS(E165),"000000000000000"),12,1)&amp;" ribu ")&amp;IF(--MID(TEXT(ABS(E165),"000000000000000"),13,3)=0,"",MID(TEXT(ABS(E165),"000000000000000"),13,1)&amp;" ratus "&amp;MID(TEXT(ABS(E165),"000000000000000"),14,1)&amp;" puluh "&amp;MID(TEXT(ABS(E165),"000000000000000"),15,1)),1,"satu"),2,"dua"),3,"tiga"),4,"empat"),5,"lima"),6,"enam"),7,"tujuh"),8,"delapan"),9,"sembilan"),"0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Dua Puluh Lima Ribu Rupiah</v>
      </c>
      <c r="F166" s="8"/>
      <c r="G166" s="8"/>
      <c r="H166" s="8"/>
      <c r="I166" s="23"/>
      <c r="J166" s="24"/>
    </row>
    <row r="167" spans="1:10" x14ac:dyDescent="0.25">
      <c r="A167" s="26"/>
      <c r="B167" s="26"/>
      <c r="C167" s="26"/>
      <c r="D167" s="26"/>
      <c r="E167" s="26"/>
      <c r="F167" s="26"/>
      <c r="G167" s="25"/>
      <c r="H167" s="24"/>
      <c r="I167" s="23"/>
      <c r="J167" s="24"/>
    </row>
    <row r="168" spans="1:10" x14ac:dyDescent="0.25">
      <c r="A168" s="25"/>
      <c r="B168" s="25"/>
      <c r="C168" s="25"/>
      <c r="D168" s="25"/>
      <c r="E168" s="25"/>
      <c r="F168" s="25"/>
      <c r="G168" s="25"/>
      <c r="H168"/>
      <c r="I168" s="24"/>
      <c r="J168" s="24"/>
    </row>
    <row r="169" spans="1:10" x14ac:dyDescent="0.25">
      <c r="A169" s="47"/>
      <c r="B169" s="47"/>
      <c r="C169" s="8"/>
      <c r="D169" s="8"/>
      <c r="E169" s="8"/>
      <c r="F169" s="8"/>
      <c r="G169" s="8"/>
      <c r="I169" s="49" t="s">
        <v>42</v>
      </c>
      <c r="J169" s="24"/>
    </row>
    <row r="170" spans="1:10" x14ac:dyDescent="0.25">
      <c r="A170" s="9" t="s">
        <v>27</v>
      </c>
      <c r="B170" s="9"/>
      <c r="C170" s="8"/>
      <c r="D170" s="8"/>
      <c r="E170" s="8"/>
      <c r="F170" s="8"/>
      <c r="G170" s="8"/>
      <c r="I170" s="9" t="s">
        <v>26</v>
      </c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8"/>
      <c r="B174" s="8"/>
      <c r="C174" s="8"/>
      <c r="D174" s="8"/>
      <c r="E174" s="8"/>
      <c r="F174" s="8"/>
      <c r="G174" s="8"/>
      <c r="I174" s="9"/>
      <c r="J174" s="24"/>
    </row>
    <row r="175" spans="1:10" x14ac:dyDescent="0.25">
      <c r="A175" s="28" t="s">
        <v>35</v>
      </c>
      <c r="B175" s="28"/>
      <c r="C175" s="27"/>
      <c r="D175" s="27"/>
      <c r="E175" s="27"/>
      <c r="F175" s="27"/>
      <c r="G175" s="8" t="s">
        <v>11</v>
      </c>
      <c r="I175" s="28" t="s">
        <v>28</v>
      </c>
      <c r="J175" s="24"/>
    </row>
    <row r="180" spans="1:10" ht="15.75" x14ac:dyDescent="0.25">
      <c r="C180" s="3"/>
      <c r="D180" s="3"/>
      <c r="E180" s="3"/>
      <c r="F180" s="3"/>
    </row>
    <row r="181" spans="1:10" ht="15.75" x14ac:dyDescent="0.25">
      <c r="A181" s="2"/>
      <c r="B181" s="2"/>
      <c r="C181" s="3"/>
      <c r="D181" s="3"/>
      <c r="E181" s="3"/>
      <c r="F181" s="3"/>
      <c r="G181" s="2"/>
      <c r="H181" s="4"/>
      <c r="I181" s="4"/>
      <c r="J181" s="5"/>
    </row>
    <row r="182" spans="1:10" x14ac:dyDescent="0.25">
      <c r="H182" s="5"/>
      <c r="I182" s="5"/>
      <c r="J182" s="5"/>
    </row>
    <row r="183" spans="1:10" x14ac:dyDescent="0.25">
      <c r="H183" s="5"/>
      <c r="I183" s="5"/>
      <c r="J183" s="5"/>
    </row>
    <row r="184" spans="1:10" x14ac:dyDescent="0.25">
      <c r="A184" s="64" t="s">
        <v>30</v>
      </c>
      <c r="B184" s="64"/>
      <c r="C184" s="65"/>
      <c r="D184" s="65"/>
      <c r="E184" s="65"/>
      <c r="F184" s="65"/>
      <c r="G184" s="65"/>
      <c r="H184" s="65"/>
      <c r="I184" s="65"/>
      <c r="J184" s="65"/>
    </row>
    <row r="185" spans="1:10" x14ac:dyDescent="0.25">
      <c r="A185" s="65" t="s">
        <v>50</v>
      </c>
      <c r="B185" s="65"/>
      <c r="C185" s="65"/>
      <c r="D185" s="65"/>
      <c r="E185" s="65"/>
      <c r="F185" s="65"/>
      <c r="G185" s="65"/>
      <c r="H185" s="65"/>
      <c r="I185" s="65"/>
      <c r="J185" s="65"/>
    </row>
    <row r="186" spans="1:10" x14ac:dyDescent="0.25">
      <c r="A186" s="65" t="s">
        <v>13</v>
      </c>
      <c r="B186" s="65"/>
      <c r="C186" s="65"/>
      <c r="D186" s="65"/>
      <c r="E186" s="65"/>
      <c r="F186" s="65"/>
      <c r="G186" s="65"/>
      <c r="H186" s="65"/>
      <c r="I186" s="65"/>
      <c r="J186" s="65"/>
    </row>
    <row r="187" spans="1:10" x14ac:dyDescent="0.25">
      <c r="A187" s="65" t="s">
        <v>36</v>
      </c>
      <c r="B187" s="65"/>
      <c r="C187" s="65"/>
      <c r="D187" s="65"/>
      <c r="E187" s="65"/>
      <c r="F187" s="65"/>
      <c r="G187" s="65"/>
      <c r="H187" s="65"/>
      <c r="I187" s="65"/>
      <c r="J187" s="65"/>
    </row>
    <row r="188" spans="1:10" x14ac:dyDescent="0.25">
      <c r="A188" s="65" t="s">
        <v>25</v>
      </c>
      <c r="B188" s="65"/>
      <c r="C188" s="65"/>
      <c r="D188" s="65"/>
      <c r="E188" s="65"/>
      <c r="F188" s="65"/>
      <c r="G188" s="65"/>
      <c r="H188" s="65"/>
      <c r="I188" s="65"/>
      <c r="J188" s="65"/>
    </row>
    <row r="189" spans="1:10" x14ac:dyDescent="0.25">
      <c r="A189" s="32"/>
      <c r="B189" s="32"/>
      <c r="C189" s="7"/>
      <c r="D189" s="7"/>
      <c r="E189" s="7"/>
      <c r="F189" s="7"/>
      <c r="G189" s="6"/>
      <c r="H189" s="10"/>
      <c r="I189" s="10"/>
      <c r="J189" s="10"/>
    </row>
    <row r="190" spans="1:10" x14ac:dyDescent="0.25">
      <c r="A190" s="53" t="s">
        <v>18</v>
      </c>
      <c r="B190" s="53"/>
      <c r="C190" s="53"/>
      <c r="D190" s="40" t="s">
        <v>12</v>
      </c>
      <c r="E190" s="8" t="s">
        <v>31</v>
      </c>
      <c r="H190" s="9"/>
      <c r="I190" s="9"/>
      <c r="J190" s="10"/>
    </row>
    <row r="191" spans="1:10" x14ac:dyDescent="0.25">
      <c r="A191" s="53" t="s">
        <v>19</v>
      </c>
      <c r="B191" s="53"/>
      <c r="C191" s="53"/>
      <c r="D191" s="40" t="s">
        <v>12</v>
      </c>
      <c r="E191" s="8" t="s">
        <v>32</v>
      </c>
      <c r="H191" s="9"/>
      <c r="I191" s="9"/>
      <c r="J191" s="10"/>
    </row>
    <row r="192" spans="1:10" x14ac:dyDescent="0.25">
      <c r="A192" s="53" t="s">
        <v>20</v>
      </c>
      <c r="B192" s="53"/>
      <c r="C192" s="53"/>
      <c r="D192" s="40" t="s">
        <v>12</v>
      </c>
      <c r="E192" s="47">
        <v>2026</v>
      </c>
      <c r="H192" s="9"/>
      <c r="I192" s="9"/>
      <c r="J192" s="10"/>
    </row>
    <row r="193" spans="1:10" x14ac:dyDescent="0.25">
      <c r="A193" s="53" t="s">
        <v>21</v>
      </c>
      <c r="B193" s="53"/>
      <c r="C193" s="53"/>
      <c r="D193" s="40" t="s">
        <v>12</v>
      </c>
      <c r="E193" s="44">
        <f>I202</f>
        <v>2533928</v>
      </c>
      <c r="H193" s="9"/>
      <c r="I193" s="9"/>
      <c r="J193" s="10"/>
    </row>
    <row r="194" spans="1:10" ht="15.75" x14ac:dyDescent="0.25">
      <c r="A194" s="8"/>
      <c r="B194" s="8"/>
      <c r="C194" s="11" t="s">
        <v>0</v>
      </c>
      <c r="D194" s="40" t="s">
        <v>12</v>
      </c>
      <c r="E194" s="51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Tiga Puluh Tiga Ribu Sembilan Ratus Dua Puluh Delapan Rupiah</v>
      </c>
      <c r="H194" s="9"/>
      <c r="I194" s="9"/>
      <c r="J194" s="10"/>
    </row>
    <row r="195" spans="1:10" ht="15.75" x14ac:dyDescent="0.25">
      <c r="A195" s="8"/>
      <c r="B195" s="8"/>
      <c r="C195" s="11"/>
      <c r="D195" s="11"/>
      <c r="E195" s="11"/>
      <c r="F195" s="40"/>
      <c r="G195" s="51"/>
      <c r="H195" s="9"/>
      <c r="I195" s="9"/>
      <c r="J195" s="10"/>
    </row>
    <row r="196" spans="1:10" x14ac:dyDescent="0.25">
      <c r="A196" s="8" t="s">
        <v>1</v>
      </c>
      <c r="B196" s="8"/>
      <c r="C196" s="8"/>
      <c r="D196" s="8"/>
      <c r="E196" s="8"/>
      <c r="F196" s="8"/>
      <c r="G196" s="8"/>
      <c r="H196" s="9"/>
      <c r="I196" s="9"/>
      <c r="J196" s="10"/>
    </row>
    <row r="197" spans="1:10" x14ac:dyDescent="0.25">
      <c r="A197" s="66" t="s">
        <v>2</v>
      </c>
      <c r="B197" s="66"/>
      <c r="C197" s="66"/>
      <c r="D197" s="66"/>
      <c r="E197" s="66"/>
      <c r="F197" s="66"/>
      <c r="G197" s="66"/>
      <c r="H197" s="66"/>
      <c r="I197" s="66"/>
      <c r="J197" s="66"/>
    </row>
    <row r="198" spans="1:10" ht="45" x14ac:dyDescent="0.25">
      <c r="A198" s="12" t="s">
        <v>3</v>
      </c>
      <c r="B198" s="58" t="s">
        <v>22</v>
      </c>
      <c r="C198" s="60" t="s">
        <v>4</v>
      </c>
      <c r="D198" s="61"/>
      <c r="E198" s="62"/>
      <c r="F198" s="50"/>
      <c r="G198" s="41" t="s">
        <v>5</v>
      </c>
      <c r="H198" s="13" t="s">
        <v>17</v>
      </c>
      <c r="I198" s="14" t="s">
        <v>6</v>
      </c>
      <c r="J198" s="15" t="s">
        <v>7</v>
      </c>
    </row>
    <row r="199" spans="1:10" x14ac:dyDescent="0.25">
      <c r="A199" s="59">
        <v>1</v>
      </c>
      <c r="B199" s="48"/>
      <c r="C199" s="55" t="s">
        <v>33</v>
      </c>
      <c r="D199" s="57"/>
      <c r="E199" s="45"/>
      <c r="F199" s="39"/>
      <c r="G199" s="56" t="s">
        <v>29</v>
      </c>
      <c r="H199" s="56" t="s">
        <v>29</v>
      </c>
      <c r="I199" s="56" t="s">
        <v>29</v>
      </c>
      <c r="J199" s="56" t="s">
        <v>29</v>
      </c>
    </row>
    <row r="200" spans="1:10" x14ac:dyDescent="0.25">
      <c r="A200" s="48"/>
      <c r="B200" s="48" t="s">
        <v>23</v>
      </c>
      <c r="C200" s="39" t="s">
        <v>37</v>
      </c>
      <c r="D200" s="8"/>
      <c r="E200" s="45"/>
      <c r="F200" s="39"/>
      <c r="G200" s="52">
        <v>448560000</v>
      </c>
      <c r="H200" s="46">
        <f>H156+I156</f>
        <v>5215056</v>
      </c>
      <c r="I200" s="36">
        <v>2533928</v>
      </c>
      <c r="J200" s="37">
        <f t="shared" ref="J200:J201" si="4">G200-H200-I200</f>
        <v>440811016</v>
      </c>
    </row>
    <row r="201" spans="1:10" x14ac:dyDescent="0.25">
      <c r="A201" s="48"/>
      <c r="B201" s="48" t="s">
        <v>24</v>
      </c>
      <c r="C201" s="39" t="s">
        <v>34</v>
      </c>
      <c r="D201" s="8"/>
      <c r="E201" s="45"/>
      <c r="F201" s="39"/>
      <c r="G201" s="52">
        <v>2687040000</v>
      </c>
      <c r="H201" s="46">
        <f>H157+I157</f>
        <v>577077978</v>
      </c>
      <c r="I201" s="36">
        <v>0</v>
      </c>
      <c r="J201" s="37">
        <f t="shared" si="4"/>
        <v>2109962022</v>
      </c>
    </row>
    <row r="202" spans="1:10" x14ac:dyDescent="0.25">
      <c r="A202" s="16"/>
      <c r="B202" s="16"/>
      <c r="C202" s="17" t="s">
        <v>8</v>
      </c>
      <c r="D202" s="17"/>
      <c r="E202" s="17"/>
      <c r="F202" s="43"/>
      <c r="G202" s="42">
        <f>SUM(G199:G201)</f>
        <v>3135600000</v>
      </c>
      <c r="H202" s="18">
        <f>SUM(H199:H201)</f>
        <v>582293034</v>
      </c>
      <c r="I202" s="18">
        <f>SUM(I199:I201)</f>
        <v>2533928</v>
      </c>
      <c r="J202" s="18">
        <f>SUM(J199:J201)</f>
        <v>2550773038</v>
      </c>
    </row>
    <row r="203" spans="1:10" x14ac:dyDescent="0.25">
      <c r="A203" s="19"/>
      <c r="B203" s="54"/>
      <c r="C203" s="6"/>
      <c r="D203" s="6"/>
      <c r="E203" s="6"/>
      <c r="F203" s="6"/>
      <c r="G203" s="20"/>
      <c r="H203" s="20"/>
      <c r="I203" s="20"/>
      <c r="J203" s="20"/>
    </row>
    <row r="204" spans="1:10" x14ac:dyDescent="0.25">
      <c r="A204" s="63" t="s">
        <v>14</v>
      </c>
      <c r="B204" s="63"/>
      <c r="C204" s="63"/>
      <c r="D204" s="33" t="s">
        <v>12</v>
      </c>
      <c r="E204" s="44">
        <f>I202</f>
        <v>2533928</v>
      </c>
      <c r="F204" s="38"/>
      <c r="G204" s="21"/>
      <c r="H204" s="21"/>
      <c r="I204" s="10"/>
      <c r="J204" s="10"/>
    </row>
    <row r="205" spans="1:10" x14ac:dyDescent="0.25">
      <c r="A205" s="8" t="s">
        <v>9</v>
      </c>
      <c r="B205" s="8"/>
      <c r="C205" s="8"/>
      <c r="D205" s="33" t="s">
        <v>12</v>
      </c>
      <c r="E205" s="34"/>
      <c r="F205" s="34"/>
      <c r="G205" s="22"/>
      <c r="H205" s="9"/>
      <c r="I205" s="10"/>
      <c r="J205" s="10"/>
    </row>
    <row r="206" spans="1:10" x14ac:dyDescent="0.25">
      <c r="A206" s="8" t="s">
        <v>16</v>
      </c>
      <c r="B206" s="8"/>
      <c r="C206" s="8"/>
      <c r="D206" s="33" t="s">
        <v>12</v>
      </c>
      <c r="E206" s="35"/>
      <c r="F206" s="35"/>
      <c r="G206" s="22"/>
      <c r="H206" s="9"/>
      <c r="I206" s="10"/>
      <c r="J206" s="10"/>
    </row>
    <row r="207" spans="1:10" x14ac:dyDescent="0.25">
      <c r="A207" s="8" t="s">
        <v>10</v>
      </c>
      <c r="B207" s="8"/>
      <c r="C207" s="8"/>
      <c r="D207" s="33" t="s">
        <v>12</v>
      </c>
      <c r="E207" s="35">
        <f>E205+E206</f>
        <v>0</v>
      </c>
      <c r="F207" s="35"/>
      <c r="G207" s="8"/>
      <c r="H207" s="9"/>
      <c r="I207" s="23"/>
      <c r="J207" s="24"/>
    </row>
    <row r="208" spans="1:10" x14ac:dyDescent="0.25">
      <c r="A208" s="47"/>
      <c r="B208" s="47"/>
      <c r="C208" s="47"/>
      <c r="D208" s="33"/>
      <c r="E208" s="47"/>
      <c r="F208" s="47"/>
      <c r="G208" s="8"/>
      <c r="H208" s="9"/>
      <c r="I208" s="23"/>
      <c r="J208" s="24"/>
    </row>
    <row r="209" spans="1:10" x14ac:dyDescent="0.25">
      <c r="A209" s="63" t="s">
        <v>15</v>
      </c>
      <c r="B209" s="63"/>
      <c r="C209" s="63"/>
      <c r="D209" s="33" t="s">
        <v>12</v>
      </c>
      <c r="E209" s="38">
        <f>E204-E207</f>
        <v>2533928</v>
      </c>
      <c r="F209" s="38"/>
      <c r="G209" s="8"/>
      <c r="H209" s="9"/>
      <c r="I209" s="23"/>
      <c r="J209" s="24"/>
    </row>
    <row r="210" spans="1:10" ht="15.75" x14ac:dyDescent="0.25">
      <c r="A210" s="47"/>
      <c r="B210" s="47"/>
      <c r="C210" s="8"/>
      <c r="D210" s="8"/>
      <c r="E210" s="51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Tiga Puluh Tiga Ribu Sembilan Ratus Dua Puluh Delapan Rupiah</v>
      </c>
      <c r="F210" s="8"/>
      <c r="G210" s="8"/>
      <c r="H210" s="8"/>
      <c r="I210" s="23"/>
      <c r="J210" s="24"/>
    </row>
    <row r="211" spans="1:10" x14ac:dyDescent="0.25">
      <c r="A211" s="26"/>
      <c r="B211" s="26"/>
      <c r="C211" s="26"/>
      <c r="D211" s="26"/>
      <c r="E211" s="26"/>
      <c r="F211" s="26"/>
      <c r="G211" s="25"/>
      <c r="H211" s="24"/>
      <c r="I211" s="23"/>
      <c r="J211" s="24"/>
    </row>
    <row r="212" spans="1:10" x14ac:dyDescent="0.25">
      <c r="A212" s="25"/>
      <c r="B212" s="25"/>
      <c r="C212" s="25"/>
      <c r="D212" s="25"/>
      <c r="E212" s="25"/>
      <c r="F212" s="25"/>
      <c r="G212" s="25"/>
      <c r="H212"/>
      <c r="I212" s="24"/>
      <c r="J212" s="24"/>
    </row>
    <row r="213" spans="1:10" x14ac:dyDescent="0.25">
      <c r="A213" s="47"/>
      <c r="B213" s="47"/>
      <c r="C213" s="8"/>
      <c r="D213" s="8"/>
      <c r="E213" s="8"/>
      <c r="F213" s="8"/>
      <c r="G213" s="8"/>
      <c r="I213" s="49" t="s">
        <v>51</v>
      </c>
      <c r="J213" s="24"/>
    </row>
    <row r="214" spans="1:10" x14ac:dyDescent="0.25">
      <c r="A214" s="9" t="s">
        <v>27</v>
      </c>
      <c r="B214" s="9"/>
      <c r="C214" s="8"/>
      <c r="D214" s="8"/>
      <c r="E214" s="8"/>
      <c r="F214" s="8"/>
      <c r="G214" s="8"/>
      <c r="I214" s="9" t="s">
        <v>26</v>
      </c>
      <c r="J214" s="24"/>
    </row>
    <row r="215" spans="1:10" x14ac:dyDescent="0.25">
      <c r="A215" s="8"/>
      <c r="B215" s="8"/>
      <c r="C215" s="8"/>
      <c r="D215" s="8"/>
      <c r="E215" s="8"/>
      <c r="F215" s="8"/>
      <c r="G215" s="8"/>
      <c r="I215" s="9"/>
      <c r="J215" s="24"/>
    </row>
    <row r="216" spans="1:10" x14ac:dyDescent="0.25">
      <c r="A216" s="8"/>
      <c r="B216" s="8"/>
      <c r="C216" s="8"/>
      <c r="D216" s="8"/>
      <c r="E216" s="8"/>
      <c r="F216" s="8"/>
      <c r="G216" s="8"/>
      <c r="I216" s="9"/>
      <c r="J216" s="24"/>
    </row>
    <row r="217" spans="1:10" x14ac:dyDescent="0.25">
      <c r="A217" s="8"/>
      <c r="B217" s="8"/>
      <c r="C217" s="8"/>
      <c r="D217" s="8"/>
      <c r="E217" s="8"/>
      <c r="F217" s="8"/>
      <c r="G217" s="8"/>
      <c r="I217" s="9"/>
      <c r="J217" s="24"/>
    </row>
    <row r="218" spans="1:10" x14ac:dyDescent="0.25">
      <c r="A218" s="8"/>
      <c r="B218" s="8"/>
      <c r="C218" s="8"/>
      <c r="D218" s="8"/>
      <c r="E218" s="8"/>
      <c r="F218" s="8"/>
      <c r="G218" s="8"/>
      <c r="I218" s="9"/>
      <c r="J218" s="24"/>
    </row>
    <row r="219" spans="1:10" x14ac:dyDescent="0.25">
      <c r="A219" s="28" t="s">
        <v>35</v>
      </c>
      <c r="B219" s="28"/>
      <c r="C219" s="27"/>
      <c r="D219" s="27"/>
      <c r="E219" s="27"/>
      <c r="F219" s="27"/>
      <c r="G219" s="8" t="s">
        <v>11</v>
      </c>
      <c r="I219" s="28" t="s">
        <v>28</v>
      </c>
      <c r="J219" s="24"/>
    </row>
    <row r="224" spans="1:10" ht="15.75" x14ac:dyDescent="0.25">
      <c r="C224" s="3"/>
      <c r="D224" s="3"/>
      <c r="E224" s="3"/>
      <c r="F224" s="3"/>
    </row>
    <row r="225" spans="1:10" ht="15.75" x14ac:dyDescent="0.25">
      <c r="A225" s="2"/>
      <c r="B225" s="2"/>
      <c r="C225" s="3"/>
      <c r="D225" s="3"/>
      <c r="E225" s="3"/>
      <c r="F225" s="3"/>
      <c r="G225" s="2"/>
      <c r="H225" s="4"/>
      <c r="I225" s="4"/>
      <c r="J225" s="5"/>
    </row>
    <row r="226" spans="1:10" x14ac:dyDescent="0.25">
      <c r="H226" s="5"/>
      <c r="I226" s="5"/>
      <c r="J226" s="5"/>
    </row>
    <row r="227" spans="1:10" x14ac:dyDescent="0.25">
      <c r="H227" s="5"/>
      <c r="I227" s="5"/>
      <c r="J227" s="5"/>
    </row>
    <row r="228" spans="1:10" x14ac:dyDescent="0.25">
      <c r="A228" s="64" t="s">
        <v>30</v>
      </c>
      <c r="B228" s="64"/>
      <c r="C228" s="65"/>
      <c r="D228" s="65"/>
      <c r="E228" s="65"/>
      <c r="F228" s="65"/>
      <c r="G228" s="65"/>
      <c r="H228" s="65"/>
      <c r="I228" s="65"/>
      <c r="J228" s="65"/>
    </row>
    <row r="229" spans="1:10" x14ac:dyDescent="0.25">
      <c r="A229" s="65" t="s">
        <v>52</v>
      </c>
      <c r="B229" s="65"/>
      <c r="C229" s="65"/>
      <c r="D229" s="65"/>
      <c r="E229" s="65"/>
      <c r="F229" s="65"/>
      <c r="G229" s="65"/>
      <c r="H229" s="65"/>
      <c r="I229" s="65"/>
      <c r="J229" s="65"/>
    </row>
    <row r="230" spans="1:10" x14ac:dyDescent="0.25">
      <c r="A230" s="65" t="s">
        <v>13</v>
      </c>
      <c r="B230" s="65"/>
      <c r="C230" s="65"/>
      <c r="D230" s="65"/>
      <c r="E230" s="65"/>
      <c r="F230" s="65"/>
      <c r="G230" s="65"/>
      <c r="H230" s="65"/>
      <c r="I230" s="65"/>
      <c r="J230" s="65"/>
    </row>
    <row r="231" spans="1:10" x14ac:dyDescent="0.25">
      <c r="A231" s="65" t="s">
        <v>36</v>
      </c>
      <c r="B231" s="65"/>
      <c r="C231" s="65"/>
      <c r="D231" s="65"/>
      <c r="E231" s="65"/>
      <c r="F231" s="65"/>
      <c r="G231" s="65"/>
      <c r="H231" s="65"/>
      <c r="I231" s="65"/>
      <c r="J231" s="65"/>
    </row>
    <row r="232" spans="1:10" x14ac:dyDescent="0.25">
      <c r="A232" s="65" t="s">
        <v>25</v>
      </c>
      <c r="B232" s="65"/>
      <c r="C232" s="65"/>
      <c r="D232" s="65"/>
      <c r="E232" s="65"/>
      <c r="F232" s="65"/>
      <c r="G232" s="65"/>
      <c r="H232" s="65"/>
      <c r="I232" s="65"/>
      <c r="J232" s="65"/>
    </row>
    <row r="233" spans="1:10" x14ac:dyDescent="0.25">
      <c r="A233" s="32"/>
      <c r="B233" s="32"/>
      <c r="C233" s="7"/>
      <c r="D233" s="7"/>
      <c r="E233" s="7"/>
      <c r="F233" s="7"/>
      <c r="G233" s="6"/>
      <c r="H233" s="10"/>
      <c r="I233" s="10"/>
      <c r="J233" s="10"/>
    </row>
    <row r="234" spans="1:10" x14ac:dyDescent="0.25">
      <c r="A234" s="53" t="s">
        <v>18</v>
      </c>
      <c r="B234" s="53"/>
      <c r="C234" s="53"/>
      <c r="D234" s="40" t="s">
        <v>12</v>
      </c>
      <c r="E234" s="8" t="s">
        <v>31</v>
      </c>
      <c r="H234" s="9"/>
      <c r="I234" s="9"/>
      <c r="J234" s="10"/>
    </row>
    <row r="235" spans="1:10" x14ac:dyDescent="0.25">
      <c r="A235" s="53" t="s">
        <v>19</v>
      </c>
      <c r="B235" s="53"/>
      <c r="C235" s="53"/>
      <c r="D235" s="40" t="s">
        <v>12</v>
      </c>
      <c r="E235" s="8" t="s">
        <v>32</v>
      </c>
      <c r="H235" s="9"/>
      <c r="I235" s="9"/>
      <c r="J235" s="10"/>
    </row>
    <row r="236" spans="1:10" x14ac:dyDescent="0.25">
      <c r="A236" s="53" t="s">
        <v>20</v>
      </c>
      <c r="B236" s="53"/>
      <c r="C236" s="53"/>
      <c r="D236" s="40" t="s">
        <v>12</v>
      </c>
      <c r="E236" s="47">
        <v>2026</v>
      </c>
      <c r="H236" s="9"/>
      <c r="I236" s="9"/>
      <c r="J236" s="10"/>
    </row>
    <row r="237" spans="1:10" x14ac:dyDescent="0.25">
      <c r="A237" s="53" t="s">
        <v>21</v>
      </c>
      <c r="B237" s="53"/>
      <c r="C237" s="53"/>
      <c r="D237" s="40" t="s">
        <v>12</v>
      </c>
      <c r="E237" s="44">
        <f>I246</f>
        <v>177906051</v>
      </c>
      <c r="H237" s="9"/>
      <c r="I237" s="9"/>
      <c r="J237" s="10"/>
    </row>
    <row r="238" spans="1:10" ht="15.75" x14ac:dyDescent="0.25">
      <c r="A238" s="8"/>
      <c r="B238" s="8"/>
      <c r="C238" s="11" t="s">
        <v>0</v>
      </c>
      <c r="D238" s="40" t="s">
        <v>12</v>
      </c>
      <c r="E238" s="51" t="str">
        <f>PROPER(IF(E237=0,"nol",IF(E237&lt;0,"minus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237),"000000000000000"),1,3)=0,"",MID(TEXT(ABS(E237),"000000000000000"),1,1)&amp;" ratus "&amp;MID(TEXT(ABS(E237),"000000000000000"),2,1)&amp;" puluh "&amp;MID(TEXT(ABS(E237),"000000000000000"),3,1)&amp;" trilyun ")&amp;IF(--MID(TEXT(ABS(E237),"000000000000000"),4,3)=0,"",MID(TEXT(ABS(E237),"000000000000000"),4,1)&amp;" ratus "&amp;MID(TEXT(ABS(E237),"000000000000000"),5,1)&amp;" puluh "&amp;MID(TEXT(ABS(E237),"000000000000000"),6,1)&amp;" milyar ")&amp;IF(--MID(TEXT(ABS(E237),"000000000000000"),7,3)=0,"",MID(TEXT(ABS(E237),"000000000000000"),7,1)&amp;" ratus "&amp;MID(TEXT(ABS(E237),"000000000000000"),8,1)&amp;" puluh "&amp;MID(TEXT(ABS(E237),"000000000000000"),9,1)&amp;" juta ")&amp;IF(--MID(TEXT(ABS(E237),"000000000000000"),10,3)=0,"",IF(--MID(TEXT(ABS(E237),"000000000000000"),10,3)=1,"*",MID(TEXT(ABS(E237),"000000000000000"),10,1)&amp;" ratus "&amp;MID(TEXT(ABS(E237),"000000000000000"),11,1)&amp;" puluh ")&amp;MID(TEXT(ABS(E237),"000000000000000"),12,1)&amp;" ribu ")&amp;IF(--MID(TEXT(ABS(E237),"000000000000000"),13,3)=0,"",MID(TEXT(ABS(E237),"000000000000000"),13,1)&amp;" ratus "&amp;MID(TEXT(ABS(E237),"000000000000000"),14,1)&amp;" puluh "&amp;MID(TEXT(ABS(E237),"000000000000000"),15,1)),1,"satu"),2,"dua"),3,"tiga"),4,"empat"),5,"lima"),6,"enam"),7,"tujuh"),8,"delapan"),9,"sembilan"),"0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Tujuh Juta Sembilan Ratus Enam Ribu Lima Puluh Satu Rupiah</v>
      </c>
      <c r="H238" s="9"/>
      <c r="I238" s="9"/>
      <c r="J238" s="10"/>
    </row>
    <row r="239" spans="1:10" ht="15.75" x14ac:dyDescent="0.25">
      <c r="A239" s="8"/>
      <c r="B239" s="8"/>
      <c r="C239" s="11"/>
      <c r="D239" s="11"/>
      <c r="E239" s="11"/>
      <c r="F239" s="40"/>
      <c r="G239" s="51"/>
      <c r="H239" s="9"/>
      <c r="I239" s="9"/>
      <c r="J239" s="10"/>
    </row>
    <row r="240" spans="1:10" x14ac:dyDescent="0.25">
      <c r="A240" s="8" t="s">
        <v>1</v>
      </c>
      <c r="B240" s="8"/>
      <c r="C240" s="8"/>
      <c r="D240" s="8"/>
      <c r="E240" s="8"/>
      <c r="F240" s="8"/>
      <c r="G240" s="8"/>
      <c r="H240" s="9"/>
      <c r="I240" s="9"/>
      <c r="J240" s="10"/>
    </row>
    <row r="241" spans="1:10" x14ac:dyDescent="0.25">
      <c r="A241" s="66" t="s">
        <v>2</v>
      </c>
      <c r="B241" s="66"/>
      <c r="C241" s="66"/>
      <c r="D241" s="66"/>
      <c r="E241" s="66"/>
      <c r="F241" s="66"/>
      <c r="G241" s="66"/>
      <c r="H241" s="66"/>
      <c r="I241" s="66"/>
      <c r="J241" s="66"/>
    </row>
    <row r="242" spans="1:10" ht="45" x14ac:dyDescent="0.25">
      <c r="A242" s="12" t="s">
        <v>3</v>
      </c>
      <c r="B242" s="58" t="s">
        <v>22</v>
      </c>
      <c r="C242" s="60" t="s">
        <v>4</v>
      </c>
      <c r="D242" s="61"/>
      <c r="E242" s="62"/>
      <c r="F242" s="50"/>
      <c r="G242" s="41" t="s">
        <v>5</v>
      </c>
      <c r="H242" s="13" t="s">
        <v>17</v>
      </c>
      <c r="I242" s="14" t="s">
        <v>6</v>
      </c>
      <c r="J242" s="15" t="s">
        <v>7</v>
      </c>
    </row>
    <row r="243" spans="1:10" x14ac:dyDescent="0.25">
      <c r="A243" s="59">
        <v>1</v>
      </c>
      <c r="B243" s="48"/>
      <c r="C243" s="55" t="s">
        <v>33</v>
      </c>
      <c r="D243" s="57"/>
      <c r="E243" s="45"/>
      <c r="F243" s="39"/>
      <c r="G243" s="56" t="s">
        <v>29</v>
      </c>
      <c r="H243" s="56" t="s">
        <v>29</v>
      </c>
      <c r="I243" s="56" t="s">
        <v>29</v>
      </c>
      <c r="J243" s="56" t="s">
        <v>29</v>
      </c>
    </row>
    <row r="244" spans="1:10" x14ac:dyDescent="0.25">
      <c r="A244" s="48"/>
      <c r="B244" s="48" t="s">
        <v>23</v>
      </c>
      <c r="C244" s="39" t="s">
        <v>37</v>
      </c>
      <c r="D244" s="8"/>
      <c r="E244" s="45"/>
      <c r="F244" s="39"/>
      <c r="G244" s="52">
        <v>448560000</v>
      </c>
      <c r="H244" s="46">
        <f>H200+I200</f>
        <v>7748984</v>
      </c>
      <c r="I244" s="36">
        <v>0</v>
      </c>
      <c r="J244" s="37">
        <f t="shared" ref="J244:J245" si="5">G244-H244-I244</f>
        <v>440811016</v>
      </c>
    </row>
    <row r="245" spans="1:10" x14ac:dyDescent="0.25">
      <c r="A245" s="48"/>
      <c r="B245" s="48" t="s">
        <v>24</v>
      </c>
      <c r="C245" s="39" t="s">
        <v>34</v>
      </c>
      <c r="D245" s="8"/>
      <c r="E245" s="45"/>
      <c r="F245" s="39"/>
      <c r="G245" s="52">
        <v>2687040000</v>
      </c>
      <c r="H245" s="46">
        <f>H201+I201</f>
        <v>577077978</v>
      </c>
      <c r="I245" s="36">
        <v>177906051</v>
      </c>
      <c r="J245" s="37">
        <f t="shared" si="5"/>
        <v>1932055971</v>
      </c>
    </row>
    <row r="246" spans="1:10" x14ac:dyDescent="0.25">
      <c r="A246" s="16"/>
      <c r="B246" s="16"/>
      <c r="C246" s="17" t="s">
        <v>8</v>
      </c>
      <c r="D246" s="17"/>
      <c r="E246" s="17"/>
      <c r="F246" s="43"/>
      <c r="G246" s="42">
        <f>SUM(G243:G245)</f>
        <v>3135600000</v>
      </c>
      <c r="H246" s="18">
        <f>SUM(H243:H245)</f>
        <v>584826962</v>
      </c>
      <c r="I246" s="18">
        <f>SUM(I243:I245)</f>
        <v>177906051</v>
      </c>
      <c r="J246" s="18">
        <f>SUM(J243:J245)</f>
        <v>2372866987</v>
      </c>
    </row>
    <row r="247" spans="1:10" x14ac:dyDescent="0.25">
      <c r="A247" s="19"/>
      <c r="B247" s="54"/>
      <c r="C247" s="6"/>
      <c r="D247" s="6"/>
      <c r="E247" s="6"/>
      <c r="F247" s="6"/>
      <c r="G247" s="20"/>
      <c r="H247" s="20"/>
      <c r="I247" s="20"/>
      <c r="J247" s="20"/>
    </row>
    <row r="248" spans="1:10" x14ac:dyDescent="0.25">
      <c r="A248" s="63" t="s">
        <v>14</v>
      </c>
      <c r="B248" s="63"/>
      <c r="C248" s="63"/>
      <c r="D248" s="33" t="s">
        <v>12</v>
      </c>
      <c r="E248" s="44">
        <f>I246</f>
        <v>177906051</v>
      </c>
      <c r="F248" s="38"/>
      <c r="G248" s="21"/>
      <c r="H248" s="21"/>
      <c r="I248" s="10"/>
      <c r="J248" s="10"/>
    </row>
    <row r="249" spans="1:10" x14ac:dyDescent="0.25">
      <c r="A249" s="8" t="s">
        <v>9</v>
      </c>
      <c r="B249" s="8"/>
      <c r="C249" s="8"/>
      <c r="D249" s="33" t="s">
        <v>12</v>
      </c>
      <c r="E249" s="34"/>
      <c r="F249" s="34"/>
      <c r="G249" s="22"/>
      <c r="H249" s="9"/>
      <c r="I249" s="10"/>
      <c r="J249" s="10"/>
    </row>
    <row r="250" spans="1:10" x14ac:dyDescent="0.25">
      <c r="A250" s="8" t="s">
        <v>16</v>
      </c>
      <c r="B250" s="8"/>
      <c r="C250" s="8"/>
      <c r="D250" s="33" t="s">
        <v>12</v>
      </c>
      <c r="E250" s="35"/>
      <c r="F250" s="35"/>
      <c r="G250" s="22"/>
      <c r="H250" s="9"/>
      <c r="I250" s="10"/>
      <c r="J250" s="10"/>
    </row>
    <row r="251" spans="1:10" x14ac:dyDescent="0.25">
      <c r="A251" s="8" t="s">
        <v>10</v>
      </c>
      <c r="B251" s="8"/>
      <c r="C251" s="8"/>
      <c r="D251" s="33" t="s">
        <v>12</v>
      </c>
      <c r="E251" s="35">
        <f>E249+E250</f>
        <v>0</v>
      </c>
      <c r="F251" s="35"/>
      <c r="G251" s="8"/>
      <c r="H251" s="9"/>
      <c r="I251" s="23"/>
      <c r="J251" s="24"/>
    </row>
    <row r="252" spans="1:10" x14ac:dyDescent="0.25">
      <c r="A252" s="47"/>
      <c r="B252" s="47"/>
      <c r="C252" s="47"/>
      <c r="D252" s="33"/>
      <c r="E252" s="47"/>
      <c r="F252" s="47"/>
      <c r="G252" s="8"/>
      <c r="H252" s="9"/>
      <c r="I252" s="23"/>
      <c r="J252" s="24"/>
    </row>
    <row r="253" spans="1:10" x14ac:dyDescent="0.25">
      <c r="A253" s="63" t="s">
        <v>15</v>
      </c>
      <c r="B253" s="63"/>
      <c r="C253" s="63"/>
      <c r="D253" s="33" t="s">
        <v>12</v>
      </c>
      <c r="E253" s="38">
        <f>E248-E251</f>
        <v>177906051</v>
      </c>
      <c r="F253" s="38"/>
      <c r="G253" s="8"/>
      <c r="H253" s="9"/>
      <c r="I253" s="23"/>
      <c r="J253" s="24"/>
    </row>
    <row r="254" spans="1:10" ht="15.75" x14ac:dyDescent="0.25">
      <c r="A254" s="47"/>
      <c r="B254" s="47"/>
      <c r="C254" s="8"/>
      <c r="D254" s="8"/>
      <c r="E254" s="51" t="str">
        <f>PROPER(IF(E253=0,"nol",IF(E253&lt;0,"minus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253),"000000000000000"),1,3)=0,"",MID(TEXT(ABS(E253),"000000000000000"),1,1)&amp;" ratus "&amp;MID(TEXT(ABS(E253),"000000000000000"),2,1)&amp;" puluh "&amp;MID(TEXT(ABS(E253),"000000000000000"),3,1)&amp;" trilyun ")&amp;IF(--MID(TEXT(ABS(E253),"000000000000000"),4,3)=0,"",MID(TEXT(ABS(E253),"000000000000000"),4,1)&amp;" ratus "&amp;MID(TEXT(ABS(E253),"000000000000000"),5,1)&amp;" puluh "&amp;MID(TEXT(ABS(E253),"000000000000000"),6,1)&amp;" milyar ")&amp;IF(--MID(TEXT(ABS(E253),"000000000000000"),7,3)=0,"",MID(TEXT(ABS(E253),"000000000000000"),7,1)&amp;" ratus "&amp;MID(TEXT(ABS(E253),"000000000000000"),8,1)&amp;" puluh "&amp;MID(TEXT(ABS(E253),"000000000000000"),9,1)&amp;" juta ")&amp;IF(--MID(TEXT(ABS(E253),"000000000000000"),10,3)=0,"",IF(--MID(TEXT(ABS(E253),"000000000000000"),10,3)=1,"*",MID(TEXT(ABS(E253),"000000000000000"),10,1)&amp;" ratus "&amp;MID(TEXT(ABS(E253),"000000000000000"),11,1)&amp;" puluh ")&amp;MID(TEXT(ABS(E253),"000000000000000"),12,1)&amp;" ribu ")&amp;IF(--MID(TEXT(ABS(E253),"000000000000000"),13,3)=0,"",MID(TEXT(ABS(E253),"000000000000000"),13,1)&amp;" ratus "&amp;MID(TEXT(ABS(E253),"000000000000000"),14,1)&amp;" puluh "&amp;MID(TEXT(ABS(E253),"000000000000000"),15,1)),1,"satu"),2,"dua"),3,"tiga"),4,"empat"),5,"lima"),6,"enam"),7,"tujuh"),8,"delapan"),9,"sembilan"),"0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Tujuh Juta Sembilan Ratus Enam Ribu Lima Puluh Satu Rupiah</v>
      </c>
      <c r="F254" s="8"/>
      <c r="G254" s="8"/>
      <c r="H254" s="8"/>
      <c r="I254" s="23"/>
      <c r="J254" s="24"/>
    </row>
    <row r="255" spans="1:10" x14ac:dyDescent="0.25">
      <c r="A255" s="26"/>
      <c r="B255" s="26"/>
      <c r="C255" s="26"/>
      <c r="D255" s="26"/>
      <c r="E255" s="26"/>
      <c r="F255" s="26"/>
      <c r="G255" s="25"/>
      <c r="H255" s="24"/>
      <c r="I255" s="23"/>
      <c r="J255" s="24"/>
    </row>
    <row r="256" spans="1:10" x14ac:dyDescent="0.25">
      <c r="A256" s="25"/>
      <c r="B256" s="25"/>
      <c r="C256" s="25"/>
      <c r="D256" s="25"/>
      <c r="E256" s="25"/>
      <c r="F256" s="25"/>
      <c r="G256" s="25"/>
      <c r="H256"/>
      <c r="I256" s="24"/>
      <c r="J256" s="24"/>
    </row>
    <row r="257" spans="1:10" x14ac:dyDescent="0.25">
      <c r="A257" s="47"/>
      <c r="B257" s="47"/>
      <c r="C257" s="8"/>
      <c r="D257" s="8"/>
      <c r="E257" s="8"/>
      <c r="F257" s="8"/>
      <c r="G257" s="8"/>
      <c r="I257" s="49" t="s">
        <v>51</v>
      </c>
      <c r="J257" s="24"/>
    </row>
    <row r="258" spans="1:10" x14ac:dyDescent="0.25">
      <c r="A258" s="9" t="s">
        <v>27</v>
      </c>
      <c r="B258" s="9"/>
      <c r="C258" s="8"/>
      <c r="D258" s="8"/>
      <c r="E258" s="8"/>
      <c r="F258" s="8"/>
      <c r="G258" s="8"/>
      <c r="I258" s="9" t="s">
        <v>26</v>
      </c>
      <c r="J258" s="24"/>
    </row>
    <row r="259" spans="1:10" x14ac:dyDescent="0.25">
      <c r="A259" s="8"/>
      <c r="B259" s="8"/>
      <c r="C259" s="8"/>
      <c r="D259" s="8"/>
      <c r="E259" s="8"/>
      <c r="F259" s="8"/>
      <c r="G259" s="8"/>
      <c r="I259" s="9"/>
      <c r="J259" s="24"/>
    </row>
    <row r="260" spans="1:10" x14ac:dyDescent="0.25">
      <c r="A260" s="8"/>
      <c r="B260" s="8"/>
      <c r="C260" s="8"/>
      <c r="D260" s="8"/>
      <c r="E260" s="8"/>
      <c r="F260" s="8"/>
      <c r="G260" s="8"/>
      <c r="I260" s="9"/>
      <c r="J260" s="24"/>
    </row>
    <row r="261" spans="1:10" x14ac:dyDescent="0.25">
      <c r="A261" s="8"/>
      <c r="B261" s="8"/>
      <c r="C261" s="8"/>
      <c r="D261" s="8"/>
      <c r="E261" s="8"/>
      <c r="F261" s="8"/>
      <c r="G261" s="8"/>
      <c r="I261" s="9"/>
      <c r="J261" s="24"/>
    </row>
    <row r="262" spans="1:10" x14ac:dyDescent="0.25">
      <c r="A262" s="8"/>
      <c r="B262" s="8"/>
      <c r="C262" s="8"/>
      <c r="D262" s="8"/>
      <c r="E262" s="8"/>
      <c r="F262" s="8"/>
      <c r="G262" s="8"/>
      <c r="I262" s="9"/>
      <c r="J262" s="24"/>
    </row>
    <row r="263" spans="1:10" x14ac:dyDescent="0.25">
      <c r="A263" s="28" t="s">
        <v>35</v>
      </c>
      <c r="B263" s="28"/>
      <c r="C263" s="27"/>
      <c r="D263" s="27"/>
      <c r="E263" s="27"/>
      <c r="F263" s="27"/>
      <c r="G263" s="8" t="s">
        <v>11</v>
      </c>
      <c r="I263" s="28" t="s">
        <v>28</v>
      </c>
      <c r="J263" s="24"/>
    </row>
    <row r="268" spans="1:10" ht="15.75" x14ac:dyDescent="0.25">
      <c r="C268" s="3"/>
      <c r="D268" s="3"/>
      <c r="E268" s="3"/>
      <c r="F268" s="3"/>
    </row>
    <row r="269" spans="1:10" ht="15.75" x14ac:dyDescent="0.25">
      <c r="A269" s="2"/>
      <c r="B269" s="2"/>
      <c r="C269" s="3"/>
      <c r="D269" s="3"/>
      <c r="E269" s="3"/>
      <c r="F269" s="3"/>
      <c r="G269" s="2"/>
      <c r="H269" s="4"/>
      <c r="I269" s="4"/>
      <c r="J269" s="5"/>
    </row>
    <row r="270" spans="1:10" x14ac:dyDescent="0.25">
      <c r="H270" s="5"/>
      <c r="I270" s="5"/>
      <c r="J270" s="5"/>
    </row>
    <row r="271" spans="1:10" x14ac:dyDescent="0.25">
      <c r="H271" s="5"/>
      <c r="I271" s="5"/>
      <c r="J271" s="5"/>
    </row>
    <row r="272" spans="1:10" x14ac:dyDescent="0.25">
      <c r="A272" s="64" t="s">
        <v>30</v>
      </c>
      <c r="B272" s="64"/>
      <c r="C272" s="65"/>
      <c r="D272" s="65"/>
      <c r="E272" s="65"/>
      <c r="F272" s="65"/>
      <c r="G272" s="65"/>
      <c r="H272" s="65"/>
      <c r="I272" s="65"/>
      <c r="J272" s="65"/>
    </row>
    <row r="273" spans="1:10" x14ac:dyDescent="0.25">
      <c r="A273" s="65" t="s">
        <v>53</v>
      </c>
      <c r="B273" s="65"/>
      <c r="C273" s="65"/>
      <c r="D273" s="65"/>
      <c r="E273" s="65"/>
      <c r="F273" s="65"/>
      <c r="G273" s="65"/>
      <c r="H273" s="65"/>
      <c r="I273" s="65"/>
      <c r="J273" s="65"/>
    </row>
    <row r="274" spans="1:10" x14ac:dyDescent="0.25">
      <c r="A274" s="65" t="s">
        <v>13</v>
      </c>
      <c r="B274" s="65"/>
      <c r="C274" s="65"/>
      <c r="D274" s="65"/>
      <c r="E274" s="65"/>
      <c r="F274" s="65"/>
      <c r="G274" s="65"/>
      <c r="H274" s="65"/>
      <c r="I274" s="65"/>
      <c r="J274" s="65"/>
    </row>
    <row r="275" spans="1:10" x14ac:dyDescent="0.25">
      <c r="A275" s="65" t="s">
        <v>36</v>
      </c>
      <c r="B275" s="65"/>
      <c r="C275" s="65"/>
      <c r="D275" s="65"/>
      <c r="E275" s="65"/>
      <c r="F275" s="65"/>
      <c r="G275" s="65"/>
      <c r="H275" s="65"/>
      <c r="I275" s="65"/>
      <c r="J275" s="65"/>
    </row>
    <row r="276" spans="1:10" x14ac:dyDescent="0.25">
      <c r="A276" s="65" t="s">
        <v>25</v>
      </c>
      <c r="B276" s="65"/>
      <c r="C276" s="65"/>
      <c r="D276" s="65"/>
      <c r="E276" s="65"/>
      <c r="F276" s="65"/>
      <c r="G276" s="65"/>
      <c r="H276" s="65"/>
      <c r="I276" s="65"/>
      <c r="J276" s="65"/>
    </row>
    <row r="277" spans="1:10" x14ac:dyDescent="0.25">
      <c r="A277" s="32"/>
      <c r="B277" s="32"/>
      <c r="C277" s="7"/>
      <c r="D277" s="7"/>
      <c r="E277" s="7"/>
      <c r="F277" s="7"/>
      <c r="G277" s="6"/>
      <c r="H277" s="10"/>
      <c r="I277" s="10"/>
      <c r="J277" s="10"/>
    </row>
    <row r="278" spans="1:10" x14ac:dyDescent="0.25">
      <c r="A278" s="53" t="s">
        <v>18</v>
      </c>
      <c r="B278" s="53"/>
      <c r="C278" s="53"/>
      <c r="D278" s="40" t="s">
        <v>12</v>
      </c>
      <c r="E278" s="8" t="s">
        <v>31</v>
      </c>
      <c r="H278" s="9"/>
      <c r="I278" s="9"/>
      <c r="J278" s="10"/>
    </row>
    <row r="279" spans="1:10" x14ac:dyDescent="0.25">
      <c r="A279" s="53" t="s">
        <v>19</v>
      </c>
      <c r="B279" s="53"/>
      <c r="C279" s="53"/>
      <c r="D279" s="40" t="s">
        <v>12</v>
      </c>
      <c r="E279" s="8" t="s">
        <v>32</v>
      </c>
      <c r="H279" s="9"/>
      <c r="I279" s="9"/>
      <c r="J279" s="10"/>
    </row>
    <row r="280" spans="1:10" x14ac:dyDescent="0.25">
      <c r="A280" s="53" t="s">
        <v>20</v>
      </c>
      <c r="B280" s="53"/>
      <c r="C280" s="53"/>
      <c r="D280" s="40" t="s">
        <v>12</v>
      </c>
      <c r="E280" s="47">
        <v>2026</v>
      </c>
      <c r="H280" s="9"/>
      <c r="I280" s="9"/>
      <c r="J280" s="10"/>
    </row>
    <row r="281" spans="1:10" x14ac:dyDescent="0.25">
      <c r="A281" s="53" t="s">
        <v>21</v>
      </c>
      <c r="B281" s="53"/>
      <c r="C281" s="53"/>
      <c r="D281" s="40" t="s">
        <v>12</v>
      </c>
      <c r="E281" s="44">
        <f>I290</f>
        <v>20400000</v>
      </c>
      <c r="H281" s="9"/>
      <c r="I281" s="9"/>
      <c r="J281" s="10"/>
    </row>
    <row r="282" spans="1:10" ht="15.75" x14ac:dyDescent="0.25">
      <c r="A282" s="8"/>
      <c r="B282" s="8"/>
      <c r="C282" s="11" t="s">
        <v>0</v>
      </c>
      <c r="D282" s="40" t="s">
        <v>12</v>
      </c>
      <c r="E282" s="51" t="str">
        <f>PROPER(IF(E281=0,"nol",IF(E281&lt;0,"minus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281),"000000000000000"),1,3)=0,"",MID(TEXT(ABS(E281),"000000000000000"),1,1)&amp;" ratus "&amp;MID(TEXT(ABS(E281),"000000000000000"),2,1)&amp;" puluh "&amp;MID(TEXT(ABS(E281),"000000000000000"),3,1)&amp;" trilyun ")&amp;IF(--MID(TEXT(ABS(E281),"000000000000000"),4,3)=0,"",MID(TEXT(ABS(E281),"000000000000000"),4,1)&amp;" ratus "&amp;MID(TEXT(ABS(E281),"000000000000000"),5,1)&amp;" puluh "&amp;MID(TEXT(ABS(E281),"000000000000000"),6,1)&amp;" milyar ")&amp;IF(--MID(TEXT(ABS(E281),"000000000000000"),7,3)=0,"",MID(TEXT(ABS(E281),"000000000000000"),7,1)&amp;" ratus "&amp;MID(TEXT(ABS(E281),"000000000000000"),8,1)&amp;" puluh "&amp;MID(TEXT(ABS(E281),"000000000000000"),9,1)&amp;" juta ")&amp;IF(--MID(TEXT(ABS(E281),"000000000000000"),10,3)=0,"",IF(--MID(TEXT(ABS(E281),"000000000000000"),10,3)=1,"*",MID(TEXT(ABS(E281),"000000000000000"),10,1)&amp;" ratus "&amp;MID(TEXT(ABS(E281),"000000000000000"),11,1)&amp;" puluh ")&amp;MID(TEXT(ABS(E281),"000000000000000"),12,1)&amp;" ribu ")&amp;IF(--MID(TEXT(ABS(E281),"000000000000000"),13,3)=0,"",MID(TEXT(ABS(E281),"000000000000000"),13,1)&amp;" ratus "&amp;MID(TEXT(ABS(E281),"000000000000000"),14,1)&amp;" puluh "&amp;MID(TEXT(ABS(E281),"000000000000000"),15,1)),1,"satu"),2,"dua"),3,"tiga"),4,"empat"),5,"lima"),6,"enam"),7,"tujuh"),8,"delapan"),9,"sembilan"),"0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Empat Ratus Ribu Rupiah</v>
      </c>
      <c r="H282" s="9"/>
      <c r="I282" s="9"/>
      <c r="J282" s="10"/>
    </row>
    <row r="283" spans="1:10" ht="15.75" x14ac:dyDescent="0.25">
      <c r="A283" s="8"/>
      <c r="B283" s="8"/>
      <c r="C283" s="11"/>
      <c r="D283" s="11"/>
      <c r="E283" s="11"/>
      <c r="F283" s="40"/>
      <c r="G283" s="51"/>
      <c r="H283" s="9"/>
      <c r="I283" s="9"/>
      <c r="J283" s="10"/>
    </row>
    <row r="284" spans="1:10" x14ac:dyDescent="0.25">
      <c r="A284" s="8" t="s">
        <v>1</v>
      </c>
      <c r="B284" s="8"/>
      <c r="C284" s="8"/>
      <c r="D284" s="8"/>
      <c r="E284" s="8"/>
      <c r="F284" s="8"/>
      <c r="G284" s="8"/>
      <c r="H284" s="9"/>
      <c r="I284" s="9"/>
      <c r="J284" s="10"/>
    </row>
    <row r="285" spans="1:10" x14ac:dyDescent="0.25">
      <c r="A285" s="66" t="s">
        <v>2</v>
      </c>
      <c r="B285" s="66"/>
      <c r="C285" s="66"/>
      <c r="D285" s="66"/>
      <c r="E285" s="66"/>
      <c r="F285" s="66"/>
      <c r="G285" s="66"/>
      <c r="H285" s="66"/>
      <c r="I285" s="66"/>
      <c r="J285" s="66"/>
    </row>
    <row r="286" spans="1:10" ht="45" x14ac:dyDescent="0.25">
      <c r="A286" s="12" t="s">
        <v>3</v>
      </c>
      <c r="B286" s="58" t="s">
        <v>22</v>
      </c>
      <c r="C286" s="60" t="s">
        <v>4</v>
      </c>
      <c r="D286" s="61"/>
      <c r="E286" s="62"/>
      <c r="F286" s="50"/>
      <c r="G286" s="41" t="s">
        <v>5</v>
      </c>
      <c r="H286" s="13" t="s">
        <v>17</v>
      </c>
      <c r="I286" s="14" t="s">
        <v>6</v>
      </c>
      <c r="J286" s="15" t="s">
        <v>7</v>
      </c>
    </row>
    <row r="287" spans="1:10" x14ac:dyDescent="0.25">
      <c r="A287" s="59">
        <v>1</v>
      </c>
      <c r="B287" s="48"/>
      <c r="C287" s="55" t="s">
        <v>33</v>
      </c>
      <c r="D287" s="57"/>
      <c r="E287" s="45"/>
      <c r="F287" s="39"/>
      <c r="G287" s="56" t="s">
        <v>29</v>
      </c>
      <c r="H287" s="56" t="s">
        <v>29</v>
      </c>
      <c r="I287" s="56" t="s">
        <v>29</v>
      </c>
      <c r="J287" s="56" t="s">
        <v>29</v>
      </c>
    </row>
    <row r="288" spans="1:10" x14ac:dyDescent="0.25">
      <c r="A288" s="48"/>
      <c r="B288" s="48" t="s">
        <v>23</v>
      </c>
      <c r="C288" s="39" t="s">
        <v>37</v>
      </c>
      <c r="D288" s="8"/>
      <c r="E288" s="45"/>
      <c r="F288" s="39"/>
      <c r="G288" s="52">
        <v>448560000</v>
      </c>
      <c r="H288" s="46">
        <f>H244+I244</f>
        <v>7748984</v>
      </c>
      <c r="I288" s="36">
        <v>0</v>
      </c>
      <c r="J288" s="37">
        <f t="shared" ref="J288:J289" si="6">G288-H288-I288</f>
        <v>440811016</v>
      </c>
    </row>
    <row r="289" spans="1:10" x14ac:dyDescent="0.25">
      <c r="A289" s="48"/>
      <c r="B289" s="48" t="s">
        <v>24</v>
      </c>
      <c r="C289" s="39" t="s">
        <v>34</v>
      </c>
      <c r="D289" s="8"/>
      <c r="E289" s="45"/>
      <c r="F289" s="39"/>
      <c r="G289" s="52">
        <v>2687040000</v>
      </c>
      <c r="H289" s="46">
        <f>H245+I245</f>
        <v>754984029</v>
      </c>
      <c r="I289" s="36">
        <v>20400000</v>
      </c>
      <c r="J289" s="37">
        <f t="shared" si="6"/>
        <v>1911655971</v>
      </c>
    </row>
    <row r="290" spans="1:10" x14ac:dyDescent="0.25">
      <c r="A290" s="16"/>
      <c r="B290" s="16"/>
      <c r="C290" s="17" t="s">
        <v>8</v>
      </c>
      <c r="D290" s="17"/>
      <c r="E290" s="17"/>
      <c r="F290" s="43"/>
      <c r="G290" s="42">
        <f>SUM(G287:G289)</f>
        <v>3135600000</v>
      </c>
      <c r="H290" s="18">
        <f>SUM(H287:H289)</f>
        <v>762733013</v>
      </c>
      <c r="I290" s="18">
        <f>SUM(I287:I289)</f>
        <v>20400000</v>
      </c>
      <c r="J290" s="18">
        <f>SUM(J287:J289)</f>
        <v>2352466987</v>
      </c>
    </row>
    <row r="291" spans="1:10" x14ac:dyDescent="0.25">
      <c r="A291" s="19"/>
      <c r="B291" s="54"/>
      <c r="C291" s="6"/>
      <c r="D291" s="6"/>
      <c r="E291" s="6"/>
      <c r="F291" s="6"/>
      <c r="G291" s="20"/>
      <c r="H291" s="20"/>
      <c r="I291" s="20"/>
      <c r="J291" s="20"/>
    </row>
    <row r="292" spans="1:10" x14ac:dyDescent="0.25">
      <c r="A292" s="63" t="s">
        <v>14</v>
      </c>
      <c r="B292" s="63"/>
      <c r="C292" s="63"/>
      <c r="D292" s="33" t="s">
        <v>12</v>
      </c>
      <c r="E292" s="44">
        <f>I290</f>
        <v>20400000</v>
      </c>
      <c r="F292" s="38"/>
      <c r="G292" s="21"/>
      <c r="H292" s="21"/>
      <c r="I292" s="10"/>
      <c r="J292" s="10"/>
    </row>
    <row r="293" spans="1:10" x14ac:dyDescent="0.25">
      <c r="A293" s="8" t="s">
        <v>9</v>
      </c>
      <c r="B293" s="8"/>
      <c r="C293" s="8"/>
      <c r="D293" s="33" t="s">
        <v>12</v>
      </c>
      <c r="E293" s="34"/>
      <c r="F293" s="34"/>
      <c r="G293" s="22"/>
      <c r="H293" s="9"/>
      <c r="I293" s="10"/>
      <c r="J293" s="10"/>
    </row>
    <row r="294" spans="1:10" x14ac:dyDescent="0.25">
      <c r="A294" s="8" t="s">
        <v>16</v>
      </c>
      <c r="B294" s="8"/>
      <c r="C294" s="8"/>
      <c r="D294" s="33" t="s">
        <v>12</v>
      </c>
      <c r="E294" s="35"/>
      <c r="F294" s="35"/>
      <c r="G294" s="22"/>
      <c r="H294" s="9"/>
      <c r="I294" s="10"/>
      <c r="J294" s="10"/>
    </row>
    <row r="295" spans="1:10" x14ac:dyDescent="0.25">
      <c r="A295" s="8" t="s">
        <v>10</v>
      </c>
      <c r="B295" s="8"/>
      <c r="C295" s="8"/>
      <c r="D295" s="33" t="s">
        <v>12</v>
      </c>
      <c r="E295" s="35">
        <f>E293+E294</f>
        <v>0</v>
      </c>
      <c r="F295" s="35"/>
      <c r="G295" s="8"/>
      <c r="H295" s="9"/>
      <c r="I295" s="23"/>
      <c r="J295" s="24"/>
    </row>
    <row r="296" spans="1:10" x14ac:dyDescent="0.25">
      <c r="A296" s="47"/>
      <c r="B296" s="47"/>
      <c r="C296" s="47"/>
      <c r="D296" s="33"/>
      <c r="E296" s="47"/>
      <c r="F296" s="47"/>
      <c r="G296" s="8"/>
      <c r="H296" s="9"/>
      <c r="I296" s="23"/>
      <c r="J296" s="24"/>
    </row>
    <row r="297" spans="1:10" x14ac:dyDescent="0.25">
      <c r="A297" s="63" t="s">
        <v>15</v>
      </c>
      <c r="B297" s="63"/>
      <c r="C297" s="63"/>
      <c r="D297" s="33" t="s">
        <v>12</v>
      </c>
      <c r="E297" s="38">
        <f>E292-E295</f>
        <v>20400000</v>
      </c>
      <c r="F297" s="38"/>
      <c r="G297" s="8"/>
      <c r="H297" s="9"/>
      <c r="I297" s="23"/>
      <c r="J297" s="24"/>
    </row>
    <row r="298" spans="1:10" ht="15.75" x14ac:dyDescent="0.25">
      <c r="A298" s="47"/>
      <c r="B298" s="47"/>
      <c r="C298" s="8"/>
      <c r="D298" s="8"/>
      <c r="E298" s="51" t="str">
        <f>PROPER(IF(E297=0,"nol",IF(E297&lt;0,"minus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297),"000000000000000"),1,3)=0,"",MID(TEXT(ABS(E297),"000000000000000"),1,1)&amp;" ratus "&amp;MID(TEXT(ABS(E297),"000000000000000"),2,1)&amp;" puluh "&amp;MID(TEXT(ABS(E297),"000000000000000"),3,1)&amp;" trilyun ")&amp;IF(--MID(TEXT(ABS(E297),"000000000000000"),4,3)=0,"",MID(TEXT(ABS(E297),"000000000000000"),4,1)&amp;" ratus "&amp;MID(TEXT(ABS(E297),"000000000000000"),5,1)&amp;" puluh "&amp;MID(TEXT(ABS(E297),"000000000000000"),6,1)&amp;" milyar ")&amp;IF(--MID(TEXT(ABS(E297),"000000000000000"),7,3)=0,"",MID(TEXT(ABS(E297),"000000000000000"),7,1)&amp;" ratus "&amp;MID(TEXT(ABS(E297),"000000000000000"),8,1)&amp;" puluh "&amp;MID(TEXT(ABS(E297),"000000000000000"),9,1)&amp;" juta ")&amp;IF(--MID(TEXT(ABS(E297),"000000000000000"),10,3)=0,"",IF(--MID(TEXT(ABS(E297),"000000000000000"),10,3)=1,"*",MID(TEXT(ABS(E297),"000000000000000"),10,1)&amp;" ratus "&amp;MID(TEXT(ABS(E297),"000000000000000"),11,1)&amp;" puluh ")&amp;MID(TEXT(ABS(E297),"000000000000000"),12,1)&amp;" ribu ")&amp;IF(--MID(TEXT(ABS(E297),"000000000000000"),13,3)=0,"",MID(TEXT(ABS(E297),"000000000000000"),13,1)&amp;" ratus "&amp;MID(TEXT(ABS(E297),"000000000000000"),14,1)&amp;" puluh "&amp;MID(TEXT(ABS(E297),"000000000000000"),15,1)),1,"satu"),2,"dua"),3,"tiga"),4,"empat"),5,"lima"),6,"enam"),7,"tujuh"),8,"delapan"),9,"sembilan"),"0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Empat Ratus Ribu Rupiah</v>
      </c>
      <c r="F298" s="8"/>
      <c r="G298" s="8"/>
      <c r="H298" s="8"/>
      <c r="I298" s="23"/>
      <c r="J298" s="24"/>
    </row>
    <row r="299" spans="1:10" x14ac:dyDescent="0.25">
      <c r="A299" s="26"/>
      <c r="B299" s="26"/>
      <c r="C299" s="26"/>
      <c r="D299" s="26"/>
      <c r="E299" s="26"/>
      <c r="F299" s="26"/>
      <c r="G299" s="25"/>
      <c r="H299" s="24"/>
      <c r="I299" s="23"/>
      <c r="J299" s="24"/>
    </row>
    <row r="300" spans="1:10" x14ac:dyDescent="0.25">
      <c r="A300" s="25"/>
      <c r="B300" s="25"/>
      <c r="C300" s="25"/>
      <c r="D300" s="25"/>
      <c r="E300" s="25"/>
      <c r="F300" s="25"/>
      <c r="G300" s="25"/>
      <c r="H300"/>
      <c r="I300" s="24"/>
      <c r="J300" s="24"/>
    </row>
    <row r="301" spans="1:10" x14ac:dyDescent="0.25">
      <c r="A301" s="47"/>
      <c r="B301" s="47"/>
      <c r="C301" s="8"/>
      <c r="D301" s="8"/>
      <c r="E301" s="8"/>
      <c r="F301" s="8"/>
      <c r="G301" s="8"/>
      <c r="I301" s="49" t="s">
        <v>51</v>
      </c>
      <c r="J301" s="24"/>
    </row>
    <row r="302" spans="1:10" x14ac:dyDescent="0.25">
      <c r="A302" s="9" t="s">
        <v>27</v>
      </c>
      <c r="B302" s="9"/>
      <c r="C302" s="8"/>
      <c r="D302" s="8"/>
      <c r="E302" s="8"/>
      <c r="F302" s="8"/>
      <c r="G302" s="8"/>
      <c r="I302" s="9" t="s">
        <v>26</v>
      </c>
      <c r="J302" s="24"/>
    </row>
    <row r="303" spans="1:10" x14ac:dyDescent="0.25">
      <c r="A303" s="8"/>
      <c r="B303" s="8"/>
      <c r="C303" s="8"/>
      <c r="D303" s="8"/>
      <c r="E303" s="8"/>
      <c r="F303" s="8"/>
      <c r="G303" s="8"/>
      <c r="I303" s="9"/>
      <c r="J303" s="24"/>
    </row>
    <row r="304" spans="1:10" x14ac:dyDescent="0.25">
      <c r="A304" s="8"/>
      <c r="B304" s="8"/>
      <c r="C304" s="8"/>
      <c r="D304" s="8"/>
      <c r="E304" s="8"/>
      <c r="F304" s="8"/>
      <c r="G304" s="8"/>
      <c r="I304" s="9"/>
      <c r="J304" s="24"/>
    </row>
    <row r="305" spans="1:10" x14ac:dyDescent="0.25">
      <c r="A305" s="8"/>
      <c r="B305" s="8"/>
      <c r="C305" s="8"/>
      <c r="D305" s="8"/>
      <c r="E305" s="8"/>
      <c r="F305" s="8"/>
      <c r="G305" s="8"/>
      <c r="I305" s="9"/>
      <c r="J305" s="24"/>
    </row>
    <row r="306" spans="1:10" x14ac:dyDescent="0.25">
      <c r="A306" s="8"/>
      <c r="B306" s="8"/>
      <c r="C306" s="8"/>
      <c r="D306" s="8"/>
      <c r="E306" s="8"/>
      <c r="F306" s="8"/>
      <c r="G306" s="8"/>
      <c r="I306" s="9"/>
      <c r="J306" s="24"/>
    </row>
    <row r="307" spans="1:10" x14ac:dyDescent="0.25">
      <c r="A307" s="28" t="s">
        <v>35</v>
      </c>
      <c r="B307" s="28"/>
      <c r="C307" s="27"/>
      <c r="D307" s="27"/>
      <c r="E307" s="27"/>
      <c r="F307" s="27"/>
      <c r="G307" s="8" t="s">
        <v>11</v>
      </c>
      <c r="I307" s="28" t="s">
        <v>28</v>
      </c>
      <c r="J307" s="24"/>
    </row>
  </sheetData>
  <mergeCells count="63">
    <mergeCell ref="A21:J21"/>
    <mergeCell ref="A8:J8"/>
    <mergeCell ref="A9:J9"/>
    <mergeCell ref="A10:J10"/>
    <mergeCell ref="A11:J11"/>
    <mergeCell ref="A12:J12"/>
    <mergeCell ref="A77:C77"/>
    <mergeCell ref="C22:E22"/>
    <mergeCell ref="A28:C28"/>
    <mergeCell ref="A33:C33"/>
    <mergeCell ref="A52:J52"/>
    <mergeCell ref="A53:J53"/>
    <mergeCell ref="A54:J54"/>
    <mergeCell ref="A55:J55"/>
    <mergeCell ref="A56:J56"/>
    <mergeCell ref="A65:J65"/>
    <mergeCell ref="C66:E66"/>
    <mergeCell ref="A72:C72"/>
    <mergeCell ref="A142:J142"/>
    <mergeCell ref="A96:J96"/>
    <mergeCell ref="A97:J97"/>
    <mergeCell ref="A98:J98"/>
    <mergeCell ref="A99:J99"/>
    <mergeCell ref="A100:J100"/>
    <mergeCell ref="A109:J109"/>
    <mergeCell ref="C110:E110"/>
    <mergeCell ref="A116:C116"/>
    <mergeCell ref="A121:C121"/>
    <mergeCell ref="A140:J140"/>
    <mergeCell ref="A141:J141"/>
    <mergeCell ref="A197:J197"/>
    <mergeCell ref="A143:J143"/>
    <mergeCell ref="A144:J144"/>
    <mergeCell ref="A153:J153"/>
    <mergeCell ref="C154:E154"/>
    <mergeCell ref="A160:C160"/>
    <mergeCell ref="A165:C165"/>
    <mergeCell ref="A184:J184"/>
    <mergeCell ref="A185:J185"/>
    <mergeCell ref="A186:J186"/>
    <mergeCell ref="A187:J187"/>
    <mergeCell ref="A188:J188"/>
    <mergeCell ref="A253:C253"/>
    <mergeCell ref="C198:E198"/>
    <mergeCell ref="A204:C204"/>
    <mergeCell ref="A209:C209"/>
    <mergeCell ref="A228:J228"/>
    <mergeCell ref="A229:J229"/>
    <mergeCell ref="A230:J230"/>
    <mergeCell ref="A231:J231"/>
    <mergeCell ref="A232:J232"/>
    <mergeCell ref="A241:J241"/>
    <mergeCell ref="C242:E242"/>
    <mergeCell ref="A248:C248"/>
    <mergeCell ref="C286:E286"/>
    <mergeCell ref="A292:C292"/>
    <mergeCell ref="A297:C297"/>
    <mergeCell ref="A272:J272"/>
    <mergeCell ref="A273:J273"/>
    <mergeCell ref="A274:J274"/>
    <mergeCell ref="A275:J275"/>
    <mergeCell ref="A276:J276"/>
    <mergeCell ref="A285:J285"/>
  </mergeCells>
  <pageMargins left="0.23622047244094491" right="0.23622047244094491" top="0.15748031496062992" bottom="0.74803149606299213" header="0.31496062992125984" footer="0.31496062992125984"/>
  <pageSetup paperSize="9" scale="83" orientation="portrait" horizontalDpi="4294967293" r:id="rId1"/>
  <rowBreaks count="6" manualBreakCount="6">
    <brk id="44" max="9" man="1"/>
    <brk id="88" max="9" man="1"/>
    <brk id="132" max="9" man="1"/>
    <brk id="176" max="9" man="1"/>
    <brk id="220" max="9" man="1"/>
    <brk id="26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2026-03-26T07:34:07Z</cp:lastPrinted>
  <dcterms:created xsi:type="dcterms:W3CDTF">2017-02-01T01:06:13Z</dcterms:created>
  <dcterms:modified xsi:type="dcterms:W3CDTF">2026-03-26T07:43:20Z</dcterms:modified>
</cp:coreProperties>
</file>