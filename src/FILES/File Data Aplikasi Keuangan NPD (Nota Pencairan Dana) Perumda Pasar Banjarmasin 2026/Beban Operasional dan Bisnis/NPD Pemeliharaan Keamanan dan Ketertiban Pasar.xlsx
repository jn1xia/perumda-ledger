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PD 2026\Beban Operasional dan Bisnis\"/>
    </mc:Choice>
  </mc:AlternateContent>
  <xr:revisionPtr revIDLastSave="0" documentId="13_ncr:1_{3825DD04-53CC-4B51-9CFD-2624E009379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EBRUARI" sheetId="16" r:id="rId1"/>
    <sheet name="MARET" sheetId="17" r:id="rId2"/>
  </sheets>
  <definedNames>
    <definedName name="_xlnm.Print_Area" localSheetId="0">FEBRUARI!$A$1:$J$176</definedName>
    <definedName name="_xlnm.Print_Area" localSheetId="1">MARET!$A$1:$J$175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7" i="17" l="1"/>
  <c r="H24" i="17"/>
  <c r="E161" i="17"/>
  <c r="I156" i="17"/>
  <c r="G156" i="17"/>
  <c r="E117" i="17"/>
  <c r="I112" i="17"/>
  <c r="G112" i="17"/>
  <c r="E73" i="17"/>
  <c r="I68" i="17"/>
  <c r="G68" i="17"/>
  <c r="E30" i="17"/>
  <c r="I25" i="17"/>
  <c r="H25" i="17"/>
  <c r="G25" i="17"/>
  <c r="H25" i="16"/>
  <c r="E162" i="16"/>
  <c r="I157" i="16"/>
  <c r="E148" i="16" s="1"/>
  <c r="E149" i="16" s="1"/>
  <c r="G157" i="16"/>
  <c r="E118" i="16"/>
  <c r="I113" i="16"/>
  <c r="E115" i="16" s="1"/>
  <c r="E120" i="16" s="1"/>
  <c r="E121" i="16" s="1"/>
  <c r="G113" i="16"/>
  <c r="E104" i="16"/>
  <c r="E105" i="16" s="1"/>
  <c r="E74" i="16"/>
  <c r="I69" i="16"/>
  <c r="E71" i="16" s="1"/>
  <c r="E76" i="16" s="1"/>
  <c r="E77" i="16" s="1"/>
  <c r="G69" i="16"/>
  <c r="H67" i="16"/>
  <c r="E30" i="16"/>
  <c r="I25" i="16"/>
  <c r="G25" i="16"/>
  <c r="J24" i="17" l="1"/>
  <c r="J25" i="17" s="1"/>
  <c r="E158" i="17"/>
  <c r="E163" i="17" s="1"/>
  <c r="E164" i="17" s="1"/>
  <c r="E147" i="17"/>
  <c r="E148" i="17" s="1"/>
  <c r="E114" i="17"/>
  <c r="E119" i="17" s="1"/>
  <c r="E120" i="17" s="1"/>
  <c r="E103" i="17"/>
  <c r="E104" i="17" s="1"/>
  <c r="E70" i="17"/>
  <c r="E75" i="17" s="1"/>
  <c r="E76" i="17" s="1"/>
  <c r="E60" i="17"/>
  <c r="E61" i="17" s="1"/>
  <c r="E27" i="17"/>
  <c r="E32" i="17" s="1"/>
  <c r="E33" i="17" s="1"/>
  <c r="E17" i="17"/>
  <c r="E18" i="17" s="1"/>
  <c r="H111" i="17"/>
  <c r="H110" i="17"/>
  <c r="H68" i="17"/>
  <c r="J67" i="17"/>
  <c r="E27" i="16"/>
  <c r="E32" i="16" s="1"/>
  <c r="E33" i="16" s="1"/>
  <c r="E17" i="16"/>
  <c r="E18" i="16" s="1"/>
  <c r="E60" i="16"/>
  <c r="E61" i="16" s="1"/>
  <c r="H68" i="16"/>
  <c r="H112" i="16" s="1"/>
  <c r="J112" i="16" s="1"/>
  <c r="J24" i="16"/>
  <c r="J25" i="16" s="1"/>
  <c r="H156" i="16"/>
  <c r="J156" i="16" s="1"/>
  <c r="E159" i="16"/>
  <c r="E164" i="16" s="1"/>
  <c r="E165" i="16" s="1"/>
  <c r="J67" i="16"/>
  <c r="H111" i="16"/>
  <c r="J111" i="17" l="1"/>
  <c r="H155" i="17"/>
  <c r="J155" i="17" s="1"/>
  <c r="J110" i="17"/>
  <c r="J112" i="17" s="1"/>
  <c r="H112" i="17"/>
  <c r="H154" i="17"/>
  <c r="J68" i="17"/>
  <c r="H69" i="16"/>
  <c r="J68" i="16"/>
  <c r="H113" i="16"/>
  <c r="H155" i="16"/>
  <c r="J111" i="16"/>
  <c r="J113" i="16" s="1"/>
  <c r="J69" i="16"/>
  <c r="J154" i="17" l="1"/>
  <c r="J156" i="17" s="1"/>
  <c r="H156" i="17"/>
  <c r="H157" i="16"/>
  <c r="J155" i="16"/>
  <c r="J157" i="16" s="1"/>
</calcChain>
</file>

<file path=xl/sharedStrings.xml><?xml version="1.0" encoding="utf-8"?>
<sst xmlns="http://schemas.openxmlformats.org/spreadsheetml/2006/main" count="410" uniqueCount="51">
  <si>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</si>
  <si>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</si>
  <si>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</si>
  <si>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</si>
  <si>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Uraian</t>
  </si>
  <si>
    <t>Anggaran</t>
  </si>
  <si>
    <t>Pencairan Saat ini</t>
  </si>
  <si>
    <t>Sisa Anggaran</t>
  </si>
  <si>
    <t>JUMLAH</t>
  </si>
  <si>
    <t xml:space="preserve">PPN                                                </t>
  </si>
  <si>
    <t xml:space="preserve">Jumlah Potongan                 </t>
  </si>
  <si>
    <t xml:space="preserve">                                  </t>
  </si>
  <si>
    <t>:</t>
  </si>
  <si>
    <t>BENDAHARA PENGELUARAN</t>
  </si>
  <si>
    <t xml:space="preserve">Jumlah  Yang Diminta          </t>
  </si>
  <si>
    <t xml:space="preserve">Jumlah yang dibayarkan        </t>
  </si>
  <si>
    <t xml:space="preserve">PPh Psl 21/22/23/4(2)                    </t>
  </si>
  <si>
    <t>Akumulasi Pencairan dana Bulan Lalu</t>
  </si>
  <si>
    <t xml:space="preserve">1. Sub Kegiatan                                                       </t>
  </si>
  <si>
    <t xml:space="preserve">2. Nomor                                                          </t>
  </si>
  <si>
    <t xml:space="preserve">3. Tahun Anggaran                                           </t>
  </si>
  <si>
    <t xml:space="preserve">4. Jumlah Yang Diminta                                    </t>
  </si>
  <si>
    <t>Kode</t>
  </si>
  <si>
    <t>Alat dan Bahan Kebersihan Pasar</t>
  </si>
  <si>
    <t>1.1</t>
  </si>
  <si>
    <t>1.2</t>
  </si>
  <si>
    <t>Supaya Mencairkan Dana</t>
  </si>
  <si>
    <t>YANG MEMBUAT</t>
  </si>
  <si>
    <t>MENGETAHUI</t>
  </si>
  <si>
    <t>M. ZULKIFLI</t>
  </si>
  <si>
    <t>---------------</t>
  </si>
  <si>
    <t>NOTA PENCAIRAN DANA (NPD)</t>
  </si>
  <si>
    <t>Beban Operasional dan Bisnis</t>
  </si>
  <si>
    <t>2.1.3</t>
  </si>
  <si>
    <t>Pemeliharaan Kebersihan Pasar</t>
  </si>
  <si>
    <t>Alat dan Bahan Penyegelan</t>
  </si>
  <si>
    <t>IRNA WAHYUNI N.</t>
  </si>
  <si>
    <t>PERUMDA PASAR BANJARMASIN</t>
  </si>
  <si>
    <t>Banjarmasin, 09 Januari 2026</t>
  </si>
  <si>
    <r>
      <t>Nomor : 17/DIV-KEU/PPB/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</si>
  <si>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19/DIV-KEU/PPB/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</si>
  <si>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r>
      <t>Nomor : 80/DIV-KEU/PPB/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</si>
  <si>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26 Januari 2026</t>
  </si>
  <si>
    <t>Pemeliharaan Keamanan dan Ketertiban Pasar</t>
  </si>
  <si>
    <t>Kerjasama Pengamanan Pasar dengan APH</t>
  </si>
  <si>
    <r>
      <t>Nomor : 078/DIV-KEU/PPB/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</si>
  <si>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25 Februari 2026</t>
  </si>
  <si>
    <r>
      <t>Nomor : 024/DIV-KEU/PPB/</t>
    </r>
    <r>
      <rPr>
        <sz val="11"/>
        <rFont val="Times New Roman"/>
        <family val="1"/>
      </rPr>
      <t>III</t>
    </r>
    <r>
      <rPr>
        <sz val="11"/>
        <color theme="1"/>
        <rFont val="Times New Roman"/>
        <family val="1"/>
      </rPr>
      <t>/2026</t>
    </r>
  </si>
  <si>
    <t>Banjarmasin, 10 Maret 2026</t>
  </si>
  <si>
    <t>Banjarmasin, 27 Maret 2026</t>
  </si>
  <si>
    <r>
      <t>Nomor : 058/DIV-KEU/PPB/II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</si>
</sst>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-[$Rp-421]* #,##0_-;\-[$Rp-421]* #,##0_-;_-[$Rp-421]* &quot;-&quot;_-;_-@_-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165" fontId="14" fillId="0" borderId="0">
      <alignment vertical="top"/>
      <protection locked="0"/>
    </xf>
  </cellStyleXfs>
  <cellXfs count="75">
    <xf numFmtId="0" fontId="0" fillId="0" borderId="0" xfId="0"/>
    <xf numFmtId="166" fontId="1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166" fontId="1" fillId="0" borderId="0" xfId="1" applyFont="1" applyBorder="1" applyAlignment="1">
      <alignment horizontal="center"/>
    </xf>
    <xf numFmtId="166" fontId="1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6" fontId="4" fillId="0" borderId="0" xfId="1" applyFont="1" applyBorder="1"/>
    <xf numFmtId="166" fontId="3" fillId="0" borderId="0" xfId="1" applyFont="1" applyBorder="1"/>
    <xf numFmtId="0" fontId="7" fillId="0" borderId="0" xfId="0" applyFont="1"/>
    <xf numFmtId="0" fontId="4" fillId="0" borderId="2" xfId="3" applyNumberFormat="1" applyFont="1" applyBorder="1" applyAlignment="1">
      <alignment horizontal="left" vertical="center"/>
    </xf>
    <xf numFmtId="166" fontId="4" fillId="0" borderId="2" xfId="1" applyFont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0" fontId="4" fillId="0" borderId="2" xfId="0" quotePrefix="1" applyFont="1" applyBorder="1"/>
    <xf numFmtId="0" fontId="4" fillId="0" borderId="2" xfId="0" applyFont="1" applyBorder="1"/>
    <xf numFmtId="167" fontId="4" fillId="0" borderId="2" xfId="2" applyNumberFormat="1" applyFont="1" applyBorder="1"/>
    <xf numFmtId="0" fontId="3" fillId="0" borderId="6" xfId="0" quotePrefix="1" applyFont="1" applyBorder="1"/>
    <xf numFmtId="167" fontId="3" fillId="0" borderId="6" xfId="2" applyNumberFormat="1" applyFont="1" applyBorder="1"/>
    <xf numFmtId="166" fontId="4" fillId="0" borderId="0" xfId="1" applyFont="1" applyBorder="1" applyAlignment="1"/>
    <xf numFmtId="166" fontId="4" fillId="0" borderId="0" xfId="0" applyNumberFormat="1" applyFont="1"/>
    <xf numFmtId="166" fontId="8" fillId="0" borderId="0" xfId="1" quotePrefix="1" applyFont="1" applyBorder="1"/>
    <xf numFmtId="166" fontId="8" fillId="0" borderId="0" xfId="1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166" fontId="6" fillId="0" borderId="0" xfId="1" applyFont="1" applyBorder="1" applyAlignment="1">
      <alignment horizontal="left"/>
    </xf>
    <xf numFmtId="0" fontId="9" fillId="0" borderId="0" xfId="0" applyFont="1"/>
    <xf numFmtId="166" fontId="9" fillId="0" borderId="0" xfId="1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4" fontId="4" fillId="0" borderId="0" xfId="0" applyNumberFormat="1" applyFont="1"/>
    <xf numFmtId="167" fontId="4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0" borderId="4" xfId="2" applyNumberFormat="1" applyFont="1" applyBorder="1"/>
    <xf numFmtId="0" fontId="4" fillId="0" borderId="3" xfId="0" applyFont="1" applyBorder="1"/>
    <xf numFmtId="42" fontId="4" fillId="0" borderId="0" xfId="0" applyNumberFormat="1" applyFont="1" applyAlignment="1">
      <alignment horizontal="left"/>
    </xf>
    <xf numFmtId="168" fontId="4" fillId="0" borderId="7" xfId="1" applyNumberFormat="1" applyFont="1" applyBorder="1" applyAlignment="1">
      <alignment horizontal="right" vertical="center"/>
    </xf>
    <xf numFmtId="168" fontId="4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1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13" fillId="0" borderId="0" xfId="0" applyFont="1"/>
    <xf numFmtId="0" fontId="4" fillId="0" borderId="5" xfId="0" applyFont="1" applyBorder="1" applyAlignment="1">
      <alignment horizontal="center" vertical="center" wrapText="1"/>
    </xf>
    <xf numFmtId="0" fontId="4" fillId="0" borderId="2" xfId="3" quotePrefix="1" applyNumberFormat="1" applyFont="1" applyBorder="1" applyAlignment="1">
      <alignment horizontal="center" vertical="center"/>
    </xf>
    <xf numFmtId="165" fontId="15" fillId="0" borderId="8" xfId="5" applyFont="1" applyBorder="1" applyAlignment="1" applyProtection="1">
      <alignment horizontal="center"/>
    </xf>
    <xf numFmtId="165" fontId="15" fillId="0" borderId="8" xfId="5" applyFont="1" applyBorder="1" applyAlignment="1" applyProtection="1">
      <alignment horizontal="center" vertical="center"/>
    </xf>
    <xf numFmtId="0" fontId="4" fillId="0" borderId="0" xfId="0" quotePrefix="1" applyFont="1"/>
    <xf numFmtId="0" fontId="4" fillId="0" borderId="9" xfId="3" quotePrefix="1" applyNumberFormat="1" applyFont="1" applyBorder="1" applyAlignment="1">
      <alignment horizontal="center" vertical="center"/>
    </xf>
    <xf numFmtId="0" fontId="3" fillId="0" borderId="0" xfId="0" quotePrefix="1" applyFont="1"/>
    <xf numFmtId="165" fontId="15" fillId="0" borderId="8" xfId="5" quotePrefix="1" applyFont="1" applyBorder="1" applyAlignment="1" applyProtection="1">
      <alignment horizontal="center"/>
    </xf>
    <xf numFmtId="0" fontId="4" fillId="0" borderId="8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3" xfId="3" applyNumberFormat="1" applyFont="1" applyBorder="1" applyAlignment="1">
      <alignment horizontal="center" vertical="center"/>
    </xf>
    <xf numFmtId="0" fontId="9" fillId="0" borderId="2" xfId="3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165" fontId="15" fillId="0" borderId="8" xfId="5" quotePrefix="1" applyFont="1" applyBorder="1" applyAlignment="1" applyProtection="1">
      <alignment horizontal="center" vertical="center"/>
    </xf>
  </cellXfs>
  <cellStyles count="6">
    <cellStyle name="Comma" xfId="1" builtinId="3"/>
    <cellStyle name="Comma [0]" xfId="2" builtinId="6"/>
    <cellStyle name="Comma [0] 2 2" xfId="5" xr:uid="{724FC97D-2618-4674-A8AC-0D5F3952EF3E}"/>
    <cellStyle name="Currency [0] 7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131</xdr:row>
      <xdr:rowOff>9525</xdr:rowOff>
    </xdr:from>
    <xdr:to>
      <xdr:col>9</xdr:col>
      <xdr:colOff>1162051</xdr:colOff>
      <xdr:row>139</xdr:row>
      <xdr:rowOff>121113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11F247-9530-496D-9715-3A0610703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6450925"/>
          <a:ext cx="7248526" cy="16546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87</xdr:row>
      <xdr:rowOff>9525</xdr:rowOff>
    </xdr:from>
    <xdr:to>
      <xdr:col>9</xdr:col>
      <xdr:colOff>1162051</xdr:colOff>
      <xdr:row>95</xdr:row>
      <xdr:rowOff>121113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7BA91D-7CE8-44DE-9690-22C203429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7640300"/>
          <a:ext cx="7248526" cy="16546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43</xdr:row>
      <xdr:rowOff>9525</xdr:rowOff>
    </xdr:from>
    <xdr:to>
      <xdr:col>9</xdr:col>
      <xdr:colOff>1162051</xdr:colOff>
      <xdr:row>51</xdr:row>
      <xdr:rowOff>121113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1C1CDB-E64E-4BA2-BEA2-29ABC309C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8829675"/>
          <a:ext cx="7248526" cy="16546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9</xdr:col>
      <xdr:colOff>1171576</xdr:colOff>
      <xdr:row>8</xdr:row>
      <xdr:rowOff>140164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C14FA9-5DE3-4C2F-B4E3-BADBF4E3B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6"/>
          <a:ext cx="7248526" cy="165463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0937919-769B-4C09-BC78-90E55038FF6F}"/>
            </a:ext>
          </a:extLst>
        </xdr:cNvPr>
        <xdr:cNvCxnSpPr/>
      </xdr:nvCxnSpPr>
      <xdr:spPr>
        <a:xfrm>
          <a:off x="19050" y="1209675"/>
          <a:ext cx="72485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49</xdr:row>
      <xdr:rowOff>47625</xdr:rowOff>
    </xdr:from>
    <xdr:to>
      <xdr:col>9</xdr:col>
      <xdr:colOff>1162050</xdr:colOff>
      <xdr:row>49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2EADE64-5D25-4807-961B-67E04ED3C77F}"/>
            </a:ext>
          </a:extLst>
        </xdr:cNvPr>
        <xdr:cNvCxnSpPr/>
      </xdr:nvCxnSpPr>
      <xdr:spPr>
        <a:xfrm>
          <a:off x="19050" y="10029825"/>
          <a:ext cx="72485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93</xdr:row>
      <xdr:rowOff>47625</xdr:rowOff>
    </xdr:from>
    <xdr:to>
      <xdr:col>9</xdr:col>
      <xdr:colOff>1162050</xdr:colOff>
      <xdr:row>93</xdr:row>
      <xdr:rowOff>47625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B597F00-248F-48B7-942A-76171819357E}"/>
            </a:ext>
          </a:extLst>
        </xdr:cNvPr>
        <xdr:cNvCxnSpPr/>
      </xdr:nvCxnSpPr>
      <xdr:spPr>
        <a:xfrm>
          <a:off x="19050" y="18840450"/>
          <a:ext cx="72485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137</xdr:row>
      <xdr:rowOff>47625</xdr:rowOff>
    </xdr:from>
    <xdr:to>
      <xdr:col>9</xdr:col>
      <xdr:colOff>1162050</xdr:colOff>
      <xdr:row>137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5AB04B5-E062-4366-BBB4-229E6433A1D7}"/>
            </a:ext>
          </a:extLst>
        </xdr:cNvPr>
        <xdr:cNvCxnSpPr/>
      </xdr:nvCxnSpPr>
      <xdr:spPr>
        <a:xfrm>
          <a:off x="19050" y="27651075"/>
          <a:ext cx="72485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130</xdr:row>
      <xdr:rowOff>9525</xdr:rowOff>
    </xdr:from>
    <xdr:to>
      <xdr:col>9</xdr:col>
      <xdr:colOff>1162051</xdr:colOff>
      <xdr:row>138</xdr:row>
      <xdr:rowOff>121113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F16BA2-6B05-4AC1-B578-0B2332BF5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6612850"/>
          <a:ext cx="7248526" cy="16546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86</xdr:row>
      <xdr:rowOff>9525</xdr:rowOff>
    </xdr:from>
    <xdr:to>
      <xdr:col>9</xdr:col>
      <xdr:colOff>1162051</xdr:colOff>
      <xdr:row>94</xdr:row>
      <xdr:rowOff>121113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9E55D9-83CD-495D-9096-7BBE8439D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7802225"/>
          <a:ext cx="7248526" cy="16546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</xdr:colOff>
      <xdr:row>43</xdr:row>
      <xdr:rowOff>9525</xdr:rowOff>
    </xdr:from>
    <xdr:to>
      <xdr:col>9</xdr:col>
      <xdr:colOff>1162051</xdr:colOff>
      <xdr:row>51</xdr:row>
      <xdr:rowOff>121113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0985EF-A473-45BC-AF74-95F8BE657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8991600"/>
          <a:ext cx="7248526" cy="16546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28576</xdr:rowOff>
    </xdr:from>
    <xdr:to>
      <xdr:col>9</xdr:col>
      <xdr:colOff>1171576</xdr:colOff>
      <xdr:row>8</xdr:row>
      <xdr:rowOff>140164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8A9920-8FD8-4E7E-92B6-19C3BC24B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6"/>
          <a:ext cx="7248526" cy="165463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C3AE12B-AD3D-4E2E-AFFC-AB55AB2908BC}"/>
            </a:ext>
          </a:extLst>
        </xdr:cNvPr>
        <xdr:cNvCxnSpPr/>
      </xdr:nvCxnSpPr>
      <xdr:spPr>
        <a:xfrm>
          <a:off x="19050" y="1209675"/>
          <a:ext cx="72485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49</xdr:row>
      <xdr:rowOff>47625</xdr:rowOff>
    </xdr:from>
    <xdr:to>
      <xdr:col>9</xdr:col>
      <xdr:colOff>1162050</xdr:colOff>
      <xdr:row>49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DF5F652-1FAC-4AF4-868C-37DC4761E8F5}"/>
            </a:ext>
          </a:extLst>
        </xdr:cNvPr>
        <xdr:cNvCxnSpPr/>
      </xdr:nvCxnSpPr>
      <xdr:spPr>
        <a:xfrm>
          <a:off x="19050" y="10191750"/>
          <a:ext cx="72485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92</xdr:row>
      <xdr:rowOff>47625</xdr:rowOff>
    </xdr:from>
    <xdr:to>
      <xdr:col>9</xdr:col>
      <xdr:colOff>1162050</xdr:colOff>
      <xdr:row>92</xdr:row>
      <xdr:rowOff>47625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CB70680-15C8-446D-BC85-252D5D3503C0}"/>
            </a:ext>
          </a:extLst>
        </xdr:cNvPr>
        <xdr:cNvCxnSpPr/>
      </xdr:nvCxnSpPr>
      <xdr:spPr>
        <a:xfrm>
          <a:off x="19050" y="19002375"/>
          <a:ext cx="72485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136</xdr:row>
      <xdr:rowOff>47625</xdr:rowOff>
    </xdr:from>
    <xdr:to>
      <xdr:col>9</xdr:col>
      <xdr:colOff>1162050</xdr:colOff>
      <xdr:row>136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6656143-6405-4B59-BF38-B05CAE4678C5}"/>
            </a:ext>
          </a:extLst>
        </xdr:cNvPr>
        <xdr:cNvCxnSpPr/>
      </xdr:nvCxnSpPr>
      <xdr:spPr>
        <a:xfrm>
          <a:off x="19050" y="27813000"/>
          <a:ext cx="72485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A558-84E5-44D9-BDF4-32B2F061ED67}">
  <dimension ref="A1:V174"/>
  <sheetViews>
    <sheetView view="pageBreakPreview" zoomScaleNormal="100" zoomScaleSheetLayoutView="100" workbookViewId="0">
      <selection activeCell="J42" sqref="A1:J42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17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9" t="s">
        <v>31</v>
      </c>
      <c r="B8" s="69"/>
      <c r="C8" s="70"/>
      <c r="D8" s="70"/>
      <c r="E8" s="70"/>
      <c r="F8" s="70"/>
      <c r="G8" s="70"/>
      <c r="H8" s="70"/>
      <c r="I8" s="70"/>
      <c r="J8" s="70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70" t="s">
        <v>45</v>
      </c>
      <c r="B9" s="70"/>
      <c r="C9" s="70"/>
      <c r="D9" s="70"/>
      <c r="E9" s="70"/>
      <c r="F9" s="70"/>
      <c r="G9" s="70"/>
      <c r="H9" s="70"/>
      <c r="I9" s="70"/>
      <c r="J9" s="70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70" t="s">
        <v>13</v>
      </c>
      <c r="B10" s="70"/>
      <c r="C10" s="70"/>
      <c r="D10" s="70"/>
      <c r="E10" s="70"/>
      <c r="F10" s="70"/>
      <c r="G10" s="70"/>
      <c r="H10" s="70"/>
      <c r="I10" s="70"/>
      <c r="J10" s="70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70" t="s">
        <v>37</v>
      </c>
      <c r="B11" s="70"/>
      <c r="C11" s="70"/>
      <c r="D11" s="70"/>
      <c r="E11" s="70"/>
      <c r="F11" s="70"/>
      <c r="G11" s="70"/>
      <c r="H11" s="70"/>
      <c r="I11" s="70"/>
      <c r="J11" s="70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70" t="s">
        <v>26</v>
      </c>
      <c r="B12" s="70"/>
      <c r="C12" s="70"/>
      <c r="D12" s="70"/>
      <c r="E12" s="70"/>
      <c r="F12" s="70"/>
      <c r="G12" s="70"/>
      <c r="H12" s="70"/>
      <c r="I12" s="70"/>
      <c r="J12" s="70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2" t="s">
        <v>18</v>
      </c>
      <c r="B14" s="52"/>
      <c r="C14" s="52"/>
      <c r="D14" s="37" t="s">
        <v>12</v>
      </c>
      <c r="E14" s="8" t="s">
        <v>32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2" t="s">
        <v>19</v>
      </c>
      <c r="B15" s="52"/>
      <c r="C15" s="52"/>
      <c r="D15" s="37" t="s">
        <v>12</v>
      </c>
      <c r="E15" s="8" t="s">
        <v>33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2" t="s">
        <v>20</v>
      </c>
      <c r="B16" s="52"/>
      <c r="C16" s="52"/>
      <c r="D16" s="37" t="s">
        <v>12</v>
      </c>
      <c r="E16" s="44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2" t="s">
        <v>21</v>
      </c>
      <c r="B17" s="52"/>
      <c r="C17" s="52"/>
      <c r="D17" s="37" t="s">
        <v>12</v>
      </c>
      <c r="E17" s="41">
        <f>I25</f>
        <v>40000000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37" t="s">
        <v>12</v>
      </c>
      <c r="E18" s="47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Juta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37"/>
      <c r="G19" s="47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1" t="s">
        <v>2</v>
      </c>
      <c r="B21" s="61"/>
      <c r="C21" s="61"/>
      <c r="D21" s="61"/>
      <c r="E21" s="61"/>
      <c r="F21" s="61"/>
      <c r="G21" s="61"/>
      <c r="H21" s="61"/>
      <c r="I21" s="61"/>
      <c r="J21" s="61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9" t="s">
        <v>22</v>
      </c>
      <c r="C22" s="62" t="s">
        <v>4</v>
      </c>
      <c r="D22" s="63"/>
      <c r="E22" s="64"/>
      <c r="F22" s="46"/>
      <c r="G22" s="38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ht="28.5" customHeight="1" x14ac:dyDescent="0.25">
      <c r="A23" s="60">
        <v>1</v>
      </c>
      <c r="B23" s="53"/>
      <c r="C23" s="65" t="s">
        <v>43</v>
      </c>
      <c r="D23" s="66"/>
      <c r="E23" s="67"/>
      <c r="F23" s="48"/>
      <c r="G23" s="55" t="s">
        <v>30</v>
      </c>
      <c r="H23" s="55" t="s">
        <v>30</v>
      </c>
      <c r="I23" s="55" t="s">
        <v>30</v>
      </c>
      <c r="J23" s="55" t="s">
        <v>30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ht="30" customHeight="1" x14ac:dyDescent="0.25">
      <c r="A24" s="49"/>
      <c r="B24" s="49" t="s">
        <v>24</v>
      </c>
      <c r="C24" s="71" t="s">
        <v>44</v>
      </c>
      <c r="D24" s="72"/>
      <c r="E24" s="73"/>
      <c r="F24" s="48"/>
      <c r="G24" s="51">
        <v>900000000</v>
      </c>
      <c r="H24" s="42">
        <v>0</v>
      </c>
      <c r="I24" s="42">
        <v>40000000</v>
      </c>
      <c r="J24" s="43">
        <f>G24-H24-I24</f>
        <v>860000000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16"/>
      <c r="B25" s="16"/>
      <c r="C25" s="17" t="s">
        <v>8</v>
      </c>
      <c r="D25" s="17"/>
      <c r="E25" s="17"/>
      <c r="F25" s="40"/>
      <c r="G25" s="39">
        <f>SUM(G23:G24)</f>
        <v>900000000</v>
      </c>
      <c r="H25" s="18">
        <f>SUM(H24:H24)</f>
        <v>0</v>
      </c>
      <c r="I25" s="18">
        <f>SUM(I24:I24)</f>
        <v>40000000</v>
      </c>
      <c r="J25" s="18">
        <f>SUM(J24:J24)</f>
        <v>860000000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9"/>
      <c r="B26" s="54"/>
      <c r="C26" s="6"/>
      <c r="D26" s="6"/>
      <c r="E26" s="6"/>
      <c r="F26" s="6"/>
      <c r="G26" s="20"/>
      <c r="H26" s="20"/>
      <c r="I26" s="20"/>
      <c r="J26" s="20"/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68" t="s">
        <v>14</v>
      </c>
      <c r="B27" s="68"/>
      <c r="C27" s="68"/>
      <c r="D27" s="33" t="s">
        <v>12</v>
      </c>
      <c r="E27" s="41">
        <f>I25</f>
        <v>40000000</v>
      </c>
      <c r="F27" s="36"/>
      <c r="G27" s="21"/>
      <c r="H27" s="21"/>
      <c r="I27" s="10"/>
      <c r="J27" s="1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8" t="s">
        <v>9</v>
      </c>
      <c r="B28" s="8"/>
      <c r="C28" s="8"/>
      <c r="D28" s="33" t="s">
        <v>12</v>
      </c>
      <c r="E28" s="34"/>
      <c r="F28" s="34"/>
      <c r="G28" s="22"/>
      <c r="H28" s="9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16</v>
      </c>
      <c r="B29" s="8"/>
      <c r="C29" s="8"/>
      <c r="D29" s="33" t="s">
        <v>12</v>
      </c>
      <c r="E29" s="35"/>
      <c r="F29" s="35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10</v>
      </c>
      <c r="B30" s="8"/>
      <c r="C30" s="8"/>
      <c r="D30" s="33" t="s">
        <v>12</v>
      </c>
      <c r="E30" s="35">
        <f>E28+E29</f>
        <v>0</v>
      </c>
      <c r="F30" s="35"/>
      <c r="G30" s="8"/>
      <c r="H30" s="9"/>
      <c r="I30" s="23"/>
      <c r="J30" s="24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44"/>
      <c r="B31" s="44"/>
      <c r="C31" s="44"/>
      <c r="D31" s="33"/>
      <c r="E31" s="44"/>
      <c r="F31" s="44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68" t="s">
        <v>15</v>
      </c>
      <c r="B32" s="68"/>
      <c r="C32" s="68"/>
      <c r="D32" s="33" t="s">
        <v>12</v>
      </c>
      <c r="E32" s="36">
        <f>E27-E30</f>
        <v>40000000</v>
      </c>
      <c r="F32" s="36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ht="15.75" x14ac:dyDescent="0.25">
      <c r="A33" s="44"/>
      <c r="B33" s="44"/>
      <c r="C33" s="8"/>
      <c r="D33" s="8"/>
      <c r="E33" s="47" t="str">
        <f>PROPER(IF(E32=0,"nol",IF(E32&lt;0,"minus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32),"000000000000000"),1,3)=0,"",MID(TEXT(ABS(E32),"000000000000000"),1,1)&amp;" ratus "&amp;MID(TEXT(ABS(E32),"000000000000000"),2,1)&amp;" puluh "&amp;MID(TEXT(ABS(E32),"000000000000000"),3,1)&amp;" trilyun ")&amp;IF(--MID(TEXT(ABS(E32),"000000000000000"),4,3)=0,"",MID(TEXT(ABS(E32),"000000000000000"),4,1)&amp;" ratus "&amp;MID(TEXT(ABS(E32),"000000000000000"),5,1)&amp;" puluh "&amp;MID(TEXT(ABS(E32),"000000000000000"),6,1)&amp;" milyar ")&amp;IF(--MID(TEXT(ABS(E32),"000000000000000"),7,3)=0,"",MID(TEXT(ABS(E32),"000000000000000"),7,1)&amp;" ratus "&amp;MID(TEXT(ABS(E32),"000000000000000"),8,1)&amp;" puluh "&amp;MID(TEXT(ABS(E32),"000000000000000"),9,1)&amp;" juta ")&amp;IF(--MID(TEXT(ABS(E32),"000000000000000"),10,3)=0,"",IF(--MID(TEXT(ABS(E32),"000000000000000"),10,3)=1,"*",MID(TEXT(ABS(E32),"000000000000000"),10,1)&amp;" ratus "&amp;MID(TEXT(ABS(E32),"000000000000000"),11,1)&amp;" puluh ")&amp;MID(TEXT(ABS(E32),"000000000000000"),12,1)&amp;" ribu ")&amp;IF(--MID(TEXT(ABS(E32),"000000000000000"),13,3)=0,"",MID(TEXT(ABS(E32),"000000000000000"),13,1)&amp;" ratus "&amp;MID(TEXT(ABS(E32),"000000000000000"),14,1)&amp;" puluh "&amp;MID(TEXT(ABS(E32),"000000000000000"),15,1)),1,"satu"),2,"dua"),3,"tiga"),4,"empat"),5,"lima"),6,"enam"),7,"tujuh"),8,"delapan"),9,"sembilan"),"0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Juta Rupiah</v>
      </c>
      <c r="F33" s="8"/>
      <c r="G33" s="8"/>
      <c r="H33" s="8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x14ac:dyDescent="0.25">
      <c r="A34" s="26"/>
      <c r="B34" s="26"/>
      <c r="C34" s="26"/>
      <c r="D34" s="26"/>
      <c r="E34" s="26"/>
      <c r="F34" s="26"/>
      <c r="G34" s="25"/>
      <c r="H34" s="24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5"/>
      <c r="B35" s="25"/>
      <c r="C35" s="25"/>
      <c r="D35" s="25"/>
      <c r="E35" s="25"/>
      <c r="F35" s="25"/>
      <c r="G35" s="25"/>
      <c r="H35"/>
      <c r="I35" s="24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44"/>
      <c r="B36" s="44"/>
      <c r="C36" s="8"/>
      <c r="D36" s="8"/>
      <c r="E36" s="8"/>
      <c r="F36" s="8"/>
      <c r="G36" s="8"/>
      <c r="I36" s="45" t="s">
        <v>46</v>
      </c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9" t="s">
        <v>28</v>
      </c>
      <c r="B37" s="9"/>
      <c r="C37" s="8"/>
      <c r="D37" s="8"/>
      <c r="E37" s="8"/>
      <c r="F37" s="8"/>
      <c r="G37" s="8"/>
      <c r="I37" s="9" t="s">
        <v>27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8"/>
      <c r="B38" s="8"/>
      <c r="C38" s="8"/>
      <c r="D38" s="8"/>
      <c r="E38" s="8"/>
      <c r="F38" s="8"/>
      <c r="G38" s="8"/>
      <c r="I38" s="9"/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28" t="s">
        <v>36</v>
      </c>
      <c r="B42" s="28"/>
      <c r="C42" s="27"/>
      <c r="D42" s="27"/>
      <c r="E42" s="27"/>
      <c r="F42" s="27"/>
      <c r="G42" s="8" t="s">
        <v>11</v>
      </c>
      <c r="I42" s="28" t="s">
        <v>29</v>
      </c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30"/>
      <c r="B43" s="30"/>
      <c r="C43" s="29"/>
      <c r="D43" s="29"/>
      <c r="E43" s="29"/>
      <c r="F43" s="29"/>
      <c r="G43" s="29"/>
      <c r="H43" s="30"/>
      <c r="I43" s="30"/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7" spans="1:22" ht="15.75" x14ac:dyDescent="0.25">
      <c r="C47" s="3"/>
      <c r="D47" s="3"/>
      <c r="E47" s="3"/>
      <c r="F47" s="3"/>
    </row>
    <row r="48" spans="1:22" ht="15.75" x14ac:dyDescent="0.25">
      <c r="A48" s="2"/>
      <c r="B48" s="2"/>
      <c r="C48" s="3"/>
      <c r="D48" s="3"/>
      <c r="E48" s="3"/>
      <c r="F48" s="3"/>
      <c r="G48" s="2"/>
      <c r="H48" s="4"/>
      <c r="I48" s="4"/>
      <c r="J48" s="5"/>
    </row>
    <row r="49" spans="1:10" x14ac:dyDescent="0.25">
      <c r="H49" s="5"/>
      <c r="I49" s="5"/>
      <c r="J49" s="5"/>
    </row>
    <row r="50" spans="1:10" x14ac:dyDescent="0.25">
      <c r="H50" s="5"/>
      <c r="I50" s="5"/>
      <c r="J50" s="5"/>
    </row>
    <row r="51" spans="1:10" x14ac:dyDescent="0.25">
      <c r="A51" s="69" t="s">
        <v>31</v>
      </c>
      <c r="B51" s="69"/>
      <c r="C51" s="70"/>
      <c r="D51" s="70"/>
      <c r="E51" s="70"/>
      <c r="F51" s="70"/>
      <c r="G51" s="70"/>
      <c r="H51" s="70"/>
      <c r="I51" s="70"/>
      <c r="J51" s="70"/>
    </row>
    <row r="52" spans="1:10" x14ac:dyDescent="0.25">
      <c r="A52" s="70" t="s">
        <v>39</v>
      </c>
      <c r="B52" s="70"/>
      <c r="C52" s="70"/>
      <c r="D52" s="70"/>
      <c r="E52" s="70"/>
      <c r="F52" s="70"/>
      <c r="G52" s="70"/>
      <c r="H52" s="70"/>
      <c r="I52" s="70"/>
      <c r="J52" s="70"/>
    </row>
    <row r="53" spans="1:10" x14ac:dyDescent="0.25">
      <c r="A53" s="70" t="s">
        <v>13</v>
      </c>
      <c r="B53" s="70"/>
      <c r="C53" s="70"/>
      <c r="D53" s="70"/>
      <c r="E53" s="70"/>
      <c r="F53" s="70"/>
      <c r="G53" s="70"/>
      <c r="H53" s="70"/>
      <c r="I53" s="70"/>
      <c r="J53" s="70"/>
    </row>
    <row r="54" spans="1:10" x14ac:dyDescent="0.25">
      <c r="A54" s="70" t="s">
        <v>37</v>
      </c>
      <c r="B54" s="70"/>
      <c r="C54" s="70"/>
      <c r="D54" s="70"/>
      <c r="E54" s="70"/>
      <c r="F54" s="70"/>
      <c r="G54" s="70"/>
      <c r="H54" s="70"/>
      <c r="I54" s="70"/>
      <c r="J54" s="70"/>
    </row>
    <row r="55" spans="1:10" x14ac:dyDescent="0.25">
      <c r="A55" s="70" t="s">
        <v>26</v>
      </c>
      <c r="B55" s="70"/>
      <c r="C55" s="70"/>
      <c r="D55" s="70"/>
      <c r="E55" s="70"/>
      <c r="F55" s="70"/>
      <c r="G55" s="70"/>
      <c r="H55" s="70"/>
      <c r="I55" s="70"/>
      <c r="J55" s="70"/>
    </row>
    <row r="56" spans="1:10" x14ac:dyDescent="0.25">
      <c r="A56" s="32"/>
      <c r="B56" s="32"/>
      <c r="C56" s="7"/>
      <c r="D56" s="7"/>
      <c r="E56" s="7"/>
      <c r="F56" s="7"/>
      <c r="G56" s="6"/>
      <c r="H56" s="10"/>
      <c r="I56" s="10"/>
      <c r="J56" s="10"/>
    </row>
    <row r="57" spans="1:10" x14ac:dyDescent="0.25">
      <c r="A57" s="52" t="s">
        <v>18</v>
      </c>
      <c r="B57" s="52"/>
      <c r="C57" s="52"/>
      <c r="D57" s="37" t="s">
        <v>12</v>
      </c>
      <c r="E57" s="8" t="s">
        <v>32</v>
      </c>
      <c r="H57" s="9"/>
      <c r="I57" s="9"/>
      <c r="J57" s="10"/>
    </row>
    <row r="58" spans="1:10" x14ac:dyDescent="0.25">
      <c r="A58" s="52" t="s">
        <v>19</v>
      </c>
      <c r="B58" s="52"/>
      <c r="C58" s="52"/>
      <c r="D58" s="37" t="s">
        <v>12</v>
      </c>
      <c r="E58" s="8" t="s">
        <v>33</v>
      </c>
      <c r="H58" s="9"/>
      <c r="I58" s="9"/>
      <c r="J58" s="10"/>
    </row>
    <row r="59" spans="1:10" x14ac:dyDescent="0.25">
      <c r="A59" s="52" t="s">
        <v>20</v>
      </c>
      <c r="B59" s="52"/>
      <c r="C59" s="52"/>
      <c r="D59" s="37" t="s">
        <v>12</v>
      </c>
      <c r="E59" s="44">
        <v>2026</v>
      </c>
      <c r="H59" s="9"/>
      <c r="I59" s="9"/>
      <c r="J59" s="10"/>
    </row>
    <row r="60" spans="1:10" x14ac:dyDescent="0.25">
      <c r="A60" s="52" t="s">
        <v>21</v>
      </c>
      <c r="B60" s="52"/>
      <c r="C60" s="52"/>
      <c r="D60" s="37" t="s">
        <v>12</v>
      </c>
      <c r="E60" s="41">
        <f>I69</f>
        <v>7245000</v>
      </c>
      <c r="H60" s="9"/>
      <c r="I60" s="9"/>
      <c r="J60" s="10"/>
    </row>
    <row r="61" spans="1:10" ht="15.75" x14ac:dyDescent="0.25">
      <c r="A61" s="8"/>
      <c r="B61" s="8"/>
      <c r="C61" s="11" t="s">
        <v>0</v>
      </c>
      <c r="D61" s="37" t="s">
        <v>12</v>
      </c>
      <c r="E61" s="47" t="str">
        <f>PROPER(IF(E60=0,"nol",IF(E60&lt;0,"minus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60),"000000000000000"),1,3)=0,"",MID(TEXT(ABS(E60),"000000000000000"),1,1)&amp;" ratus "&amp;MID(TEXT(ABS(E60),"000000000000000"),2,1)&amp;" puluh "&amp;MID(TEXT(ABS(E60),"000000000000000"),3,1)&amp;" trilyun ")&amp;IF(--MID(TEXT(ABS(E60),"000000000000000"),4,3)=0,"",MID(TEXT(ABS(E60),"000000000000000"),4,1)&amp;" ratus "&amp;MID(TEXT(ABS(E60),"000000000000000"),5,1)&amp;" puluh "&amp;MID(TEXT(ABS(E60),"000000000000000"),6,1)&amp;" milyar ")&amp;IF(--MID(TEXT(ABS(E60),"000000000000000"),7,3)=0,"",MID(TEXT(ABS(E60),"000000000000000"),7,1)&amp;" ratus "&amp;MID(TEXT(ABS(E60),"000000000000000"),8,1)&amp;" puluh "&amp;MID(TEXT(ABS(E60),"000000000000000"),9,1)&amp;" juta ")&amp;IF(--MID(TEXT(ABS(E60),"000000000000000"),10,3)=0,"",IF(--MID(TEXT(ABS(E60),"000000000000000"),10,3)=1,"*",MID(TEXT(ABS(E60),"000000000000000"),10,1)&amp;" ratus "&amp;MID(TEXT(ABS(E60),"000000000000000"),11,1)&amp;" puluh ")&amp;MID(TEXT(ABS(E60),"000000000000000"),12,1)&amp;" ribu ")&amp;IF(--MID(TEXT(ABS(E60),"000000000000000"),13,3)=0,"",MID(TEXT(ABS(E60),"000000000000000"),13,1)&amp;" ratus "&amp;MID(TEXT(ABS(E60),"000000000000000"),14,1)&amp;" puluh "&amp;MID(TEXT(ABS(E60),"000000000000000"),15,1)),1,"satu"),2,"dua"),3,"tiga"),4,"empat"),5,"lima"),6,"enam"),7,"tujuh"),8,"delapan"),9,"sembilan"),"0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Juta Dua Ratus Empat Puluh Lima Ribu Rupiah</v>
      </c>
      <c r="H61" s="9"/>
      <c r="I61" s="9"/>
      <c r="J61" s="10"/>
    </row>
    <row r="62" spans="1:10" ht="15.75" x14ac:dyDescent="0.25">
      <c r="A62" s="8"/>
      <c r="B62" s="8"/>
      <c r="C62" s="11"/>
      <c r="D62" s="11"/>
      <c r="E62" s="11"/>
      <c r="F62" s="37"/>
      <c r="G62" s="47"/>
      <c r="H62" s="9"/>
      <c r="I62" s="9"/>
      <c r="J62" s="10"/>
    </row>
    <row r="63" spans="1:10" x14ac:dyDescent="0.25">
      <c r="A63" s="8" t="s">
        <v>1</v>
      </c>
      <c r="B63" s="8"/>
      <c r="C63" s="8"/>
      <c r="D63" s="8"/>
      <c r="E63" s="8"/>
      <c r="F63" s="8"/>
      <c r="G63" s="8"/>
      <c r="H63" s="9"/>
      <c r="I63" s="9"/>
      <c r="J63" s="10"/>
    </row>
    <row r="64" spans="1:10" x14ac:dyDescent="0.25">
      <c r="A64" s="61" t="s">
        <v>2</v>
      </c>
      <c r="B64" s="61"/>
      <c r="C64" s="61"/>
      <c r="D64" s="61"/>
      <c r="E64" s="61"/>
      <c r="F64" s="61"/>
      <c r="G64" s="61"/>
      <c r="H64" s="61"/>
      <c r="I64" s="61"/>
      <c r="J64" s="61"/>
    </row>
    <row r="65" spans="1:10" ht="45" x14ac:dyDescent="0.25">
      <c r="A65" s="12" t="s">
        <v>3</v>
      </c>
      <c r="B65" s="59" t="s">
        <v>22</v>
      </c>
      <c r="C65" s="62" t="s">
        <v>4</v>
      </c>
      <c r="D65" s="63"/>
      <c r="E65" s="64"/>
      <c r="F65" s="46"/>
      <c r="G65" s="38" t="s">
        <v>5</v>
      </c>
      <c r="H65" s="13" t="s">
        <v>17</v>
      </c>
      <c r="I65" s="14" t="s">
        <v>6</v>
      </c>
      <c r="J65" s="15" t="s">
        <v>7</v>
      </c>
    </row>
    <row r="66" spans="1:10" x14ac:dyDescent="0.25">
      <c r="A66" s="60">
        <v>1</v>
      </c>
      <c r="B66" s="53"/>
      <c r="C66" s="65" t="s">
        <v>34</v>
      </c>
      <c r="D66" s="66"/>
      <c r="E66" s="67"/>
      <c r="F66" s="48"/>
      <c r="G66" s="55" t="s">
        <v>30</v>
      </c>
      <c r="H66" s="55" t="s">
        <v>30</v>
      </c>
      <c r="I66" s="55" t="s">
        <v>30</v>
      </c>
      <c r="J66" s="55" t="s">
        <v>30</v>
      </c>
    </row>
    <row r="67" spans="1:10" x14ac:dyDescent="0.25">
      <c r="A67" s="49"/>
      <c r="B67" s="49" t="s">
        <v>24</v>
      </c>
      <c r="C67" s="57" t="s">
        <v>35</v>
      </c>
      <c r="D67" s="58"/>
      <c r="E67" s="56"/>
      <c r="F67" s="48"/>
      <c r="G67" s="51">
        <v>20000000</v>
      </c>
      <c r="H67" s="42">
        <f>H24+I24</f>
        <v>40000000</v>
      </c>
      <c r="I67" s="42">
        <v>0</v>
      </c>
      <c r="J67" s="43">
        <f>G67-H67-I67</f>
        <v>-20000000</v>
      </c>
    </row>
    <row r="68" spans="1:10" x14ac:dyDescent="0.25">
      <c r="A68" s="49"/>
      <c r="B68" s="49" t="s">
        <v>25</v>
      </c>
      <c r="C68" s="57" t="s">
        <v>23</v>
      </c>
      <c r="D68" s="58"/>
      <c r="E68" s="56"/>
      <c r="F68" s="48"/>
      <c r="G68" s="50">
        <v>35500000</v>
      </c>
      <c r="H68" s="42" t="e">
        <f>#REF!+#REF!</f>
        <v>#REF!</v>
      </c>
      <c r="I68" s="42">
        <v>7245000</v>
      </c>
      <c r="J68" s="43" t="e">
        <f t="shared" ref="J68" si="0">G68-H68-I68</f>
        <v>#REF!</v>
      </c>
    </row>
    <row r="69" spans="1:10" x14ac:dyDescent="0.25">
      <c r="A69" s="16"/>
      <c r="B69" s="16"/>
      <c r="C69" s="17" t="s">
        <v>8</v>
      </c>
      <c r="D69" s="17"/>
      <c r="E69" s="17"/>
      <c r="F69" s="40"/>
      <c r="G69" s="39">
        <f>SUM(G66:G68)</f>
        <v>55500000</v>
      </c>
      <c r="H69" s="18" t="e">
        <f>SUM(H67:H68)</f>
        <v>#REF!</v>
      </c>
      <c r="I69" s="18">
        <f>SUM(I67:I68)</f>
        <v>7245000</v>
      </c>
      <c r="J69" s="18" t="e">
        <f>SUM(J67:J68)</f>
        <v>#REF!</v>
      </c>
    </row>
    <row r="70" spans="1:10" x14ac:dyDescent="0.25">
      <c r="A70" s="19"/>
      <c r="B70" s="54"/>
      <c r="C70" s="6"/>
      <c r="D70" s="6"/>
      <c r="E70" s="6"/>
      <c r="F70" s="6"/>
      <c r="G70" s="20"/>
      <c r="H70" s="20"/>
      <c r="I70" s="20"/>
      <c r="J70" s="20"/>
    </row>
    <row r="71" spans="1:10" x14ac:dyDescent="0.25">
      <c r="A71" s="68" t="s">
        <v>14</v>
      </c>
      <c r="B71" s="68"/>
      <c r="C71" s="68"/>
      <c r="D71" s="33" t="s">
        <v>12</v>
      </c>
      <c r="E71" s="41">
        <f>I69</f>
        <v>7245000</v>
      </c>
      <c r="F71" s="36"/>
      <c r="G71" s="21"/>
      <c r="H71" s="21"/>
      <c r="I71" s="10"/>
      <c r="J71" s="10"/>
    </row>
    <row r="72" spans="1:10" x14ac:dyDescent="0.25">
      <c r="A72" s="8" t="s">
        <v>9</v>
      </c>
      <c r="B72" s="8"/>
      <c r="C72" s="8"/>
      <c r="D72" s="33" t="s">
        <v>12</v>
      </c>
      <c r="E72" s="34"/>
      <c r="F72" s="34"/>
      <c r="G72" s="22"/>
      <c r="H72" s="9"/>
      <c r="I72" s="10"/>
      <c r="J72" s="10"/>
    </row>
    <row r="73" spans="1:10" x14ac:dyDescent="0.25">
      <c r="A73" s="8" t="s">
        <v>16</v>
      </c>
      <c r="B73" s="8"/>
      <c r="C73" s="8"/>
      <c r="D73" s="33" t="s">
        <v>12</v>
      </c>
      <c r="E73" s="35"/>
      <c r="F73" s="35"/>
      <c r="G73" s="22"/>
      <c r="H73" s="9"/>
      <c r="I73" s="10"/>
      <c r="J73" s="10"/>
    </row>
    <row r="74" spans="1:10" x14ac:dyDescent="0.25">
      <c r="A74" s="8" t="s">
        <v>10</v>
      </c>
      <c r="B74" s="8"/>
      <c r="C74" s="8"/>
      <c r="D74" s="33" t="s">
        <v>12</v>
      </c>
      <c r="E74" s="35">
        <f>E72+E73</f>
        <v>0</v>
      </c>
      <c r="F74" s="35"/>
      <c r="G74" s="8"/>
      <c r="H74" s="9"/>
      <c r="I74" s="23"/>
      <c r="J74" s="24"/>
    </row>
    <row r="75" spans="1:10" x14ac:dyDescent="0.25">
      <c r="A75" s="44"/>
      <c r="B75" s="44"/>
      <c r="C75" s="44"/>
      <c r="D75" s="33"/>
      <c r="E75" s="44"/>
      <c r="F75" s="44"/>
      <c r="G75" s="8"/>
      <c r="H75" s="9"/>
      <c r="I75" s="23"/>
      <c r="J75" s="24"/>
    </row>
    <row r="76" spans="1:10" x14ac:dyDescent="0.25">
      <c r="A76" s="68" t="s">
        <v>15</v>
      </c>
      <c r="B76" s="68"/>
      <c r="C76" s="68"/>
      <c r="D76" s="33" t="s">
        <v>12</v>
      </c>
      <c r="E76" s="36">
        <f>E71-E74</f>
        <v>7245000</v>
      </c>
      <c r="F76" s="36"/>
      <c r="G76" s="8"/>
      <c r="H76" s="9"/>
      <c r="I76" s="23"/>
      <c r="J76" s="24"/>
    </row>
    <row r="77" spans="1:10" ht="15.75" x14ac:dyDescent="0.25">
      <c r="A77" s="44"/>
      <c r="B77" s="44"/>
      <c r="C77" s="8"/>
      <c r="D77" s="8"/>
      <c r="E77" s="47" t="str">
        <f>PROPER(IF(E76=0,"nol",IF(E76&lt;0,"minus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76),"000000000000000"),1,3)=0,"",MID(TEXT(ABS(E76),"000000000000000"),1,1)&amp;" ratus "&amp;MID(TEXT(ABS(E76),"000000000000000"),2,1)&amp;" puluh "&amp;MID(TEXT(ABS(E76),"000000000000000"),3,1)&amp;" trilyun ")&amp;IF(--MID(TEXT(ABS(E76),"000000000000000"),4,3)=0,"",MID(TEXT(ABS(E76),"000000000000000"),4,1)&amp;" ratus "&amp;MID(TEXT(ABS(E76),"000000000000000"),5,1)&amp;" puluh "&amp;MID(TEXT(ABS(E76),"000000000000000"),6,1)&amp;" milyar ")&amp;IF(--MID(TEXT(ABS(E76),"000000000000000"),7,3)=0,"",MID(TEXT(ABS(E76),"000000000000000"),7,1)&amp;" ratus "&amp;MID(TEXT(ABS(E76),"000000000000000"),8,1)&amp;" puluh "&amp;MID(TEXT(ABS(E76),"000000000000000"),9,1)&amp;" juta ")&amp;IF(--MID(TEXT(ABS(E76),"000000000000000"),10,3)=0,"",IF(--MID(TEXT(ABS(E76),"000000000000000"),10,3)=1,"*",MID(TEXT(ABS(E76),"000000000000000"),10,1)&amp;" ratus "&amp;MID(TEXT(ABS(E76),"000000000000000"),11,1)&amp;" puluh ")&amp;MID(TEXT(ABS(E76),"000000000000000"),12,1)&amp;" ribu ")&amp;IF(--MID(TEXT(ABS(E76),"000000000000000"),13,3)=0,"",MID(TEXT(ABS(E76),"000000000000000"),13,1)&amp;" ratus "&amp;MID(TEXT(ABS(E76),"000000000000000"),14,1)&amp;" puluh "&amp;MID(TEXT(ABS(E76),"000000000000000"),15,1)),1,"satu"),2,"dua"),3,"tiga"),4,"empat"),5,"lima"),6,"enam"),7,"tujuh"),8,"delapan"),9,"sembilan"),"0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Juta Dua Ratus Empat Puluh Lima Ribu Rupiah</v>
      </c>
      <c r="F77" s="8"/>
      <c r="G77" s="8"/>
      <c r="H77" s="8"/>
      <c r="I77" s="23"/>
      <c r="J77" s="24"/>
    </row>
    <row r="78" spans="1:10" x14ac:dyDescent="0.25">
      <c r="A78" s="26"/>
      <c r="B78" s="26"/>
      <c r="C78" s="26"/>
      <c r="D78" s="26"/>
      <c r="E78" s="26"/>
      <c r="F78" s="26"/>
      <c r="G78" s="25"/>
      <c r="H78" s="24"/>
      <c r="I78" s="23"/>
      <c r="J78" s="24"/>
    </row>
    <row r="79" spans="1:10" x14ac:dyDescent="0.25">
      <c r="A79" s="25"/>
      <c r="B79" s="25"/>
      <c r="C79" s="25"/>
      <c r="D79" s="25"/>
      <c r="E79" s="25"/>
      <c r="F79" s="25"/>
      <c r="G79" s="25"/>
      <c r="H79"/>
      <c r="I79" s="24"/>
      <c r="J79" s="24"/>
    </row>
    <row r="80" spans="1:10" x14ac:dyDescent="0.25">
      <c r="A80" s="44"/>
      <c r="B80" s="44"/>
      <c r="C80" s="8"/>
      <c r="D80" s="8"/>
      <c r="E80" s="8"/>
      <c r="F80" s="8"/>
      <c r="G80" s="8"/>
      <c r="I80" s="45" t="s">
        <v>38</v>
      </c>
      <c r="J80" s="24"/>
    </row>
    <row r="81" spans="1:10" x14ac:dyDescent="0.25">
      <c r="A81" s="9" t="s">
        <v>28</v>
      </c>
      <c r="B81" s="9"/>
      <c r="C81" s="8"/>
      <c r="D81" s="8"/>
      <c r="E81" s="8"/>
      <c r="F81" s="8"/>
      <c r="G81" s="8"/>
      <c r="I81" s="9" t="s">
        <v>27</v>
      </c>
      <c r="J81" s="24"/>
    </row>
    <row r="82" spans="1:10" x14ac:dyDescent="0.25">
      <c r="A82" s="8"/>
      <c r="B82" s="8"/>
      <c r="C82" s="8"/>
      <c r="D82" s="8"/>
      <c r="E82" s="8"/>
      <c r="F82" s="8"/>
      <c r="G82" s="8"/>
      <c r="I82" s="9"/>
      <c r="J82" s="24"/>
    </row>
    <row r="83" spans="1:10" x14ac:dyDescent="0.25">
      <c r="A83" s="8"/>
      <c r="B83" s="8"/>
      <c r="C83" s="8"/>
      <c r="D83" s="8"/>
      <c r="E83" s="8"/>
      <c r="F83" s="8"/>
      <c r="G83" s="8"/>
      <c r="I83" s="9"/>
      <c r="J83" s="24"/>
    </row>
    <row r="84" spans="1:10" x14ac:dyDescent="0.25">
      <c r="A84" s="8"/>
      <c r="B84" s="8"/>
      <c r="C84" s="8"/>
      <c r="D84" s="8"/>
      <c r="E84" s="8"/>
      <c r="F84" s="8"/>
      <c r="G84" s="8"/>
      <c r="I84" s="9"/>
      <c r="J84" s="24"/>
    </row>
    <row r="85" spans="1:10" x14ac:dyDescent="0.25">
      <c r="A85" s="8"/>
      <c r="B85" s="8"/>
      <c r="C85" s="8"/>
      <c r="D85" s="8"/>
      <c r="E85" s="8"/>
      <c r="F85" s="8"/>
      <c r="G85" s="8"/>
      <c r="I85" s="9"/>
      <c r="J85" s="24"/>
    </row>
    <row r="86" spans="1:10" x14ac:dyDescent="0.25">
      <c r="A86" s="28" t="s">
        <v>36</v>
      </c>
      <c r="B86" s="28"/>
      <c r="C86" s="27"/>
      <c r="D86" s="27"/>
      <c r="E86" s="27"/>
      <c r="F86" s="27"/>
      <c r="G86" s="8" t="s">
        <v>11</v>
      </c>
      <c r="I86" s="28" t="s">
        <v>29</v>
      </c>
      <c r="J86" s="24"/>
    </row>
    <row r="91" spans="1:10" ht="15.75" x14ac:dyDescent="0.25">
      <c r="C91" s="3"/>
      <c r="D91" s="3"/>
      <c r="E91" s="3"/>
      <c r="F91" s="3"/>
    </row>
    <row r="92" spans="1:10" ht="15.75" x14ac:dyDescent="0.25">
      <c r="A92" s="2"/>
      <c r="B92" s="2"/>
      <c r="C92" s="3"/>
      <c r="D92" s="3"/>
      <c r="E92" s="3"/>
      <c r="F92" s="3"/>
      <c r="G92" s="2"/>
      <c r="H92" s="4"/>
      <c r="I92" s="4"/>
      <c r="J92" s="5"/>
    </row>
    <row r="93" spans="1:10" x14ac:dyDescent="0.25">
      <c r="H93" s="5"/>
      <c r="I93" s="5"/>
      <c r="J93" s="5"/>
    </row>
    <row r="94" spans="1:10" x14ac:dyDescent="0.25">
      <c r="H94" s="5"/>
      <c r="I94" s="5"/>
      <c r="J94" s="5"/>
    </row>
    <row r="95" spans="1:10" x14ac:dyDescent="0.25">
      <c r="A95" s="69" t="s">
        <v>31</v>
      </c>
      <c r="B95" s="69"/>
      <c r="C95" s="70"/>
      <c r="D95" s="70"/>
      <c r="E95" s="70"/>
      <c r="F95" s="70"/>
      <c r="G95" s="70"/>
      <c r="H95" s="70"/>
      <c r="I95" s="70"/>
      <c r="J95" s="70"/>
    </row>
    <row r="96" spans="1:10" x14ac:dyDescent="0.25">
      <c r="A96" s="70" t="s">
        <v>40</v>
      </c>
      <c r="B96" s="70"/>
      <c r="C96" s="70"/>
      <c r="D96" s="70"/>
      <c r="E96" s="70"/>
      <c r="F96" s="70"/>
      <c r="G96" s="70"/>
      <c r="H96" s="70"/>
      <c r="I96" s="70"/>
      <c r="J96" s="70"/>
    </row>
    <row r="97" spans="1:10" x14ac:dyDescent="0.25">
      <c r="A97" s="70" t="s">
        <v>13</v>
      </c>
      <c r="B97" s="70"/>
      <c r="C97" s="70"/>
      <c r="D97" s="70"/>
      <c r="E97" s="70"/>
      <c r="F97" s="70"/>
      <c r="G97" s="70"/>
      <c r="H97" s="70"/>
      <c r="I97" s="70"/>
      <c r="J97" s="70"/>
    </row>
    <row r="98" spans="1:10" x14ac:dyDescent="0.25">
      <c r="A98" s="70" t="s">
        <v>37</v>
      </c>
      <c r="B98" s="70"/>
      <c r="C98" s="70"/>
      <c r="D98" s="70"/>
      <c r="E98" s="70"/>
      <c r="F98" s="70"/>
      <c r="G98" s="70"/>
      <c r="H98" s="70"/>
      <c r="I98" s="70"/>
      <c r="J98" s="70"/>
    </row>
    <row r="99" spans="1:10" x14ac:dyDescent="0.25">
      <c r="A99" s="70" t="s">
        <v>26</v>
      </c>
      <c r="B99" s="70"/>
      <c r="C99" s="70"/>
      <c r="D99" s="70"/>
      <c r="E99" s="70"/>
      <c r="F99" s="70"/>
      <c r="G99" s="70"/>
      <c r="H99" s="70"/>
      <c r="I99" s="70"/>
      <c r="J99" s="70"/>
    </row>
    <row r="100" spans="1:10" x14ac:dyDescent="0.25">
      <c r="A100" s="32"/>
      <c r="B100" s="32"/>
      <c r="C100" s="7"/>
      <c r="D100" s="7"/>
      <c r="E100" s="7"/>
      <c r="F100" s="7"/>
      <c r="G100" s="6"/>
      <c r="H100" s="10"/>
      <c r="I100" s="10"/>
      <c r="J100" s="10"/>
    </row>
    <row r="101" spans="1:10" x14ac:dyDescent="0.25">
      <c r="A101" s="52" t="s">
        <v>18</v>
      </c>
      <c r="B101" s="52"/>
      <c r="C101" s="52"/>
      <c r="D101" s="37" t="s">
        <v>12</v>
      </c>
      <c r="E101" s="8" t="s">
        <v>32</v>
      </c>
      <c r="H101" s="9"/>
      <c r="I101" s="9"/>
      <c r="J101" s="10"/>
    </row>
    <row r="102" spans="1:10" x14ac:dyDescent="0.25">
      <c r="A102" s="52" t="s">
        <v>19</v>
      </c>
      <c r="B102" s="52"/>
      <c r="C102" s="52"/>
      <c r="D102" s="37" t="s">
        <v>12</v>
      </c>
      <c r="E102" s="8" t="s">
        <v>33</v>
      </c>
      <c r="H102" s="9"/>
      <c r="I102" s="9"/>
      <c r="J102" s="10"/>
    </row>
    <row r="103" spans="1:10" x14ac:dyDescent="0.25">
      <c r="A103" s="52" t="s">
        <v>20</v>
      </c>
      <c r="B103" s="52"/>
      <c r="C103" s="52"/>
      <c r="D103" s="37" t="s">
        <v>12</v>
      </c>
      <c r="E103" s="44">
        <v>2026</v>
      </c>
      <c r="H103" s="9"/>
      <c r="I103" s="9"/>
      <c r="J103" s="10"/>
    </row>
    <row r="104" spans="1:10" x14ac:dyDescent="0.25">
      <c r="A104" s="52" t="s">
        <v>21</v>
      </c>
      <c r="B104" s="52"/>
      <c r="C104" s="52"/>
      <c r="D104" s="37" t="s">
        <v>12</v>
      </c>
      <c r="E104" s="41">
        <f>I113</f>
        <v>13440000</v>
      </c>
      <c r="H104" s="9"/>
      <c r="I104" s="9"/>
      <c r="J104" s="10"/>
    </row>
    <row r="105" spans="1:10" ht="15.75" x14ac:dyDescent="0.25">
      <c r="A105" s="8"/>
      <c r="B105" s="8"/>
      <c r="C105" s="11" t="s">
        <v>0</v>
      </c>
      <c r="D105" s="37" t="s">
        <v>12</v>
      </c>
      <c r="E105" s="47" t="str">
        <f>PROPER(IF(E104=0,"nol",IF(E104&lt;0,"minus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104),"000000000000000"),1,3)=0,"",MID(TEXT(ABS(E104),"000000000000000"),1,1)&amp;" ratus "&amp;MID(TEXT(ABS(E104),"000000000000000"),2,1)&amp;" puluh "&amp;MID(TEXT(ABS(E104),"000000000000000"),3,1)&amp;" trilyun ")&amp;IF(--MID(TEXT(ABS(E104),"000000000000000"),4,3)=0,"",MID(TEXT(ABS(E104),"000000000000000"),4,1)&amp;" ratus "&amp;MID(TEXT(ABS(E104),"000000000000000"),5,1)&amp;" puluh "&amp;MID(TEXT(ABS(E104),"000000000000000"),6,1)&amp;" milyar ")&amp;IF(--MID(TEXT(ABS(E104),"000000000000000"),7,3)=0,"",MID(TEXT(ABS(E104),"000000000000000"),7,1)&amp;" ratus "&amp;MID(TEXT(ABS(E104),"000000000000000"),8,1)&amp;" puluh "&amp;MID(TEXT(ABS(E104),"000000000000000"),9,1)&amp;" juta ")&amp;IF(--MID(TEXT(ABS(E104),"000000000000000"),10,3)=0,"",IF(--MID(TEXT(ABS(E104),"000000000000000"),10,3)=1,"*",MID(TEXT(ABS(E104),"000000000000000"),10,1)&amp;" ratus "&amp;MID(TEXT(ABS(E104),"000000000000000"),11,1)&amp;" puluh ")&amp;MID(TEXT(ABS(E104),"000000000000000"),12,1)&amp;" ribu ")&amp;IF(--MID(TEXT(ABS(E104),"000000000000000"),13,3)=0,"",MID(TEXT(ABS(E104),"000000000000000"),13,1)&amp;" ratus "&amp;MID(TEXT(ABS(E104),"000000000000000"),14,1)&amp;" puluh "&amp;MID(TEXT(ABS(E104),"000000000000000"),15,1)),1,"satu"),2,"dua"),3,"tiga"),4,"empat"),5,"lima"),6,"enam"),7,"tujuh"),8,"delapan"),9,"sembilan"),"0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Tigabelas Juta Empat Ratus Empat Puluh Ribu Rupiah</v>
      </c>
      <c r="H105" s="9"/>
      <c r="I105" s="9"/>
      <c r="J105" s="10"/>
    </row>
    <row r="106" spans="1:10" ht="15.75" x14ac:dyDescent="0.25">
      <c r="A106" s="8"/>
      <c r="B106" s="8"/>
      <c r="C106" s="11"/>
      <c r="D106" s="11"/>
      <c r="E106" s="11"/>
      <c r="F106" s="37"/>
      <c r="G106" s="47"/>
      <c r="H106" s="9"/>
      <c r="I106" s="9"/>
      <c r="J106" s="10"/>
    </row>
    <row r="107" spans="1:10" x14ac:dyDescent="0.25">
      <c r="A107" s="8" t="s">
        <v>1</v>
      </c>
      <c r="B107" s="8"/>
      <c r="C107" s="8"/>
      <c r="D107" s="8"/>
      <c r="E107" s="8"/>
      <c r="F107" s="8"/>
      <c r="G107" s="8"/>
      <c r="H107" s="9"/>
      <c r="I107" s="9"/>
      <c r="J107" s="10"/>
    </row>
    <row r="108" spans="1:10" x14ac:dyDescent="0.25">
      <c r="A108" s="61" t="s">
        <v>2</v>
      </c>
      <c r="B108" s="61"/>
      <c r="C108" s="61"/>
      <c r="D108" s="61"/>
      <c r="E108" s="61"/>
      <c r="F108" s="61"/>
      <c r="G108" s="61"/>
      <c r="H108" s="61"/>
      <c r="I108" s="61"/>
      <c r="J108" s="61"/>
    </row>
    <row r="109" spans="1:10" ht="45" x14ac:dyDescent="0.25">
      <c r="A109" s="12" t="s">
        <v>3</v>
      </c>
      <c r="B109" s="59" t="s">
        <v>22</v>
      </c>
      <c r="C109" s="62" t="s">
        <v>4</v>
      </c>
      <c r="D109" s="63"/>
      <c r="E109" s="64"/>
      <c r="F109" s="46"/>
      <c r="G109" s="38" t="s">
        <v>5</v>
      </c>
      <c r="H109" s="13" t="s">
        <v>17</v>
      </c>
      <c r="I109" s="14" t="s">
        <v>6</v>
      </c>
      <c r="J109" s="15" t="s">
        <v>7</v>
      </c>
    </row>
    <row r="110" spans="1:10" x14ac:dyDescent="0.25">
      <c r="A110" s="60">
        <v>1</v>
      </c>
      <c r="B110" s="53"/>
      <c r="C110" s="65" t="s">
        <v>34</v>
      </c>
      <c r="D110" s="66"/>
      <c r="E110" s="67"/>
      <c r="F110" s="48"/>
      <c r="G110" s="55" t="s">
        <v>30</v>
      </c>
      <c r="H110" s="55" t="s">
        <v>30</v>
      </c>
      <c r="I110" s="55" t="s">
        <v>30</v>
      </c>
      <c r="J110" s="55" t="s">
        <v>30</v>
      </c>
    </row>
    <row r="111" spans="1:10" x14ac:dyDescent="0.25">
      <c r="A111" s="49"/>
      <c r="B111" s="49" t="s">
        <v>24</v>
      </c>
      <c r="C111" s="57" t="s">
        <v>35</v>
      </c>
      <c r="D111" s="58"/>
      <c r="E111" s="56"/>
      <c r="F111" s="48"/>
      <c r="G111" s="51">
        <v>20000000</v>
      </c>
      <c r="H111" s="42">
        <f>H67+I67</f>
        <v>40000000</v>
      </c>
      <c r="I111" s="42">
        <v>0</v>
      </c>
      <c r="J111" s="43">
        <f>G111-H111-I111</f>
        <v>-20000000</v>
      </c>
    </row>
    <row r="112" spans="1:10" x14ac:dyDescent="0.25">
      <c r="A112" s="49"/>
      <c r="B112" s="49" t="s">
        <v>25</v>
      </c>
      <c r="C112" s="57" t="s">
        <v>23</v>
      </c>
      <c r="D112" s="58"/>
      <c r="E112" s="56"/>
      <c r="F112" s="48"/>
      <c r="G112" s="50">
        <v>35500000</v>
      </c>
      <c r="H112" s="42" t="e">
        <f>H68+I68</f>
        <v>#REF!</v>
      </c>
      <c r="I112" s="42">
        <v>13440000</v>
      </c>
      <c r="J112" s="43" t="e">
        <f t="shared" ref="J112" si="1">G112-H112-I112</f>
        <v>#REF!</v>
      </c>
    </row>
    <row r="113" spans="1:10" x14ac:dyDescent="0.25">
      <c r="A113" s="16"/>
      <c r="B113" s="16"/>
      <c r="C113" s="17" t="s">
        <v>8</v>
      </c>
      <c r="D113" s="17"/>
      <c r="E113" s="17"/>
      <c r="F113" s="40"/>
      <c r="G113" s="39">
        <f>SUM(G110:G112)</f>
        <v>55500000</v>
      </c>
      <c r="H113" s="18" t="e">
        <f>SUM(H111:H112)</f>
        <v>#REF!</v>
      </c>
      <c r="I113" s="18">
        <f>SUM(I111:I112)</f>
        <v>13440000</v>
      </c>
      <c r="J113" s="18" t="e">
        <f>SUM(J111:J112)</f>
        <v>#REF!</v>
      </c>
    </row>
    <row r="114" spans="1:10" x14ac:dyDescent="0.25">
      <c r="A114" s="19"/>
      <c r="B114" s="54"/>
      <c r="C114" s="6"/>
      <c r="D114" s="6"/>
      <c r="E114" s="6"/>
      <c r="F114" s="6"/>
      <c r="G114" s="20"/>
      <c r="H114" s="20"/>
      <c r="I114" s="20"/>
      <c r="J114" s="20"/>
    </row>
    <row r="115" spans="1:10" x14ac:dyDescent="0.25">
      <c r="A115" s="68" t="s">
        <v>14</v>
      </c>
      <c r="B115" s="68"/>
      <c r="C115" s="68"/>
      <c r="D115" s="33" t="s">
        <v>12</v>
      </c>
      <c r="E115" s="41">
        <f>I113</f>
        <v>13440000</v>
      </c>
      <c r="F115" s="36"/>
      <c r="G115" s="21"/>
      <c r="H115" s="21"/>
      <c r="I115" s="10"/>
      <c r="J115" s="10"/>
    </row>
    <row r="116" spans="1:10" x14ac:dyDescent="0.25">
      <c r="A116" s="8" t="s">
        <v>9</v>
      </c>
      <c r="B116" s="8"/>
      <c r="C116" s="8"/>
      <c r="D116" s="33" t="s">
        <v>12</v>
      </c>
      <c r="E116" s="34"/>
      <c r="F116" s="34"/>
      <c r="G116" s="22"/>
      <c r="H116" s="9"/>
      <c r="I116" s="10"/>
      <c r="J116" s="10"/>
    </row>
    <row r="117" spans="1:10" x14ac:dyDescent="0.25">
      <c r="A117" s="8" t="s">
        <v>16</v>
      </c>
      <c r="B117" s="8"/>
      <c r="C117" s="8"/>
      <c r="D117" s="33" t="s">
        <v>12</v>
      </c>
      <c r="E117" s="35"/>
      <c r="F117" s="35"/>
      <c r="G117" s="22"/>
      <c r="H117" s="9"/>
      <c r="I117" s="10"/>
      <c r="J117" s="10"/>
    </row>
    <row r="118" spans="1:10" x14ac:dyDescent="0.25">
      <c r="A118" s="8" t="s">
        <v>10</v>
      </c>
      <c r="B118" s="8"/>
      <c r="C118" s="8"/>
      <c r="D118" s="33" t="s">
        <v>12</v>
      </c>
      <c r="E118" s="35">
        <f>E116+E117</f>
        <v>0</v>
      </c>
      <c r="F118" s="35"/>
      <c r="G118" s="8"/>
      <c r="H118" s="9"/>
      <c r="I118" s="23"/>
      <c r="J118" s="24"/>
    </row>
    <row r="119" spans="1:10" x14ac:dyDescent="0.25">
      <c r="A119" s="44"/>
      <c r="B119" s="44"/>
      <c r="C119" s="44"/>
      <c r="D119" s="33"/>
      <c r="E119" s="44"/>
      <c r="F119" s="44"/>
      <c r="G119" s="8"/>
      <c r="H119" s="9"/>
      <c r="I119" s="23"/>
      <c r="J119" s="24"/>
    </row>
    <row r="120" spans="1:10" x14ac:dyDescent="0.25">
      <c r="A120" s="68" t="s">
        <v>15</v>
      </c>
      <c r="B120" s="68"/>
      <c r="C120" s="68"/>
      <c r="D120" s="33" t="s">
        <v>12</v>
      </c>
      <c r="E120" s="36">
        <f>E115-E118</f>
        <v>13440000</v>
      </c>
      <c r="F120" s="36"/>
      <c r="G120" s="8"/>
      <c r="H120" s="9"/>
      <c r="I120" s="23"/>
      <c r="J120" s="24"/>
    </row>
    <row r="121" spans="1:10" ht="15.75" x14ac:dyDescent="0.25">
      <c r="A121" s="44"/>
      <c r="B121" s="44"/>
      <c r="C121" s="8"/>
      <c r="D121" s="8"/>
      <c r="E121" s="47" t="str">
        <f>PROPER(IF(E120=0,"nol",IF(E120&lt;0,"minus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120),"000000000000000"),1,3)=0,"",MID(TEXT(ABS(E120),"000000000000000"),1,1)&amp;" ratus "&amp;MID(TEXT(ABS(E120),"000000000000000"),2,1)&amp;" puluh "&amp;MID(TEXT(ABS(E120),"000000000000000"),3,1)&amp;" trilyun ")&amp;IF(--MID(TEXT(ABS(E120),"000000000000000"),4,3)=0,"",MID(TEXT(ABS(E120),"000000000000000"),4,1)&amp;" ratus "&amp;MID(TEXT(ABS(E120),"000000000000000"),5,1)&amp;" puluh "&amp;MID(TEXT(ABS(E120),"000000000000000"),6,1)&amp;" milyar ")&amp;IF(--MID(TEXT(ABS(E120),"000000000000000"),7,3)=0,"",MID(TEXT(ABS(E120),"000000000000000"),7,1)&amp;" ratus "&amp;MID(TEXT(ABS(E120),"000000000000000"),8,1)&amp;" puluh "&amp;MID(TEXT(ABS(E120),"000000000000000"),9,1)&amp;" juta ")&amp;IF(--MID(TEXT(ABS(E120),"000000000000000"),10,3)=0,"",IF(--MID(TEXT(ABS(E120),"000000000000000"),10,3)=1,"*",MID(TEXT(ABS(E120),"000000000000000"),10,1)&amp;" ratus "&amp;MID(TEXT(ABS(E120),"000000000000000"),11,1)&amp;" puluh ")&amp;MID(TEXT(ABS(E120),"000000000000000"),12,1)&amp;" ribu ")&amp;IF(--MID(TEXT(ABS(E120),"000000000000000"),13,3)=0,"",MID(TEXT(ABS(E120),"000000000000000"),13,1)&amp;" ratus "&amp;MID(TEXT(ABS(E120),"000000000000000"),14,1)&amp;" puluh "&amp;MID(TEXT(ABS(E120),"000000000000000"),15,1)),1,"satu"),2,"dua"),3,"tiga"),4,"empat"),5,"lima"),6,"enam"),7,"tujuh"),8,"delapan"),9,"sembilan"),"0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Tigabelas Juta Empat Ratus Empat Puluh Ribu Rupiah</v>
      </c>
      <c r="F121" s="8"/>
      <c r="G121" s="8"/>
      <c r="H121" s="8"/>
      <c r="I121" s="23"/>
      <c r="J121" s="24"/>
    </row>
    <row r="122" spans="1:10" x14ac:dyDescent="0.25">
      <c r="A122" s="26"/>
      <c r="B122" s="26"/>
      <c r="C122" s="26"/>
      <c r="D122" s="26"/>
      <c r="E122" s="26"/>
      <c r="F122" s="26"/>
      <c r="G122" s="25"/>
      <c r="H122" s="24"/>
      <c r="I122" s="23"/>
      <c r="J122" s="24"/>
    </row>
    <row r="123" spans="1:10" x14ac:dyDescent="0.25">
      <c r="A123" s="25"/>
      <c r="B123" s="25"/>
      <c r="C123" s="25"/>
      <c r="D123" s="25"/>
      <c r="E123" s="25"/>
      <c r="F123" s="25"/>
      <c r="G123" s="25"/>
      <c r="H123"/>
      <c r="I123" s="24"/>
      <c r="J123" s="24"/>
    </row>
    <row r="124" spans="1:10" x14ac:dyDescent="0.25">
      <c r="A124" s="44"/>
      <c r="B124" s="44"/>
      <c r="C124" s="8"/>
      <c r="D124" s="8"/>
      <c r="E124" s="8"/>
      <c r="F124" s="8"/>
      <c r="G124" s="8"/>
      <c r="I124" s="45" t="s">
        <v>38</v>
      </c>
      <c r="J124" s="24"/>
    </row>
    <row r="125" spans="1:10" x14ac:dyDescent="0.25">
      <c r="A125" s="9" t="s">
        <v>28</v>
      </c>
      <c r="B125" s="9"/>
      <c r="C125" s="8"/>
      <c r="D125" s="8"/>
      <c r="E125" s="8"/>
      <c r="F125" s="8"/>
      <c r="G125" s="8"/>
      <c r="I125" s="9" t="s">
        <v>27</v>
      </c>
      <c r="J125" s="24"/>
    </row>
    <row r="126" spans="1:10" x14ac:dyDescent="0.25">
      <c r="A126" s="8"/>
      <c r="B126" s="8"/>
      <c r="C126" s="8"/>
      <c r="D126" s="8"/>
      <c r="E126" s="8"/>
      <c r="F126" s="8"/>
      <c r="G126" s="8"/>
      <c r="I126" s="9"/>
      <c r="J126" s="24"/>
    </row>
    <row r="127" spans="1:10" x14ac:dyDescent="0.25">
      <c r="A127" s="8"/>
      <c r="B127" s="8"/>
      <c r="C127" s="8"/>
      <c r="D127" s="8"/>
      <c r="E127" s="8"/>
      <c r="F127" s="8"/>
      <c r="G127" s="8"/>
      <c r="I127" s="9"/>
      <c r="J127" s="24"/>
    </row>
    <row r="128" spans="1:10" x14ac:dyDescent="0.25">
      <c r="A128" s="8"/>
      <c r="B128" s="8"/>
      <c r="C128" s="8"/>
      <c r="D128" s="8"/>
      <c r="E128" s="8"/>
      <c r="F128" s="8"/>
      <c r="G128" s="8"/>
      <c r="I128" s="9"/>
      <c r="J128" s="24"/>
    </row>
    <row r="129" spans="1:10" x14ac:dyDescent="0.25">
      <c r="A129" s="8"/>
      <c r="B129" s="8"/>
      <c r="C129" s="8"/>
      <c r="D129" s="8"/>
      <c r="E129" s="8"/>
      <c r="F129" s="8"/>
      <c r="G129" s="8"/>
      <c r="I129" s="9"/>
      <c r="J129" s="24"/>
    </row>
    <row r="130" spans="1:10" x14ac:dyDescent="0.25">
      <c r="A130" s="28" t="s">
        <v>36</v>
      </c>
      <c r="B130" s="28"/>
      <c r="C130" s="27"/>
      <c r="D130" s="27"/>
      <c r="E130" s="27"/>
      <c r="F130" s="27"/>
      <c r="G130" s="8" t="s">
        <v>11</v>
      </c>
      <c r="I130" s="28" t="s">
        <v>29</v>
      </c>
      <c r="J130" s="24"/>
    </row>
    <row r="135" spans="1:10" ht="15.75" x14ac:dyDescent="0.25">
      <c r="C135" s="3"/>
      <c r="D135" s="3"/>
      <c r="E135" s="3"/>
      <c r="F135" s="3"/>
    </row>
    <row r="136" spans="1:10" ht="15.75" x14ac:dyDescent="0.25">
      <c r="A136" s="2"/>
      <c r="B136" s="2"/>
      <c r="C136" s="3"/>
      <c r="D136" s="3"/>
      <c r="E136" s="3"/>
      <c r="F136" s="3"/>
      <c r="G136" s="2"/>
      <c r="H136" s="4"/>
      <c r="I136" s="4"/>
      <c r="J136" s="5"/>
    </row>
    <row r="137" spans="1:10" x14ac:dyDescent="0.25">
      <c r="H137" s="5"/>
      <c r="I137" s="5"/>
      <c r="J137" s="5"/>
    </row>
    <row r="138" spans="1:10" x14ac:dyDescent="0.25">
      <c r="H138" s="5"/>
      <c r="I138" s="5"/>
      <c r="J138" s="5"/>
    </row>
    <row r="139" spans="1:10" x14ac:dyDescent="0.25">
      <c r="A139" s="69" t="s">
        <v>31</v>
      </c>
      <c r="B139" s="69"/>
      <c r="C139" s="70"/>
      <c r="D139" s="70"/>
      <c r="E139" s="70"/>
      <c r="F139" s="70"/>
      <c r="G139" s="70"/>
      <c r="H139" s="70"/>
      <c r="I139" s="70"/>
      <c r="J139" s="70"/>
    </row>
    <row r="140" spans="1:10" x14ac:dyDescent="0.25">
      <c r="A140" s="70" t="s">
        <v>41</v>
      </c>
      <c r="B140" s="70"/>
      <c r="C140" s="70"/>
      <c r="D140" s="70"/>
      <c r="E140" s="70"/>
      <c r="F140" s="70"/>
      <c r="G140" s="70"/>
      <c r="H140" s="70"/>
      <c r="I140" s="70"/>
      <c r="J140" s="70"/>
    </row>
    <row r="141" spans="1:10" x14ac:dyDescent="0.25">
      <c r="A141" s="70" t="s">
        <v>13</v>
      </c>
      <c r="B141" s="70"/>
      <c r="C141" s="70"/>
      <c r="D141" s="70"/>
      <c r="E141" s="70"/>
      <c r="F141" s="70"/>
      <c r="G141" s="70"/>
      <c r="H141" s="70"/>
      <c r="I141" s="70"/>
      <c r="J141" s="70"/>
    </row>
    <row r="142" spans="1:10" x14ac:dyDescent="0.25">
      <c r="A142" s="70" t="s">
        <v>37</v>
      </c>
      <c r="B142" s="70"/>
      <c r="C142" s="70"/>
      <c r="D142" s="70"/>
      <c r="E142" s="70"/>
      <c r="F142" s="70"/>
      <c r="G142" s="70"/>
      <c r="H142" s="70"/>
      <c r="I142" s="70"/>
      <c r="J142" s="70"/>
    </row>
    <row r="143" spans="1:10" x14ac:dyDescent="0.25">
      <c r="A143" s="70" t="s">
        <v>26</v>
      </c>
      <c r="B143" s="70"/>
      <c r="C143" s="70"/>
      <c r="D143" s="70"/>
      <c r="E143" s="70"/>
      <c r="F143" s="70"/>
      <c r="G143" s="70"/>
      <c r="H143" s="70"/>
      <c r="I143" s="70"/>
      <c r="J143" s="70"/>
    </row>
    <row r="144" spans="1:10" x14ac:dyDescent="0.25">
      <c r="A144" s="32"/>
      <c r="B144" s="32"/>
      <c r="C144" s="7"/>
      <c r="D144" s="7"/>
      <c r="E144" s="7"/>
      <c r="F144" s="7"/>
      <c r="G144" s="6"/>
      <c r="H144" s="10"/>
      <c r="I144" s="10"/>
      <c r="J144" s="10"/>
    </row>
    <row r="145" spans="1:10" x14ac:dyDescent="0.25">
      <c r="A145" s="52" t="s">
        <v>18</v>
      </c>
      <c r="B145" s="52"/>
      <c r="C145" s="52"/>
      <c r="D145" s="37" t="s">
        <v>12</v>
      </c>
      <c r="E145" s="8" t="s">
        <v>32</v>
      </c>
      <c r="H145" s="9"/>
      <c r="I145" s="9"/>
      <c r="J145" s="10"/>
    </row>
    <row r="146" spans="1:10" x14ac:dyDescent="0.25">
      <c r="A146" s="52" t="s">
        <v>19</v>
      </c>
      <c r="B146" s="52"/>
      <c r="C146" s="52"/>
      <c r="D146" s="37" t="s">
        <v>12</v>
      </c>
      <c r="E146" s="8" t="s">
        <v>33</v>
      </c>
      <c r="H146" s="9"/>
      <c r="I146" s="9"/>
      <c r="J146" s="10"/>
    </row>
    <row r="147" spans="1:10" x14ac:dyDescent="0.25">
      <c r="A147" s="52" t="s">
        <v>20</v>
      </c>
      <c r="B147" s="52"/>
      <c r="C147" s="52"/>
      <c r="D147" s="37" t="s">
        <v>12</v>
      </c>
      <c r="E147" s="44">
        <v>2026</v>
      </c>
      <c r="H147" s="9"/>
      <c r="I147" s="9"/>
      <c r="J147" s="10"/>
    </row>
    <row r="148" spans="1:10" x14ac:dyDescent="0.25">
      <c r="A148" s="52" t="s">
        <v>21</v>
      </c>
      <c r="B148" s="52"/>
      <c r="C148" s="52"/>
      <c r="D148" s="37" t="s">
        <v>12</v>
      </c>
      <c r="E148" s="41">
        <f>I157</f>
        <v>720000</v>
      </c>
      <c r="H148" s="9"/>
      <c r="I148" s="9"/>
      <c r="J148" s="10"/>
    </row>
    <row r="149" spans="1:10" ht="15.75" x14ac:dyDescent="0.25">
      <c r="A149" s="8"/>
      <c r="B149" s="8"/>
      <c r="C149" s="11" t="s">
        <v>0</v>
      </c>
      <c r="D149" s="37" t="s">
        <v>12</v>
      </c>
      <c r="E149" s="47" t="str">
        <f>PROPER(IF(E148=0,"nol",IF(E148&lt;0,"minus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148),"000000000000000"),1,3)=0,"",MID(TEXT(ABS(E148),"000000000000000"),1,1)&amp;" ratus "&amp;MID(TEXT(ABS(E148),"000000000000000"),2,1)&amp;" puluh "&amp;MID(TEXT(ABS(E148),"000000000000000"),3,1)&amp;" trilyun ")&amp;IF(--MID(TEXT(ABS(E148),"000000000000000"),4,3)=0,"",MID(TEXT(ABS(E148),"000000000000000"),4,1)&amp;" ratus "&amp;MID(TEXT(ABS(E148),"000000000000000"),5,1)&amp;" puluh "&amp;MID(TEXT(ABS(E148),"000000000000000"),6,1)&amp;" milyar ")&amp;IF(--MID(TEXT(ABS(E148),"000000000000000"),7,3)=0,"",MID(TEXT(ABS(E148),"000000000000000"),7,1)&amp;" ratus "&amp;MID(TEXT(ABS(E148),"000000000000000"),8,1)&amp;" puluh "&amp;MID(TEXT(ABS(E148),"000000000000000"),9,1)&amp;" juta ")&amp;IF(--MID(TEXT(ABS(E148),"000000000000000"),10,3)=0,"",IF(--MID(TEXT(ABS(E148),"000000000000000"),10,3)=1,"*",MID(TEXT(ABS(E148),"000000000000000"),10,1)&amp;" ratus "&amp;MID(TEXT(ABS(E148),"000000000000000"),11,1)&amp;" puluh ")&amp;MID(TEXT(ABS(E148),"000000000000000"),12,1)&amp;" ribu ")&amp;IF(--MID(TEXT(ABS(E148),"000000000000000"),13,3)=0,"",MID(TEXT(ABS(E148),"000000000000000"),13,1)&amp;" ratus "&amp;MID(TEXT(ABS(E148),"000000000000000"),14,1)&amp;" puluh "&amp;MID(TEXT(ABS(E148),"000000000000000"),15,1)),1,"satu"),2,"dua"),3,"tiga"),4,"empat"),5,"lima"),6,"enam"),7,"tujuh"),8,"delapan"),9,"sembilan"),"0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Dua Puluh Ribu Rupiah</v>
      </c>
      <c r="H149" s="9"/>
      <c r="I149" s="9"/>
      <c r="J149" s="10"/>
    </row>
    <row r="150" spans="1:10" ht="15.75" x14ac:dyDescent="0.25">
      <c r="A150" s="8"/>
      <c r="B150" s="8"/>
      <c r="C150" s="11"/>
      <c r="D150" s="11"/>
      <c r="E150" s="11"/>
      <c r="F150" s="37"/>
      <c r="G150" s="47"/>
      <c r="H150" s="9"/>
      <c r="I150" s="9"/>
      <c r="J150" s="10"/>
    </row>
    <row r="151" spans="1:10" x14ac:dyDescent="0.25">
      <c r="A151" s="8" t="s">
        <v>1</v>
      </c>
      <c r="B151" s="8"/>
      <c r="C151" s="8"/>
      <c r="D151" s="8"/>
      <c r="E151" s="8"/>
      <c r="F151" s="8"/>
      <c r="G151" s="8"/>
      <c r="H151" s="9"/>
      <c r="I151" s="9"/>
      <c r="J151" s="10"/>
    </row>
    <row r="152" spans="1:10" x14ac:dyDescent="0.25">
      <c r="A152" s="61" t="s">
        <v>2</v>
      </c>
      <c r="B152" s="61"/>
      <c r="C152" s="61"/>
      <c r="D152" s="61"/>
      <c r="E152" s="61"/>
      <c r="F152" s="61"/>
      <c r="G152" s="61"/>
      <c r="H152" s="61"/>
      <c r="I152" s="61"/>
      <c r="J152" s="61"/>
    </row>
    <row r="153" spans="1:10" ht="45" x14ac:dyDescent="0.25">
      <c r="A153" s="12" t="s">
        <v>3</v>
      </c>
      <c r="B153" s="59" t="s">
        <v>22</v>
      </c>
      <c r="C153" s="62" t="s">
        <v>4</v>
      </c>
      <c r="D153" s="63"/>
      <c r="E153" s="64"/>
      <c r="F153" s="46"/>
      <c r="G153" s="38" t="s">
        <v>5</v>
      </c>
      <c r="H153" s="13" t="s">
        <v>17</v>
      </c>
      <c r="I153" s="14" t="s">
        <v>6</v>
      </c>
      <c r="J153" s="15" t="s">
        <v>7</v>
      </c>
    </row>
    <row r="154" spans="1:10" x14ac:dyDescent="0.25">
      <c r="A154" s="60">
        <v>1</v>
      </c>
      <c r="B154" s="53"/>
      <c r="C154" s="65" t="s">
        <v>34</v>
      </c>
      <c r="D154" s="66"/>
      <c r="E154" s="67"/>
      <c r="F154" s="48"/>
      <c r="G154" s="55" t="s">
        <v>30</v>
      </c>
      <c r="H154" s="55" t="s">
        <v>30</v>
      </c>
      <c r="I154" s="55" t="s">
        <v>30</v>
      </c>
      <c r="J154" s="55" t="s">
        <v>30</v>
      </c>
    </row>
    <row r="155" spans="1:10" x14ac:dyDescent="0.25">
      <c r="A155" s="49"/>
      <c r="B155" s="49" t="s">
        <v>24</v>
      </c>
      <c r="C155" s="57" t="s">
        <v>35</v>
      </c>
      <c r="D155" s="58"/>
      <c r="E155" s="56"/>
      <c r="F155" s="48"/>
      <c r="G155" s="51">
        <v>20000000</v>
      </c>
      <c r="H155" s="42">
        <f>H111+I111</f>
        <v>40000000</v>
      </c>
      <c r="I155" s="42">
        <v>0</v>
      </c>
      <c r="J155" s="43">
        <f>G155-H155-I155</f>
        <v>-20000000</v>
      </c>
    </row>
    <row r="156" spans="1:10" x14ac:dyDescent="0.25">
      <c r="A156" s="49"/>
      <c r="B156" s="49" t="s">
        <v>25</v>
      </c>
      <c r="C156" s="57" t="s">
        <v>23</v>
      </c>
      <c r="D156" s="58"/>
      <c r="E156" s="56"/>
      <c r="F156" s="48"/>
      <c r="G156" s="50">
        <v>35500000</v>
      </c>
      <c r="H156" s="42" t="e">
        <f>H112+I112</f>
        <v>#REF!</v>
      </c>
      <c r="I156" s="42">
        <v>720000</v>
      </c>
      <c r="J156" s="43" t="e">
        <f t="shared" ref="J156" si="2">G156-H156-I156</f>
        <v>#REF!</v>
      </c>
    </row>
    <row r="157" spans="1:10" x14ac:dyDescent="0.25">
      <c r="A157" s="16"/>
      <c r="B157" s="16"/>
      <c r="C157" s="17" t="s">
        <v>8</v>
      </c>
      <c r="D157" s="17"/>
      <c r="E157" s="17"/>
      <c r="F157" s="40"/>
      <c r="G157" s="39">
        <f>SUM(G154:G156)</f>
        <v>55500000</v>
      </c>
      <c r="H157" s="18" t="e">
        <f>SUM(H155:H156)</f>
        <v>#REF!</v>
      </c>
      <c r="I157" s="18">
        <f>SUM(I155:I156)</f>
        <v>720000</v>
      </c>
      <c r="J157" s="18" t="e">
        <f>SUM(J155:J156)</f>
        <v>#REF!</v>
      </c>
    </row>
    <row r="158" spans="1:10" x14ac:dyDescent="0.25">
      <c r="A158" s="19"/>
      <c r="B158" s="54"/>
      <c r="C158" s="6"/>
      <c r="D158" s="6"/>
      <c r="E158" s="6"/>
      <c r="F158" s="6"/>
      <c r="G158" s="20"/>
      <c r="H158" s="20"/>
      <c r="I158" s="20"/>
      <c r="J158" s="20"/>
    </row>
    <row r="159" spans="1:10" x14ac:dyDescent="0.25">
      <c r="A159" s="68" t="s">
        <v>14</v>
      </c>
      <c r="B159" s="68"/>
      <c r="C159" s="68"/>
      <c r="D159" s="33" t="s">
        <v>12</v>
      </c>
      <c r="E159" s="41">
        <f>I157</f>
        <v>720000</v>
      </c>
      <c r="F159" s="36"/>
      <c r="G159" s="21"/>
      <c r="H159" s="21"/>
      <c r="I159" s="10"/>
      <c r="J159" s="10"/>
    </row>
    <row r="160" spans="1:10" x14ac:dyDescent="0.25">
      <c r="A160" s="8" t="s">
        <v>9</v>
      </c>
      <c r="B160" s="8"/>
      <c r="C160" s="8"/>
      <c r="D160" s="33" t="s">
        <v>12</v>
      </c>
      <c r="E160" s="34"/>
      <c r="F160" s="34"/>
      <c r="G160" s="22"/>
      <c r="H160" s="9"/>
      <c r="I160" s="10"/>
      <c r="J160" s="10"/>
    </row>
    <row r="161" spans="1:10" x14ac:dyDescent="0.25">
      <c r="A161" s="8" t="s">
        <v>16</v>
      </c>
      <c r="B161" s="8"/>
      <c r="C161" s="8"/>
      <c r="D161" s="33" t="s">
        <v>12</v>
      </c>
      <c r="E161" s="35"/>
      <c r="F161" s="35"/>
      <c r="G161" s="22"/>
      <c r="H161" s="9"/>
      <c r="I161" s="10"/>
      <c r="J161" s="10"/>
    </row>
    <row r="162" spans="1:10" x14ac:dyDescent="0.25">
      <c r="A162" s="8" t="s">
        <v>10</v>
      </c>
      <c r="B162" s="8"/>
      <c r="C162" s="8"/>
      <c r="D162" s="33" t="s">
        <v>12</v>
      </c>
      <c r="E162" s="35">
        <f>E160+E161</f>
        <v>0</v>
      </c>
      <c r="F162" s="35"/>
      <c r="G162" s="8"/>
      <c r="H162" s="9"/>
      <c r="I162" s="23"/>
      <c r="J162" s="24"/>
    </row>
    <row r="163" spans="1:10" x14ac:dyDescent="0.25">
      <c r="A163" s="44"/>
      <c r="B163" s="44"/>
      <c r="C163" s="44"/>
      <c r="D163" s="33"/>
      <c r="E163" s="44"/>
      <c r="F163" s="44"/>
      <c r="G163" s="8"/>
      <c r="H163" s="9"/>
      <c r="I163" s="23"/>
      <c r="J163" s="24"/>
    </row>
    <row r="164" spans="1:10" x14ac:dyDescent="0.25">
      <c r="A164" s="68" t="s">
        <v>15</v>
      </c>
      <c r="B164" s="68"/>
      <c r="C164" s="68"/>
      <c r="D164" s="33" t="s">
        <v>12</v>
      </c>
      <c r="E164" s="36">
        <f>E159-E162</f>
        <v>720000</v>
      </c>
      <c r="F164" s="36"/>
      <c r="G164" s="8"/>
      <c r="H164" s="9"/>
      <c r="I164" s="23"/>
      <c r="J164" s="24"/>
    </row>
    <row r="165" spans="1:10" ht="15.75" x14ac:dyDescent="0.25">
      <c r="A165" s="44"/>
      <c r="B165" s="44"/>
      <c r="C165" s="8"/>
      <c r="D165" s="8"/>
      <c r="E165" s="47" t="str">
        <f>PROPER(IF(E164=0,"nol",IF(E164&lt;0,"minus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164),"000000000000000"),1,3)=0,"",MID(TEXT(ABS(E164),"000000000000000"),1,1)&amp;" ratus "&amp;MID(TEXT(ABS(E164),"000000000000000"),2,1)&amp;" puluh "&amp;MID(TEXT(ABS(E164),"000000000000000"),3,1)&amp;" trilyun ")&amp;IF(--MID(TEXT(ABS(E164),"000000000000000"),4,3)=0,"",MID(TEXT(ABS(E164),"000000000000000"),4,1)&amp;" ratus "&amp;MID(TEXT(ABS(E164),"000000000000000"),5,1)&amp;" puluh "&amp;MID(TEXT(ABS(E164),"000000000000000"),6,1)&amp;" milyar ")&amp;IF(--MID(TEXT(ABS(E164),"000000000000000"),7,3)=0,"",MID(TEXT(ABS(E164),"000000000000000"),7,1)&amp;" ratus "&amp;MID(TEXT(ABS(E164),"000000000000000"),8,1)&amp;" puluh "&amp;MID(TEXT(ABS(E164),"000000000000000"),9,1)&amp;" juta ")&amp;IF(--MID(TEXT(ABS(E164),"000000000000000"),10,3)=0,"",IF(--MID(TEXT(ABS(E164),"000000000000000"),10,3)=1,"*",MID(TEXT(ABS(E164),"000000000000000"),10,1)&amp;" ratus "&amp;MID(TEXT(ABS(E164),"000000000000000"),11,1)&amp;" puluh ")&amp;MID(TEXT(ABS(E164),"000000000000000"),12,1)&amp;" ribu ")&amp;IF(--MID(TEXT(ABS(E164),"000000000000000"),13,3)=0,"",MID(TEXT(ABS(E164),"000000000000000"),13,1)&amp;" ratus "&amp;MID(TEXT(ABS(E164),"000000000000000"),14,1)&amp;" puluh "&amp;MID(TEXT(ABS(E164),"000000000000000"),15,1)),1,"satu"),2,"dua"),3,"tiga"),4,"empat"),5,"lima"),6,"enam"),7,"tujuh"),8,"delapan"),9,"sembilan"),"0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Dua Puluh Ribu Rupiah</v>
      </c>
      <c r="F165" s="8"/>
      <c r="G165" s="8"/>
      <c r="H165" s="8"/>
      <c r="I165" s="23"/>
      <c r="J165" s="24"/>
    </row>
    <row r="166" spans="1:10" x14ac:dyDescent="0.25">
      <c r="A166" s="26"/>
      <c r="B166" s="26"/>
      <c r="C166" s="26"/>
      <c r="D166" s="26"/>
      <c r="E166" s="26"/>
      <c r="F166" s="26"/>
      <c r="G166" s="25"/>
      <c r="H166" s="24"/>
      <c r="I166" s="23"/>
      <c r="J166" s="24"/>
    </row>
    <row r="167" spans="1:10" x14ac:dyDescent="0.25">
      <c r="A167" s="25"/>
      <c r="B167" s="25"/>
      <c r="C167" s="25"/>
      <c r="D167" s="25"/>
      <c r="E167" s="25"/>
      <c r="F167" s="25"/>
      <c r="G167" s="25"/>
      <c r="H167"/>
      <c r="I167" s="24"/>
      <c r="J167" s="24"/>
    </row>
    <row r="168" spans="1:10" x14ac:dyDescent="0.25">
      <c r="A168" s="44"/>
      <c r="B168" s="44"/>
      <c r="C168" s="8"/>
      <c r="D168" s="8"/>
      <c r="E168" s="8"/>
      <c r="F168" s="8"/>
      <c r="G168" s="8"/>
      <c r="I168" s="45" t="s">
        <v>42</v>
      </c>
      <c r="J168" s="24"/>
    </row>
    <row r="169" spans="1:10" x14ac:dyDescent="0.25">
      <c r="A169" s="9" t="s">
        <v>28</v>
      </c>
      <c r="B169" s="9"/>
      <c r="C169" s="8"/>
      <c r="D169" s="8"/>
      <c r="E169" s="8"/>
      <c r="F169" s="8"/>
      <c r="G169" s="8"/>
      <c r="I169" s="9" t="s">
        <v>27</v>
      </c>
      <c r="J169" s="24"/>
    </row>
    <row r="170" spans="1:10" x14ac:dyDescent="0.25">
      <c r="A170" s="8"/>
      <c r="B170" s="8"/>
      <c r="C170" s="8"/>
      <c r="D170" s="8"/>
      <c r="E170" s="8"/>
      <c r="F170" s="8"/>
      <c r="G170" s="8"/>
      <c r="I170" s="9"/>
      <c r="J170" s="24"/>
    </row>
    <row r="171" spans="1:10" x14ac:dyDescent="0.25">
      <c r="A171" s="8"/>
      <c r="B171" s="8"/>
      <c r="C171" s="8"/>
      <c r="D171" s="8"/>
      <c r="E171" s="8"/>
      <c r="F171" s="8"/>
      <c r="G171" s="8"/>
      <c r="I171" s="9"/>
      <c r="J171" s="24"/>
    </row>
    <row r="172" spans="1:10" x14ac:dyDescent="0.25">
      <c r="A172" s="8"/>
      <c r="B172" s="8"/>
      <c r="C172" s="8"/>
      <c r="D172" s="8"/>
      <c r="E172" s="8"/>
      <c r="F172" s="8"/>
      <c r="G172" s="8"/>
      <c r="I172" s="9"/>
      <c r="J172" s="24"/>
    </row>
    <row r="173" spans="1:10" x14ac:dyDescent="0.25">
      <c r="A173" s="8"/>
      <c r="B173" s="8"/>
      <c r="C173" s="8"/>
      <c r="D173" s="8"/>
      <c r="E173" s="8"/>
      <c r="F173" s="8"/>
      <c r="G173" s="8"/>
      <c r="I173" s="9"/>
      <c r="J173" s="24"/>
    </row>
    <row r="174" spans="1:10" x14ac:dyDescent="0.25">
      <c r="A174" s="28" t="s">
        <v>36</v>
      </c>
      <c r="B174" s="28"/>
      <c r="C174" s="27"/>
      <c r="D174" s="27"/>
      <c r="E174" s="27"/>
      <c r="F174" s="27"/>
      <c r="G174" s="8" t="s">
        <v>11</v>
      </c>
      <c r="I174" s="28" t="s">
        <v>29</v>
      </c>
      <c r="J174" s="24"/>
    </row>
  </sheetData>
  <mergeCells count="41">
    <mergeCell ref="C153:E153"/>
    <mergeCell ref="C154:E154"/>
    <mergeCell ref="A159:C159"/>
    <mergeCell ref="A164:C164"/>
    <mergeCell ref="A139:J139"/>
    <mergeCell ref="A140:J140"/>
    <mergeCell ref="A141:J141"/>
    <mergeCell ref="A142:J142"/>
    <mergeCell ref="A143:J143"/>
    <mergeCell ref="A152:J152"/>
    <mergeCell ref="A120:C120"/>
    <mergeCell ref="A71:C71"/>
    <mergeCell ref="A76:C76"/>
    <mergeCell ref="A95:J95"/>
    <mergeCell ref="A96:J96"/>
    <mergeCell ref="A97:J97"/>
    <mergeCell ref="A98:J98"/>
    <mergeCell ref="A99:J99"/>
    <mergeCell ref="A108:J108"/>
    <mergeCell ref="C109:E109"/>
    <mergeCell ref="C110:E110"/>
    <mergeCell ref="A115:C115"/>
    <mergeCell ref="C66:E66"/>
    <mergeCell ref="C22:E22"/>
    <mergeCell ref="C23:E23"/>
    <mergeCell ref="A27:C27"/>
    <mergeCell ref="A32:C32"/>
    <mergeCell ref="A51:J51"/>
    <mergeCell ref="A52:J52"/>
    <mergeCell ref="A53:J53"/>
    <mergeCell ref="A54:J54"/>
    <mergeCell ref="A55:J55"/>
    <mergeCell ref="A64:J64"/>
    <mergeCell ref="C65:E65"/>
    <mergeCell ref="A21:J21"/>
    <mergeCell ref="C24:E24"/>
    <mergeCell ref="A8:J8"/>
    <mergeCell ref="A9:J9"/>
    <mergeCell ref="A10:J10"/>
    <mergeCell ref="A11:J11"/>
    <mergeCell ref="A12:J12"/>
  </mergeCells>
  <pageMargins left="0.23622047244094491" right="0.23622047244094491" top="0.15748031496062992" bottom="0.74803149606299213" header="0.31496062992125984" footer="0.31496062992125984"/>
  <pageSetup paperSize="9" scale="90" orientation="portrait" horizontalDpi="4294967293" r:id="rId1"/>
  <rowBreaks count="3" manualBreakCount="3">
    <brk id="43" max="9" man="1"/>
    <brk id="87" max="9" man="1"/>
    <brk id="131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4302-20DF-4486-B46C-A1455D55C4CC}">
  <dimension ref="A1:V173"/>
  <sheetViews>
    <sheetView tabSelected="1" view="pageBreakPreview" topLeftCell="A52" zoomScaleNormal="100" zoomScaleSheetLayoutView="100" workbookViewId="0">
      <selection activeCell="J85" sqref="A44:J85"/>
    </sheetView>
  </sheetViews>
  <sheetFormatPr defaultRowHeight="15" x14ac:dyDescent="0.25"/>
  <cols>
    <col min="1" max="1" width="3.5703125" customWidth="1"/>
    <col min="2" max="2" width="5.5703125" bestFit="1" customWidth="1"/>
    <col min="3" max="3" width="12.28515625" customWidth="1"/>
    <col min="4" max="4" width="1.85546875" customWidth="1"/>
    <col min="5" max="5" width="17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0.28515625" hidden="1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9" t="s">
        <v>31</v>
      </c>
      <c r="B8" s="69"/>
      <c r="C8" s="70"/>
      <c r="D8" s="70"/>
      <c r="E8" s="70"/>
      <c r="F8" s="70"/>
      <c r="G8" s="70"/>
      <c r="H8" s="70"/>
      <c r="I8" s="70"/>
      <c r="J8" s="70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70" t="s">
        <v>47</v>
      </c>
      <c r="B9" s="70"/>
      <c r="C9" s="70"/>
      <c r="D9" s="70"/>
      <c r="E9" s="70"/>
      <c r="F9" s="70"/>
      <c r="G9" s="70"/>
      <c r="H9" s="70"/>
      <c r="I9" s="70"/>
      <c r="J9" s="70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70" t="s">
        <v>13</v>
      </c>
      <c r="B10" s="70"/>
      <c r="C10" s="70"/>
      <c r="D10" s="70"/>
      <c r="E10" s="70"/>
      <c r="F10" s="70"/>
      <c r="G10" s="70"/>
      <c r="H10" s="70"/>
      <c r="I10" s="70"/>
      <c r="J10" s="70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70" t="s">
        <v>37</v>
      </c>
      <c r="B11" s="70"/>
      <c r="C11" s="70"/>
      <c r="D11" s="70"/>
      <c r="E11" s="70"/>
      <c r="F11" s="70"/>
      <c r="G11" s="70"/>
      <c r="H11" s="70"/>
      <c r="I11" s="70"/>
      <c r="J11" s="70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70" t="s">
        <v>26</v>
      </c>
      <c r="B12" s="70"/>
      <c r="C12" s="70"/>
      <c r="D12" s="70"/>
      <c r="E12" s="70"/>
      <c r="F12" s="70"/>
      <c r="G12" s="70"/>
      <c r="H12" s="70"/>
      <c r="I12" s="70"/>
      <c r="J12" s="70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2" t="s">
        <v>18</v>
      </c>
      <c r="B14" s="52"/>
      <c r="C14" s="52"/>
      <c r="D14" s="37" t="s">
        <v>12</v>
      </c>
      <c r="E14" s="8" t="s">
        <v>32</v>
      </c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2" t="s">
        <v>19</v>
      </c>
      <c r="B15" s="52"/>
      <c r="C15" s="52"/>
      <c r="D15" s="37" t="s">
        <v>12</v>
      </c>
      <c r="E15" s="8" t="s">
        <v>33</v>
      </c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2" t="s">
        <v>20</v>
      </c>
      <c r="B16" s="52"/>
      <c r="C16" s="52"/>
      <c r="D16" s="37" t="s">
        <v>12</v>
      </c>
      <c r="E16" s="44">
        <v>2026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2" t="s">
        <v>21</v>
      </c>
      <c r="B17" s="52"/>
      <c r="C17" s="52"/>
      <c r="D17" s="37" t="s">
        <v>12</v>
      </c>
      <c r="E17" s="41">
        <f>I25</f>
        <v>1800000</v>
      </c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37" t="s">
        <v>12</v>
      </c>
      <c r="E18" s="47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Delapan Ratus Ribu Rupiah</v>
      </c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37"/>
      <c r="G19" s="47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1" t="s">
        <v>2</v>
      </c>
      <c r="B21" s="61"/>
      <c r="C21" s="61"/>
      <c r="D21" s="61"/>
      <c r="E21" s="61"/>
      <c r="F21" s="61"/>
      <c r="G21" s="61"/>
      <c r="H21" s="61"/>
      <c r="I21" s="61"/>
      <c r="J21" s="61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45" customHeight="1" x14ac:dyDescent="0.25">
      <c r="A22" s="12" t="s">
        <v>3</v>
      </c>
      <c r="B22" s="59" t="s">
        <v>22</v>
      </c>
      <c r="C22" s="62" t="s">
        <v>4</v>
      </c>
      <c r="D22" s="63"/>
      <c r="E22" s="64"/>
      <c r="F22" s="46"/>
      <c r="G22" s="38" t="s">
        <v>5</v>
      </c>
      <c r="H22" s="13" t="s">
        <v>17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ht="28.5" customHeight="1" x14ac:dyDescent="0.25">
      <c r="A23" s="60">
        <v>1</v>
      </c>
      <c r="B23" s="53"/>
      <c r="C23" s="65" t="s">
        <v>43</v>
      </c>
      <c r="D23" s="66"/>
      <c r="E23" s="67"/>
      <c r="F23" s="48"/>
      <c r="G23" s="74" t="s">
        <v>30</v>
      </c>
      <c r="H23" s="74" t="s">
        <v>30</v>
      </c>
      <c r="I23" s="74" t="s">
        <v>30</v>
      </c>
      <c r="J23" s="74" t="s">
        <v>30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ht="30" customHeight="1" x14ac:dyDescent="0.25">
      <c r="A24" s="49"/>
      <c r="B24" s="49" t="s">
        <v>24</v>
      </c>
      <c r="C24" s="71" t="s">
        <v>44</v>
      </c>
      <c r="D24" s="72"/>
      <c r="E24" s="73"/>
      <c r="F24" s="48"/>
      <c r="G24" s="51">
        <v>900000000</v>
      </c>
      <c r="H24" s="42">
        <f>FEBRUARI!H24+FEBRUARI!I24</f>
        <v>40000000</v>
      </c>
      <c r="I24" s="42">
        <v>1800000</v>
      </c>
      <c r="J24" s="43">
        <f>G24-H24-I24</f>
        <v>858200000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16"/>
      <c r="B25" s="16"/>
      <c r="C25" s="17" t="s">
        <v>8</v>
      </c>
      <c r="D25" s="17"/>
      <c r="E25" s="17"/>
      <c r="F25" s="40"/>
      <c r="G25" s="39">
        <f>SUM(G23:G24)</f>
        <v>900000000</v>
      </c>
      <c r="H25" s="18">
        <f>SUM(H24:H24)</f>
        <v>40000000</v>
      </c>
      <c r="I25" s="18">
        <f>SUM(I24:I24)</f>
        <v>1800000</v>
      </c>
      <c r="J25" s="18">
        <f>SUM(J24:J24)</f>
        <v>858200000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9"/>
      <c r="B26" s="54"/>
      <c r="C26" s="6"/>
      <c r="D26" s="6"/>
      <c r="E26" s="6"/>
      <c r="F26" s="6"/>
      <c r="G26" s="20"/>
      <c r="H26" s="20"/>
      <c r="I26" s="20"/>
      <c r="J26" s="20"/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68" t="s">
        <v>14</v>
      </c>
      <c r="B27" s="68"/>
      <c r="C27" s="68"/>
      <c r="D27" s="33" t="s">
        <v>12</v>
      </c>
      <c r="E27" s="41">
        <f>I25</f>
        <v>1800000</v>
      </c>
      <c r="F27" s="36"/>
      <c r="G27" s="21"/>
      <c r="H27" s="21"/>
      <c r="I27" s="10"/>
      <c r="J27" s="1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8" t="s">
        <v>9</v>
      </c>
      <c r="B28" s="8"/>
      <c r="C28" s="8"/>
      <c r="D28" s="33" t="s">
        <v>12</v>
      </c>
      <c r="E28" s="34"/>
      <c r="F28" s="34"/>
      <c r="G28" s="22"/>
      <c r="H28" s="9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16</v>
      </c>
      <c r="B29" s="8"/>
      <c r="C29" s="8"/>
      <c r="D29" s="33" t="s">
        <v>12</v>
      </c>
      <c r="E29" s="35"/>
      <c r="F29" s="35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10</v>
      </c>
      <c r="B30" s="8"/>
      <c r="C30" s="8"/>
      <c r="D30" s="33" t="s">
        <v>12</v>
      </c>
      <c r="E30" s="35">
        <f>E28+E29</f>
        <v>0</v>
      </c>
      <c r="F30" s="35"/>
      <c r="G30" s="8"/>
      <c r="H30" s="9"/>
      <c r="I30" s="23"/>
      <c r="J30" s="24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44"/>
      <c r="B31" s="44"/>
      <c r="C31" s="44"/>
      <c r="D31" s="33"/>
      <c r="E31" s="44"/>
      <c r="F31" s="44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68" t="s">
        <v>15</v>
      </c>
      <c r="B32" s="68"/>
      <c r="C32" s="68"/>
      <c r="D32" s="33" t="s">
        <v>12</v>
      </c>
      <c r="E32" s="36">
        <f>E27-E30</f>
        <v>1800000</v>
      </c>
      <c r="F32" s="36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ht="15.75" x14ac:dyDescent="0.25">
      <c r="A33" s="44"/>
      <c r="B33" s="44"/>
      <c r="C33" s="8"/>
      <c r="D33" s="8"/>
      <c r="E33" s="47" t="str">
        <f>PROPER(IF(E32=0,"nol",IF(E32&lt;0,"minus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32),"000000000000000"),1,3)=0,"",MID(TEXT(ABS(E32),"000000000000000"),1,1)&amp;" ratus "&amp;MID(TEXT(ABS(E32),"000000000000000"),2,1)&amp;" puluh "&amp;MID(TEXT(ABS(E32),"000000000000000"),3,1)&amp;" trilyun ")&amp;IF(--MID(TEXT(ABS(E32),"000000000000000"),4,3)=0,"",MID(TEXT(ABS(E32),"000000000000000"),4,1)&amp;" ratus "&amp;MID(TEXT(ABS(E32),"000000000000000"),5,1)&amp;" puluh "&amp;MID(TEXT(ABS(E32),"000000000000000"),6,1)&amp;" milyar ")&amp;IF(--MID(TEXT(ABS(E32),"000000000000000"),7,3)=0,"",MID(TEXT(ABS(E32),"000000000000000"),7,1)&amp;" ratus "&amp;MID(TEXT(ABS(E32),"000000000000000"),8,1)&amp;" puluh "&amp;MID(TEXT(ABS(E32),"000000000000000"),9,1)&amp;" juta ")&amp;IF(--MID(TEXT(ABS(E32),"000000000000000"),10,3)=0,"",IF(--MID(TEXT(ABS(E32),"000000000000000"),10,3)=1,"*",MID(TEXT(ABS(E32),"000000000000000"),10,1)&amp;" ratus "&amp;MID(TEXT(ABS(E32),"000000000000000"),11,1)&amp;" puluh ")&amp;MID(TEXT(ABS(E32),"000000000000000"),12,1)&amp;" ribu ")&amp;IF(--MID(TEXT(ABS(E32),"000000000000000"),13,3)=0,"",MID(TEXT(ABS(E32),"000000000000000"),13,1)&amp;" ratus "&amp;MID(TEXT(ABS(E32),"000000000000000"),14,1)&amp;" puluh "&amp;MID(TEXT(ABS(E32),"000000000000000"),15,1)),1,"satu"),2,"dua"),3,"tiga"),4,"empat"),5,"lima"),6,"enam"),7,"tujuh"),8,"delapan"),9,"sembilan"),"0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Delapan Ratus Ribu Rupiah</v>
      </c>
      <c r="F33" s="8"/>
      <c r="G33" s="8"/>
      <c r="H33" s="8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x14ac:dyDescent="0.25">
      <c r="A34" s="26"/>
      <c r="B34" s="26"/>
      <c r="C34" s="26"/>
      <c r="D34" s="26"/>
      <c r="E34" s="26"/>
      <c r="F34" s="26"/>
      <c r="G34" s="25"/>
      <c r="H34" s="24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5"/>
      <c r="B35" s="25"/>
      <c r="C35" s="25"/>
      <c r="D35" s="25"/>
      <c r="E35" s="25"/>
      <c r="F35" s="25"/>
      <c r="G35" s="25"/>
      <c r="H35"/>
      <c r="I35" s="24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44"/>
      <c r="B36" s="44"/>
      <c r="C36" s="8"/>
      <c r="D36" s="8"/>
      <c r="E36" s="8"/>
      <c r="F36" s="8"/>
      <c r="G36" s="8"/>
      <c r="I36" s="45" t="s">
        <v>48</v>
      </c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9" t="s">
        <v>28</v>
      </c>
      <c r="B37" s="9"/>
      <c r="C37" s="8"/>
      <c r="D37" s="8"/>
      <c r="E37" s="8"/>
      <c r="F37" s="8"/>
      <c r="G37" s="8"/>
      <c r="I37" s="9" t="s">
        <v>27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8"/>
      <c r="B38" s="8"/>
      <c r="C38" s="8"/>
      <c r="D38" s="8"/>
      <c r="E38" s="8"/>
      <c r="F38" s="8"/>
      <c r="G38" s="8"/>
      <c r="I38" s="9"/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28" t="s">
        <v>36</v>
      </c>
      <c r="B42" s="28"/>
      <c r="C42" s="27"/>
      <c r="D42" s="27"/>
      <c r="E42" s="27"/>
      <c r="F42" s="27"/>
      <c r="G42" s="8" t="s">
        <v>11</v>
      </c>
      <c r="I42" s="28" t="s">
        <v>29</v>
      </c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30"/>
      <c r="B43" s="30"/>
      <c r="C43" s="29"/>
      <c r="D43" s="29"/>
      <c r="E43" s="29"/>
      <c r="F43" s="29"/>
      <c r="G43" s="29"/>
      <c r="H43" s="30"/>
      <c r="I43" s="30"/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7" spans="1:22" ht="15.75" x14ac:dyDescent="0.25">
      <c r="C47" s="3"/>
      <c r="D47" s="3"/>
      <c r="E47" s="3"/>
      <c r="F47" s="3"/>
    </row>
    <row r="48" spans="1:22" ht="15.75" x14ac:dyDescent="0.25">
      <c r="A48" s="2"/>
      <c r="B48" s="2"/>
      <c r="C48" s="3"/>
      <c r="D48" s="3"/>
      <c r="E48" s="3"/>
      <c r="F48" s="3"/>
      <c r="G48" s="2"/>
      <c r="H48" s="4"/>
      <c r="I48" s="4"/>
      <c r="J48" s="5"/>
    </row>
    <row r="49" spans="1:10" x14ac:dyDescent="0.25">
      <c r="H49" s="5"/>
      <c r="I49" s="5"/>
      <c r="J49" s="5"/>
    </row>
    <row r="50" spans="1:10" x14ac:dyDescent="0.25">
      <c r="H50" s="5"/>
      <c r="I50" s="5"/>
      <c r="J50" s="5"/>
    </row>
    <row r="51" spans="1:10" x14ac:dyDescent="0.25">
      <c r="A51" s="69" t="s">
        <v>31</v>
      </c>
      <c r="B51" s="69"/>
      <c r="C51" s="70"/>
      <c r="D51" s="70"/>
      <c r="E51" s="70"/>
      <c r="F51" s="70"/>
      <c r="G51" s="70"/>
      <c r="H51" s="70"/>
      <c r="I51" s="70"/>
      <c r="J51" s="70"/>
    </row>
    <row r="52" spans="1:10" x14ac:dyDescent="0.25">
      <c r="A52" s="70" t="s">
        <v>50</v>
      </c>
      <c r="B52" s="70"/>
      <c r="C52" s="70"/>
      <c r="D52" s="70"/>
      <c r="E52" s="70"/>
      <c r="F52" s="70"/>
      <c r="G52" s="70"/>
      <c r="H52" s="70"/>
      <c r="I52" s="70"/>
      <c r="J52" s="70"/>
    </row>
    <row r="53" spans="1:10" x14ac:dyDescent="0.25">
      <c r="A53" s="70" t="s">
        <v>13</v>
      </c>
      <c r="B53" s="70"/>
      <c r="C53" s="70"/>
      <c r="D53" s="70"/>
      <c r="E53" s="70"/>
      <c r="F53" s="70"/>
      <c r="G53" s="70"/>
      <c r="H53" s="70"/>
      <c r="I53" s="70"/>
      <c r="J53" s="70"/>
    </row>
    <row r="54" spans="1:10" x14ac:dyDescent="0.25">
      <c r="A54" s="70" t="s">
        <v>37</v>
      </c>
      <c r="B54" s="70"/>
      <c r="C54" s="70"/>
      <c r="D54" s="70"/>
      <c r="E54" s="70"/>
      <c r="F54" s="70"/>
      <c r="G54" s="70"/>
      <c r="H54" s="70"/>
      <c r="I54" s="70"/>
      <c r="J54" s="70"/>
    </row>
    <row r="55" spans="1:10" x14ac:dyDescent="0.25">
      <c r="A55" s="70" t="s">
        <v>26</v>
      </c>
      <c r="B55" s="70"/>
      <c r="C55" s="70"/>
      <c r="D55" s="70"/>
      <c r="E55" s="70"/>
      <c r="F55" s="70"/>
      <c r="G55" s="70"/>
      <c r="H55" s="70"/>
      <c r="I55" s="70"/>
      <c r="J55" s="70"/>
    </row>
    <row r="56" spans="1:10" x14ac:dyDescent="0.25">
      <c r="A56" s="32"/>
      <c r="B56" s="32"/>
      <c r="C56" s="7"/>
      <c r="D56" s="7"/>
      <c r="E56" s="7"/>
      <c r="F56" s="7"/>
      <c r="G56" s="6"/>
      <c r="H56" s="10"/>
      <c r="I56" s="10"/>
      <c r="J56" s="10"/>
    </row>
    <row r="57" spans="1:10" x14ac:dyDescent="0.25">
      <c r="A57" s="52" t="s">
        <v>18</v>
      </c>
      <c r="B57" s="52"/>
      <c r="C57" s="52"/>
      <c r="D57" s="37" t="s">
        <v>12</v>
      </c>
      <c r="E57" s="8" t="s">
        <v>32</v>
      </c>
      <c r="H57" s="9"/>
      <c r="I57" s="9"/>
      <c r="J57" s="10"/>
    </row>
    <row r="58" spans="1:10" x14ac:dyDescent="0.25">
      <c r="A58" s="52" t="s">
        <v>19</v>
      </c>
      <c r="B58" s="52"/>
      <c r="C58" s="52"/>
      <c r="D58" s="37" t="s">
        <v>12</v>
      </c>
      <c r="E58" s="8" t="s">
        <v>33</v>
      </c>
      <c r="H58" s="9"/>
      <c r="I58" s="9"/>
      <c r="J58" s="10"/>
    </row>
    <row r="59" spans="1:10" x14ac:dyDescent="0.25">
      <c r="A59" s="52" t="s">
        <v>20</v>
      </c>
      <c r="B59" s="52"/>
      <c r="C59" s="52"/>
      <c r="D59" s="37" t="s">
        <v>12</v>
      </c>
      <c r="E59" s="44">
        <v>2026</v>
      </c>
      <c r="H59" s="9"/>
      <c r="I59" s="9"/>
      <c r="J59" s="10"/>
    </row>
    <row r="60" spans="1:10" x14ac:dyDescent="0.25">
      <c r="A60" s="52" t="s">
        <v>21</v>
      </c>
      <c r="B60" s="52"/>
      <c r="C60" s="52"/>
      <c r="D60" s="37" t="s">
        <v>12</v>
      </c>
      <c r="E60" s="41">
        <f>I68</f>
        <v>40000000</v>
      </c>
      <c r="H60" s="9"/>
      <c r="I60" s="9"/>
      <c r="J60" s="10"/>
    </row>
    <row r="61" spans="1:10" ht="15.75" x14ac:dyDescent="0.25">
      <c r="A61" s="8"/>
      <c r="B61" s="8"/>
      <c r="C61" s="11" t="s">
        <v>0</v>
      </c>
      <c r="D61" s="37" t="s">
        <v>12</v>
      </c>
      <c r="E61" s="47" t="str">
        <f>PROPER(IF(E60=0,"nol",IF(E60&lt;0,"minus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60),"000000000000000"),1,3)=0,"",MID(TEXT(ABS(E60),"000000000000000"),1,1)&amp;" ratus "&amp;MID(TEXT(ABS(E60),"000000000000000"),2,1)&amp;" puluh "&amp;MID(TEXT(ABS(E60),"000000000000000"),3,1)&amp;" trilyun ")&amp;IF(--MID(TEXT(ABS(E60),"000000000000000"),4,3)=0,"",MID(TEXT(ABS(E60),"000000000000000"),4,1)&amp;" ratus "&amp;MID(TEXT(ABS(E60),"000000000000000"),5,1)&amp;" puluh "&amp;MID(TEXT(ABS(E60),"000000000000000"),6,1)&amp;" milyar ")&amp;IF(--MID(TEXT(ABS(E60),"000000000000000"),7,3)=0,"",MID(TEXT(ABS(E60),"000000000000000"),7,1)&amp;" ratus "&amp;MID(TEXT(ABS(E60),"000000000000000"),8,1)&amp;" puluh "&amp;MID(TEXT(ABS(E60),"000000000000000"),9,1)&amp;" juta ")&amp;IF(--MID(TEXT(ABS(E60),"000000000000000"),10,3)=0,"",IF(--MID(TEXT(ABS(E60),"000000000000000"),10,3)=1,"*",MID(TEXT(ABS(E60),"000000000000000"),10,1)&amp;" ratus "&amp;MID(TEXT(ABS(E60),"000000000000000"),11,1)&amp;" puluh ")&amp;MID(TEXT(ABS(E60),"000000000000000"),12,1)&amp;" ribu ")&amp;IF(--MID(TEXT(ABS(E60),"000000000000000"),13,3)=0,"",MID(TEXT(ABS(E60),"000000000000000"),13,1)&amp;" ratus "&amp;MID(TEXT(ABS(E60),"000000000000000"),14,1)&amp;" puluh "&amp;MID(TEXT(ABS(E60),"000000000000000"),15,1)),1,"satu"),2,"dua"),3,"tiga"),4,"empat"),5,"lima"),6,"enam"),7,"tujuh"),8,"delapan"),9,"sembilan"),"0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Juta Rupiah</v>
      </c>
      <c r="H61" s="9"/>
      <c r="I61" s="9"/>
      <c r="J61" s="10"/>
    </row>
    <row r="62" spans="1:10" ht="15.75" x14ac:dyDescent="0.25">
      <c r="A62" s="8"/>
      <c r="B62" s="8"/>
      <c r="C62" s="11"/>
      <c r="D62" s="11"/>
      <c r="E62" s="11"/>
      <c r="F62" s="37"/>
      <c r="G62" s="47"/>
      <c r="H62" s="9"/>
      <c r="I62" s="9"/>
      <c r="J62" s="10"/>
    </row>
    <row r="63" spans="1:10" x14ac:dyDescent="0.25">
      <c r="A63" s="8" t="s">
        <v>1</v>
      </c>
      <c r="B63" s="8"/>
      <c r="C63" s="8"/>
      <c r="D63" s="8"/>
      <c r="E63" s="8"/>
      <c r="F63" s="8"/>
      <c r="G63" s="8"/>
      <c r="H63" s="9"/>
      <c r="I63" s="9"/>
      <c r="J63" s="10"/>
    </row>
    <row r="64" spans="1:10" x14ac:dyDescent="0.25">
      <c r="A64" s="61" t="s">
        <v>2</v>
      </c>
      <c r="B64" s="61"/>
      <c r="C64" s="61"/>
      <c r="D64" s="61"/>
      <c r="E64" s="61"/>
      <c r="F64" s="61"/>
      <c r="G64" s="61"/>
      <c r="H64" s="61"/>
      <c r="I64" s="61"/>
      <c r="J64" s="61"/>
    </row>
    <row r="65" spans="1:10" ht="45" x14ac:dyDescent="0.25">
      <c r="A65" s="12" t="s">
        <v>3</v>
      </c>
      <c r="B65" s="59" t="s">
        <v>22</v>
      </c>
      <c r="C65" s="62" t="s">
        <v>4</v>
      </c>
      <c r="D65" s="63"/>
      <c r="E65" s="64"/>
      <c r="F65" s="46"/>
      <c r="G65" s="38" t="s">
        <v>5</v>
      </c>
      <c r="H65" s="13" t="s">
        <v>17</v>
      </c>
      <c r="I65" s="14" t="s">
        <v>6</v>
      </c>
      <c r="J65" s="15" t="s">
        <v>7</v>
      </c>
    </row>
    <row r="66" spans="1:10" ht="28.5" customHeight="1" x14ac:dyDescent="0.25">
      <c r="A66" s="60">
        <v>1</v>
      </c>
      <c r="B66" s="53"/>
      <c r="C66" s="65" t="s">
        <v>43</v>
      </c>
      <c r="D66" s="66"/>
      <c r="E66" s="67"/>
      <c r="F66" s="48"/>
      <c r="G66" s="74" t="s">
        <v>30</v>
      </c>
      <c r="H66" s="74" t="s">
        <v>30</v>
      </c>
      <c r="I66" s="74" t="s">
        <v>30</v>
      </c>
      <c r="J66" s="74" t="s">
        <v>30</v>
      </c>
    </row>
    <row r="67" spans="1:10" ht="30" customHeight="1" x14ac:dyDescent="0.25">
      <c r="A67" s="49"/>
      <c r="B67" s="49" t="s">
        <v>24</v>
      </c>
      <c r="C67" s="71" t="s">
        <v>44</v>
      </c>
      <c r="D67" s="72"/>
      <c r="E67" s="73"/>
      <c r="F67" s="48"/>
      <c r="G67" s="51">
        <v>900000000</v>
      </c>
      <c r="H67" s="42">
        <f>H24+I24</f>
        <v>41800000</v>
      </c>
      <c r="I67" s="42">
        <v>40000000</v>
      </c>
      <c r="J67" s="43">
        <f>G67-H67-I67</f>
        <v>818200000</v>
      </c>
    </row>
    <row r="68" spans="1:10" x14ac:dyDescent="0.25">
      <c r="A68" s="16"/>
      <c r="B68" s="16"/>
      <c r="C68" s="17" t="s">
        <v>8</v>
      </c>
      <c r="D68" s="17"/>
      <c r="E68" s="17"/>
      <c r="F68" s="40"/>
      <c r="G68" s="39">
        <f>SUM(G66:G67)</f>
        <v>900000000</v>
      </c>
      <c r="H68" s="18">
        <f>SUM(H67:H67)</f>
        <v>41800000</v>
      </c>
      <c r="I68" s="18">
        <f>SUM(I67:I67)</f>
        <v>40000000</v>
      </c>
      <c r="J68" s="18">
        <f>SUM(J67:J67)</f>
        <v>818200000</v>
      </c>
    </row>
    <row r="69" spans="1:10" x14ac:dyDescent="0.25">
      <c r="A69" s="19"/>
      <c r="B69" s="54"/>
      <c r="C69" s="6"/>
      <c r="D69" s="6"/>
      <c r="E69" s="6"/>
      <c r="F69" s="6"/>
      <c r="G69" s="20"/>
      <c r="H69" s="20"/>
      <c r="I69" s="20"/>
      <c r="J69" s="20"/>
    </row>
    <row r="70" spans="1:10" x14ac:dyDescent="0.25">
      <c r="A70" s="68" t="s">
        <v>14</v>
      </c>
      <c r="B70" s="68"/>
      <c r="C70" s="68"/>
      <c r="D70" s="33" t="s">
        <v>12</v>
      </c>
      <c r="E70" s="41">
        <f>I68</f>
        <v>40000000</v>
      </c>
      <c r="F70" s="36"/>
      <c r="G70" s="21"/>
      <c r="H70" s="21"/>
      <c r="I70" s="10"/>
      <c r="J70" s="10"/>
    </row>
    <row r="71" spans="1:10" x14ac:dyDescent="0.25">
      <c r="A71" s="8" t="s">
        <v>9</v>
      </c>
      <c r="B71" s="8"/>
      <c r="C71" s="8"/>
      <c r="D71" s="33" t="s">
        <v>12</v>
      </c>
      <c r="E71" s="34"/>
      <c r="F71" s="34"/>
      <c r="G71" s="22"/>
      <c r="H71" s="9"/>
      <c r="I71" s="10"/>
      <c r="J71" s="10"/>
    </row>
    <row r="72" spans="1:10" x14ac:dyDescent="0.25">
      <c r="A72" s="8" t="s">
        <v>16</v>
      </c>
      <c r="B72" s="8"/>
      <c r="C72" s="8"/>
      <c r="D72" s="33" t="s">
        <v>12</v>
      </c>
      <c r="E72" s="35"/>
      <c r="F72" s="35"/>
      <c r="G72" s="22"/>
      <c r="H72" s="9"/>
      <c r="I72" s="10"/>
      <c r="J72" s="10"/>
    </row>
    <row r="73" spans="1:10" x14ac:dyDescent="0.25">
      <c r="A73" s="8" t="s">
        <v>10</v>
      </c>
      <c r="B73" s="8"/>
      <c r="C73" s="8"/>
      <c r="D73" s="33" t="s">
        <v>12</v>
      </c>
      <c r="E73" s="35">
        <f>E71+E72</f>
        <v>0</v>
      </c>
      <c r="F73" s="35"/>
      <c r="G73" s="8"/>
      <c r="H73" s="9"/>
      <c r="I73" s="23"/>
      <c r="J73" s="24"/>
    </row>
    <row r="74" spans="1:10" x14ac:dyDescent="0.25">
      <c r="A74" s="44"/>
      <c r="B74" s="44"/>
      <c r="C74" s="44"/>
      <c r="D74" s="33"/>
      <c r="E74" s="44"/>
      <c r="F74" s="44"/>
      <c r="G74" s="8"/>
      <c r="H74" s="9"/>
      <c r="I74" s="23"/>
      <c r="J74" s="24"/>
    </row>
    <row r="75" spans="1:10" x14ac:dyDescent="0.25">
      <c r="A75" s="68" t="s">
        <v>15</v>
      </c>
      <c r="B75" s="68"/>
      <c r="C75" s="68"/>
      <c r="D75" s="33" t="s">
        <v>12</v>
      </c>
      <c r="E75" s="36">
        <f>E70-E73</f>
        <v>40000000</v>
      </c>
      <c r="F75" s="36"/>
      <c r="G75" s="8"/>
      <c r="H75" s="9"/>
      <c r="I75" s="23"/>
      <c r="J75" s="24"/>
    </row>
    <row r="76" spans="1:10" ht="15.75" x14ac:dyDescent="0.25">
      <c r="A76" s="44"/>
      <c r="B76" s="44"/>
      <c r="C76" s="8"/>
      <c r="D76" s="8"/>
      <c r="E76" s="47" t="str">
        <f>PROPER(IF(E75=0,"nol",IF(E75&lt;0,"minus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75),"000000000000000"),1,3)=0,"",MID(TEXT(ABS(E75),"000000000000000"),1,1)&amp;" ratus "&amp;MID(TEXT(ABS(E75),"000000000000000"),2,1)&amp;" puluh "&amp;MID(TEXT(ABS(E75),"000000000000000"),3,1)&amp;" trilyun ")&amp;IF(--MID(TEXT(ABS(E75),"000000000000000"),4,3)=0,"",MID(TEXT(ABS(E75),"000000000000000"),4,1)&amp;" ratus "&amp;MID(TEXT(ABS(E75),"000000000000000"),5,1)&amp;" puluh "&amp;MID(TEXT(ABS(E75),"000000000000000"),6,1)&amp;" milyar ")&amp;IF(--MID(TEXT(ABS(E75),"000000000000000"),7,3)=0,"",MID(TEXT(ABS(E75),"000000000000000"),7,1)&amp;" ratus "&amp;MID(TEXT(ABS(E75),"000000000000000"),8,1)&amp;" puluh "&amp;MID(TEXT(ABS(E75),"000000000000000"),9,1)&amp;" juta ")&amp;IF(--MID(TEXT(ABS(E75),"000000000000000"),10,3)=0,"",IF(--MID(TEXT(ABS(E75),"000000000000000"),10,3)=1,"*",MID(TEXT(ABS(E75),"000000000000000"),10,1)&amp;" ratus "&amp;MID(TEXT(ABS(E75),"000000000000000"),11,1)&amp;" puluh ")&amp;MID(TEXT(ABS(E75),"000000000000000"),12,1)&amp;" ribu ")&amp;IF(--MID(TEXT(ABS(E75),"000000000000000"),13,3)=0,"",MID(TEXT(ABS(E75),"000000000000000"),13,1)&amp;" ratus "&amp;MID(TEXT(ABS(E75),"000000000000000"),14,1)&amp;" puluh "&amp;MID(TEXT(ABS(E75),"000000000000000"),15,1)),1,"satu"),2,"dua"),3,"tiga"),4,"empat"),5,"lima"),6,"enam"),7,"tujuh"),8,"delapan"),9,"sembilan"),"0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Juta Rupiah</v>
      </c>
      <c r="F76" s="8"/>
      <c r="G76" s="8"/>
      <c r="H76" s="8"/>
      <c r="I76" s="23"/>
      <c r="J76" s="24"/>
    </row>
    <row r="77" spans="1:10" x14ac:dyDescent="0.25">
      <c r="A77" s="26"/>
      <c r="B77" s="26"/>
      <c r="C77" s="26"/>
      <c r="D77" s="26"/>
      <c r="E77" s="26"/>
      <c r="F77" s="26"/>
      <c r="G77" s="25"/>
      <c r="H77" s="24"/>
      <c r="I77" s="23"/>
      <c r="J77" s="24"/>
    </row>
    <row r="78" spans="1:10" x14ac:dyDescent="0.25">
      <c r="A78" s="25"/>
      <c r="B78" s="25"/>
      <c r="C78" s="25"/>
      <c r="D78" s="25"/>
      <c r="E78" s="25"/>
      <c r="F78" s="25"/>
      <c r="G78" s="25"/>
      <c r="H78"/>
      <c r="I78" s="24"/>
      <c r="J78" s="24"/>
    </row>
    <row r="79" spans="1:10" x14ac:dyDescent="0.25">
      <c r="A79" s="44"/>
      <c r="B79" s="44"/>
      <c r="C79" s="8"/>
      <c r="D79" s="8"/>
      <c r="E79" s="8"/>
      <c r="F79" s="8"/>
      <c r="G79" s="8"/>
      <c r="I79" s="45" t="s">
        <v>49</v>
      </c>
      <c r="J79" s="24"/>
    </row>
    <row r="80" spans="1:10" x14ac:dyDescent="0.25">
      <c r="A80" s="9" t="s">
        <v>28</v>
      </c>
      <c r="B80" s="9"/>
      <c r="C80" s="8"/>
      <c r="D80" s="8"/>
      <c r="E80" s="8"/>
      <c r="F80" s="8"/>
      <c r="G80" s="8"/>
      <c r="I80" s="9" t="s">
        <v>27</v>
      </c>
      <c r="J80" s="24"/>
    </row>
    <row r="81" spans="1:10" x14ac:dyDescent="0.25">
      <c r="A81" s="8"/>
      <c r="B81" s="8"/>
      <c r="C81" s="8"/>
      <c r="D81" s="8"/>
      <c r="E81" s="8"/>
      <c r="F81" s="8"/>
      <c r="G81" s="8"/>
      <c r="I81" s="9"/>
      <c r="J81" s="24"/>
    </row>
    <row r="82" spans="1:10" x14ac:dyDescent="0.25">
      <c r="A82" s="8"/>
      <c r="B82" s="8"/>
      <c r="C82" s="8"/>
      <c r="D82" s="8"/>
      <c r="E82" s="8"/>
      <c r="F82" s="8"/>
      <c r="G82" s="8"/>
      <c r="I82" s="9"/>
      <c r="J82" s="24"/>
    </row>
    <row r="83" spans="1:10" x14ac:dyDescent="0.25">
      <c r="A83" s="8"/>
      <c r="B83" s="8"/>
      <c r="C83" s="8"/>
      <c r="D83" s="8"/>
      <c r="E83" s="8"/>
      <c r="F83" s="8"/>
      <c r="G83" s="8"/>
      <c r="I83" s="9"/>
      <c r="J83" s="24"/>
    </row>
    <row r="84" spans="1:10" x14ac:dyDescent="0.25">
      <c r="A84" s="8"/>
      <c r="B84" s="8"/>
      <c r="C84" s="8"/>
      <c r="D84" s="8"/>
      <c r="E84" s="8"/>
      <c r="F84" s="8"/>
      <c r="G84" s="8"/>
      <c r="I84" s="9"/>
      <c r="J84" s="24"/>
    </row>
    <row r="85" spans="1:10" x14ac:dyDescent="0.25">
      <c r="A85" s="28" t="s">
        <v>36</v>
      </c>
      <c r="B85" s="28"/>
      <c r="C85" s="27"/>
      <c r="D85" s="27"/>
      <c r="E85" s="27"/>
      <c r="F85" s="27"/>
      <c r="G85" s="8" t="s">
        <v>11</v>
      </c>
      <c r="I85" s="28" t="s">
        <v>29</v>
      </c>
      <c r="J85" s="24"/>
    </row>
    <row r="90" spans="1:10" ht="15.75" x14ac:dyDescent="0.25">
      <c r="C90" s="3"/>
      <c r="D90" s="3"/>
      <c r="E90" s="3"/>
      <c r="F90" s="3"/>
    </row>
    <row r="91" spans="1:10" ht="15.75" x14ac:dyDescent="0.25">
      <c r="A91" s="2"/>
      <c r="B91" s="2"/>
      <c r="C91" s="3"/>
      <c r="D91" s="3"/>
      <c r="E91" s="3"/>
      <c r="F91" s="3"/>
      <c r="G91" s="2"/>
      <c r="H91" s="4"/>
      <c r="I91" s="4"/>
      <c r="J91" s="5"/>
    </row>
    <row r="92" spans="1:10" x14ac:dyDescent="0.25">
      <c r="H92" s="5"/>
      <c r="I92" s="5"/>
      <c r="J92" s="5"/>
    </row>
    <row r="93" spans="1:10" x14ac:dyDescent="0.25">
      <c r="H93" s="5"/>
      <c r="I93" s="5"/>
      <c r="J93" s="5"/>
    </row>
    <row r="94" spans="1:10" x14ac:dyDescent="0.25">
      <c r="A94" s="69" t="s">
        <v>31</v>
      </c>
      <c r="B94" s="69"/>
      <c r="C94" s="70"/>
      <c r="D94" s="70"/>
      <c r="E94" s="70"/>
      <c r="F94" s="70"/>
      <c r="G94" s="70"/>
      <c r="H94" s="70"/>
      <c r="I94" s="70"/>
      <c r="J94" s="70"/>
    </row>
    <row r="95" spans="1:10" x14ac:dyDescent="0.25">
      <c r="A95" s="70" t="s">
        <v>40</v>
      </c>
      <c r="B95" s="70"/>
      <c r="C95" s="70"/>
      <c r="D95" s="70"/>
      <c r="E95" s="70"/>
      <c r="F95" s="70"/>
      <c r="G95" s="70"/>
      <c r="H95" s="70"/>
      <c r="I95" s="70"/>
      <c r="J95" s="70"/>
    </row>
    <row r="96" spans="1:10" x14ac:dyDescent="0.25">
      <c r="A96" s="70" t="s">
        <v>13</v>
      </c>
      <c r="B96" s="70"/>
      <c r="C96" s="70"/>
      <c r="D96" s="70"/>
      <c r="E96" s="70"/>
      <c r="F96" s="70"/>
      <c r="G96" s="70"/>
      <c r="H96" s="70"/>
      <c r="I96" s="70"/>
      <c r="J96" s="70"/>
    </row>
    <row r="97" spans="1:10" x14ac:dyDescent="0.25">
      <c r="A97" s="70" t="s">
        <v>37</v>
      </c>
      <c r="B97" s="70"/>
      <c r="C97" s="70"/>
      <c r="D97" s="70"/>
      <c r="E97" s="70"/>
      <c r="F97" s="70"/>
      <c r="G97" s="70"/>
      <c r="H97" s="70"/>
      <c r="I97" s="70"/>
      <c r="J97" s="70"/>
    </row>
    <row r="98" spans="1:10" x14ac:dyDescent="0.25">
      <c r="A98" s="70" t="s">
        <v>26</v>
      </c>
      <c r="B98" s="70"/>
      <c r="C98" s="70"/>
      <c r="D98" s="70"/>
      <c r="E98" s="70"/>
      <c r="F98" s="70"/>
      <c r="G98" s="70"/>
      <c r="H98" s="70"/>
      <c r="I98" s="70"/>
      <c r="J98" s="70"/>
    </row>
    <row r="99" spans="1:10" x14ac:dyDescent="0.25">
      <c r="A99" s="32"/>
      <c r="B99" s="32"/>
      <c r="C99" s="7"/>
      <c r="D99" s="7"/>
      <c r="E99" s="7"/>
      <c r="F99" s="7"/>
      <c r="G99" s="6"/>
      <c r="H99" s="10"/>
      <c r="I99" s="10"/>
      <c r="J99" s="10"/>
    </row>
    <row r="100" spans="1:10" x14ac:dyDescent="0.25">
      <c r="A100" s="52" t="s">
        <v>18</v>
      </c>
      <c r="B100" s="52"/>
      <c r="C100" s="52"/>
      <c r="D100" s="37" t="s">
        <v>12</v>
      </c>
      <c r="E100" s="8" t="s">
        <v>32</v>
      </c>
      <c r="H100" s="9"/>
      <c r="I100" s="9"/>
      <c r="J100" s="10"/>
    </row>
    <row r="101" spans="1:10" x14ac:dyDescent="0.25">
      <c r="A101" s="52" t="s">
        <v>19</v>
      </c>
      <c r="B101" s="52"/>
      <c r="C101" s="52"/>
      <c r="D101" s="37" t="s">
        <v>12</v>
      </c>
      <c r="E101" s="8" t="s">
        <v>33</v>
      </c>
      <c r="H101" s="9"/>
      <c r="I101" s="9"/>
      <c r="J101" s="10"/>
    </row>
    <row r="102" spans="1:10" x14ac:dyDescent="0.25">
      <c r="A102" s="52" t="s">
        <v>20</v>
      </c>
      <c r="B102" s="52"/>
      <c r="C102" s="52"/>
      <c r="D102" s="37" t="s">
        <v>12</v>
      </c>
      <c r="E102" s="44">
        <v>2026</v>
      </c>
      <c r="H102" s="9"/>
      <c r="I102" s="9"/>
      <c r="J102" s="10"/>
    </row>
    <row r="103" spans="1:10" x14ac:dyDescent="0.25">
      <c r="A103" s="52" t="s">
        <v>21</v>
      </c>
      <c r="B103" s="52"/>
      <c r="C103" s="52"/>
      <c r="D103" s="37" t="s">
        <v>12</v>
      </c>
      <c r="E103" s="41">
        <f>I112</f>
        <v>13440000</v>
      </c>
      <c r="H103" s="9"/>
      <c r="I103" s="9"/>
      <c r="J103" s="10"/>
    </row>
    <row r="104" spans="1:10" ht="15.75" x14ac:dyDescent="0.25">
      <c r="A104" s="8"/>
      <c r="B104" s="8"/>
      <c r="C104" s="11" t="s">
        <v>0</v>
      </c>
      <c r="D104" s="37" t="s">
        <v>12</v>
      </c>
      <c r="E104" s="47" t="str">
        <f>PROPER(IF(E103=0,"nol",IF(E103&lt;0,"minus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103),"000000000000000"),1,3)=0,"",MID(TEXT(ABS(E103),"000000000000000"),1,1)&amp;" ratus "&amp;MID(TEXT(ABS(E103),"000000000000000"),2,1)&amp;" puluh "&amp;MID(TEXT(ABS(E103),"000000000000000"),3,1)&amp;" trilyun ")&amp;IF(--MID(TEXT(ABS(E103),"000000000000000"),4,3)=0,"",MID(TEXT(ABS(E103),"000000000000000"),4,1)&amp;" ratus "&amp;MID(TEXT(ABS(E103),"000000000000000"),5,1)&amp;" puluh "&amp;MID(TEXT(ABS(E103),"000000000000000"),6,1)&amp;" milyar ")&amp;IF(--MID(TEXT(ABS(E103),"000000000000000"),7,3)=0,"",MID(TEXT(ABS(E103),"000000000000000"),7,1)&amp;" ratus "&amp;MID(TEXT(ABS(E103),"000000000000000"),8,1)&amp;" puluh "&amp;MID(TEXT(ABS(E103),"000000000000000"),9,1)&amp;" juta ")&amp;IF(--MID(TEXT(ABS(E103),"000000000000000"),10,3)=0,"",IF(--MID(TEXT(ABS(E103),"000000000000000"),10,3)=1,"*",MID(TEXT(ABS(E103),"000000000000000"),10,1)&amp;" ratus "&amp;MID(TEXT(ABS(E103),"000000000000000"),11,1)&amp;" puluh ")&amp;MID(TEXT(ABS(E103),"000000000000000"),12,1)&amp;" ribu ")&amp;IF(--MID(TEXT(ABS(E103),"000000000000000"),13,3)=0,"",MID(TEXT(ABS(E103),"000000000000000"),13,1)&amp;" ratus "&amp;MID(TEXT(ABS(E103),"000000000000000"),14,1)&amp;" puluh "&amp;MID(TEXT(ABS(E103),"000000000000000"),15,1)),1,"satu"),2,"dua"),3,"tiga"),4,"empat"),5,"lima"),6,"enam"),7,"tujuh"),8,"delapan"),9,"sembilan"),"0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Tigabelas Juta Empat Ratus Empat Puluh Ribu Rupiah</v>
      </c>
      <c r="H104" s="9"/>
      <c r="I104" s="9"/>
      <c r="J104" s="10"/>
    </row>
    <row r="105" spans="1:10" ht="15.75" x14ac:dyDescent="0.25">
      <c r="A105" s="8"/>
      <c r="B105" s="8"/>
      <c r="C105" s="11"/>
      <c r="D105" s="11"/>
      <c r="E105" s="11"/>
      <c r="F105" s="37"/>
      <c r="G105" s="47"/>
      <c r="H105" s="9"/>
      <c r="I105" s="9"/>
      <c r="J105" s="10"/>
    </row>
    <row r="106" spans="1:10" x14ac:dyDescent="0.25">
      <c r="A106" s="8" t="s">
        <v>1</v>
      </c>
      <c r="B106" s="8"/>
      <c r="C106" s="8"/>
      <c r="D106" s="8"/>
      <c r="E106" s="8"/>
      <c r="F106" s="8"/>
      <c r="G106" s="8"/>
      <c r="H106" s="9"/>
      <c r="I106" s="9"/>
      <c r="J106" s="10"/>
    </row>
    <row r="107" spans="1:10" x14ac:dyDescent="0.25">
      <c r="A107" s="61" t="s">
        <v>2</v>
      </c>
      <c r="B107" s="61"/>
      <c r="C107" s="61"/>
      <c r="D107" s="61"/>
      <c r="E107" s="61"/>
      <c r="F107" s="61"/>
      <c r="G107" s="61"/>
      <c r="H107" s="61"/>
      <c r="I107" s="61"/>
      <c r="J107" s="61"/>
    </row>
    <row r="108" spans="1:10" ht="45" x14ac:dyDescent="0.25">
      <c r="A108" s="12" t="s">
        <v>3</v>
      </c>
      <c r="B108" s="59" t="s">
        <v>22</v>
      </c>
      <c r="C108" s="62" t="s">
        <v>4</v>
      </c>
      <c r="D108" s="63"/>
      <c r="E108" s="64"/>
      <c r="F108" s="46"/>
      <c r="G108" s="38" t="s">
        <v>5</v>
      </c>
      <c r="H108" s="13" t="s">
        <v>17</v>
      </c>
      <c r="I108" s="14" t="s">
        <v>6</v>
      </c>
      <c r="J108" s="15" t="s">
        <v>7</v>
      </c>
    </row>
    <row r="109" spans="1:10" x14ac:dyDescent="0.25">
      <c r="A109" s="60">
        <v>1</v>
      </c>
      <c r="B109" s="53"/>
      <c r="C109" s="65" t="s">
        <v>34</v>
      </c>
      <c r="D109" s="66"/>
      <c r="E109" s="67"/>
      <c r="F109" s="48"/>
      <c r="G109" s="55" t="s">
        <v>30</v>
      </c>
      <c r="H109" s="55" t="s">
        <v>30</v>
      </c>
      <c r="I109" s="55" t="s">
        <v>30</v>
      </c>
      <c r="J109" s="55" t="s">
        <v>30</v>
      </c>
    </row>
    <row r="110" spans="1:10" x14ac:dyDescent="0.25">
      <c r="A110" s="49"/>
      <c r="B110" s="49" t="s">
        <v>24</v>
      </c>
      <c r="C110" s="57" t="s">
        <v>35</v>
      </c>
      <c r="D110" s="58"/>
      <c r="E110" s="56"/>
      <c r="F110" s="48"/>
      <c r="G110" s="51">
        <v>20000000</v>
      </c>
      <c r="H110" s="42">
        <f>H67+I67</f>
        <v>81800000</v>
      </c>
      <c r="I110" s="42">
        <v>0</v>
      </c>
      <c r="J110" s="43">
        <f>G110-H110-I110</f>
        <v>-61800000</v>
      </c>
    </row>
    <row r="111" spans="1:10" x14ac:dyDescent="0.25">
      <c r="A111" s="49"/>
      <c r="B111" s="49" t="s">
        <v>25</v>
      </c>
      <c r="C111" s="57" t="s">
        <v>23</v>
      </c>
      <c r="D111" s="58"/>
      <c r="E111" s="56"/>
      <c r="F111" s="48"/>
      <c r="G111" s="50">
        <v>35500000</v>
      </c>
      <c r="H111" s="42" t="e">
        <f>#REF!+#REF!</f>
        <v>#REF!</v>
      </c>
      <c r="I111" s="42">
        <v>13440000</v>
      </c>
      <c r="J111" s="43" t="e">
        <f t="shared" ref="J111" si="0">G111-H111-I111</f>
        <v>#REF!</v>
      </c>
    </row>
    <row r="112" spans="1:10" x14ac:dyDescent="0.25">
      <c r="A112" s="16"/>
      <c r="B112" s="16"/>
      <c r="C112" s="17" t="s">
        <v>8</v>
      </c>
      <c r="D112" s="17"/>
      <c r="E112" s="17"/>
      <c r="F112" s="40"/>
      <c r="G112" s="39">
        <f>SUM(G109:G111)</f>
        <v>55500000</v>
      </c>
      <c r="H112" s="18" t="e">
        <f>SUM(H110:H111)</f>
        <v>#REF!</v>
      </c>
      <c r="I112" s="18">
        <f>SUM(I110:I111)</f>
        <v>13440000</v>
      </c>
      <c r="J112" s="18" t="e">
        <f>SUM(J110:J111)</f>
        <v>#REF!</v>
      </c>
    </row>
    <row r="113" spans="1:10" x14ac:dyDescent="0.25">
      <c r="A113" s="19"/>
      <c r="B113" s="54"/>
      <c r="C113" s="6"/>
      <c r="D113" s="6"/>
      <c r="E113" s="6"/>
      <c r="F113" s="6"/>
      <c r="G113" s="20"/>
      <c r="H113" s="20"/>
      <c r="I113" s="20"/>
      <c r="J113" s="20"/>
    </row>
    <row r="114" spans="1:10" x14ac:dyDescent="0.25">
      <c r="A114" s="68" t="s">
        <v>14</v>
      </c>
      <c r="B114" s="68"/>
      <c r="C114" s="68"/>
      <c r="D114" s="33" t="s">
        <v>12</v>
      </c>
      <c r="E114" s="41">
        <f>I112</f>
        <v>13440000</v>
      </c>
      <c r="F114" s="36"/>
      <c r="G114" s="21"/>
      <c r="H114" s="21"/>
      <c r="I114" s="10"/>
      <c r="J114" s="10"/>
    </row>
    <row r="115" spans="1:10" x14ac:dyDescent="0.25">
      <c r="A115" s="8" t="s">
        <v>9</v>
      </c>
      <c r="B115" s="8"/>
      <c r="C115" s="8"/>
      <c r="D115" s="33" t="s">
        <v>12</v>
      </c>
      <c r="E115" s="34"/>
      <c r="F115" s="34"/>
      <c r="G115" s="22"/>
      <c r="H115" s="9"/>
      <c r="I115" s="10"/>
      <c r="J115" s="10"/>
    </row>
    <row r="116" spans="1:10" x14ac:dyDescent="0.25">
      <c r="A116" s="8" t="s">
        <v>16</v>
      </c>
      <c r="B116" s="8"/>
      <c r="C116" s="8"/>
      <c r="D116" s="33" t="s">
        <v>12</v>
      </c>
      <c r="E116" s="35"/>
      <c r="F116" s="35"/>
      <c r="G116" s="22"/>
      <c r="H116" s="9"/>
      <c r="I116" s="10"/>
      <c r="J116" s="10"/>
    </row>
    <row r="117" spans="1:10" x14ac:dyDescent="0.25">
      <c r="A117" s="8" t="s">
        <v>10</v>
      </c>
      <c r="B117" s="8"/>
      <c r="C117" s="8"/>
      <c r="D117" s="33" t="s">
        <v>12</v>
      </c>
      <c r="E117" s="35">
        <f>E115+E116</f>
        <v>0</v>
      </c>
      <c r="F117" s="35"/>
      <c r="G117" s="8"/>
      <c r="H117" s="9"/>
      <c r="I117" s="23"/>
      <c r="J117" s="24"/>
    </row>
    <row r="118" spans="1:10" x14ac:dyDescent="0.25">
      <c r="A118" s="44"/>
      <c r="B118" s="44"/>
      <c r="C118" s="44"/>
      <c r="D118" s="33"/>
      <c r="E118" s="44"/>
      <c r="F118" s="44"/>
      <c r="G118" s="8"/>
      <c r="H118" s="9"/>
      <c r="I118" s="23"/>
      <c r="J118" s="24"/>
    </row>
    <row r="119" spans="1:10" x14ac:dyDescent="0.25">
      <c r="A119" s="68" t="s">
        <v>15</v>
      </c>
      <c r="B119" s="68"/>
      <c r="C119" s="68"/>
      <c r="D119" s="33" t="s">
        <v>12</v>
      </c>
      <c r="E119" s="36">
        <f>E114-E117</f>
        <v>13440000</v>
      </c>
      <c r="F119" s="36"/>
      <c r="G119" s="8"/>
      <c r="H119" s="9"/>
      <c r="I119" s="23"/>
      <c r="J119" s="24"/>
    </row>
    <row r="120" spans="1:10" ht="15.75" x14ac:dyDescent="0.25">
      <c r="A120" s="44"/>
      <c r="B120" s="44"/>
      <c r="C120" s="8"/>
      <c r="D120" s="8"/>
      <c r="E120" s="47" t="str">
        <f>PROPER(IF(E119=0,"nol",IF(E119&lt;0,"minus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119),"000000000000000"),1,3)=0,"",MID(TEXT(ABS(E119),"000000000000000"),1,1)&amp;" ratus "&amp;MID(TEXT(ABS(E119),"000000000000000"),2,1)&amp;" puluh "&amp;MID(TEXT(ABS(E119),"000000000000000"),3,1)&amp;" trilyun ")&amp;IF(--MID(TEXT(ABS(E119),"000000000000000"),4,3)=0,"",MID(TEXT(ABS(E119),"000000000000000"),4,1)&amp;" ratus "&amp;MID(TEXT(ABS(E119),"000000000000000"),5,1)&amp;" puluh "&amp;MID(TEXT(ABS(E119),"000000000000000"),6,1)&amp;" milyar ")&amp;IF(--MID(TEXT(ABS(E119),"000000000000000"),7,3)=0,"",MID(TEXT(ABS(E119),"000000000000000"),7,1)&amp;" ratus "&amp;MID(TEXT(ABS(E119),"000000000000000"),8,1)&amp;" puluh "&amp;MID(TEXT(ABS(E119),"000000000000000"),9,1)&amp;" juta ")&amp;IF(--MID(TEXT(ABS(E119),"000000000000000"),10,3)=0,"",IF(--MID(TEXT(ABS(E119),"000000000000000"),10,3)=1,"*",MID(TEXT(ABS(E119),"000000000000000"),10,1)&amp;" ratus "&amp;MID(TEXT(ABS(E119),"000000000000000"),11,1)&amp;" puluh ")&amp;MID(TEXT(ABS(E119),"000000000000000"),12,1)&amp;" ribu ")&amp;IF(--MID(TEXT(ABS(E119),"000000000000000"),13,3)=0,"",MID(TEXT(ABS(E119),"000000000000000"),13,1)&amp;" ratus "&amp;MID(TEXT(ABS(E119),"000000000000000"),14,1)&amp;" puluh "&amp;MID(TEXT(ABS(E119),"000000000000000"),15,1)),1,"satu"),2,"dua"),3,"tiga"),4,"empat"),5,"lima"),6,"enam"),7,"tujuh"),8,"delapan"),9,"sembilan"),"0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Tigabelas Juta Empat Ratus Empat Puluh Ribu Rupiah</v>
      </c>
      <c r="F120" s="8"/>
      <c r="G120" s="8"/>
      <c r="H120" s="8"/>
      <c r="I120" s="23"/>
      <c r="J120" s="24"/>
    </row>
    <row r="121" spans="1:10" x14ac:dyDescent="0.25">
      <c r="A121" s="26"/>
      <c r="B121" s="26"/>
      <c r="C121" s="26"/>
      <c r="D121" s="26"/>
      <c r="E121" s="26"/>
      <c r="F121" s="26"/>
      <c r="G121" s="25"/>
      <c r="H121" s="24"/>
      <c r="I121" s="23"/>
      <c r="J121" s="24"/>
    </row>
    <row r="122" spans="1:10" x14ac:dyDescent="0.25">
      <c r="A122" s="25"/>
      <c r="B122" s="25"/>
      <c r="C122" s="25"/>
      <c r="D122" s="25"/>
      <c r="E122" s="25"/>
      <c r="F122" s="25"/>
      <c r="G122" s="25"/>
      <c r="H122"/>
      <c r="I122" s="24"/>
      <c r="J122" s="24"/>
    </row>
    <row r="123" spans="1:10" x14ac:dyDescent="0.25">
      <c r="A123" s="44"/>
      <c r="B123" s="44"/>
      <c r="C123" s="8"/>
      <c r="D123" s="8"/>
      <c r="E123" s="8"/>
      <c r="F123" s="8"/>
      <c r="G123" s="8"/>
      <c r="I123" s="45" t="s">
        <v>38</v>
      </c>
      <c r="J123" s="24"/>
    </row>
    <row r="124" spans="1:10" x14ac:dyDescent="0.25">
      <c r="A124" s="9" t="s">
        <v>28</v>
      </c>
      <c r="B124" s="9"/>
      <c r="C124" s="8"/>
      <c r="D124" s="8"/>
      <c r="E124" s="8"/>
      <c r="F124" s="8"/>
      <c r="G124" s="8"/>
      <c r="I124" s="9" t="s">
        <v>27</v>
      </c>
      <c r="J124" s="24"/>
    </row>
    <row r="125" spans="1:10" x14ac:dyDescent="0.25">
      <c r="A125" s="8"/>
      <c r="B125" s="8"/>
      <c r="C125" s="8"/>
      <c r="D125" s="8"/>
      <c r="E125" s="8"/>
      <c r="F125" s="8"/>
      <c r="G125" s="8"/>
      <c r="I125" s="9"/>
      <c r="J125" s="24"/>
    </row>
    <row r="126" spans="1:10" x14ac:dyDescent="0.25">
      <c r="A126" s="8"/>
      <c r="B126" s="8"/>
      <c r="C126" s="8"/>
      <c r="D126" s="8"/>
      <c r="E126" s="8"/>
      <c r="F126" s="8"/>
      <c r="G126" s="8"/>
      <c r="I126" s="9"/>
      <c r="J126" s="24"/>
    </row>
    <row r="127" spans="1:10" x14ac:dyDescent="0.25">
      <c r="A127" s="8"/>
      <c r="B127" s="8"/>
      <c r="C127" s="8"/>
      <c r="D127" s="8"/>
      <c r="E127" s="8"/>
      <c r="F127" s="8"/>
      <c r="G127" s="8"/>
      <c r="I127" s="9"/>
      <c r="J127" s="24"/>
    </row>
    <row r="128" spans="1:10" x14ac:dyDescent="0.25">
      <c r="A128" s="8"/>
      <c r="B128" s="8"/>
      <c r="C128" s="8"/>
      <c r="D128" s="8"/>
      <c r="E128" s="8"/>
      <c r="F128" s="8"/>
      <c r="G128" s="8"/>
      <c r="I128" s="9"/>
      <c r="J128" s="24"/>
    </row>
    <row r="129" spans="1:10" x14ac:dyDescent="0.25">
      <c r="A129" s="28" t="s">
        <v>36</v>
      </c>
      <c r="B129" s="28"/>
      <c r="C129" s="27"/>
      <c r="D129" s="27"/>
      <c r="E129" s="27"/>
      <c r="F129" s="27"/>
      <c r="G129" s="8" t="s">
        <v>11</v>
      </c>
      <c r="I129" s="28" t="s">
        <v>29</v>
      </c>
      <c r="J129" s="24"/>
    </row>
    <row r="134" spans="1:10" ht="15.75" x14ac:dyDescent="0.25">
      <c r="C134" s="3"/>
      <c r="D134" s="3"/>
      <c r="E134" s="3"/>
      <c r="F134" s="3"/>
    </row>
    <row r="135" spans="1:10" ht="15.75" x14ac:dyDescent="0.25">
      <c r="A135" s="2"/>
      <c r="B135" s="2"/>
      <c r="C135" s="3"/>
      <c r="D135" s="3"/>
      <c r="E135" s="3"/>
      <c r="F135" s="3"/>
      <c r="G135" s="2"/>
      <c r="H135" s="4"/>
      <c r="I135" s="4"/>
      <c r="J135" s="5"/>
    </row>
    <row r="136" spans="1:10" x14ac:dyDescent="0.25">
      <c r="H136" s="5"/>
      <c r="I136" s="5"/>
      <c r="J136" s="5"/>
    </row>
    <row r="137" spans="1:10" x14ac:dyDescent="0.25">
      <c r="H137" s="5"/>
      <c r="I137" s="5"/>
      <c r="J137" s="5"/>
    </row>
    <row r="138" spans="1:10" x14ac:dyDescent="0.25">
      <c r="A138" s="69" t="s">
        <v>31</v>
      </c>
      <c r="B138" s="69"/>
      <c r="C138" s="70"/>
      <c r="D138" s="70"/>
      <c r="E138" s="70"/>
      <c r="F138" s="70"/>
      <c r="G138" s="70"/>
      <c r="H138" s="70"/>
      <c r="I138" s="70"/>
      <c r="J138" s="70"/>
    </row>
    <row r="139" spans="1:10" x14ac:dyDescent="0.25">
      <c r="A139" s="70" t="s">
        <v>41</v>
      </c>
      <c r="B139" s="70"/>
      <c r="C139" s="70"/>
      <c r="D139" s="70"/>
      <c r="E139" s="70"/>
      <c r="F139" s="70"/>
      <c r="G139" s="70"/>
      <c r="H139" s="70"/>
      <c r="I139" s="70"/>
      <c r="J139" s="70"/>
    </row>
    <row r="140" spans="1:10" x14ac:dyDescent="0.25">
      <c r="A140" s="70" t="s">
        <v>13</v>
      </c>
      <c r="B140" s="70"/>
      <c r="C140" s="70"/>
      <c r="D140" s="70"/>
      <c r="E140" s="70"/>
      <c r="F140" s="70"/>
      <c r="G140" s="70"/>
      <c r="H140" s="70"/>
      <c r="I140" s="70"/>
      <c r="J140" s="70"/>
    </row>
    <row r="141" spans="1:10" x14ac:dyDescent="0.25">
      <c r="A141" s="70" t="s">
        <v>37</v>
      </c>
      <c r="B141" s="70"/>
      <c r="C141" s="70"/>
      <c r="D141" s="70"/>
      <c r="E141" s="70"/>
      <c r="F141" s="70"/>
      <c r="G141" s="70"/>
      <c r="H141" s="70"/>
      <c r="I141" s="70"/>
      <c r="J141" s="70"/>
    </row>
    <row r="142" spans="1:10" x14ac:dyDescent="0.25">
      <c r="A142" s="70" t="s">
        <v>26</v>
      </c>
      <c r="B142" s="70"/>
      <c r="C142" s="70"/>
      <c r="D142" s="70"/>
      <c r="E142" s="70"/>
      <c r="F142" s="70"/>
      <c r="G142" s="70"/>
      <c r="H142" s="70"/>
      <c r="I142" s="70"/>
      <c r="J142" s="70"/>
    </row>
    <row r="143" spans="1:10" x14ac:dyDescent="0.25">
      <c r="A143" s="32"/>
      <c r="B143" s="32"/>
      <c r="C143" s="7"/>
      <c r="D143" s="7"/>
      <c r="E143" s="7"/>
      <c r="F143" s="7"/>
      <c r="G143" s="6"/>
      <c r="H143" s="10"/>
      <c r="I143" s="10"/>
      <c r="J143" s="10"/>
    </row>
    <row r="144" spans="1:10" x14ac:dyDescent="0.25">
      <c r="A144" s="52" t="s">
        <v>18</v>
      </c>
      <c r="B144" s="52"/>
      <c r="C144" s="52"/>
      <c r="D144" s="37" t="s">
        <v>12</v>
      </c>
      <c r="E144" s="8" t="s">
        <v>32</v>
      </c>
      <c r="H144" s="9"/>
      <c r="I144" s="9"/>
      <c r="J144" s="10"/>
    </row>
    <row r="145" spans="1:10" x14ac:dyDescent="0.25">
      <c r="A145" s="52" t="s">
        <v>19</v>
      </c>
      <c r="B145" s="52"/>
      <c r="C145" s="52"/>
      <c r="D145" s="37" t="s">
        <v>12</v>
      </c>
      <c r="E145" s="8" t="s">
        <v>33</v>
      </c>
      <c r="H145" s="9"/>
      <c r="I145" s="9"/>
      <c r="J145" s="10"/>
    </row>
    <row r="146" spans="1:10" x14ac:dyDescent="0.25">
      <c r="A146" s="52" t="s">
        <v>20</v>
      </c>
      <c r="B146" s="52"/>
      <c r="C146" s="52"/>
      <c r="D146" s="37" t="s">
        <v>12</v>
      </c>
      <c r="E146" s="44">
        <v>2026</v>
      </c>
      <c r="H146" s="9"/>
      <c r="I146" s="9"/>
      <c r="J146" s="10"/>
    </row>
    <row r="147" spans="1:10" x14ac:dyDescent="0.25">
      <c r="A147" s="52" t="s">
        <v>21</v>
      </c>
      <c r="B147" s="52"/>
      <c r="C147" s="52"/>
      <c r="D147" s="37" t="s">
        <v>12</v>
      </c>
      <c r="E147" s="41">
        <f>I156</f>
        <v>720000</v>
      </c>
      <c r="H147" s="9"/>
      <c r="I147" s="9"/>
      <c r="J147" s="10"/>
    </row>
    <row r="148" spans="1:10" ht="15.75" x14ac:dyDescent="0.25">
      <c r="A148" s="8"/>
      <c r="B148" s="8"/>
      <c r="C148" s="11" t="s">
        <v>0</v>
      </c>
      <c r="D148" s="37" t="s">
        <v>12</v>
      </c>
      <c r="E148" s="47" t="str">
        <f>PROPER(IF(E147=0,"nol",IF(E147&lt;0,"minus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147),"000000000000000"),1,3)=0,"",MID(TEXT(ABS(E147),"000000000000000"),1,1)&amp;" ratus "&amp;MID(TEXT(ABS(E147),"000000000000000"),2,1)&amp;" puluh "&amp;MID(TEXT(ABS(E147),"000000000000000"),3,1)&amp;" trilyun ")&amp;IF(--MID(TEXT(ABS(E147),"000000000000000"),4,3)=0,"",MID(TEXT(ABS(E147),"000000000000000"),4,1)&amp;" ratus "&amp;MID(TEXT(ABS(E147),"000000000000000"),5,1)&amp;" puluh "&amp;MID(TEXT(ABS(E147),"000000000000000"),6,1)&amp;" milyar ")&amp;IF(--MID(TEXT(ABS(E147),"000000000000000"),7,3)=0,"",MID(TEXT(ABS(E147),"000000000000000"),7,1)&amp;" ratus "&amp;MID(TEXT(ABS(E147),"000000000000000"),8,1)&amp;" puluh "&amp;MID(TEXT(ABS(E147),"000000000000000"),9,1)&amp;" juta ")&amp;IF(--MID(TEXT(ABS(E147),"000000000000000"),10,3)=0,"",IF(--MID(TEXT(ABS(E147),"000000000000000"),10,3)=1,"*",MID(TEXT(ABS(E147),"000000000000000"),10,1)&amp;" ratus "&amp;MID(TEXT(ABS(E147),"000000000000000"),11,1)&amp;" puluh ")&amp;MID(TEXT(ABS(E147),"000000000000000"),12,1)&amp;" ribu ")&amp;IF(--MID(TEXT(ABS(E147),"000000000000000"),13,3)=0,"",MID(TEXT(ABS(E147),"000000000000000"),13,1)&amp;" ratus "&amp;MID(TEXT(ABS(E147),"000000000000000"),14,1)&amp;" puluh "&amp;MID(TEXT(ABS(E147),"000000000000000"),15,1)),1,"satu"),2,"dua"),3,"tiga"),4,"empat"),5,"lima"),6,"enam"),7,"tujuh"),8,"delapan"),9,"sembilan"),"0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Dua Puluh Ribu Rupiah</v>
      </c>
      <c r="H148" s="9"/>
      <c r="I148" s="9"/>
      <c r="J148" s="10"/>
    </row>
    <row r="149" spans="1:10" ht="15.75" x14ac:dyDescent="0.25">
      <c r="A149" s="8"/>
      <c r="B149" s="8"/>
      <c r="C149" s="11"/>
      <c r="D149" s="11"/>
      <c r="E149" s="11"/>
      <c r="F149" s="37"/>
      <c r="G149" s="47"/>
      <c r="H149" s="9"/>
      <c r="I149" s="9"/>
      <c r="J149" s="10"/>
    </row>
    <row r="150" spans="1:10" x14ac:dyDescent="0.25">
      <c r="A150" s="8" t="s">
        <v>1</v>
      </c>
      <c r="B150" s="8"/>
      <c r="C150" s="8"/>
      <c r="D150" s="8"/>
      <c r="E150" s="8"/>
      <c r="F150" s="8"/>
      <c r="G150" s="8"/>
      <c r="H150" s="9"/>
      <c r="I150" s="9"/>
      <c r="J150" s="10"/>
    </row>
    <row r="151" spans="1:10" x14ac:dyDescent="0.25">
      <c r="A151" s="61" t="s">
        <v>2</v>
      </c>
      <c r="B151" s="61"/>
      <c r="C151" s="61"/>
      <c r="D151" s="61"/>
      <c r="E151" s="61"/>
      <c r="F151" s="61"/>
      <c r="G151" s="61"/>
      <c r="H151" s="61"/>
      <c r="I151" s="61"/>
      <c r="J151" s="61"/>
    </row>
    <row r="152" spans="1:10" ht="45" x14ac:dyDescent="0.25">
      <c r="A152" s="12" t="s">
        <v>3</v>
      </c>
      <c r="B152" s="59" t="s">
        <v>22</v>
      </c>
      <c r="C152" s="62" t="s">
        <v>4</v>
      </c>
      <c r="D152" s="63"/>
      <c r="E152" s="64"/>
      <c r="F152" s="46"/>
      <c r="G152" s="38" t="s">
        <v>5</v>
      </c>
      <c r="H152" s="13" t="s">
        <v>17</v>
      </c>
      <c r="I152" s="14" t="s">
        <v>6</v>
      </c>
      <c r="J152" s="15" t="s">
        <v>7</v>
      </c>
    </row>
    <row r="153" spans="1:10" x14ac:dyDescent="0.25">
      <c r="A153" s="60">
        <v>1</v>
      </c>
      <c r="B153" s="53"/>
      <c r="C153" s="65" t="s">
        <v>34</v>
      </c>
      <c r="D153" s="66"/>
      <c r="E153" s="67"/>
      <c r="F153" s="48"/>
      <c r="G153" s="55" t="s">
        <v>30</v>
      </c>
      <c r="H153" s="55" t="s">
        <v>30</v>
      </c>
      <c r="I153" s="55" t="s">
        <v>30</v>
      </c>
      <c r="J153" s="55" t="s">
        <v>30</v>
      </c>
    </row>
    <row r="154" spans="1:10" x14ac:dyDescent="0.25">
      <c r="A154" s="49"/>
      <c r="B154" s="49" t="s">
        <v>24</v>
      </c>
      <c r="C154" s="57" t="s">
        <v>35</v>
      </c>
      <c r="D154" s="58"/>
      <c r="E154" s="56"/>
      <c r="F154" s="48"/>
      <c r="G154" s="51">
        <v>20000000</v>
      </c>
      <c r="H154" s="42">
        <f>H110+I110</f>
        <v>81800000</v>
      </c>
      <c r="I154" s="42">
        <v>0</v>
      </c>
      <c r="J154" s="43">
        <f>G154-H154-I154</f>
        <v>-61800000</v>
      </c>
    </row>
    <row r="155" spans="1:10" x14ac:dyDescent="0.25">
      <c r="A155" s="49"/>
      <c r="B155" s="49" t="s">
        <v>25</v>
      </c>
      <c r="C155" s="57" t="s">
        <v>23</v>
      </c>
      <c r="D155" s="58"/>
      <c r="E155" s="56"/>
      <c r="F155" s="48"/>
      <c r="G155" s="50">
        <v>35500000</v>
      </c>
      <c r="H155" s="42" t="e">
        <f>H111+I111</f>
        <v>#REF!</v>
      </c>
      <c r="I155" s="42">
        <v>720000</v>
      </c>
      <c r="J155" s="43" t="e">
        <f t="shared" ref="J155" si="1">G155-H155-I155</f>
        <v>#REF!</v>
      </c>
    </row>
    <row r="156" spans="1:10" x14ac:dyDescent="0.25">
      <c r="A156" s="16"/>
      <c r="B156" s="16"/>
      <c r="C156" s="17" t="s">
        <v>8</v>
      </c>
      <c r="D156" s="17"/>
      <c r="E156" s="17"/>
      <c r="F156" s="40"/>
      <c r="G156" s="39">
        <f>SUM(G153:G155)</f>
        <v>55500000</v>
      </c>
      <c r="H156" s="18" t="e">
        <f>SUM(H154:H155)</f>
        <v>#REF!</v>
      </c>
      <c r="I156" s="18">
        <f>SUM(I154:I155)</f>
        <v>720000</v>
      </c>
      <c r="J156" s="18" t="e">
        <f>SUM(J154:J155)</f>
        <v>#REF!</v>
      </c>
    </row>
    <row r="157" spans="1:10" x14ac:dyDescent="0.25">
      <c r="A157" s="19"/>
      <c r="B157" s="54"/>
      <c r="C157" s="6"/>
      <c r="D157" s="6"/>
      <c r="E157" s="6"/>
      <c r="F157" s="6"/>
      <c r="G157" s="20"/>
      <c r="H157" s="20"/>
      <c r="I157" s="20"/>
      <c r="J157" s="20"/>
    </row>
    <row r="158" spans="1:10" x14ac:dyDescent="0.25">
      <c r="A158" s="68" t="s">
        <v>14</v>
      </c>
      <c r="B158" s="68"/>
      <c r="C158" s="68"/>
      <c r="D158" s="33" t="s">
        <v>12</v>
      </c>
      <c r="E158" s="41">
        <f>I156</f>
        <v>720000</v>
      </c>
      <c r="F158" s="36"/>
      <c r="G158" s="21"/>
      <c r="H158" s="21"/>
      <c r="I158" s="10"/>
      <c r="J158" s="10"/>
    </row>
    <row r="159" spans="1:10" x14ac:dyDescent="0.25">
      <c r="A159" s="8" t="s">
        <v>9</v>
      </c>
      <c r="B159" s="8"/>
      <c r="C159" s="8"/>
      <c r="D159" s="33" t="s">
        <v>12</v>
      </c>
      <c r="E159" s="34"/>
      <c r="F159" s="34"/>
      <c r="G159" s="22"/>
      <c r="H159" s="9"/>
      <c r="I159" s="10"/>
      <c r="J159" s="10"/>
    </row>
    <row r="160" spans="1:10" x14ac:dyDescent="0.25">
      <c r="A160" s="8" t="s">
        <v>16</v>
      </c>
      <c r="B160" s="8"/>
      <c r="C160" s="8"/>
      <c r="D160" s="33" t="s">
        <v>12</v>
      </c>
      <c r="E160" s="35"/>
      <c r="F160" s="35"/>
      <c r="G160" s="22"/>
      <c r="H160" s="9"/>
      <c r="I160" s="10"/>
      <c r="J160" s="10"/>
    </row>
    <row r="161" spans="1:10" x14ac:dyDescent="0.25">
      <c r="A161" s="8" t="s">
        <v>10</v>
      </c>
      <c r="B161" s="8"/>
      <c r="C161" s="8"/>
      <c r="D161" s="33" t="s">
        <v>12</v>
      </c>
      <c r="E161" s="35">
        <f>E159+E160</f>
        <v>0</v>
      </c>
      <c r="F161" s="35"/>
      <c r="G161" s="8"/>
      <c r="H161" s="9"/>
      <c r="I161" s="23"/>
      <c r="J161" s="24"/>
    </row>
    <row r="162" spans="1:10" x14ac:dyDescent="0.25">
      <c r="A162" s="44"/>
      <c r="B162" s="44"/>
      <c r="C162" s="44"/>
      <c r="D162" s="33"/>
      <c r="E162" s="44"/>
      <c r="F162" s="44"/>
      <c r="G162" s="8"/>
      <c r="H162" s="9"/>
      <c r="I162" s="23"/>
      <c r="J162" s="24"/>
    </row>
    <row r="163" spans="1:10" x14ac:dyDescent="0.25">
      <c r="A163" s="68" t="s">
        <v>15</v>
      </c>
      <c r="B163" s="68"/>
      <c r="C163" s="68"/>
      <c r="D163" s="33" t="s">
        <v>12</v>
      </c>
      <c r="E163" s="36">
        <f>E158-E161</f>
        <v>720000</v>
      </c>
      <c r="F163" s="36"/>
      <c r="G163" s="8"/>
      <c r="H163" s="9"/>
      <c r="I163" s="23"/>
      <c r="J163" s="24"/>
    </row>
    <row r="164" spans="1:10" ht="15.75" x14ac:dyDescent="0.25">
      <c r="A164" s="44"/>
      <c r="B164" s="44"/>
      <c r="C164" s="8"/>
      <c r="D164" s="8"/>
      <c r="E164" s="47" t="str">
        <f>PROPER(IF(E163=0,"nol",IF(E163&lt;0,"minus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163),"000000000000000"),1,3)=0,"",MID(TEXT(ABS(E163),"000000000000000"),1,1)&amp;" ratus "&amp;MID(TEXT(ABS(E163),"000000000000000"),2,1)&amp;" puluh "&amp;MID(TEXT(ABS(E163),"000000000000000"),3,1)&amp;" trilyun ")&amp;IF(--MID(TEXT(ABS(E163),"000000000000000"),4,3)=0,"",MID(TEXT(ABS(E163),"000000000000000"),4,1)&amp;" ratus "&amp;MID(TEXT(ABS(E163),"000000000000000"),5,1)&amp;" puluh "&amp;MID(TEXT(ABS(E163),"000000000000000"),6,1)&amp;" milyar ")&amp;IF(--MID(TEXT(ABS(E163),"000000000000000"),7,3)=0,"",MID(TEXT(ABS(E163),"000000000000000"),7,1)&amp;" ratus "&amp;MID(TEXT(ABS(E163),"000000000000000"),8,1)&amp;" puluh "&amp;MID(TEXT(ABS(E163),"000000000000000"),9,1)&amp;" juta ")&amp;IF(--MID(TEXT(ABS(E163),"000000000000000"),10,3)=0,"",IF(--MID(TEXT(ABS(E163),"000000000000000"),10,3)=1,"*",MID(TEXT(ABS(E163),"000000000000000"),10,1)&amp;" ratus "&amp;MID(TEXT(ABS(E163),"000000000000000"),11,1)&amp;" puluh ")&amp;MID(TEXT(ABS(E163),"000000000000000"),12,1)&amp;" ribu ")&amp;IF(--MID(TEXT(ABS(E163),"000000000000000"),13,3)=0,"",MID(TEXT(ABS(E163),"000000000000000"),13,1)&amp;" ratus "&amp;MID(TEXT(ABS(E163),"000000000000000"),14,1)&amp;" puluh "&amp;MID(TEXT(ABS(E163),"000000000000000"),15,1)),1,"satu"),2,"dua"),3,"tiga"),4,"empat"),5,"lima"),6,"enam"),7,"tujuh"),8,"delapan"),9,"sembilan"),"0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Ratus Dua Puluh Ribu Rupiah</v>
      </c>
      <c r="F164" s="8"/>
      <c r="G164" s="8"/>
      <c r="H164" s="8"/>
      <c r="I164" s="23"/>
      <c r="J164" s="24"/>
    </row>
    <row r="165" spans="1:10" x14ac:dyDescent="0.25">
      <c r="A165" s="26"/>
      <c r="B165" s="26"/>
      <c r="C165" s="26"/>
      <c r="D165" s="26"/>
      <c r="E165" s="26"/>
      <c r="F165" s="26"/>
      <c r="G165" s="25"/>
      <c r="H165" s="24"/>
      <c r="I165" s="23"/>
      <c r="J165" s="24"/>
    </row>
    <row r="166" spans="1:10" x14ac:dyDescent="0.25">
      <c r="A166" s="25"/>
      <c r="B166" s="25"/>
      <c r="C166" s="25"/>
      <c r="D166" s="25"/>
      <c r="E166" s="25"/>
      <c r="F166" s="25"/>
      <c r="G166" s="25"/>
      <c r="H166"/>
      <c r="I166" s="24"/>
      <c r="J166" s="24"/>
    </row>
    <row r="167" spans="1:10" x14ac:dyDescent="0.25">
      <c r="A167" s="44"/>
      <c r="B167" s="44"/>
      <c r="C167" s="8"/>
      <c r="D167" s="8"/>
      <c r="E167" s="8"/>
      <c r="F167" s="8"/>
      <c r="G167" s="8"/>
      <c r="I167" s="45" t="s">
        <v>42</v>
      </c>
      <c r="J167" s="24"/>
    </row>
    <row r="168" spans="1:10" x14ac:dyDescent="0.25">
      <c r="A168" s="9" t="s">
        <v>28</v>
      </c>
      <c r="B168" s="9"/>
      <c r="C168" s="8"/>
      <c r="D168" s="8"/>
      <c r="E168" s="8"/>
      <c r="F168" s="8"/>
      <c r="G168" s="8"/>
      <c r="I168" s="9" t="s">
        <v>27</v>
      </c>
      <c r="J168" s="24"/>
    </row>
    <row r="169" spans="1:10" x14ac:dyDescent="0.25">
      <c r="A169" s="8"/>
      <c r="B169" s="8"/>
      <c r="C169" s="8"/>
      <c r="D169" s="8"/>
      <c r="E169" s="8"/>
      <c r="F169" s="8"/>
      <c r="G169" s="8"/>
      <c r="I169" s="9"/>
      <c r="J169" s="24"/>
    </row>
    <row r="170" spans="1:10" x14ac:dyDescent="0.25">
      <c r="A170" s="8"/>
      <c r="B170" s="8"/>
      <c r="C170" s="8"/>
      <c r="D170" s="8"/>
      <c r="E170" s="8"/>
      <c r="F170" s="8"/>
      <c r="G170" s="8"/>
      <c r="I170" s="9"/>
      <c r="J170" s="24"/>
    </row>
    <row r="171" spans="1:10" x14ac:dyDescent="0.25">
      <c r="A171" s="8"/>
      <c r="B171" s="8"/>
      <c r="C171" s="8"/>
      <c r="D171" s="8"/>
      <c r="E171" s="8"/>
      <c r="F171" s="8"/>
      <c r="G171" s="8"/>
      <c r="I171" s="9"/>
      <c r="J171" s="24"/>
    </row>
    <row r="172" spans="1:10" x14ac:dyDescent="0.25">
      <c r="A172" s="8"/>
      <c r="B172" s="8"/>
      <c r="C172" s="8"/>
      <c r="D172" s="8"/>
      <c r="E172" s="8"/>
      <c r="F172" s="8"/>
      <c r="G172" s="8"/>
      <c r="I172" s="9"/>
      <c r="J172" s="24"/>
    </row>
    <row r="173" spans="1:10" x14ac:dyDescent="0.25">
      <c r="A173" s="28" t="s">
        <v>36</v>
      </c>
      <c r="B173" s="28"/>
      <c r="C173" s="27"/>
      <c r="D173" s="27"/>
      <c r="E173" s="27"/>
      <c r="F173" s="27"/>
      <c r="G173" s="8" t="s">
        <v>11</v>
      </c>
      <c r="I173" s="28" t="s">
        <v>29</v>
      </c>
      <c r="J173" s="24"/>
    </row>
  </sheetData>
  <mergeCells count="42">
    <mergeCell ref="A51:J51"/>
    <mergeCell ref="A8:J8"/>
    <mergeCell ref="A9:J9"/>
    <mergeCell ref="A10:J10"/>
    <mergeCell ref="A11:J11"/>
    <mergeCell ref="A12:J12"/>
    <mergeCell ref="A21:J21"/>
    <mergeCell ref="C22:E22"/>
    <mergeCell ref="C23:E23"/>
    <mergeCell ref="C24:E24"/>
    <mergeCell ref="A27:C27"/>
    <mergeCell ref="A32:C32"/>
    <mergeCell ref="A96:J96"/>
    <mergeCell ref="A52:J52"/>
    <mergeCell ref="A53:J53"/>
    <mergeCell ref="A54:J54"/>
    <mergeCell ref="A55:J55"/>
    <mergeCell ref="A64:J64"/>
    <mergeCell ref="C65:E65"/>
    <mergeCell ref="C67:E67"/>
    <mergeCell ref="C66:E66"/>
    <mergeCell ref="A70:C70"/>
    <mergeCell ref="A75:C75"/>
    <mergeCell ref="A94:J94"/>
    <mergeCell ref="A95:J95"/>
    <mergeCell ref="A142:J142"/>
    <mergeCell ref="A97:J97"/>
    <mergeCell ref="A98:J98"/>
    <mergeCell ref="A107:J107"/>
    <mergeCell ref="C108:E108"/>
    <mergeCell ref="C109:E109"/>
    <mergeCell ref="A114:C114"/>
    <mergeCell ref="A119:C119"/>
    <mergeCell ref="A138:J138"/>
    <mergeCell ref="A139:J139"/>
    <mergeCell ref="A140:J140"/>
    <mergeCell ref="A141:J141"/>
    <mergeCell ref="A151:J151"/>
    <mergeCell ref="C152:E152"/>
    <mergeCell ref="C153:E153"/>
    <mergeCell ref="A158:C158"/>
    <mergeCell ref="A163:C163"/>
  </mergeCells>
  <pageMargins left="0.23622047244094491" right="0.23622047244094491" top="0.15748031496062992" bottom="0.74803149606299213" header="0.31496062992125984" footer="0.31496062992125984"/>
  <pageSetup paperSize="9" scale="90" orientation="portrait" horizontalDpi="4294967293" r:id="rId1"/>
  <rowBreaks count="3" manualBreakCount="3">
    <brk id="43" max="9" man="1"/>
    <brk id="86" max="9" man="1"/>
    <brk id="130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FEBRUARI</vt:lpstr>
      <vt:lpstr>MARET</vt:lpstr>
      <vt:lpstr>FEBRUARI!Print_Area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2026-03-27T06:14:45Z</cp:lastPrinted>
  <dcterms:created xsi:type="dcterms:W3CDTF">2017-02-01T01:06:13Z</dcterms:created>
  <dcterms:modified xsi:type="dcterms:W3CDTF">2026-03-27T06:22:52Z</dcterms:modified>
</cp:coreProperties>
</file>