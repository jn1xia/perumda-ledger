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0D59402C-4C8B-48E6-9861-5BC5E7C32C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4" r:id="rId1"/>
    <sheet name="FEBRUARI" sheetId="15" r:id="rId2"/>
    <sheet name="MARET" sheetId="16" r:id="rId3"/>
  </sheets>
  <definedNames>
    <definedName name="_xlnm.Print_Area" localSheetId="1">FEBRUARI!$A$1:$K$200</definedName>
    <definedName name="_xlnm.Print_Area" localSheetId="0">JANUARI!$A$1:$K$200</definedName>
    <definedName name="_xlnm.Print_Area" localSheetId="2">MARET!$A$1:$K$412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3" i="16" l="1"/>
  <c r="J318" i="16"/>
  <c r="F320" i="16" s="1"/>
  <c r="F325" i="16" s="1"/>
  <c r="F326" i="16" s="1"/>
  <c r="H318" i="16"/>
  <c r="I317" i="16"/>
  <c r="K317" i="16" s="1"/>
  <c r="I316" i="16"/>
  <c r="K316" i="16" s="1"/>
  <c r="I315" i="16"/>
  <c r="K315" i="16" s="1"/>
  <c r="I314" i="16"/>
  <c r="K314" i="16" s="1"/>
  <c r="K313" i="16"/>
  <c r="K318" i="16" s="1"/>
  <c r="I313" i="16"/>
  <c r="I318" i="16" s="1"/>
  <c r="F305" i="16"/>
  <c r="F306" i="16" s="1"/>
  <c r="F275" i="16"/>
  <c r="J270" i="16"/>
  <c r="F272" i="16" s="1"/>
  <c r="F277" i="16" s="1"/>
  <c r="F278" i="16" s="1"/>
  <c r="H270" i="16"/>
  <c r="I269" i="16"/>
  <c r="K269" i="16" s="1"/>
  <c r="I268" i="16"/>
  <c r="K268" i="16" s="1"/>
  <c r="I267" i="16"/>
  <c r="K267" i="16" s="1"/>
  <c r="I266" i="16"/>
  <c r="K266" i="16" s="1"/>
  <c r="I265" i="16"/>
  <c r="F257" i="16"/>
  <c r="F258" i="16" s="1"/>
  <c r="F227" i="16"/>
  <c r="J222" i="16"/>
  <c r="F224" i="16" s="1"/>
  <c r="F229" i="16" s="1"/>
  <c r="F230" i="16" s="1"/>
  <c r="H222" i="16"/>
  <c r="I221" i="16"/>
  <c r="K221" i="16" s="1"/>
  <c r="I220" i="16"/>
  <c r="K220" i="16" s="1"/>
  <c r="I219" i="16"/>
  <c r="K219" i="16" s="1"/>
  <c r="I218" i="16"/>
  <c r="K218" i="16" s="1"/>
  <c r="I217" i="16"/>
  <c r="F209" i="16"/>
  <c r="F210" i="16" s="1"/>
  <c r="I169" i="16"/>
  <c r="I123" i="16"/>
  <c r="I121" i="16"/>
  <c r="I25" i="16"/>
  <c r="I26" i="16"/>
  <c r="I27" i="16"/>
  <c r="I28" i="16"/>
  <c r="I29" i="16"/>
  <c r="I73" i="16"/>
  <c r="K28" i="16"/>
  <c r="F179" i="16"/>
  <c r="J174" i="16"/>
  <c r="F176" i="16" s="1"/>
  <c r="F181" i="16" s="1"/>
  <c r="F182" i="16" s="1"/>
  <c r="H174" i="16"/>
  <c r="F161" i="16"/>
  <c r="F162" i="16" s="1"/>
  <c r="F131" i="16"/>
  <c r="J126" i="16"/>
  <c r="H126" i="16"/>
  <c r="F83" i="16"/>
  <c r="J78" i="16"/>
  <c r="H78" i="16"/>
  <c r="F35" i="16"/>
  <c r="J30" i="16"/>
  <c r="H30" i="16"/>
  <c r="I76" i="16"/>
  <c r="I170" i="15"/>
  <c r="F179" i="15"/>
  <c r="J174" i="15"/>
  <c r="H174" i="15"/>
  <c r="I173" i="15"/>
  <c r="K173" i="15" s="1"/>
  <c r="I172" i="15"/>
  <c r="K172" i="15" s="1"/>
  <c r="I171" i="15"/>
  <c r="K171" i="15" s="1"/>
  <c r="K170" i="15"/>
  <c r="I169" i="15"/>
  <c r="I122" i="15"/>
  <c r="I73" i="15"/>
  <c r="I26" i="15"/>
  <c r="I27" i="15"/>
  <c r="I28" i="15"/>
  <c r="I29" i="15"/>
  <c r="I25" i="15"/>
  <c r="I30" i="15" s="1"/>
  <c r="F131" i="15"/>
  <c r="J126" i="15"/>
  <c r="H126" i="15"/>
  <c r="F83" i="15"/>
  <c r="J78" i="15"/>
  <c r="H78" i="15"/>
  <c r="I77" i="15"/>
  <c r="I76" i="15"/>
  <c r="I75" i="15"/>
  <c r="I74" i="15"/>
  <c r="F35" i="15"/>
  <c r="J30" i="15"/>
  <c r="H30" i="15"/>
  <c r="K29" i="15"/>
  <c r="K28" i="15"/>
  <c r="K27" i="15"/>
  <c r="K26" i="15"/>
  <c r="K25" i="15"/>
  <c r="F131" i="14"/>
  <c r="J126" i="14"/>
  <c r="F113" i="14" s="1"/>
  <c r="F114" i="14" s="1"/>
  <c r="I126" i="14"/>
  <c r="H126" i="14"/>
  <c r="I125" i="14"/>
  <c r="K125" i="14" s="1"/>
  <c r="K124" i="14"/>
  <c r="I124" i="14"/>
  <c r="I123" i="14"/>
  <c r="K123" i="14" s="1"/>
  <c r="I122" i="14"/>
  <c r="K122" i="14" s="1"/>
  <c r="I121" i="14"/>
  <c r="K121" i="14" s="1"/>
  <c r="K126" i="14" s="1"/>
  <c r="I74" i="14"/>
  <c r="I78" i="14" s="1"/>
  <c r="I75" i="14"/>
  <c r="K75" i="14" s="1"/>
  <c r="I76" i="14"/>
  <c r="K76" i="14" s="1"/>
  <c r="I77" i="14"/>
  <c r="K77" i="14" s="1"/>
  <c r="I73" i="14"/>
  <c r="K73" i="14" s="1"/>
  <c r="F83" i="14"/>
  <c r="J78" i="14"/>
  <c r="F65" i="14" s="1"/>
  <c r="F66" i="14" s="1"/>
  <c r="H78" i="14"/>
  <c r="K74" i="14"/>
  <c r="F35" i="14"/>
  <c r="J30" i="14"/>
  <c r="F32" i="14" s="1"/>
  <c r="F37" i="14" s="1"/>
  <c r="F38" i="14" s="1"/>
  <c r="H30" i="14"/>
  <c r="K28" i="14"/>
  <c r="I270" i="16" l="1"/>
  <c r="K265" i="16"/>
  <c r="K270" i="16" s="1"/>
  <c r="I222" i="16"/>
  <c r="K217" i="16"/>
  <c r="K222" i="16" s="1"/>
  <c r="F128" i="16"/>
  <c r="F133" i="16" s="1"/>
  <c r="F134" i="16" s="1"/>
  <c r="F113" i="16"/>
  <c r="F114" i="16" s="1"/>
  <c r="F80" i="16"/>
  <c r="F85" i="16" s="1"/>
  <c r="F86" i="16" s="1"/>
  <c r="F65" i="16"/>
  <c r="F66" i="16" s="1"/>
  <c r="F32" i="16"/>
  <c r="F37" i="16" s="1"/>
  <c r="F38" i="16" s="1"/>
  <c r="F17" i="16"/>
  <c r="F18" i="16" s="1"/>
  <c r="I77" i="16"/>
  <c r="K29" i="16"/>
  <c r="K76" i="16"/>
  <c r="I124" i="16"/>
  <c r="I75" i="16"/>
  <c r="K27" i="16"/>
  <c r="I74" i="16"/>
  <c r="K26" i="16"/>
  <c r="I30" i="16"/>
  <c r="K25" i="16"/>
  <c r="K30" i="16" s="1"/>
  <c r="F176" i="15"/>
  <c r="F181" i="15" s="1"/>
  <c r="F182" i="15" s="1"/>
  <c r="F161" i="15"/>
  <c r="F162" i="15" s="1"/>
  <c r="K169" i="15"/>
  <c r="K174" i="15" s="1"/>
  <c r="I174" i="15"/>
  <c r="F80" i="15"/>
  <c r="F85" i="15" s="1"/>
  <c r="F86" i="15" s="1"/>
  <c r="F65" i="15"/>
  <c r="F66" i="15" s="1"/>
  <c r="F32" i="15"/>
  <c r="F37" i="15" s="1"/>
  <c r="F38" i="15" s="1"/>
  <c r="F17" i="15"/>
  <c r="F18" i="15" s="1"/>
  <c r="K30" i="15"/>
  <c r="F113" i="15"/>
  <c r="F114" i="15" s="1"/>
  <c r="F128" i="15"/>
  <c r="F133" i="15" s="1"/>
  <c r="F134" i="15" s="1"/>
  <c r="I125" i="15"/>
  <c r="K125" i="15" s="1"/>
  <c r="K77" i="15"/>
  <c r="K76" i="15"/>
  <c r="I124" i="15"/>
  <c r="K124" i="15" s="1"/>
  <c r="I123" i="15"/>
  <c r="K123" i="15" s="1"/>
  <c r="K75" i="15"/>
  <c r="K122" i="15"/>
  <c r="K74" i="15"/>
  <c r="K73" i="15"/>
  <c r="I121" i="15"/>
  <c r="I78" i="15"/>
  <c r="F128" i="14"/>
  <c r="F133" i="14" s="1"/>
  <c r="F134" i="14" s="1"/>
  <c r="K78" i="14"/>
  <c r="F80" i="14"/>
  <c r="F85" i="14" s="1"/>
  <c r="F86" i="14" s="1"/>
  <c r="K27" i="14"/>
  <c r="K29" i="14"/>
  <c r="F17" i="14"/>
  <c r="F18" i="14" s="1"/>
  <c r="K77" i="16" l="1"/>
  <c r="I125" i="16"/>
  <c r="K124" i="16"/>
  <c r="I172" i="16"/>
  <c r="K172" i="16" s="1"/>
  <c r="K75" i="16"/>
  <c r="K74" i="16"/>
  <c r="I122" i="16"/>
  <c r="K73" i="16"/>
  <c r="K78" i="16" s="1"/>
  <c r="I78" i="16"/>
  <c r="K78" i="15"/>
  <c r="K121" i="15"/>
  <c r="K126" i="15" s="1"/>
  <c r="I126" i="15"/>
  <c r="K26" i="14"/>
  <c r="K125" i="16" l="1"/>
  <c r="I173" i="16"/>
  <c r="K173" i="16" s="1"/>
  <c r="K123" i="16"/>
  <c r="I171" i="16"/>
  <c r="K171" i="16" s="1"/>
  <c r="K122" i="16"/>
  <c r="I170" i="16"/>
  <c r="K170" i="16" s="1"/>
  <c r="K121" i="16"/>
  <c r="I126" i="16"/>
  <c r="I30" i="14"/>
  <c r="K25" i="14"/>
  <c r="K30" i="14" s="1"/>
  <c r="K126" i="16" l="1"/>
  <c r="K169" i="16"/>
  <c r="K174" i="16" s="1"/>
  <c r="I174" i="16"/>
</calcChain>
</file>

<file path=xl/sharedStrings.xml><?xml version="1.0" encoding="utf-8"?>
<sst xmlns="http://schemas.openxmlformats.org/spreadsheetml/2006/main" count="896" uniqueCount="68">
  <si>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</si>
  <si>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</si>
  <si>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</si>
  <si>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</si>
  <si>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</si>
  <si>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</si>
  <si>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</si>
  <si>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</si>
  <si>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</si>
  <si>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</si>
  <si>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</si>
  <si>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</si>
  <si>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</si>
  <si>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</si>
  <si>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</si>
  <si>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</si>
  <si>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</si>
  <si>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</si>
  <si>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</si>
  <si>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</si>
  <si>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</si>
  <si>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</si>
  <si>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</si>
  <si>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</si>
  <si>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</si>
  <si>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</si>
  <si>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</si>
  <si>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</si>
  <si>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</si>
  <si>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</si>
  <si>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</si>
  <si>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</si>
  <si>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Pemeliharaan Kendaraan Operasional</t>
  </si>
  <si>
    <t>Pajak Mobil Operasional</t>
  </si>
  <si>
    <t>Parkir Mobil Operasional</t>
  </si>
  <si>
    <t>Pemeliharaan Mobil Truck (4)</t>
  </si>
  <si>
    <t>Pemeliharaan Mobil Pick Up (1)</t>
  </si>
  <si>
    <t>1.1.1</t>
  </si>
  <si>
    <t>1.1.2</t>
  </si>
  <si>
    <t>1.1.3</t>
  </si>
  <si>
    <t>1.1.4</t>
  </si>
  <si>
    <t>1.1.5</t>
  </si>
  <si>
    <t>Beban Pemeliharaan</t>
  </si>
  <si>
    <t>Pemeliharaan Mobil Keliling (2)</t>
  </si>
  <si>
    <t>IRNA WAHYUNI N.</t>
  </si>
  <si>
    <t>PERUMDA PASAR BANJARMASIN</t>
  </si>
  <si>
    <t>Nomor : 91/DIV-KEU/PPB/I/2026</t>
  </si>
  <si>
    <t>Banjarmasin, 31 Januari 2026</t>
  </si>
  <si>
    <t>Nomor : 92/DIV-KEU/PPB/I/2026</t>
  </si>
  <si>
    <t>Nomor : 93/DIV-KEU/PPB/I/2026</t>
  </si>
  <si>
    <t>Nomor : 060/DIV-KEU/PPB/II/2026</t>
  </si>
  <si>
    <t>Banjarmasin, 11 Februari 2026</t>
  </si>
  <si>
    <t>Banjarmasin, 27 Februari 2026</t>
  </si>
  <si>
    <t>Nomor : 092/DIV-KEU/PPB/II/2026</t>
  </si>
  <si>
    <t>Nomor : 102/DIV-KEU/PPB/II/2026</t>
  </si>
  <si>
    <t>Nomor : 101/DIV-KEU/PPB/II/2026</t>
  </si>
  <si>
    <t>Banjarmasin, 12 Maret 2026</t>
  </si>
  <si>
    <t>Nomor : 033/DIV-KEU/PPB/III/2026</t>
  </si>
  <si>
    <t>Banjarmasin, 13 Maret 2026</t>
  </si>
  <si>
    <t>Nomor : 045/DIV-KEU/PPB/III/2026</t>
  </si>
  <si>
    <t>Nomor : 028/DIV-KEU/PPB/III/2026</t>
  </si>
  <si>
    <t>Banjarmasin, 25 Maret 2026</t>
  </si>
  <si>
    <t>Banjarmasin, 26 Maret 2026</t>
  </si>
  <si>
    <t>Nomor : 053/DIV-KEU/PPB/III/2026</t>
  </si>
  <si>
    <t>Nomor : 055/DIV-KEU/PPB/III/2026</t>
  </si>
  <si>
    <t>Nomor : 065/DIV-KEU/PPB/III/2026</t>
  </si>
  <si>
    <t>Banjarmasin, 27 Maret 2026</t>
  </si>
  <si>
    <t>Nomor : 064/DIV-KEU/PPB/III/2026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</si>
</sst>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5" fontId="12" fillId="0" borderId="0">
      <alignment vertical="top"/>
      <protection locked="0"/>
    </xf>
  </cellStyleXfs>
  <cellXfs count="73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2" xfId="3" quotePrefix="1" applyNumberFormat="1" applyFont="1" applyBorder="1" applyAlignment="1">
      <alignment horizontal="center" vertical="center"/>
    </xf>
    <xf numFmtId="165" fontId="13" fillId="0" borderId="8" xfId="5" applyFont="1" applyBorder="1" applyAlignment="1" applyProtection="1">
      <alignment horizontal="center"/>
    </xf>
    <xf numFmtId="165" fontId="13" fillId="0" borderId="8" xfId="5" applyFont="1" applyBorder="1" applyAlignment="1" applyProtection="1">
      <alignment horizontal="center" vertical="center"/>
    </xf>
    <xf numFmtId="0" fontId="4" fillId="0" borderId="0" xfId="0" quotePrefix="1" applyFont="1"/>
    <xf numFmtId="0" fontId="4" fillId="0" borderId="9" xfId="3" quotePrefix="1" applyNumberFormat="1" applyFont="1" applyBorder="1" applyAlignment="1">
      <alignment horizontal="center" vertical="center"/>
    </xf>
    <xf numFmtId="0" fontId="3" fillId="0" borderId="0" xfId="0" quotePrefix="1" applyFont="1"/>
    <xf numFmtId="165" fontId="13" fillId="0" borderId="8" xfId="5" quotePrefix="1" applyFont="1" applyBorder="1" applyAlignment="1" applyProtection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2" xfId="3" quotePrefix="1" applyNumberFormat="1" applyFont="1" applyBorder="1" applyAlignment="1">
      <alignment horizontal="center" vertical="center"/>
    </xf>
    <xf numFmtId="0" fontId="9" fillId="0" borderId="9" xfId="3" quotePrefix="1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3" applyNumberFormat="1" applyFont="1" applyBorder="1" applyAlignment="1">
      <alignment horizontal="center" vertical="center"/>
    </xf>
    <xf numFmtId="0" fontId="4" fillId="0" borderId="11" xfId="3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96</xdr:row>
      <xdr:rowOff>9525</xdr:rowOff>
    </xdr:from>
    <xdr:to>
      <xdr:col>10</xdr:col>
      <xdr:colOff>1162050</xdr:colOff>
      <xdr:row>105</xdr:row>
      <xdr:rowOff>56721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8DF036-FAF8-41DB-9EF5-9BD8999A1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15477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48</xdr:row>
      <xdr:rowOff>9525</xdr:rowOff>
    </xdr:from>
    <xdr:to>
      <xdr:col>10</xdr:col>
      <xdr:colOff>1162050</xdr:colOff>
      <xdr:row>57</xdr:row>
      <xdr:rowOff>56721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9B7DC4-90C7-4018-A886-6A62DF3F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8215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10</xdr:col>
      <xdr:colOff>1162050</xdr:colOff>
      <xdr:row>9</xdr:row>
      <xdr:rowOff>56721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3EF08B-5ACF-4A3C-89E8-A5440E859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7DFA31F-9560-4F7F-959D-D07431574BC4}"/>
            </a:ext>
          </a:extLst>
        </xdr:cNvPr>
        <xdr:cNvCxnSpPr/>
      </xdr:nvCxnSpPr>
      <xdr:spPr>
        <a:xfrm>
          <a:off x="19050" y="2075497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F92E3C-5721-4567-ADF8-6896D51E2F04}"/>
            </a:ext>
          </a:extLst>
        </xdr:cNvPr>
        <xdr:cNvCxnSpPr/>
      </xdr:nvCxnSpPr>
      <xdr:spPr>
        <a:xfrm>
          <a:off x="19050" y="120967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6DA31DF-3D2B-464A-9C0E-937FEA59435D}"/>
            </a:ext>
          </a:extLst>
        </xdr:cNvPr>
        <xdr:cNvCxnSpPr/>
      </xdr:nvCxnSpPr>
      <xdr:spPr>
        <a:xfrm>
          <a:off x="19050" y="1078230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144</xdr:row>
      <xdr:rowOff>9525</xdr:rowOff>
    </xdr:from>
    <xdr:to>
      <xdr:col>10</xdr:col>
      <xdr:colOff>1162050</xdr:colOff>
      <xdr:row>153</xdr:row>
      <xdr:rowOff>56721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0D0419-0980-4A72-94E5-096EFBE93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72740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96</xdr:row>
      <xdr:rowOff>9525</xdr:rowOff>
    </xdr:from>
    <xdr:to>
      <xdr:col>10</xdr:col>
      <xdr:colOff>1162050</xdr:colOff>
      <xdr:row>105</xdr:row>
      <xdr:rowOff>56721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76D0B-52CE-4CF7-89CC-655AB44E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15477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48</xdr:row>
      <xdr:rowOff>9525</xdr:rowOff>
    </xdr:from>
    <xdr:to>
      <xdr:col>10</xdr:col>
      <xdr:colOff>1162050</xdr:colOff>
      <xdr:row>57</xdr:row>
      <xdr:rowOff>56721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8D182D-9C2A-4D3B-AB5A-7ED586A2C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8215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10</xdr:col>
      <xdr:colOff>1162050</xdr:colOff>
      <xdr:row>9</xdr:row>
      <xdr:rowOff>56721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C3FC4-2E14-43D7-88CE-94356DE34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E68617E-4944-456B-8038-20958410882A}"/>
            </a:ext>
          </a:extLst>
        </xdr:cNvPr>
        <xdr:cNvCxnSpPr/>
      </xdr:nvCxnSpPr>
      <xdr:spPr>
        <a:xfrm>
          <a:off x="19050" y="120967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DBB4797-3997-4B5D-9825-59F98590F961}"/>
            </a:ext>
          </a:extLst>
        </xdr:cNvPr>
        <xdr:cNvCxnSpPr/>
      </xdr:nvCxnSpPr>
      <xdr:spPr>
        <a:xfrm>
          <a:off x="19050" y="1078230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A6B4B2F-78DC-478F-B1EC-01EA19F50CF5}"/>
            </a:ext>
          </a:extLst>
        </xdr:cNvPr>
        <xdr:cNvCxnSpPr/>
      </xdr:nvCxnSpPr>
      <xdr:spPr>
        <a:xfrm>
          <a:off x="19050" y="2035492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150</xdr:row>
      <xdr:rowOff>47625</xdr:rowOff>
    </xdr:from>
    <xdr:to>
      <xdr:col>10</xdr:col>
      <xdr:colOff>1162050</xdr:colOff>
      <xdr:row>150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932B320-2EA1-45FF-B7B0-055D1855E4A9}"/>
            </a:ext>
          </a:extLst>
        </xdr:cNvPr>
        <xdr:cNvCxnSpPr/>
      </xdr:nvCxnSpPr>
      <xdr:spPr>
        <a:xfrm>
          <a:off x="19050" y="2035492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288</xdr:row>
      <xdr:rowOff>9525</xdr:rowOff>
    </xdr:from>
    <xdr:to>
      <xdr:col>10</xdr:col>
      <xdr:colOff>1162050</xdr:colOff>
      <xdr:row>297</xdr:row>
      <xdr:rowOff>56721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F6ED51-9E16-4FBD-8D99-7393CF55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744527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240</xdr:row>
      <xdr:rowOff>9525</xdr:rowOff>
    </xdr:from>
    <xdr:to>
      <xdr:col>10</xdr:col>
      <xdr:colOff>1162050</xdr:colOff>
      <xdr:row>249</xdr:row>
      <xdr:rowOff>56721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6C6627-4D39-4C89-9873-54950D0F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87265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192</xdr:row>
      <xdr:rowOff>9525</xdr:rowOff>
    </xdr:from>
    <xdr:to>
      <xdr:col>10</xdr:col>
      <xdr:colOff>1162050</xdr:colOff>
      <xdr:row>201</xdr:row>
      <xdr:rowOff>56721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2DCDF4-C75D-40D3-A52E-0556C2C8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30002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144</xdr:row>
      <xdr:rowOff>9525</xdr:rowOff>
    </xdr:from>
    <xdr:to>
      <xdr:col>10</xdr:col>
      <xdr:colOff>1162050</xdr:colOff>
      <xdr:row>153</xdr:row>
      <xdr:rowOff>56721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DEA0F-0A76-47E5-88CA-1FBE4D3A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72740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96</xdr:row>
      <xdr:rowOff>9525</xdr:rowOff>
    </xdr:from>
    <xdr:to>
      <xdr:col>10</xdr:col>
      <xdr:colOff>1162050</xdr:colOff>
      <xdr:row>105</xdr:row>
      <xdr:rowOff>56721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36B66B-22C5-4C0A-959F-841F5742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15477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48</xdr:row>
      <xdr:rowOff>9525</xdr:rowOff>
    </xdr:from>
    <xdr:to>
      <xdr:col>10</xdr:col>
      <xdr:colOff>1162050</xdr:colOff>
      <xdr:row>57</xdr:row>
      <xdr:rowOff>56721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7B5705-8E7A-4D59-8F10-7F19C746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82150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10</xdr:col>
      <xdr:colOff>1162050</xdr:colOff>
      <xdr:row>9</xdr:row>
      <xdr:rowOff>56721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ED5AB-D2A6-41DA-AF37-22813979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7800975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0029570-B6AC-466E-ADC5-6F09E1F9C91E}"/>
            </a:ext>
          </a:extLst>
        </xdr:cNvPr>
        <xdr:cNvCxnSpPr/>
      </xdr:nvCxnSpPr>
      <xdr:spPr>
        <a:xfrm>
          <a:off x="19050" y="120967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E58D640-E881-4915-9966-ABC027443FCE}"/>
            </a:ext>
          </a:extLst>
        </xdr:cNvPr>
        <xdr:cNvCxnSpPr/>
      </xdr:nvCxnSpPr>
      <xdr:spPr>
        <a:xfrm>
          <a:off x="19050" y="1078230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679CD07-AE13-460C-A658-E08E442C5D1B}"/>
            </a:ext>
          </a:extLst>
        </xdr:cNvPr>
        <xdr:cNvCxnSpPr/>
      </xdr:nvCxnSpPr>
      <xdr:spPr>
        <a:xfrm>
          <a:off x="19050" y="2035492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150</xdr:row>
      <xdr:rowOff>47625</xdr:rowOff>
    </xdr:from>
    <xdr:to>
      <xdr:col>10</xdr:col>
      <xdr:colOff>1162050</xdr:colOff>
      <xdr:row>150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44F6284-B0BC-4CB2-827F-08F96CFBF9B4}"/>
            </a:ext>
          </a:extLst>
        </xdr:cNvPr>
        <xdr:cNvCxnSpPr/>
      </xdr:nvCxnSpPr>
      <xdr:spPr>
        <a:xfrm>
          <a:off x="19050" y="2992755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198</xdr:row>
      <xdr:rowOff>47625</xdr:rowOff>
    </xdr:from>
    <xdr:to>
      <xdr:col>10</xdr:col>
      <xdr:colOff>1162050</xdr:colOff>
      <xdr:row>198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83FFB35-92E2-4B46-A8A3-587C69ACE835}"/>
            </a:ext>
          </a:extLst>
        </xdr:cNvPr>
        <xdr:cNvCxnSpPr/>
      </xdr:nvCxnSpPr>
      <xdr:spPr>
        <a:xfrm>
          <a:off x="19050" y="2992755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246</xdr:row>
      <xdr:rowOff>47625</xdr:rowOff>
    </xdr:from>
    <xdr:to>
      <xdr:col>10</xdr:col>
      <xdr:colOff>1162050</xdr:colOff>
      <xdr:row>246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E21ACA5-4196-4DC1-9F77-799427CA8BA3}"/>
            </a:ext>
          </a:extLst>
        </xdr:cNvPr>
        <xdr:cNvCxnSpPr/>
      </xdr:nvCxnSpPr>
      <xdr:spPr>
        <a:xfrm>
          <a:off x="19050" y="39500175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294</xdr:row>
      <xdr:rowOff>47625</xdr:rowOff>
    </xdr:from>
    <xdr:to>
      <xdr:col>10</xdr:col>
      <xdr:colOff>1162050</xdr:colOff>
      <xdr:row>294</xdr:row>
      <xdr:rowOff>47625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2AC614C-533B-49D3-AFAC-9B2763935C99}"/>
            </a:ext>
          </a:extLst>
        </xdr:cNvPr>
        <xdr:cNvCxnSpPr/>
      </xdr:nvCxnSpPr>
      <xdr:spPr>
        <a:xfrm>
          <a:off x="19050" y="49072800"/>
          <a:ext cx="78105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05E4-74B8-4A15-A8F8-0765525A603F}">
  <dimension ref="A4:L143"/>
  <sheetViews>
    <sheetView view="pageBreakPreview" topLeftCell="A121" zoomScaleNormal="100" zoomScaleSheetLayoutView="100" workbookViewId="0">
      <selection activeCell="K143" sqref="A97:K143"/>
    </sheetView>
  </sheetViews>
  <sheetFormatPr defaultRowHeight="15" x14ac:dyDescent="0.25"/>
  <cols>
    <col min="1" max="2" width="3.5703125" customWidth="1"/>
    <col min="3" max="3" width="5.140625" bestFit="1" customWidth="1"/>
    <col min="4" max="4" width="12.28515625" customWidth="1"/>
    <col min="5" max="5" width="1.85546875" customWidth="1"/>
    <col min="6" max="6" width="22.28515625" customWidth="1"/>
    <col min="7" max="7" width="1.140625" customWidth="1"/>
    <col min="8" max="8" width="18" customWidth="1"/>
    <col min="9" max="9" width="16.5703125" style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 x14ac:dyDescent="0.25">
      <c r="D4" s="3"/>
      <c r="E4" s="3"/>
      <c r="F4" s="3"/>
      <c r="G4" s="3"/>
    </row>
    <row r="5" spans="1:11" ht="15.75" x14ac:dyDescent="0.25">
      <c r="A5" s="2"/>
      <c r="B5" s="2"/>
      <c r="C5" s="2"/>
      <c r="D5" s="3"/>
      <c r="E5" s="3"/>
      <c r="F5" s="3"/>
      <c r="G5" s="3"/>
      <c r="H5" s="2"/>
      <c r="I5" s="4"/>
      <c r="J5" s="4"/>
      <c r="K5" s="5"/>
    </row>
    <row r="6" spans="1:11" x14ac:dyDescent="0.25">
      <c r="I6" s="5"/>
      <c r="J6" s="5"/>
      <c r="K6" s="5"/>
    </row>
    <row r="7" spans="1:11" x14ac:dyDescent="0.25">
      <c r="I7" s="5"/>
      <c r="J7" s="5"/>
      <c r="K7" s="5"/>
    </row>
    <row r="8" spans="1:11" x14ac:dyDescent="0.25">
      <c r="A8" s="71" t="s">
        <v>29</v>
      </c>
      <c r="B8" s="71"/>
      <c r="C8" s="71"/>
      <c r="D8" s="72"/>
      <c r="E8" s="72"/>
      <c r="F8" s="72"/>
      <c r="G8" s="72"/>
      <c r="H8" s="72"/>
      <c r="I8" s="72"/>
      <c r="J8" s="72"/>
      <c r="K8" s="72"/>
    </row>
    <row r="9" spans="1:11" x14ac:dyDescent="0.25">
      <c r="A9" s="72" t="s">
        <v>46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spans="1:11" x14ac:dyDescent="0.25">
      <c r="A10" s="72" t="s">
        <v>13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</row>
    <row r="11" spans="1:11" x14ac:dyDescent="0.25">
      <c r="A11" s="72" t="s">
        <v>45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</row>
    <row r="12" spans="1:11" x14ac:dyDescent="0.25">
      <c r="A12" s="72" t="s">
        <v>24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</row>
    <row r="13" spans="1:11" x14ac:dyDescent="0.25">
      <c r="A13" s="29"/>
      <c r="B13" s="29"/>
      <c r="C13" s="29"/>
      <c r="D13" s="7"/>
      <c r="E13" s="7"/>
      <c r="F13" s="7"/>
      <c r="G13" s="7"/>
      <c r="H13" s="6"/>
      <c r="I13" s="10"/>
      <c r="J13" s="10"/>
      <c r="K13" s="10"/>
    </row>
    <row r="14" spans="1:11" x14ac:dyDescent="0.25">
      <c r="A14" s="49" t="s">
        <v>18</v>
      </c>
      <c r="B14" s="49"/>
      <c r="C14" s="49"/>
      <c r="D14" s="49"/>
      <c r="E14" s="34" t="s">
        <v>12</v>
      </c>
      <c r="F14" s="8" t="s">
        <v>30</v>
      </c>
      <c r="I14" s="9"/>
      <c r="J14" s="9"/>
      <c r="K14" s="10"/>
    </row>
    <row r="15" spans="1:11" x14ac:dyDescent="0.25">
      <c r="A15" s="49" t="s">
        <v>19</v>
      </c>
      <c r="B15" s="49"/>
      <c r="C15" s="49"/>
      <c r="D15" s="49"/>
      <c r="E15" s="34" t="s">
        <v>12</v>
      </c>
      <c r="F15" s="8" t="s">
        <v>31</v>
      </c>
      <c r="I15" s="9"/>
      <c r="J15" s="9"/>
      <c r="K15" s="10"/>
    </row>
    <row r="16" spans="1:11" x14ac:dyDescent="0.25">
      <c r="A16" s="49" t="s">
        <v>20</v>
      </c>
      <c r="B16" s="49"/>
      <c r="C16" s="49"/>
      <c r="D16" s="49"/>
      <c r="E16" s="34" t="s">
        <v>12</v>
      </c>
      <c r="F16" s="41">
        <v>2026</v>
      </c>
      <c r="I16" s="9"/>
      <c r="J16" s="9"/>
      <c r="K16" s="10"/>
    </row>
    <row r="17" spans="1:11" x14ac:dyDescent="0.25">
      <c r="A17" s="49" t="s">
        <v>21</v>
      </c>
      <c r="B17" s="49"/>
      <c r="C17" s="49"/>
      <c r="D17" s="49"/>
      <c r="E17" s="34" t="s">
        <v>12</v>
      </c>
      <c r="F17" s="38">
        <f>J30</f>
        <v>460000</v>
      </c>
      <c r="I17" s="9"/>
      <c r="J17" s="9"/>
      <c r="K17" s="10"/>
    </row>
    <row r="18" spans="1:11" ht="15.75" x14ac:dyDescent="0.25">
      <c r="A18" s="8"/>
      <c r="B18" s="8"/>
      <c r="C18" s="8"/>
      <c r="D18" s="11" t="s">
        <v>0</v>
      </c>
      <c r="E18" s="34" t="s">
        <v>12</v>
      </c>
      <c r="F18" s="44" t="str">
        <f>PROPER(IF(F17=0,"nol",IF(F17&lt;0,"minus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17),"000000000000000"),1,3)=0,"",MID(TEXT(ABS(F17),"000000000000000"),1,1)&amp;" ratus "&amp;MID(TEXT(ABS(F17),"000000000000000"),2,1)&amp;" puluh "&amp;MID(TEXT(ABS(F17),"000000000000000"),3,1)&amp;" trilyun ")&amp;IF(--MID(TEXT(ABS(F17),"000000000000000"),4,3)=0,"",MID(TEXT(ABS(F17),"000000000000000"),4,1)&amp;" ratus "&amp;MID(TEXT(ABS(F17),"000000000000000"),5,1)&amp;" puluh "&amp;MID(TEXT(ABS(F17),"000000000000000"),6,1)&amp;" milyar ")&amp;IF(--MID(TEXT(ABS(F17),"000000000000000"),7,3)=0,"",MID(TEXT(ABS(F17),"000000000000000"),7,1)&amp;" ratus "&amp;MID(TEXT(ABS(F17),"000000000000000"),8,1)&amp;" puluh "&amp;MID(TEXT(ABS(F17),"000000000000000"),9,1)&amp;" juta ")&amp;IF(--MID(TEXT(ABS(F17),"000000000000000"),10,3)=0,"",IF(--MID(TEXT(ABS(F17),"000000000000000"),10,3)=1,"*",MID(TEXT(ABS(F17),"000000000000000"),10,1)&amp;" ratus "&amp;MID(TEXT(ABS(F17),"000000000000000"),11,1)&amp;" puluh ")&amp;MID(TEXT(ABS(F17),"000000000000000"),12,1)&amp;" ribu ")&amp;IF(--MID(TEXT(ABS(F17),"000000000000000"),13,3)=0,"",MID(TEXT(ABS(F17),"000000000000000"),13,1)&amp;" ratus "&amp;MID(TEXT(ABS(F17),"000000000000000"),14,1)&amp;" puluh "&amp;MID(TEXT(ABS(F17),"000000000000000"),15,1)),1,"satu"),2,"dua"),3,"tiga"),4,"empat"),5,"lima"),6,"enam"),7,"tujuh"),8,"delapan"),9,"sembilan"),"0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Enam Puluh Ribu Rupiah</v>
      </c>
      <c r="I18" s="9"/>
      <c r="J18" s="9"/>
      <c r="K18" s="10"/>
    </row>
    <row r="19" spans="1:11" ht="15.75" x14ac:dyDescent="0.25">
      <c r="A19" s="8"/>
      <c r="B19" s="8"/>
      <c r="C19" s="8"/>
      <c r="D19" s="11"/>
      <c r="E19" s="11"/>
      <c r="F19" s="11"/>
      <c r="G19" s="34"/>
      <c r="H19" s="44"/>
      <c r="I19" s="9"/>
      <c r="J19" s="9"/>
      <c r="K19" s="10"/>
    </row>
    <row r="20" spans="1:11" x14ac:dyDescent="0.25">
      <c r="A20" s="8" t="s">
        <v>1</v>
      </c>
      <c r="B20" s="8"/>
      <c r="C20" s="8"/>
      <c r="D20" s="8"/>
      <c r="E20" s="8"/>
      <c r="F20" s="8"/>
      <c r="G20" s="8"/>
      <c r="H20" s="8"/>
      <c r="I20" s="9"/>
      <c r="J20" s="9"/>
      <c r="K20" s="10"/>
    </row>
    <row r="21" spans="1:11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ht="45" x14ac:dyDescent="0.25">
      <c r="A22" s="12" t="s">
        <v>3</v>
      </c>
      <c r="B22" s="60" t="s">
        <v>22</v>
      </c>
      <c r="C22" s="61"/>
      <c r="D22" s="62" t="s">
        <v>4</v>
      </c>
      <c r="E22" s="63"/>
      <c r="F22" s="64"/>
      <c r="G22" s="43"/>
      <c r="H22" s="35" t="s">
        <v>5</v>
      </c>
      <c r="I22" s="13" t="s">
        <v>17</v>
      </c>
      <c r="J22" s="14" t="s">
        <v>6</v>
      </c>
      <c r="K22" s="15" t="s">
        <v>7</v>
      </c>
    </row>
    <row r="23" spans="1:11" x14ac:dyDescent="0.25">
      <c r="A23" s="56">
        <v>1</v>
      </c>
      <c r="B23" s="50"/>
      <c r="C23" s="50"/>
      <c r="D23" s="65" t="s">
        <v>42</v>
      </c>
      <c r="E23" s="66"/>
      <c r="F23" s="67"/>
      <c r="G23" s="45"/>
      <c r="H23" s="52" t="s">
        <v>28</v>
      </c>
      <c r="I23" s="52" t="s">
        <v>28</v>
      </c>
      <c r="J23" s="52" t="s">
        <v>28</v>
      </c>
      <c r="K23" s="52" t="s">
        <v>28</v>
      </c>
    </row>
    <row r="24" spans="1:11" x14ac:dyDescent="0.25">
      <c r="A24" s="46"/>
      <c r="B24" s="57" t="s">
        <v>23</v>
      </c>
      <c r="C24" s="50"/>
      <c r="D24" s="68" t="s">
        <v>32</v>
      </c>
      <c r="E24" s="69"/>
      <c r="F24" s="70"/>
      <c r="G24" s="45"/>
      <c r="H24" s="52" t="s">
        <v>28</v>
      </c>
      <c r="I24" s="52" t="s">
        <v>28</v>
      </c>
      <c r="J24" s="52" t="s">
        <v>28</v>
      </c>
      <c r="K24" s="52" t="s">
        <v>28</v>
      </c>
    </row>
    <row r="25" spans="1:11" x14ac:dyDescent="0.25">
      <c r="A25" s="46"/>
      <c r="B25" s="46"/>
      <c r="C25" s="46" t="s">
        <v>37</v>
      </c>
      <c r="D25" s="54" t="s">
        <v>33</v>
      </c>
      <c r="E25" s="55"/>
      <c r="F25" s="53"/>
      <c r="G25" s="45"/>
      <c r="H25" s="48">
        <v>25000000</v>
      </c>
      <c r="I25" s="39">
        <v>0</v>
      </c>
      <c r="J25" s="39">
        <v>0</v>
      </c>
      <c r="K25" s="40">
        <f t="shared" ref="K25:K29" si="0">H25-I25-J25</f>
        <v>25000000</v>
      </c>
    </row>
    <row r="26" spans="1:11" x14ac:dyDescent="0.25">
      <c r="A26" s="46"/>
      <c r="B26" s="46"/>
      <c r="C26" s="46" t="s">
        <v>38</v>
      </c>
      <c r="D26" s="54" t="s">
        <v>34</v>
      </c>
      <c r="E26" s="55"/>
      <c r="F26" s="53"/>
      <c r="G26" s="45"/>
      <c r="H26" s="47">
        <v>3000000</v>
      </c>
      <c r="I26" s="39">
        <v>0</v>
      </c>
      <c r="J26" s="39">
        <v>0</v>
      </c>
      <c r="K26" s="40">
        <f t="shared" si="0"/>
        <v>3000000</v>
      </c>
    </row>
    <row r="27" spans="1:11" x14ac:dyDescent="0.25">
      <c r="A27" s="46"/>
      <c r="B27" s="46"/>
      <c r="C27" s="46" t="s">
        <v>39</v>
      </c>
      <c r="D27" s="54" t="s">
        <v>35</v>
      </c>
      <c r="E27" s="55"/>
      <c r="F27" s="53"/>
      <c r="G27" s="45"/>
      <c r="H27" s="47">
        <v>58710000</v>
      </c>
      <c r="I27" s="39">
        <v>0</v>
      </c>
      <c r="J27" s="39">
        <v>460000</v>
      </c>
      <c r="K27" s="40">
        <f t="shared" si="0"/>
        <v>58250000</v>
      </c>
    </row>
    <row r="28" spans="1:11" x14ac:dyDescent="0.25">
      <c r="A28" s="46"/>
      <c r="B28" s="46"/>
      <c r="C28" s="46" t="s">
        <v>40</v>
      </c>
      <c r="D28" s="54" t="s">
        <v>36</v>
      </c>
      <c r="E28" s="55"/>
      <c r="F28" s="53"/>
      <c r="G28" s="45"/>
      <c r="H28" s="48">
        <v>20000000</v>
      </c>
      <c r="I28" s="39">
        <v>0</v>
      </c>
      <c r="J28" s="39">
        <v>0</v>
      </c>
      <c r="K28" s="40">
        <f t="shared" si="0"/>
        <v>20000000</v>
      </c>
    </row>
    <row r="29" spans="1:11" x14ac:dyDescent="0.25">
      <c r="A29" s="46"/>
      <c r="B29" s="46"/>
      <c r="C29" s="46" t="s">
        <v>41</v>
      </c>
      <c r="D29" s="54" t="s">
        <v>43</v>
      </c>
      <c r="E29" s="55"/>
      <c r="F29" s="53"/>
      <c r="G29" s="45"/>
      <c r="H29" s="47">
        <v>10000000</v>
      </c>
      <c r="I29" s="39">
        <v>0</v>
      </c>
      <c r="J29" s="39">
        <v>0</v>
      </c>
      <c r="K29" s="40">
        <f t="shared" si="0"/>
        <v>10000000</v>
      </c>
    </row>
    <row r="30" spans="1:11" x14ac:dyDescent="0.25">
      <c r="A30" s="16"/>
      <c r="B30" s="16"/>
      <c r="C30" s="16"/>
      <c r="D30" s="17" t="s">
        <v>8</v>
      </c>
      <c r="E30" s="17"/>
      <c r="F30" s="17"/>
      <c r="G30" s="37"/>
      <c r="H30" s="36">
        <f>SUM(H23:H29)</f>
        <v>116710000</v>
      </c>
      <c r="I30" s="18">
        <f>SUM(I24:I29)</f>
        <v>0</v>
      </c>
      <c r="J30" s="18">
        <f>SUM(J24:J29)</f>
        <v>460000</v>
      </c>
      <c r="K30" s="18">
        <f>SUM(K24:K29)</f>
        <v>116250000</v>
      </c>
    </row>
    <row r="31" spans="1:11" x14ac:dyDescent="0.25">
      <c r="A31" s="19"/>
      <c r="B31" s="51"/>
      <c r="C31" s="51"/>
      <c r="D31" s="6"/>
      <c r="E31" s="6"/>
      <c r="F31" s="6"/>
      <c r="G31" s="6"/>
      <c r="H31" s="20"/>
      <c r="I31" s="20"/>
      <c r="J31" s="20"/>
      <c r="K31" s="20"/>
    </row>
    <row r="32" spans="1:11" x14ac:dyDescent="0.25">
      <c r="A32" s="58" t="s">
        <v>14</v>
      </c>
      <c r="B32" s="58"/>
      <c r="C32" s="58"/>
      <c r="D32" s="58"/>
      <c r="E32" s="30" t="s">
        <v>12</v>
      </c>
      <c r="F32" s="38">
        <f>J30</f>
        <v>460000</v>
      </c>
      <c r="G32" s="33"/>
      <c r="H32" s="21"/>
      <c r="I32" s="21"/>
      <c r="J32" s="10"/>
      <c r="K32" s="10"/>
    </row>
    <row r="33" spans="1:11" x14ac:dyDescent="0.25">
      <c r="A33" s="8" t="s">
        <v>9</v>
      </c>
      <c r="B33" s="8"/>
      <c r="C33" s="8"/>
      <c r="D33" s="8"/>
      <c r="E33" s="30" t="s">
        <v>12</v>
      </c>
      <c r="F33" s="31"/>
      <c r="G33" s="31"/>
      <c r="H33" s="22"/>
      <c r="I33" s="9"/>
      <c r="J33" s="10"/>
      <c r="K33" s="10"/>
    </row>
    <row r="34" spans="1:11" x14ac:dyDescent="0.25">
      <c r="A34" s="8" t="s">
        <v>16</v>
      </c>
      <c r="B34" s="8"/>
      <c r="C34" s="8"/>
      <c r="D34" s="8"/>
      <c r="E34" s="30" t="s">
        <v>12</v>
      </c>
      <c r="F34" s="32"/>
      <c r="G34" s="32"/>
      <c r="H34" s="22"/>
      <c r="I34" s="9"/>
      <c r="J34" s="10"/>
      <c r="K34" s="10"/>
    </row>
    <row r="35" spans="1:11" x14ac:dyDescent="0.25">
      <c r="A35" s="8" t="s">
        <v>10</v>
      </c>
      <c r="B35" s="8"/>
      <c r="C35" s="8"/>
      <c r="D35" s="8"/>
      <c r="E35" s="30" t="s">
        <v>12</v>
      </c>
      <c r="F35" s="32">
        <f>F33+F34</f>
        <v>0</v>
      </c>
      <c r="G35" s="32"/>
      <c r="H35" s="8"/>
      <c r="I35" s="9"/>
      <c r="J35" s="23"/>
      <c r="K35" s="24"/>
    </row>
    <row r="36" spans="1:11" x14ac:dyDescent="0.25">
      <c r="A36" s="41"/>
      <c r="B36" s="41"/>
      <c r="C36" s="41"/>
      <c r="D36" s="41"/>
      <c r="E36" s="30"/>
      <c r="F36" s="41"/>
      <c r="G36" s="41"/>
      <c r="H36" s="8"/>
      <c r="I36" s="9"/>
      <c r="J36" s="23"/>
      <c r="K36" s="24"/>
    </row>
    <row r="37" spans="1:11" x14ac:dyDescent="0.25">
      <c r="A37" s="58" t="s">
        <v>15</v>
      </c>
      <c r="B37" s="58"/>
      <c r="C37" s="58"/>
      <c r="D37" s="58"/>
      <c r="E37" s="30" t="s">
        <v>12</v>
      </c>
      <c r="F37" s="33">
        <f>F32-F35</f>
        <v>460000</v>
      </c>
      <c r="G37" s="33"/>
      <c r="H37" s="8"/>
      <c r="I37" s="9"/>
      <c r="J37" s="23"/>
      <c r="K37" s="24"/>
    </row>
    <row r="38" spans="1:11" ht="15.75" x14ac:dyDescent="0.25">
      <c r="A38" s="41"/>
      <c r="B38" s="41"/>
      <c r="C38" s="41"/>
      <c r="D38" s="8"/>
      <c r="E38" s="8"/>
      <c r="F38" s="44" t="str">
        <f>PROPER(IF(F37=0,"nol",IF(F37&lt;0,"minus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37),"000000000000000"),1,3)=0,"",MID(TEXT(ABS(F37),"000000000000000"),1,1)&amp;" ratus "&amp;MID(TEXT(ABS(F37),"000000000000000"),2,1)&amp;" puluh "&amp;MID(TEXT(ABS(F37),"000000000000000"),3,1)&amp;" trilyun ")&amp;IF(--MID(TEXT(ABS(F37),"000000000000000"),4,3)=0,"",MID(TEXT(ABS(F37),"000000000000000"),4,1)&amp;" ratus "&amp;MID(TEXT(ABS(F37),"000000000000000"),5,1)&amp;" puluh "&amp;MID(TEXT(ABS(F37),"000000000000000"),6,1)&amp;" milyar ")&amp;IF(--MID(TEXT(ABS(F37),"000000000000000"),7,3)=0,"",MID(TEXT(ABS(F37),"000000000000000"),7,1)&amp;" ratus "&amp;MID(TEXT(ABS(F37),"000000000000000"),8,1)&amp;" puluh "&amp;MID(TEXT(ABS(F37),"000000000000000"),9,1)&amp;" juta ")&amp;IF(--MID(TEXT(ABS(F37),"000000000000000"),10,3)=0,"",IF(--MID(TEXT(ABS(F37),"000000000000000"),10,3)=1,"*",MID(TEXT(ABS(F37),"000000000000000"),10,1)&amp;" ratus "&amp;MID(TEXT(ABS(F37),"000000000000000"),11,1)&amp;" puluh ")&amp;MID(TEXT(ABS(F37),"000000000000000"),12,1)&amp;" ribu ")&amp;IF(--MID(TEXT(ABS(F37),"000000000000000"),13,3)=0,"",MID(TEXT(ABS(F37),"000000000000000"),13,1)&amp;" ratus "&amp;MID(TEXT(ABS(F37),"000000000000000"),14,1)&amp;" puluh "&amp;MID(TEXT(ABS(F37),"000000000000000"),15,1)),1,"satu"),2,"dua"),3,"tiga"),4,"empat"),5,"lima"),6,"enam"),7,"tujuh"),8,"delapan"),9,"sembilan"),"0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Enam Puluh Ribu Rupiah</v>
      </c>
      <c r="G38" s="8"/>
      <c r="H38" s="8"/>
      <c r="I38" s="8"/>
      <c r="J38" s="23"/>
      <c r="K38" s="24"/>
    </row>
    <row r="39" spans="1:11" x14ac:dyDescent="0.25">
      <c r="A39" s="26"/>
      <c r="B39" s="26"/>
      <c r="C39" s="26"/>
      <c r="D39" s="26"/>
      <c r="E39" s="26"/>
      <c r="F39" s="26"/>
      <c r="G39" s="26"/>
      <c r="H39" s="25"/>
      <c r="I39" s="24"/>
      <c r="J39" s="23"/>
      <c r="K39" s="24"/>
    </row>
    <row r="40" spans="1:11" x14ac:dyDescent="0.25">
      <c r="A40" s="25"/>
      <c r="B40" s="25"/>
      <c r="C40" s="25"/>
      <c r="D40" s="25"/>
      <c r="E40" s="25"/>
      <c r="F40" s="25"/>
      <c r="G40" s="25"/>
      <c r="H40" s="25"/>
      <c r="I40"/>
      <c r="J40" s="24"/>
      <c r="K40" s="24"/>
    </row>
    <row r="41" spans="1:11" x14ac:dyDescent="0.25">
      <c r="A41" s="41"/>
      <c r="B41" s="41"/>
      <c r="C41" s="41"/>
      <c r="D41" s="8"/>
      <c r="E41" s="8"/>
      <c r="F41" s="8"/>
      <c r="G41" s="8"/>
      <c r="H41" s="8"/>
      <c r="J41" s="42" t="s">
        <v>47</v>
      </c>
      <c r="K41" s="24"/>
    </row>
    <row r="42" spans="1:11" x14ac:dyDescent="0.25">
      <c r="A42" s="9" t="s">
        <v>26</v>
      </c>
      <c r="B42" s="9"/>
      <c r="C42" s="9"/>
      <c r="D42" s="8"/>
      <c r="E42" s="8"/>
      <c r="F42" s="8"/>
      <c r="G42" s="8"/>
      <c r="H42" s="8"/>
      <c r="J42" s="9" t="s">
        <v>25</v>
      </c>
      <c r="K42" s="24"/>
    </row>
    <row r="43" spans="1:11" x14ac:dyDescent="0.25">
      <c r="A43" s="8"/>
      <c r="B43" s="8"/>
      <c r="C43" s="8"/>
      <c r="D43" s="8"/>
      <c r="E43" s="8"/>
      <c r="F43" s="8"/>
      <c r="G43" s="8"/>
      <c r="H43" s="8"/>
      <c r="J43" s="9"/>
      <c r="K43" s="24"/>
    </row>
    <row r="44" spans="1:11" x14ac:dyDescent="0.25">
      <c r="A44" s="8"/>
      <c r="B44" s="8"/>
      <c r="C44" s="8"/>
      <c r="D44" s="8"/>
      <c r="E44" s="8"/>
      <c r="F44" s="8"/>
      <c r="G44" s="8"/>
      <c r="H44" s="8"/>
      <c r="J44" s="9"/>
      <c r="K44" s="24"/>
    </row>
    <row r="45" spans="1:11" x14ac:dyDescent="0.25">
      <c r="A45" s="8"/>
      <c r="B45" s="8"/>
      <c r="C45" s="8"/>
      <c r="D45" s="8"/>
      <c r="E45" s="8"/>
      <c r="F45" s="8"/>
      <c r="G45" s="8"/>
      <c r="H45" s="8"/>
      <c r="J45" s="9"/>
      <c r="K45" s="24"/>
    </row>
    <row r="46" spans="1:11" x14ac:dyDescent="0.25">
      <c r="A46" s="8"/>
      <c r="B46" s="8"/>
      <c r="C46" s="8"/>
      <c r="D46" s="8"/>
      <c r="E46" s="8"/>
      <c r="F46" s="8"/>
      <c r="G46" s="8"/>
      <c r="H46" s="8"/>
      <c r="J46" s="9"/>
      <c r="K46" s="24"/>
    </row>
    <row r="47" spans="1:11" x14ac:dyDescent="0.25">
      <c r="A47" s="28" t="s">
        <v>44</v>
      </c>
      <c r="B47" s="28"/>
      <c r="C47" s="28"/>
      <c r="D47" s="27"/>
      <c r="E47" s="27"/>
      <c r="F47" s="27"/>
      <c r="G47" s="27"/>
      <c r="H47" s="8" t="s">
        <v>11</v>
      </c>
      <c r="J47" s="28" t="s">
        <v>27</v>
      </c>
      <c r="K47" s="24"/>
    </row>
    <row r="52" spans="1:11" ht="15.75" x14ac:dyDescent="0.25">
      <c r="D52" s="3"/>
      <c r="E52" s="3"/>
      <c r="F52" s="3"/>
      <c r="G52" s="3"/>
    </row>
    <row r="53" spans="1:11" ht="15.75" x14ac:dyDescent="0.25">
      <c r="A53" s="2"/>
      <c r="B53" s="2"/>
      <c r="C53" s="2"/>
      <c r="D53" s="3"/>
      <c r="E53" s="3"/>
      <c r="F53" s="3"/>
      <c r="G53" s="3"/>
      <c r="H53" s="2"/>
      <c r="I53" s="4"/>
      <c r="J53" s="4"/>
      <c r="K53" s="5"/>
    </row>
    <row r="54" spans="1:11" x14ac:dyDescent="0.25">
      <c r="I54" s="5"/>
      <c r="J54" s="5"/>
      <c r="K54" s="5"/>
    </row>
    <row r="55" spans="1:11" x14ac:dyDescent="0.25">
      <c r="I55" s="5"/>
      <c r="J55" s="5"/>
      <c r="K55" s="5"/>
    </row>
    <row r="56" spans="1:11" x14ac:dyDescent="0.25">
      <c r="A56" s="71" t="s">
        <v>29</v>
      </c>
      <c r="B56" s="71"/>
      <c r="C56" s="71"/>
      <c r="D56" s="72"/>
      <c r="E56" s="72"/>
      <c r="F56" s="72"/>
      <c r="G56" s="72"/>
      <c r="H56" s="72"/>
      <c r="I56" s="72"/>
      <c r="J56" s="72"/>
      <c r="K56" s="72"/>
    </row>
    <row r="57" spans="1:11" x14ac:dyDescent="0.25">
      <c r="A57" s="72" t="s">
        <v>48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</row>
    <row r="58" spans="1:11" x14ac:dyDescent="0.25">
      <c r="A58" s="72" t="s">
        <v>13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</row>
    <row r="59" spans="1:11" x14ac:dyDescent="0.25">
      <c r="A59" s="72" t="s">
        <v>45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</row>
    <row r="60" spans="1:11" x14ac:dyDescent="0.25">
      <c r="A60" s="72" t="s">
        <v>24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</row>
    <row r="61" spans="1:11" x14ac:dyDescent="0.25">
      <c r="A61" s="29"/>
      <c r="B61" s="29"/>
      <c r="C61" s="29"/>
      <c r="D61" s="7"/>
      <c r="E61" s="7"/>
      <c r="F61" s="7"/>
      <c r="G61" s="7"/>
      <c r="H61" s="6"/>
      <c r="I61" s="10"/>
      <c r="J61" s="10"/>
      <c r="K61" s="10"/>
    </row>
    <row r="62" spans="1:11" x14ac:dyDescent="0.25">
      <c r="A62" s="49" t="s">
        <v>18</v>
      </c>
      <c r="B62" s="49"/>
      <c r="C62" s="49"/>
      <c r="D62" s="49"/>
      <c r="E62" s="34" t="s">
        <v>12</v>
      </c>
      <c r="F62" s="8" t="s">
        <v>30</v>
      </c>
      <c r="I62" s="9"/>
      <c r="J62" s="9"/>
      <c r="K62" s="10"/>
    </row>
    <row r="63" spans="1:11" x14ac:dyDescent="0.25">
      <c r="A63" s="49" t="s">
        <v>19</v>
      </c>
      <c r="B63" s="49"/>
      <c r="C63" s="49"/>
      <c r="D63" s="49"/>
      <c r="E63" s="34" t="s">
        <v>12</v>
      </c>
      <c r="F63" s="8" t="s">
        <v>31</v>
      </c>
      <c r="I63" s="9"/>
      <c r="J63" s="9"/>
      <c r="K63" s="10"/>
    </row>
    <row r="64" spans="1:11" x14ac:dyDescent="0.25">
      <c r="A64" s="49" t="s">
        <v>20</v>
      </c>
      <c r="B64" s="49"/>
      <c r="C64" s="49"/>
      <c r="D64" s="49"/>
      <c r="E64" s="34" t="s">
        <v>12</v>
      </c>
      <c r="F64" s="41">
        <v>2026</v>
      </c>
      <c r="I64" s="9"/>
      <c r="J64" s="9"/>
      <c r="K64" s="10"/>
    </row>
    <row r="65" spans="1:11" x14ac:dyDescent="0.25">
      <c r="A65" s="49" t="s">
        <v>21</v>
      </c>
      <c r="B65" s="49"/>
      <c r="C65" s="49"/>
      <c r="D65" s="49"/>
      <c r="E65" s="34" t="s">
        <v>12</v>
      </c>
      <c r="F65" s="38">
        <f>J78</f>
        <v>80000</v>
      </c>
      <c r="I65" s="9"/>
      <c r="J65" s="9"/>
      <c r="K65" s="10"/>
    </row>
    <row r="66" spans="1:11" ht="15.75" x14ac:dyDescent="0.25">
      <c r="A66" s="8"/>
      <c r="B66" s="8"/>
      <c r="C66" s="8"/>
      <c r="D66" s="11" t="s">
        <v>0</v>
      </c>
      <c r="E66" s="34" t="s">
        <v>12</v>
      </c>
      <c r="F66" s="44" t="str">
        <f>PROPER(IF(F65=0,"nol",IF(F65&lt;0,"minus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65),"000000000000000"),1,3)=0,"",MID(TEXT(ABS(F65),"000000000000000"),1,1)&amp;" ratus "&amp;MID(TEXT(ABS(F65),"000000000000000"),2,1)&amp;" puluh "&amp;MID(TEXT(ABS(F65),"000000000000000"),3,1)&amp;" trilyun ")&amp;IF(--MID(TEXT(ABS(F65),"000000000000000"),4,3)=0,"",MID(TEXT(ABS(F65),"000000000000000"),4,1)&amp;" ratus "&amp;MID(TEXT(ABS(F65),"000000000000000"),5,1)&amp;" puluh "&amp;MID(TEXT(ABS(F65),"000000000000000"),6,1)&amp;" milyar ")&amp;IF(--MID(TEXT(ABS(F65),"000000000000000"),7,3)=0,"",MID(TEXT(ABS(F65),"000000000000000"),7,1)&amp;" ratus "&amp;MID(TEXT(ABS(F65),"000000000000000"),8,1)&amp;" puluh "&amp;MID(TEXT(ABS(F65),"000000000000000"),9,1)&amp;" juta ")&amp;IF(--MID(TEXT(ABS(F65),"000000000000000"),10,3)=0,"",IF(--MID(TEXT(ABS(F65),"000000000000000"),10,3)=1,"*",MID(TEXT(ABS(F65),"000000000000000"),10,1)&amp;" ratus "&amp;MID(TEXT(ABS(F65),"000000000000000"),11,1)&amp;" puluh ")&amp;MID(TEXT(ABS(F65),"000000000000000"),12,1)&amp;" ribu ")&amp;IF(--MID(TEXT(ABS(F65),"000000000000000"),13,3)=0,"",MID(TEXT(ABS(F65),"000000000000000"),13,1)&amp;" ratus "&amp;MID(TEXT(ABS(F65),"000000000000000"),14,1)&amp;" puluh "&amp;MID(TEXT(ABS(F65),"000000000000000"),15,1)),1,"satu"),2,"dua"),3,"tiga"),4,"empat"),5,"lima"),6,"enam"),7,"tujuh"),8,"delapan"),9,"sembilan"),"0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I66" s="9"/>
      <c r="J66" s="9"/>
      <c r="K66" s="10"/>
    </row>
    <row r="67" spans="1:11" ht="15.75" x14ac:dyDescent="0.25">
      <c r="A67" s="8"/>
      <c r="B67" s="8"/>
      <c r="C67" s="8"/>
      <c r="D67" s="11"/>
      <c r="E67" s="11"/>
      <c r="F67" s="11"/>
      <c r="G67" s="34"/>
      <c r="H67" s="44"/>
      <c r="I67" s="9"/>
      <c r="J67" s="9"/>
      <c r="K67" s="10"/>
    </row>
    <row r="68" spans="1:11" x14ac:dyDescent="0.25">
      <c r="A68" s="8" t="s">
        <v>1</v>
      </c>
      <c r="B68" s="8"/>
      <c r="C68" s="8"/>
      <c r="D68" s="8"/>
      <c r="E68" s="8"/>
      <c r="F68" s="8"/>
      <c r="G68" s="8"/>
      <c r="H68" s="8"/>
      <c r="I68" s="9"/>
      <c r="J68" s="9"/>
      <c r="K68" s="10"/>
    </row>
    <row r="69" spans="1:11" x14ac:dyDescent="0.25">
      <c r="A69" s="59" t="s">
        <v>2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45" x14ac:dyDescent="0.25">
      <c r="A70" s="12" t="s">
        <v>3</v>
      </c>
      <c r="B70" s="60" t="s">
        <v>22</v>
      </c>
      <c r="C70" s="61"/>
      <c r="D70" s="62" t="s">
        <v>4</v>
      </c>
      <c r="E70" s="63"/>
      <c r="F70" s="64"/>
      <c r="G70" s="43"/>
      <c r="H70" s="35" t="s">
        <v>5</v>
      </c>
      <c r="I70" s="13" t="s">
        <v>17</v>
      </c>
      <c r="J70" s="14" t="s">
        <v>6</v>
      </c>
      <c r="K70" s="15" t="s">
        <v>7</v>
      </c>
    </row>
    <row r="71" spans="1:11" x14ac:dyDescent="0.25">
      <c r="A71" s="56">
        <v>1</v>
      </c>
      <c r="B71" s="50"/>
      <c r="C71" s="50"/>
      <c r="D71" s="65" t="s">
        <v>42</v>
      </c>
      <c r="E71" s="66"/>
      <c r="F71" s="67"/>
      <c r="G71" s="45"/>
      <c r="H71" s="52" t="s">
        <v>28</v>
      </c>
      <c r="I71" s="52" t="s">
        <v>28</v>
      </c>
      <c r="J71" s="52" t="s">
        <v>28</v>
      </c>
      <c r="K71" s="52" t="s">
        <v>28</v>
      </c>
    </row>
    <row r="72" spans="1:11" x14ac:dyDescent="0.25">
      <c r="A72" s="46"/>
      <c r="B72" s="57" t="s">
        <v>23</v>
      </c>
      <c r="C72" s="50"/>
      <c r="D72" s="68" t="s">
        <v>32</v>
      </c>
      <c r="E72" s="69"/>
      <c r="F72" s="70"/>
      <c r="G72" s="45"/>
      <c r="H72" s="52" t="s">
        <v>28</v>
      </c>
      <c r="I72" s="52" t="s">
        <v>28</v>
      </c>
      <c r="J72" s="52" t="s">
        <v>28</v>
      </c>
      <c r="K72" s="52" t="s">
        <v>28</v>
      </c>
    </row>
    <row r="73" spans="1:11" x14ac:dyDescent="0.25">
      <c r="A73" s="46"/>
      <c r="B73" s="46"/>
      <c r="C73" s="46" t="s">
        <v>37</v>
      </c>
      <c r="D73" s="54" t="s">
        <v>33</v>
      </c>
      <c r="E73" s="55"/>
      <c r="F73" s="53"/>
      <c r="G73" s="45"/>
      <c r="H73" s="48">
        <v>25000000</v>
      </c>
      <c r="I73" s="39">
        <f>I25+J25</f>
        <v>0</v>
      </c>
      <c r="J73" s="39">
        <v>0</v>
      </c>
      <c r="K73" s="40">
        <f t="shared" ref="K73:K77" si="1">H73-I73-J73</f>
        <v>25000000</v>
      </c>
    </row>
    <row r="74" spans="1:11" x14ac:dyDescent="0.25">
      <c r="A74" s="46"/>
      <c r="B74" s="46"/>
      <c r="C74" s="46" t="s">
        <v>38</v>
      </c>
      <c r="D74" s="54" t="s">
        <v>34</v>
      </c>
      <c r="E74" s="55"/>
      <c r="F74" s="53"/>
      <c r="G74" s="45"/>
      <c r="H74" s="47">
        <v>3000000</v>
      </c>
      <c r="I74" s="39">
        <f t="shared" ref="I74:I77" si="2">I26+J26</f>
        <v>0</v>
      </c>
      <c r="J74" s="39">
        <v>0</v>
      </c>
      <c r="K74" s="40">
        <f t="shared" si="1"/>
        <v>3000000</v>
      </c>
    </row>
    <row r="75" spans="1:11" x14ac:dyDescent="0.25">
      <c r="A75" s="46"/>
      <c r="B75" s="46"/>
      <c r="C75" s="46" t="s">
        <v>39</v>
      </c>
      <c r="D75" s="54" t="s">
        <v>35</v>
      </c>
      <c r="E75" s="55"/>
      <c r="F75" s="53"/>
      <c r="G75" s="45"/>
      <c r="H75" s="47">
        <v>58710000</v>
      </c>
      <c r="I75" s="39">
        <f t="shared" si="2"/>
        <v>460000</v>
      </c>
      <c r="J75" s="39">
        <v>0</v>
      </c>
      <c r="K75" s="40">
        <f t="shared" si="1"/>
        <v>58250000</v>
      </c>
    </row>
    <row r="76" spans="1:11" x14ac:dyDescent="0.25">
      <c r="A76" s="46"/>
      <c r="B76" s="46"/>
      <c r="C76" s="46" t="s">
        <v>40</v>
      </c>
      <c r="D76" s="54" t="s">
        <v>36</v>
      </c>
      <c r="E76" s="55"/>
      <c r="F76" s="53"/>
      <c r="G76" s="45"/>
      <c r="H76" s="48">
        <v>20000000</v>
      </c>
      <c r="I76" s="39">
        <f t="shared" si="2"/>
        <v>0</v>
      </c>
      <c r="J76" s="39">
        <v>0</v>
      </c>
      <c r="K76" s="40">
        <f t="shared" si="1"/>
        <v>20000000</v>
      </c>
    </row>
    <row r="77" spans="1:11" x14ac:dyDescent="0.25">
      <c r="A77" s="46"/>
      <c r="B77" s="46"/>
      <c r="C77" s="46" t="s">
        <v>41</v>
      </c>
      <c r="D77" s="54" t="s">
        <v>43</v>
      </c>
      <c r="E77" s="55"/>
      <c r="F77" s="53"/>
      <c r="G77" s="45"/>
      <c r="H77" s="47">
        <v>10000000</v>
      </c>
      <c r="I77" s="39">
        <f t="shared" si="2"/>
        <v>0</v>
      </c>
      <c r="J77" s="39">
        <v>80000</v>
      </c>
      <c r="K77" s="40">
        <f t="shared" si="1"/>
        <v>9920000</v>
      </c>
    </row>
    <row r="78" spans="1:11" x14ac:dyDescent="0.25">
      <c r="A78" s="16"/>
      <c r="B78" s="16"/>
      <c r="C78" s="16"/>
      <c r="D78" s="17" t="s">
        <v>8</v>
      </c>
      <c r="E78" s="17"/>
      <c r="F78" s="17"/>
      <c r="G78" s="37"/>
      <c r="H78" s="36">
        <f>SUM(H71:H77)</f>
        <v>116710000</v>
      </c>
      <c r="I78" s="18">
        <f>SUM(I72:I77)</f>
        <v>460000</v>
      </c>
      <c r="J78" s="18">
        <f>SUM(J72:J77)</f>
        <v>80000</v>
      </c>
      <c r="K78" s="18">
        <f>SUM(K72:K77)</f>
        <v>116170000</v>
      </c>
    </row>
    <row r="79" spans="1:11" x14ac:dyDescent="0.25">
      <c r="A79" s="19"/>
      <c r="B79" s="51"/>
      <c r="C79" s="51"/>
      <c r="D79" s="6"/>
      <c r="E79" s="6"/>
      <c r="F79" s="6"/>
      <c r="G79" s="6"/>
      <c r="H79" s="20"/>
      <c r="I79" s="20"/>
      <c r="J79" s="20"/>
      <c r="K79" s="20"/>
    </row>
    <row r="80" spans="1:11" x14ac:dyDescent="0.25">
      <c r="A80" s="58" t="s">
        <v>14</v>
      </c>
      <c r="B80" s="58"/>
      <c r="C80" s="58"/>
      <c r="D80" s="58"/>
      <c r="E80" s="30" t="s">
        <v>12</v>
      </c>
      <c r="F80" s="38">
        <f>J78</f>
        <v>80000</v>
      </c>
      <c r="G80" s="33"/>
      <c r="H80" s="21"/>
      <c r="I80" s="21"/>
      <c r="J80" s="10"/>
      <c r="K80" s="10"/>
    </row>
    <row r="81" spans="1:11" x14ac:dyDescent="0.25">
      <c r="A81" s="8" t="s">
        <v>9</v>
      </c>
      <c r="B81" s="8"/>
      <c r="C81" s="8"/>
      <c r="D81" s="8"/>
      <c r="E81" s="30" t="s">
        <v>12</v>
      </c>
      <c r="F81" s="31"/>
      <c r="G81" s="31"/>
      <c r="H81" s="22"/>
      <c r="I81" s="9"/>
      <c r="J81" s="10"/>
      <c r="K81" s="10"/>
    </row>
    <row r="82" spans="1:11" x14ac:dyDescent="0.25">
      <c r="A82" s="8" t="s">
        <v>16</v>
      </c>
      <c r="B82" s="8"/>
      <c r="C82" s="8"/>
      <c r="D82" s="8"/>
      <c r="E82" s="30" t="s">
        <v>12</v>
      </c>
      <c r="F82" s="32"/>
      <c r="G82" s="32"/>
      <c r="H82" s="22"/>
      <c r="I82" s="9"/>
      <c r="J82" s="10"/>
      <c r="K82" s="10"/>
    </row>
    <row r="83" spans="1:11" x14ac:dyDescent="0.25">
      <c r="A83" s="8" t="s">
        <v>10</v>
      </c>
      <c r="B83" s="8"/>
      <c r="C83" s="8"/>
      <c r="D83" s="8"/>
      <c r="E83" s="30" t="s">
        <v>12</v>
      </c>
      <c r="F83" s="32">
        <f>F81+F82</f>
        <v>0</v>
      </c>
      <c r="G83" s="32"/>
      <c r="H83" s="8"/>
      <c r="I83" s="9"/>
      <c r="J83" s="23"/>
      <c r="K83" s="24"/>
    </row>
    <row r="84" spans="1:11" x14ac:dyDescent="0.25">
      <c r="A84" s="41"/>
      <c r="B84" s="41"/>
      <c r="C84" s="41"/>
      <c r="D84" s="41"/>
      <c r="E84" s="30"/>
      <c r="F84" s="41"/>
      <c r="G84" s="41"/>
      <c r="H84" s="8"/>
      <c r="I84" s="9"/>
      <c r="J84" s="23"/>
      <c r="K84" s="24"/>
    </row>
    <row r="85" spans="1:11" x14ac:dyDescent="0.25">
      <c r="A85" s="58" t="s">
        <v>15</v>
      </c>
      <c r="B85" s="58"/>
      <c r="C85" s="58"/>
      <c r="D85" s="58"/>
      <c r="E85" s="30" t="s">
        <v>12</v>
      </c>
      <c r="F85" s="33">
        <f>F80-F83</f>
        <v>80000</v>
      </c>
      <c r="G85" s="33"/>
      <c r="H85" s="8"/>
      <c r="I85" s="9"/>
      <c r="J85" s="23"/>
      <c r="K85" s="24"/>
    </row>
    <row r="86" spans="1:11" ht="15.75" x14ac:dyDescent="0.25">
      <c r="A86" s="41"/>
      <c r="B86" s="41"/>
      <c r="C86" s="41"/>
      <c r="D86" s="8"/>
      <c r="E86" s="8"/>
      <c r="F86" s="44" t="str">
        <f>PROPER(IF(F85=0,"nol",IF(F85&lt;0,"minus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85),"000000000000000"),1,3)=0,"",MID(TEXT(ABS(F85),"000000000000000"),1,1)&amp;" ratus "&amp;MID(TEXT(ABS(F85),"000000000000000"),2,1)&amp;" puluh "&amp;MID(TEXT(ABS(F85),"000000000000000"),3,1)&amp;" trilyun ")&amp;IF(--MID(TEXT(ABS(F85),"000000000000000"),4,3)=0,"",MID(TEXT(ABS(F85),"000000000000000"),4,1)&amp;" ratus "&amp;MID(TEXT(ABS(F85),"000000000000000"),5,1)&amp;" puluh "&amp;MID(TEXT(ABS(F85),"000000000000000"),6,1)&amp;" milyar ")&amp;IF(--MID(TEXT(ABS(F85),"000000000000000"),7,3)=0,"",MID(TEXT(ABS(F85),"000000000000000"),7,1)&amp;" ratus "&amp;MID(TEXT(ABS(F85),"000000000000000"),8,1)&amp;" puluh "&amp;MID(TEXT(ABS(F85),"000000000000000"),9,1)&amp;" juta ")&amp;IF(--MID(TEXT(ABS(F85),"000000000000000"),10,3)=0,"",IF(--MID(TEXT(ABS(F85),"000000000000000"),10,3)=1,"*",MID(TEXT(ABS(F85),"000000000000000"),10,1)&amp;" ratus "&amp;MID(TEXT(ABS(F85),"000000000000000"),11,1)&amp;" puluh ")&amp;MID(TEXT(ABS(F85),"000000000000000"),12,1)&amp;" ribu ")&amp;IF(--MID(TEXT(ABS(F85),"000000000000000"),13,3)=0,"",MID(TEXT(ABS(F85),"000000000000000"),13,1)&amp;" ratus "&amp;MID(TEXT(ABS(F85),"000000000000000"),14,1)&amp;" puluh "&amp;MID(TEXT(ABS(F85),"000000000000000"),15,1)),1,"satu"),2,"dua"),3,"tiga"),4,"empat"),5,"lima"),6,"enam"),7,"tujuh"),8,"delapan"),9,"sembilan"),"0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G86" s="8"/>
      <c r="H86" s="8"/>
      <c r="I86" s="8"/>
      <c r="J86" s="23"/>
      <c r="K86" s="24"/>
    </row>
    <row r="87" spans="1:11" x14ac:dyDescent="0.25">
      <c r="A87" s="26"/>
      <c r="B87" s="26"/>
      <c r="C87" s="26"/>
      <c r="D87" s="26"/>
      <c r="E87" s="26"/>
      <c r="F87" s="26"/>
      <c r="G87" s="26"/>
      <c r="H87" s="25"/>
      <c r="I87" s="24"/>
      <c r="J87" s="23"/>
      <c r="K87" s="24"/>
    </row>
    <row r="88" spans="1:11" x14ac:dyDescent="0.25">
      <c r="A88" s="25"/>
      <c r="B88" s="25"/>
      <c r="C88" s="25"/>
      <c r="D88" s="25"/>
      <c r="E88" s="25"/>
      <c r="F88" s="25"/>
      <c r="G88" s="25"/>
      <c r="H88" s="25"/>
      <c r="I88"/>
      <c r="J88" s="24"/>
      <c r="K88" s="24"/>
    </row>
    <row r="89" spans="1:11" x14ac:dyDescent="0.25">
      <c r="A89" s="41"/>
      <c r="B89" s="41"/>
      <c r="C89" s="41"/>
      <c r="D89" s="8"/>
      <c r="E89" s="8"/>
      <c r="F89" s="8"/>
      <c r="G89" s="8"/>
      <c r="H89" s="8"/>
      <c r="J89" s="42" t="s">
        <v>47</v>
      </c>
      <c r="K89" s="24"/>
    </row>
    <row r="90" spans="1:11" x14ac:dyDescent="0.25">
      <c r="A90" s="9" t="s">
        <v>26</v>
      </c>
      <c r="B90" s="9"/>
      <c r="C90" s="9"/>
      <c r="D90" s="8"/>
      <c r="E90" s="8"/>
      <c r="F90" s="8"/>
      <c r="G90" s="8"/>
      <c r="H90" s="8"/>
      <c r="J90" s="9" t="s">
        <v>25</v>
      </c>
      <c r="K90" s="24"/>
    </row>
    <row r="91" spans="1:11" x14ac:dyDescent="0.25">
      <c r="A91" s="8"/>
      <c r="B91" s="8"/>
      <c r="C91" s="8"/>
      <c r="D91" s="8"/>
      <c r="E91" s="8"/>
      <c r="F91" s="8"/>
      <c r="G91" s="8"/>
      <c r="H91" s="8"/>
      <c r="J91" s="9"/>
      <c r="K91" s="24"/>
    </row>
    <row r="92" spans="1:11" x14ac:dyDescent="0.25">
      <c r="A92" s="8"/>
      <c r="B92" s="8"/>
      <c r="C92" s="8"/>
      <c r="D92" s="8"/>
      <c r="E92" s="8"/>
      <c r="F92" s="8"/>
      <c r="G92" s="8"/>
      <c r="H92" s="8"/>
      <c r="J92" s="9"/>
      <c r="K92" s="24"/>
    </row>
    <row r="93" spans="1:11" x14ac:dyDescent="0.25">
      <c r="A93" s="8"/>
      <c r="B93" s="8"/>
      <c r="C93" s="8"/>
      <c r="D93" s="8"/>
      <c r="E93" s="8"/>
      <c r="F93" s="8"/>
      <c r="G93" s="8"/>
      <c r="H93" s="8"/>
      <c r="J93" s="9"/>
      <c r="K93" s="24"/>
    </row>
    <row r="94" spans="1:11" x14ac:dyDescent="0.25">
      <c r="A94" s="8"/>
      <c r="B94" s="8"/>
      <c r="C94" s="8"/>
      <c r="D94" s="8"/>
      <c r="E94" s="8"/>
      <c r="F94" s="8"/>
      <c r="G94" s="8"/>
      <c r="H94" s="8"/>
      <c r="J94" s="9"/>
      <c r="K94" s="24"/>
    </row>
    <row r="95" spans="1:11" x14ac:dyDescent="0.25">
      <c r="A95" s="28" t="s">
        <v>44</v>
      </c>
      <c r="B95" s="28"/>
      <c r="C95" s="28"/>
      <c r="D95" s="27"/>
      <c r="E95" s="27"/>
      <c r="F95" s="27"/>
      <c r="G95" s="27"/>
      <c r="H95" s="8" t="s">
        <v>11</v>
      </c>
      <c r="J95" s="28" t="s">
        <v>27</v>
      </c>
      <c r="K95" s="24"/>
    </row>
    <row r="100" spans="1:11" ht="15.75" x14ac:dyDescent="0.25">
      <c r="D100" s="3"/>
      <c r="E100" s="3"/>
      <c r="F100" s="3"/>
      <c r="G100" s="3"/>
    </row>
    <row r="101" spans="1:11" ht="15.75" x14ac:dyDescent="0.25">
      <c r="A101" s="2"/>
      <c r="B101" s="2"/>
      <c r="C101" s="2"/>
      <c r="D101" s="3"/>
      <c r="E101" s="3"/>
      <c r="F101" s="3"/>
      <c r="G101" s="3"/>
      <c r="H101" s="2"/>
      <c r="I101" s="4"/>
      <c r="J101" s="4"/>
      <c r="K101" s="5"/>
    </row>
    <row r="102" spans="1:11" x14ac:dyDescent="0.25">
      <c r="I102" s="5"/>
      <c r="J102" s="5"/>
      <c r="K102" s="5"/>
    </row>
    <row r="103" spans="1:11" x14ac:dyDescent="0.25">
      <c r="I103" s="5"/>
      <c r="J103" s="5"/>
      <c r="K103" s="5"/>
    </row>
    <row r="104" spans="1:11" x14ac:dyDescent="0.25">
      <c r="A104" s="71" t="s">
        <v>29</v>
      </c>
      <c r="B104" s="71"/>
      <c r="C104" s="71"/>
      <c r="D104" s="72"/>
      <c r="E104" s="72"/>
      <c r="F104" s="72"/>
      <c r="G104" s="72"/>
      <c r="H104" s="72"/>
      <c r="I104" s="72"/>
      <c r="J104" s="72"/>
      <c r="K104" s="72"/>
    </row>
    <row r="105" spans="1:11" x14ac:dyDescent="0.25">
      <c r="A105" s="72" t="s">
        <v>49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</row>
    <row r="106" spans="1:11" x14ac:dyDescent="0.25">
      <c r="A106" s="72" t="s">
        <v>13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</row>
    <row r="107" spans="1:11" x14ac:dyDescent="0.25">
      <c r="A107" s="72" t="s">
        <v>45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</row>
    <row r="108" spans="1:11" x14ac:dyDescent="0.25">
      <c r="A108" s="72" t="s">
        <v>24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</row>
    <row r="109" spans="1:11" x14ac:dyDescent="0.25">
      <c r="A109" s="29"/>
      <c r="B109" s="29"/>
      <c r="C109" s="29"/>
      <c r="D109" s="7"/>
      <c r="E109" s="7"/>
      <c r="F109" s="7"/>
      <c r="G109" s="7"/>
      <c r="H109" s="6"/>
      <c r="I109" s="10"/>
      <c r="J109" s="10"/>
      <c r="K109" s="10"/>
    </row>
    <row r="110" spans="1:11" x14ac:dyDescent="0.25">
      <c r="A110" s="49" t="s">
        <v>18</v>
      </c>
      <c r="B110" s="49"/>
      <c r="C110" s="49"/>
      <c r="D110" s="49"/>
      <c r="E110" s="34" t="s">
        <v>12</v>
      </c>
      <c r="F110" s="8" t="s">
        <v>30</v>
      </c>
      <c r="I110" s="9"/>
      <c r="J110" s="9"/>
      <c r="K110" s="10"/>
    </row>
    <row r="111" spans="1:11" x14ac:dyDescent="0.25">
      <c r="A111" s="49" t="s">
        <v>19</v>
      </c>
      <c r="B111" s="49"/>
      <c r="C111" s="49"/>
      <c r="D111" s="49"/>
      <c r="E111" s="34" t="s">
        <v>12</v>
      </c>
      <c r="F111" s="8" t="s">
        <v>31</v>
      </c>
      <c r="I111" s="9"/>
      <c r="J111" s="9"/>
      <c r="K111" s="10"/>
    </row>
    <row r="112" spans="1:11" x14ac:dyDescent="0.25">
      <c r="A112" s="49" t="s">
        <v>20</v>
      </c>
      <c r="B112" s="49"/>
      <c r="C112" s="49"/>
      <c r="D112" s="49"/>
      <c r="E112" s="34" t="s">
        <v>12</v>
      </c>
      <c r="F112" s="41">
        <v>2026</v>
      </c>
      <c r="I112" s="9"/>
      <c r="J112" s="9"/>
      <c r="K112" s="10"/>
    </row>
    <row r="113" spans="1:11" x14ac:dyDescent="0.25">
      <c r="A113" s="49" t="s">
        <v>21</v>
      </c>
      <c r="B113" s="49"/>
      <c r="C113" s="49"/>
      <c r="D113" s="49"/>
      <c r="E113" s="34" t="s">
        <v>12</v>
      </c>
      <c r="F113" s="38">
        <f>J126</f>
        <v>220000</v>
      </c>
      <c r="I113" s="9"/>
      <c r="J113" s="9"/>
      <c r="K113" s="10"/>
    </row>
    <row r="114" spans="1:11" ht="15.75" x14ac:dyDescent="0.25">
      <c r="A114" s="8"/>
      <c r="B114" s="8"/>
      <c r="C114" s="8"/>
      <c r="D114" s="11" t="s">
        <v>0</v>
      </c>
      <c r="E114" s="34" t="s">
        <v>12</v>
      </c>
      <c r="F114" s="44" t="str">
        <f>PROPER(IF(F113=0,"nol",IF(F113&lt;0,"minus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113),"000000000000000"),1,3)=0,"",MID(TEXT(ABS(F113),"000000000000000"),1,1)&amp;" ratus "&amp;MID(TEXT(ABS(F113),"000000000000000"),2,1)&amp;" puluh "&amp;MID(TEXT(ABS(F113),"000000000000000"),3,1)&amp;" trilyun ")&amp;IF(--MID(TEXT(ABS(F113),"000000000000000"),4,3)=0,"",MID(TEXT(ABS(F113),"000000000000000"),4,1)&amp;" ratus "&amp;MID(TEXT(ABS(F113),"000000000000000"),5,1)&amp;" puluh "&amp;MID(TEXT(ABS(F113),"000000000000000"),6,1)&amp;" milyar ")&amp;IF(--MID(TEXT(ABS(F113),"000000000000000"),7,3)=0,"",MID(TEXT(ABS(F113),"000000000000000"),7,1)&amp;" ratus "&amp;MID(TEXT(ABS(F113),"000000000000000"),8,1)&amp;" puluh "&amp;MID(TEXT(ABS(F113),"000000000000000"),9,1)&amp;" juta ")&amp;IF(--MID(TEXT(ABS(F113),"000000000000000"),10,3)=0,"",IF(--MID(TEXT(ABS(F113),"000000000000000"),10,3)=1,"*",MID(TEXT(ABS(F113),"000000000000000"),10,1)&amp;" ratus "&amp;MID(TEXT(ABS(F113),"000000000000000"),11,1)&amp;" puluh ")&amp;MID(TEXT(ABS(F113),"000000000000000"),12,1)&amp;" ribu ")&amp;IF(--MID(TEXT(ABS(F113),"000000000000000"),13,3)=0,"",MID(TEXT(ABS(F113),"000000000000000"),13,1)&amp;" ratus "&amp;MID(TEXT(ABS(F113),"000000000000000"),14,1)&amp;" puluh "&amp;MID(TEXT(ABS(F113),"000000000000000"),15,1)),1,"satu"),2,"dua"),3,"tiga"),4,"empat"),5,"lima"),6,"enam"),7,"tujuh"),8,"delapan"),9,"sembilan"),"0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Ribu Rupiah</v>
      </c>
      <c r="I114" s="9"/>
      <c r="J114" s="9"/>
      <c r="K114" s="10"/>
    </row>
    <row r="115" spans="1:11" ht="15.75" x14ac:dyDescent="0.25">
      <c r="A115" s="8"/>
      <c r="B115" s="8"/>
      <c r="C115" s="8"/>
      <c r="D115" s="11"/>
      <c r="E115" s="11"/>
      <c r="F115" s="11"/>
      <c r="G115" s="34"/>
      <c r="H115" s="44"/>
      <c r="I115" s="9"/>
      <c r="J115" s="9"/>
      <c r="K115" s="10"/>
    </row>
    <row r="116" spans="1:11" x14ac:dyDescent="0.25">
      <c r="A116" s="8" t="s">
        <v>1</v>
      </c>
      <c r="B116" s="8"/>
      <c r="C116" s="8"/>
      <c r="D116" s="8"/>
      <c r="E116" s="8"/>
      <c r="F116" s="8"/>
      <c r="G116" s="8"/>
      <c r="H116" s="8"/>
      <c r="I116" s="9"/>
      <c r="J116" s="9"/>
      <c r="K116" s="10"/>
    </row>
    <row r="117" spans="1:11" x14ac:dyDescent="0.25">
      <c r="A117" s="59" t="s">
        <v>2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</row>
    <row r="118" spans="1:11" ht="45" x14ac:dyDescent="0.25">
      <c r="A118" s="12" t="s">
        <v>3</v>
      </c>
      <c r="B118" s="60" t="s">
        <v>22</v>
      </c>
      <c r="C118" s="61"/>
      <c r="D118" s="62" t="s">
        <v>4</v>
      </c>
      <c r="E118" s="63"/>
      <c r="F118" s="64"/>
      <c r="G118" s="43"/>
      <c r="H118" s="35" t="s">
        <v>5</v>
      </c>
      <c r="I118" s="13" t="s">
        <v>17</v>
      </c>
      <c r="J118" s="14" t="s">
        <v>6</v>
      </c>
      <c r="K118" s="15" t="s">
        <v>7</v>
      </c>
    </row>
    <row r="119" spans="1:11" x14ac:dyDescent="0.25">
      <c r="A119" s="56">
        <v>1</v>
      </c>
      <c r="B119" s="50"/>
      <c r="C119" s="50"/>
      <c r="D119" s="65" t="s">
        <v>42</v>
      </c>
      <c r="E119" s="66"/>
      <c r="F119" s="67"/>
      <c r="G119" s="45"/>
      <c r="H119" s="52" t="s">
        <v>28</v>
      </c>
      <c r="I119" s="52" t="s">
        <v>28</v>
      </c>
      <c r="J119" s="52" t="s">
        <v>28</v>
      </c>
      <c r="K119" s="52" t="s">
        <v>28</v>
      </c>
    </row>
    <row r="120" spans="1:11" x14ac:dyDescent="0.25">
      <c r="A120" s="46"/>
      <c r="B120" s="57" t="s">
        <v>23</v>
      </c>
      <c r="C120" s="50"/>
      <c r="D120" s="68" t="s">
        <v>32</v>
      </c>
      <c r="E120" s="69"/>
      <c r="F120" s="70"/>
      <c r="G120" s="45"/>
      <c r="H120" s="52" t="s">
        <v>28</v>
      </c>
      <c r="I120" s="52" t="s">
        <v>28</v>
      </c>
      <c r="J120" s="52" t="s">
        <v>28</v>
      </c>
      <c r="K120" s="52" t="s">
        <v>28</v>
      </c>
    </row>
    <row r="121" spans="1:11" x14ac:dyDescent="0.25">
      <c r="A121" s="46"/>
      <c r="B121" s="46"/>
      <c r="C121" s="46" t="s">
        <v>37</v>
      </c>
      <c r="D121" s="54" t="s">
        <v>33</v>
      </c>
      <c r="E121" s="55"/>
      <c r="F121" s="53"/>
      <c r="G121" s="45"/>
      <c r="H121" s="48">
        <v>25000000</v>
      </c>
      <c r="I121" s="39">
        <f>I73+J73</f>
        <v>0</v>
      </c>
      <c r="J121" s="39">
        <v>0</v>
      </c>
      <c r="K121" s="40">
        <f t="shared" ref="K121:K125" si="3">H121-I121-J121</f>
        <v>25000000</v>
      </c>
    </row>
    <row r="122" spans="1:11" x14ac:dyDescent="0.25">
      <c r="A122" s="46"/>
      <c r="B122" s="46"/>
      <c r="C122" s="46" t="s">
        <v>38</v>
      </c>
      <c r="D122" s="54" t="s">
        <v>34</v>
      </c>
      <c r="E122" s="55"/>
      <c r="F122" s="53"/>
      <c r="G122" s="45"/>
      <c r="H122" s="47">
        <v>3000000</v>
      </c>
      <c r="I122" s="39">
        <f t="shared" ref="I122:I125" si="4">I74+J74</f>
        <v>0</v>
      </c>
      <c r="J122" s="39">
        <v>220000</v>
      </c>
      <c r="K122" s="40">
        <f t="shared" si="3"/>
        <v>2780000</v>
      </c>
    </row>
    <row r="123" spans="1:11" x14ac:dyDescent="0.25">
      <c r="A123" s="46"/>
      <c r="B123" s="46"/>
      <c r="C123" s="46" t="s">
        <v>39</v>
      </c>
      <c r="D123" s="54" t="s">
        <v>35</v>
      </c>
      <c r="E123" s="55"/>
      <c r="F123" s="53"/>
      <c r="G123" s="45"/>
      <c r="H123" s="47">
        <v>58710000</v>
      </c>
      <c r="I123" s="39">
        <f t="shared" si="4"/>
        <v>460000</v>
      </c>
      <c r="J123" s="39">
        <v>0</v>
      </c>
      <c r="K123" s="40">
        <f t="shared" si="3"/>
        <v>58250000</v>
      </c>
    </row>
    <row r="124" spans="1:11" x14ac:dyDescent="0.25">
      <c r="A124" s="46"/>
      <c r="B124" s="46"/>
      <c r="C124" s="46" t="s">
        <v>40</v>
      </c>
      <c r="D124" s="54" t="s">
        <v>36</v>
      </c>
      <c r="E124" s="55"/>
      <c r="F124" s="53"/>
      <c r="G124" s="45"/>
      <c r="H124" s="48">
        <v>20000000</v>
      </c>
      <c r="I124" s="39">
        <f t="shared" si="4"/>
        <v>0</v>
      </c>
      <c r="J124" s="39">
        <v>0</v>
      </c>
      <c r="K124" s="40">
        <f t="shared" si="3"/>
        <v>20000000</v>
      </c>
    </row>
    <row r="125" spans="1:11" x14ac:dyDescent="0.25">
      <c r="A125" s="46"/>
      <c r="B125" s="46"/>
      <c r="C125" s="46" t="s">
        <v>41</v>
      </c>
      <c r="D125" s="54" t="s">
        <v>43</v>
      </c>
      <c r="E125" s="55"/>
      <c r="F125" s="53"/>
      <c r="G125" s="45"/>
      <c r="H125" s="47">
        <v>10000000</v>
      </c>
      <c r="I125" s="39">
        <f t="shared" si="4"/>
        <v>80000</v>
      </c>
      <c r="J125" s="39">
        <v>0</v>
      </c>
      <c r="K125" s="40">
        <f t="shared" si="3"/>
        <v>9920000</v>
      </c>
    </row>
    <row r="126" spans="1:11" x14ac:dyDescent="0.25">
      <c r="A126" s="16"/>
      <c r="B126" s="16"/>
      <c r="C126" s="16"/>
      <c r="D126" s="17" t="s">
        <v>8</v>
      </c>
      <c r="E126" s="17"/>
      <c r="F126" s="17"/>
      <c r="G126" s="37"/>
      <c r="H126" s="36">
        <f>SUM(H119:H125)</f>
        <v>116710000</v>
      </c>
      <c r="I126" s="18">
        <f>SUM(I120:I125)</f>
        <v>540000</v>
      </c>
      <c r="J126" s="18">
        <f>SUM(J120:J125)</f>
        <v>220000</v>
      </c>
      <c r="K126" s="18">
        <f>SUM(K120:K125)</f>
        <v>115950000</v>
      </c>
    </row>
    <row r="127" spans="1:11" x14ac:dyDescent="0.25">
      <c r="A127" s="19"/>
      <c r="B127" s="51"/>
      <c r="C127" s="51"/>
      <c r="D127" s="6"/>
      <c r="E127" s="6"/>
      <c r="F127" s="6"/>
      <c r="G127" s="6"/>
      <c r="H127" s="20"/>
      <c r="I127" s="20"/>
      <c r="J127" s="20"/>
      <c r="K127" s="20"/>
    </row>
    <row r="128" spans="1:11" x14ac:dyDescent="0.25">
      <c r="A128" s="58" t="s">
        <v>14</v>
      </c>
      <c r="B128" s="58"/>
      <c r="C128" s="58"/>
      <c r="D128" s="58"/>
      <c r="E128" s="30" t="s">
        <v>12</v>
      </c>
      <c r="F128" s="38">
        <f>J126</f>
        <v>220000</v>
      </c>
      <c r="G128" s="33"/>
      <c r="H128" s="21"/>
      <c r="I128" s="21"/>
      <c r="J128" s="10"/>
      <c r="K128" s="10"/>
    </row>
    <row r="129" spans="1:11" x14ac:dyDescent="0.25">
      <c r="A129" s="8" t="s">
        <v>9</v>
      </c>
      <c r="B129" s="8"/>
      <c r="C129" s="8"/>
      <c r="D129" s="8"/>
      <c r="E129" s="30" t="s">
        <v>12</v>
      </c>
      <c r="F129" s="31"/>
      <c r="G129" s="31"/>
      <c r="H129" s="22"/>
      <c r="I129" s="9"/>
      <c r="J129" s="10"/>
      <c r="K129" s="10"/>
    </row>
    <row r="130" spans="1:11" x14ac:dyDescent="0.25">
      <c r="A130" s="8" t="s">
        <v>16</v>
      </c>
      <c r="B130" s="8"/>
      <c r="C130" s="8"/>
      <c r="D130" s="8"/>
      <c r="E130" s="30" t="s">
        <v>12</v>
      </c>
      <c r="F130" s="32"/>
      <c r="G130" s="32"/>
      <c r="H130" s="22"/>
      <c r="I130" s="9"/>
      <c r="J130" s="10"/>
      <c r="K130" s="10"/>
    </row>
    <row r="131" spans="1:11" x14ac:dyDescent="0.25">
      <c r="A131" s="8" t="s">
        <v>10</v>
      </c>
      <c r="B131" s="8"/>
      <c r="C131" s="8"/>
      <c r="D131" s="8"/>
      <c r="E131" s="30" t="s">
        <v>12</v>
      </c>
      <c r="F131" s="32">
        <f>F129+F130</f>
        <v>0</v>
      </c>
      <c r="G131" s="32"/>
      <c r="H131" s="8"/>
      <c r="I131" s="9"/>
      <c r="J131" s="23"/>
      <c r="K131" s="24"/>
    </row>
    <row r="132" spans="1:11" x14ac:dyDescent="0.25">
      <c r="A132" s="41"/>
      <c r="B132" s="41"/>
      <c r="C132" s="41"/>
      <c r="D132" s="41"/>
      <c r="E132" s="30"/>
      <c r="F132" s="41"/>
      <c r="G132" s="41"/>
      <c r="H132" s="8"/>
      <c r="I132" s="9"/>
      <c r="J132" s="23"/>
      <c r="K132" s="24"/>
    </row>
    <row r="133" spans="1:11" x14ac:dyDescent="0.25">
      <c r="A133" s="58" t="s">
        <v>15</v>
      </c>
      <c r="B133" s="58"/>
      <c r="C133" s="58"/>
      <c r="D133" s="58"/>
      <c r="E133" s="30" t="s">
        <v>12</v>
      </c>
      <c r="F133" s="33">
        <f>F128-F131</f>
        <v>220000</v>
      </c>
      <c r="G133" s="33"/>
      <c r="H133" s="8"/>
      <c r="I133" s="9"/>
      <c r="J133" s="23"/>
      <c r="K133" s="24"/>
    </row>
    <row r="134" spans="1:11" ht="15.75" x14ac:dyDescent="0.25">
      <c r="A134" s="41"/>
      <c r="B134" s="41"/>
      <c r="C134" s="41"/>
      <c r="D134" s="8"/>
      <c r="E134" s="8"/>
      <c r="F134" s="44" t="str">
        <f>PROPER(IF(F133=0,"nol",IF(F133&lt;0,"minus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133),"000000000000000"),1,3)=0,"",MID(TEXT(ABS(F133),"000000000000000"),1,1)&amp;" ratus "&amp;MID(TEXT(ABS(F133),"000000000000000"),2,1)&amp;" puluh "&amp;MID(TEXT(ABS(F133),"000000000000000"),3,1)&amp;" trilyun ")&amp;IF(--MID(TEXT(ABS(F133),"000000000000000"),4,3)=0,"",MID(TEXT(ABS(F133),"000000000000000"),4,1)&amp;" ratus "&amp;MID(TEXT(ABS(F133),"000000000000000"),5,1)&amp;" puluh "&amp;MID(TEXT(ABS(F133),"000000000000000"),6,1)&amp;" milyar ")&amp;IF(--MID(TEXT(ABS(F133),"000000000000000"),7,3)=0,"",MID(TEXT(ABS(F133),"000000000000000"),7,1)&amp;" ratus "&amp;MID(TEXT(ABS(F133),"000000000000000"),8,1)&amp;" puluh "&amp;MID(TEXT(ABS(F133),"000000000000000"),9,1)&amp;" juta ")&amp;IF(--MID(TEXT(ABS(F133),"000000000000000"),10,3)=0,"",IF(--MID(TEXT(ABS(F133),"000000000000000"),10,3)=1,"*",MID(TEXT(ABS(F133),"000000000000000"),10,1)&amp;" ratus "&amp;MID(TEXT(ABS(F133),"000000000000000"),11,1)&amp;" puluh ")&amp;MID(TEXT(ABS(F133),"000000000000000"),12,1)&amp;" ribu ")&amp;IF(--MID(TEXT(ABS(F133),"000000000000000"),13,3)=0,"",MID(TEXT(ABS(F133),"000000000000000"),13,1)&amp;" ratus "&amp;MID(TEXT(ABS(F133),"000000000000000"),14,1)&amp;" puluh "&amp;MID(TEXT(ABS(F133),"000000000000000"),15,1)),1,"satu"),2,"dua"),3,"tiga"),4,"empat"),5,"lima"),6,"enam"),7,"tujuh"),8,"delapan"),9,"sembilan"),"0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Ribu Rupiah</v>
      </c>
      <c r="G134" s="8"/>
      <c r="H134" s="8"/>
      <c r="I134" s="8"/>
      <c r="J134" s="23"/>
      <c r="K134" s="24"/>
    </row>
    <row r="135" spans="1:11" x14ac:dyDescent="0.25">
      <c r="A135" s="26"/>
      <c r="B135" s="26"/>
      <c r="C135" s="26"/>
      <c r="D135" s="26"/>
      <c r="E135" s="26"/>
      <c r="F135" s="26"/>
      <c r="G135" s="26"/>
      <c r="H135" s="25"/>
      <c r="I135" s="24"/>
      <c r="J135" s="23"/>
      <c r="K135" s="24"/>
    </row>
    <row r="136" spans="1:11" x14ac:dyDescent="0.25">
      <c r="A136" s="25"/>
      <c r="B136" s="25"/>
      <c r="C136" s="25"/>
      <c r="D136" s="25"/>
      <c r="E136" s="25"/>
      <c r="F136" s="25"/>
      <c r="G136" s="25"/>
      <c r="H136" s="25"/>
      <c r="I136"/>
      <c r="J136" s="24"/>
      <c r="K136" s="24"/>
    </row>
    <row r="137" spans="1:11" x14ac:dyDescent="0.25">
      <c r="A137" s="41"/>
      <c r="B137" s="41"/>
      <c r="C137" s="41"/>
      <c r="D137" s="8"/>
      <c r="E137" s="8"/>
      <c r="F137" s="8"/>
      <c r="G137" s="8"/>
      <c r="H137" s="8"/>
      <c r="J137" s="42" t="s">
        <v>47</v>
      </c>
      <c r="K137" s="24"/>
    </row>
    <row r="138" spans="1:11" x14ac:dyDescent="0.25">
      <c r="A138" s="9" t="s">
        <v>26</v>
      </c>
      <c r="B138" s="9"/>
      <c r="C138" s="9"/>
      <c r="D138" s="8"/>
      <c r="E138" s="8"/>
      <c r="F138" s="8"/>
      <c r="G138" s="8"/>
      <c r="H138" s="8"/>
      <c r="J138" s="9" t="s">
        <v>25</v>
      </c>
      <c r="K138" s="24"/>
    </row>
    <row r="139" spans="1:11" x14ac:dyDescent="0.25">
      <c r="A139" s="8"/>
      <c r="B139" s="8"/>
      <c r="C139" s="8"/>
      <c r="D139" s="8"/>
      <c r="E139" s="8"/>
      <c r="F139" s="8"/>
      <c r="G139" s="8"/>
      <c r="H139" s="8"/>
      <c r="J139" s="9"/>
      <c r="K139" s="24"/>
    </row>
    <row r="140" spans="1:11" x14ac:dyDescent="0.25">
      <c r="A140" s="8"/>
      <c r="B140" s="8"/>
      <c r="C140" s="8"/>
      <c r="D140" s="8"/>
      <c r="E140" s="8"/>
      <c r="F140" s="8"/>
      <c r="G140" s="8"/>
      <c r="H140" s="8"/>
      <c r="J140" s="9"/>
      <c r="K140" s="24"/>
    </row>
    <row r="141" spans="1:11" x14ac:dyDescent="0.25">
      <c r="A141" s="8"/>
      <c r="B141" s="8"/>
      <c r="C141" s="8"/>
      <c r="D141" s="8"/>
      <c r="E141" s="8"/>
      <c r="F141" s="8"/>
      <c r="G141" s="8"/>
      <c r="H141" s="8"/>
      <c r="J141" s="9"/>
      <c r="K141" s="24"/>
    </row>
    <row r="142" spans="1:11" x14ac:dyDescent="0.25">
      <c r="A142" s="8"/>
      <c r="B142" s="8"/>
      <c r="C142" s="8"/>
      <c r="D142" s="8"/>
      <c r="E142" s="8"/>
      <c r="F142" s="8"/>
      <c r="G142" s="8"/>
      <c r="H142" s="8"/>
      <c r="J142" s="9"/>
      <c r="K142" s="24"/>
    </row>
    <row r="143" spans="1:11" x14ac:dyDescent="0.25">
      <c r="A143" s="28" t="s">
        <v>44</v>
      </c>
      <c r="B143" s="28"/>
      <c r="C143" s="28"/>
      <c r="D143" s="27"/>
      <c r="E143" s="27"/>
      <c r="F143" s="27"/>
      <c r="G143" s="27"/>
      <c r="H143" s="8" t="s">
        <v>11</v>
      </c>
      <c r="J143" s="28" t="s">
        <v>27</v>
      </c>
      <c r="K143" s="24"/>
    </row>
  </sheetData>
  <mergeCells count="36">
    <mergeCell ref="D119:F119"/>
    <mergeCell ref="D120:F120"/>
    <mergeCell ref="A128:D128"/>
    <mergeCell ref="A133:D133"/>
    <mergeCell ref="A107:K107"/>
    <mergeCell ref="A108:K108"/>
    <mergeCell ref="A117:K117"/>
    <mergeCell ref="B118:C118"/>
    <mergeCell ref="D118:F118"/>
    <mergeCell ref="A80:D80"/>
    <mergeCell ref="A85:D85"/>
    <mergeCell ref="A104:K104"/>
    <mergeCell ref="A105:K105"/>
    <mergeCell ref="A106:K106"/>
    <mergeCell ref="A69:K69"/>
    <mergeCell ref="B70:C70"/>
    <mergeCell ref="D70:F70"/>
    <mergeCell ref="D71:F71"/>
    <mergeCell ref="D72:F72"/>
    <mergeCell ref="A56:K56"/>
    <mergeCell ref="A57:K57"/>
    <mergeCell ref="A58:K58"/>
    <mergeCell ref="A59:K59"/>
    <mergeCell ref="A60:K60"/>
    <mergeCell ref="A32:D32"/>
    <mergeCell ref="A37:D37"/>
    <mergeCell ref="A21:K21"/>
    <mergeCell ref="B22:C22"/>
    <mergeCell ref="D22:F22"/>
    <mergeCell ref="D23:F23"/>
    <mergeCell ref="D24:F24"/>
    <mergeCell ref="A8:K8"/>
    <mergeCell ref="A9:K9"/>
    <mergeCell ref="A10:K10"/>
    <mergeCell ref="A11:K11"/>
    <mergeCell ref="A12:K12"/>
  </mergeCells>
  <pageMargins left="0.23622047244094491" right="0.23622047244094491" top="0.15748031496062992" bottom="0.74803149606299213" header="0.31496062992125984" footer="0.31496062992125984"/>
  <pageSetup paperSize="9" scale="84" orientation="portrait" horizontalDpi="4294967293" r:id="rId1"/>
  <rowBreaks count="3" manualBreakCount="3">
    <brk id="48" max="10" man="1"/>
    <brk id="96" max="10" man="1"/>
    <brk id="144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C5EF-98B6-4F19-9D45-BEA044611180}">
  <dimension ref="A4:L191"/>
  <sheetViews>
    <sheetView view="pageBreakPreview" topLeftCell="A151" zoomScaleNormal="100" zoomScaleSheetLayoutView="100" workbookViewId="0">
      <selection activeCell="K191" sqref="A145:K191"/>
    </sheetView>
  </sheetViews>
  <sheetFormatPr defaultRowHeight="15" x14ac:dyDescent="0.25"/>
  <cols>
    <col min="1" max="2" width="3.5703125" customWidth="1"/>
    <col min="3" max="3" width="5.140625" bestFit="1" customWidth="1"/>
    <col min="4" max="4" width="12.28515625" customWidth="1"/>
    <col min="5" max="5" width="1.85546875" customWidth="1"/>
    <col min="6" max="6" width="22.28515625" customWidth="1"/>
    <col min="7" max="7" width="1.140625" customWidth="1"/>
    <col min="8" max="8" width="18" customWidth="1"/>
    <col min="9" max="9" width="16.5703125" style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 x14ac:dyDescent="0.25">
      <c r="D4" s="3"/>
      <c r="E4" s="3"/>
      <c r="F4" s="3"/>
      <c r="G4" s="3"/>
    </row>
    <row r="5" spans="1:11" ht="15.75" x14ac:dyDescent="0.25">
      <c r="A5" s="2"/>
      <c r="B5" s="2"/>
      <c r="C5" s="2"/>
      <c r="D5" s="3"/>
      <c r="E5" s="3"/>
      <c r="F5" s="3"/>
      <c r="G5" s="3"/>
      <c r="H5" s="2"/>
      <c r="I5" s="4"/>
      <c r="J5" s="4"/>
      <c r="K5" s="5"/>
    </row>
    <row r="6" spans="1:11" x14ac:dyDescent="0.25">
      <c r="I6" s="5"/>
      <c r="J6" s="5"/>
      <c r="K6" s="5"/>
    </row>
    <row r="7" spans="1:11" x14ac:dyDescent="0.25">
      <c r="I7" s="5"/>
      <c r="J7" s="5"/>
      <c r="K7" s="5"/>
    </row>
    <row r="8" spans="1:11" x14ac:dyDescent="0.25">
      <c r="A8" s="71" t="s">
        <v>29</v>
      </c>
      <c r="B8" s="71"/>
      <c r="C8" s="71"/>
      <c r="D8" s="72"/>
      <c r="E8" s="72"/>
      <c r="F8" s="72"/>
      <c r="G8" s="72"/>
      <c r="H8" s="72"/>
      <c r="I8" s="72"/>
      <c r="J8" s="72"/>
      <c r="K8" s="72"/>
    </row>
    <row r="9" spans="1:11" x14ac:dyDescent="0.25">
      <c r="A9" s="72" t="s">
        <v>50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spans="1:11" x14ac:dyDescent="0.25">
      <c r="A10" s="72" t="s">
        <v>13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</row>
    <row r="11" spans="1:11" x14ac:dyDescent="0.25">
      <c r="A11" s="72" t="s">
        <v>45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</row>
    <row r="12" spans="1:11" x14ac:dyDescent="0.25">
      <c r="A12" s="72" t="s">
        <v>24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</row>
    <row r="13" spans="1:11" x14ac:dyDescent="0.25">
      <c r="A13" s="29"/>
      <c r="B13" s="29"/>
      <c r="C13" s="29"/>
      <c r="D13" s="7"/>
      <c r="E13" s="7"/>
      <c r="F13" s="7"/>
      <c r="G13" s="7"/>
      <c r="H13" s="6"/>
      <c r="I13" s="10"/>
      <c r="J13" s="10"/>
      <c r="K13" s="10"/>
    </row>
    <row r="14" spans="1:11" x14ac:dyDescent="0.25">
      <c r="A14" s="49" t="s">
        <v>18</v>
      </c>
      <c r="B14" s="49"/>
      <c r="C14" s="49"/>
      <c r="D14" s="49"/>
      <c r="E14" s="34" t="s">
        <v>12</v>
      </c>
      <c r="F14" s="8" t="s">
        <v>30</v>
      </c>
      <c r="I14" s="9"/>
      <c r="J14" s="9"/>
      <c r="K14" s="10"/>
    </row>
    <row r="15" spans="1:11" x14ac:dyDescent="0.25">
      <c r="A15" s="49" t="s">
        <v>19</v>
      </c>
      <c r="B15" s="49"/>
      <c r="C15" s="49"/>
      <c r="D15" s="49"/>
      <c r="E15" s="34" t="s">
        <v>12</v>
      </c>
      <c r="F15" s="8" t="s">
        <v>31</v>
      </c>
      <c r="I15" s="9"/>
      <c r="J15" s="9"/>
      <c r="K15" s="10"/>
    </row>
    <row r="16" spans="1:11" x14ac:dyDescent="0.25">
      <c r="A16" s="49" t="s">
        <v>20</v>
      </c>
      <c r="B16" s="49"/>
      <c r="C16" s="49"/>
      <c r="D16" s="49"/>
      <c r="E16" s="34" t="s">
        <v>12</v>
      </c>
      <c r="F16" s="41">
        <v>2026</v>
      </c>
      <c r="I16" s="9"/>
      <c r="J16" s="9"/>
      <c r="K16" s="10"/>
    </row>
    <row r="17" spans="1:11" x14ac:dyDescent="0.25">
      <c r="A17" s="49" t="s">
        <v>21</v>
      </c>
      <c r="B17" s="49"/>
      <c r="C17" s="49"/>
      <c r="D17" s="49"/>
      <c r="E17" s="34" t="s">
        <v>12</v>
      </c>
      <c r="F17" s="38">
        <f>J30</f>
        <v>3016980</v>
      </c>
      <c r="I17" s="9"/>
      <c r="J17" s="9"/>
      <c r="K17" s="10"/>
    </row>
    <row r="18" spans="1:11" ht="15.75" x14ac:dyDescent="0.25">
      <c r="A18" s="8"/>
      <c r="B18" s="8"/>
      <c r="C18" s="8"/>
      <c r="D18" s="11" t="s">
        <v>0</v>
      </c>
      <c r="E18" s="34" t="s">
        <v>12</v>
      </c>
      <c r="F18" s="44" t="str">
        <f>PROPER(IF(F17=0,"nol",IF(F17&lt;0,"minus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17),"000000000000000"),1,3)=0,"",MID(TEXT(ABS(F17),"000000000000000"),1,1)&amp;" ratus "&amp;MID(TEXT(ABS(F17),"000000000000000"),2,1)&amp;" puluh "&amp;MID(TEXT(ABS(F17),"000000000000000"),3,1)&amp;" trilyun ")&amp;IF(--MID(TEXT(ABS(F17),"000000000000000"),4,3)=0,"",MID(TEXT(ABS(F17),"000000000000000"),4,1)&amp;" ratus "&amp;MID(TEXT(ABS(F17),"000000000000000"),5,1)&amp;" puluh "&amp;MID(TEXT(ABS(F17),"000000000000000"),6,1)&amp;" milyar ")&amp;IF(--MID(TEXT(ABS(F17),"000000000000000"),7,3)=0,"",MID(TEXT(ABS(F17),"000000000000000"),7,1)&amp;" ratus "&amp;MID(TEXT(ABS(F17),"000000000000000"),8,1)&amp;" puluh "&amp;MID(TEXT(ABS(F17),"000000000000000"),9,1)&amp;" juta ")&amp;IF(--MID(TEXT(ABS(F17),"000000000000000"),10,3)=0,"",IF(--MID(TEXT(ABS(F17),"000000000000000"),10,3)=1,"*",MID(TEXT(ABS(F17),"000000000000000"),10,1)&amp;" ratus "&amp;MID(TEXT(ABS(F17),"000000000000000"),11,1)&amp;" puluh ")&amp;MID(TEXT(ABS(F17),"000000000000000"),12,1)&amp;" ribu ")&amp;IF(--MID(TEXT(ABS(F17),"000000000000000"),13,3)=0,"",MID(TEXT(ABS(F17),"000000000000000"),13,1)&amp;" ratus "&amp;MID(TEXT(ABS(F17),"000000000000000"),14,1)&amp;" puluh "&amp;MID(TEXT(ABS(F17),"000000000000000"),15,1)),1,"satu"),2,"dua"),3,"tiga"),4,"empat"),5,"lima"),6,"enam"),7,"tujuh"),8,"delapan"),9,"sembilan"),"0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Enambelas Ribu Sembilan Ratus Delapan Puluh Rupiah</v>
      </c>
      <c r="I18" s="9"/>
      <c r="J18" s="9"/>
      <c r="K18" s="10"/>
    </row>
    <row r="19" spans="1:11" ht="15.75" x14ac:dyDescent="0.25">
      <c r="A19" s="8"/>
      <c r="B19" s="8"/>
      <c r="C19" s="8"/>
      <c r="D19" s="11"/>
      <c r="E19" s="11"/>
      <c r="F19" s="11"/>
      <c r="G19" s="34"/>
      <c r="H19" s="44"/>
      <c r="I19" s="9"/>
      <c r="J19" s="9"/>
      <c r="K19" s="10"/>
    </row>
    <row r="20" spans="1:11" x14ac:dyDescent="0.25">
      <c r="A20" s="8" t="s">
        <v>1</v>
      </c>
      <c r="B20" s="8"/>
      <c r="C20" s="8"/>
      <c r="D20" s="8"/>
      <c r="E20" s="8"/>
      <c r="F20" s="8"/>
      <c r="G20" s="8"/>
      <c r="H20" s="8"/>
      <c r="I20" s="9"/>
      <c r="J20" s="9"/>
      <c r="K20" s="10"/>
    </row>
    <row r="21" spans="1:11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ht="45" x14ac:dyDescent="0.25">
      <c r="A22" s="12" t="s">
        <v>3</v>
      </c>
      <c r="B22" s="60" t="s">
        <v>22</v>
      </c>
      <c r="C22" s="61"/>
      <c r="D22" s="62" t="s">
        <v>4</v>
      </c>
      <c r="E22" s="63"/>
      <c r="F22" s="64"/>
      <c r="G22" s="43"/>
      <c r="H22" s="35" t="s">
        <v>5</v>
      </c>
      <c r="I22" s="13" t="s">
        <v>17</v>
      </c>
      <c r="J22" s="14" t="s">
        <v>6</v>
      </c>
      <c r="K22" s="15" t="s">
        <v>7</v>
      </c>
    </row>
    <row r="23" spans="1:11" x14ac:dyDescent="0.25">
      <c r="A23" s="56">
        <v>1</v>
      </c>
      <c r="B23" s="50"/>
      <c r="C23" s="50"/>
      <c r="D23" s="65" t="s">
        <v>42</v>
      </c>
      <c r="E23" s="66"/>
      <c r="F23" s="67"/>
      <c r="G23" s="45"/>
      <c r="H23" s="52" t="s">
        <v>28</v>
      </c>
      <c r="I23" s="52" t="s">
        <v>28</v>
      </c>
      <c r="J23" s="52" t="s">
        <v>28</v>
      </c>
      <c r="K23" s="52" t="s">
        <v>28</v>
      </c>
    </row>
    <row r="24" spans="1:11" x14ac:dyDescent="0.25">
      <c r="A24" s="46"/>
      <c r="B24" s="57" t="s">
        <v>23</v>
      </c>
      <c r="C24" s="50"/>
      <c r="D24" s="68" t="s">
        <v>32</v>
      </c>
      <c r="E24" s="69"/>
      <c r="F24" s="70"/>
      <c r="G24" s="45"/>
      <c r="H24" s="52" t="s">
        <v>28</v>
      </c>
      <c r="I24" s="52" t="s">
        <v>28</v>
      </c>
      <c r="J24" s="52" t="s">
        <v>28</v>
      </c>
      <c r="K24" s="52" t="s">
        <v>28</v>
      </c>
    </row>
    <row r="25" spans="1:11" x14ac:dyDescent="0.25">
      <c r="A25" s="46"/>
      <c r="B25" s="46"/>
      <c r="C25" s="46" t="s">
        <v>37</v>
      </c>
      <c r="D25" s="54" t="s">
        <v>33</v>
      </c>
      <c r="E25" s="55"/>
      <c r="F25" s="53"/>
      <c r="G25" s="45"/>
      <c r="H25" s="48">
        <v>25000000</v>
      </c>
      <c r="I25" s="39">
        <f>JANUARI!I121+JANUARI!J121</f>
        <v>0</v>
      </c>
      <c r="J25" s="39">
        <v>0</v>
      </c>
      <c r="K25" s="40">
        <f t="shared" ref="K25:K29" si="0">H25-I25-J25</f>
        <v>25000000</v>
      </c>
    </row>
    <row r="26" spans="1:11" x14ac:dyDescent="0.25">
      <c r="A26" s="46"/>
      <c r="B26" s="46"/>
      <c r="C26" s="46" t="s">
        <v>38</v>
      </c>
      <c r="D26" s="54" t="s">
        <v>34</v>
      </c>
      <c r="E26" s="55"/>
      <c r="F26" s="53"/>
      <c r="G26" s="45"/>
      <c r="H26" s="47">
        <v>3000000</v>
      </c>
      <c r="I26" s="39">
        <f>JANUARI!I122+JANUARI!J122</f>
        <v>220000</v>
      </c>
      <c r="J26" s="39">
        <v>0</v>
      </c>
      <c r="K26" s="40">
        <f t="shared" si="0"/>
        <v>2780000</v>
      </c>
    </row>
    <row r="27" spans="1:11" x14ac:dyDescent="0.25">
      <c r="A27" s="46"/>
      <c r="B27" s="46"/>
      <c r="C27" s="46" t="s">
        <v>39</v>
      </c>
      <c r="D27" s="54" t="s">
        <v>35</v>
      </c>
      <c r="E27" s="55"/>
      <c r="F27" s="53"/>
      <c r="G27" s="45"/>
      <c r="H27" s="47">
        <v>58710000</v>
      </c>
      <c r="I27" s="39">
        <f>JANUARI!I123+JANUARI!J123</f>
        <v>460000</v>
      </c>
      <c r="J27" s="39">
        <v>3016980</v>
      </c>
      <c r="K27" s="40">
        <f t="shared" si="0"/>
        <v>55233020</v>
      </c>
    </row>
    <row r="28" spans="1:11" x14ac:dyDescent="0.25">
      <c r="A28" s="46"/>
      <c r="B28" s="46"/>
      <c r="C28" s="46" t="s">
        <v>40</v>
      </c>
      <c r="D28" s="54" t="s">
        <v>36</v>
      </c>
      <c r="E28" s="55"/>
      <c r="F28" s="53"/>
      <c r="G28" s="45"/>
      <c r="H28" s="48">
        <v>20000000</v>
      </c>
      <c r="I28" s="39">
        <f>JANUARI!I124+JANUARI!J124</f>
        <v>0</v>
      </c>
      <c r="J28" s="39">
        <v>0</v>
      </c>
      <c r="K28" s="40">
        <f t="shared" si="0"/>
        <v>20000000</v>
      </c>
    </row>
    <row r="29" spans="1:11" x14ac:dyDescent="0.25">
      <c r="A29" s="46"/>
      <c r="B29" s="46"/>
      <c r="C29" s="46" t="s">
        <v>41</v>
      </c>
      <c r="D29" s="54" t="s">
        <v>43</v>
      </c>
      <c r="E29" s="55"/>
      <c r="F29" s="53"/>
      <c r="G29" s="45"/>
      <c r="H29" s="47">
        <v>10000000</v>
      </c>
      <c r="I29" s="39">
        <f>JANUARI!I125+JANUARI!J125</f>
        <v>80000</v>
      </c>
      <c r="J29" s="39">
        <v>0</v>
      </c>
      <c r="K29" s="40">
        <f t="shared" si="0"/>
        <v>9920000</v>
      </c>
    </row>
    <row r="30" spans="1:11" x14ac:dyDescent="0.25">
      <c r="A30" s="16"/>
      <c r="B30" s="16"/>
      <c r="C30" s="16"/>
      <c r="D30" s="17" t="s">
        <v>8</v>
      </c>
      <c r="E30" s="17"/>
      <c r="F30" s="17"/>
      <c r="G30" s="37"/>
      <c r="H30" s="36">
        <f>SUM(H23:H29)</f>
        <v>116710000</v>
      </c>
      <c r="I30" s="18">
        <f>SUM(I24:I29)</f>
        <v>760000</v>
      </c>
      <c r="J30" s="18">
        <f>SUM(J24:J29)</f>
        <v>3016980</v>
      </c>
      <c r="K30" s="18">
        <f>SUM(K24:K29)</f>
        <v>112933020</v>
      </c>
    </row>
    <row r="31" spans="1:11" x14ac:dyDescent="0.25">
      <c r="A31" s="19"/>
      <c r="B31" s="51"/>
      <c r="C31" s="51"/>
      <c r="D31" s="6"/>
      <c r="E31" s="6"/>
      <c r="F31" s="6"/>
      <c r="G31" s="6"/>
      <c r="H31" s="20"/>
      <c r="I31" s="20"/>
      <c r="J31" s="20"/>
      <c r="K31" s="20"/>
    </row>
    <row r="32" spans="1:11" x14ac:dyDescent="0.25">
      <c r="A32" s="58" t="s">
        <v>14</v>
      </c>
      <c r="B32" s="58"/>
      <c r="C32" s="58"/>
      <c r="D32" s="58"/>
      <c r="E32" s="30" t="s">
        <v>12</v>
      </c>
      <c r="F32" s="38">
        <f>J30</f>
        <v>3016980</v>
      </c>
      <c r="G32" s="33"/>
      <c r="H32" s="21"/>
      <c r="I32" s="21"/>
      <c r="J32" s="10"/>
      <c r="K32" s="10"/>
    </row>
    <row r="33" spans="1:11" x14ac:dyDescent="0.25">
      <c r="A33" s="8" t="s">
        <v>9</v>
      </c>
      <c r="B33" s="8"/>
      <c r="C33" s="8"/>
      <c r="D33" s="8"/>
      <c r="E33" s="30" t="s">
        <v>12</v>
      </c>
      <c r="F33" s="31"/>
      <c r="G33" s="31"/>
      <c r="H33" s="22"/>
      <c r="I33" s="9"/>
      <c r="J33" s="10"/>
      <c r="K33" s="10"/>
    </row>
    <row r="34" spans="1:11" x14ac:dyDescent="0.25">
      <c r="A34" s="8" t="s">
        <v>16</v>
      </c>
      <c r="B34" s="8"/>
      <c r="C34" s="8"/>
      <c r="D34" s="8"/>
      <c r="E34" s="30" t="s">
        <v>12</v>
      </c>
      <c r="F34" s="32"/>
      <c r="G34" s="32"/>
      <c r="H34" s="22"/>
      <c r="I34" s="9"/>
      <c r="J34" s="10"/>
      <c r="K34" s="10"/>
    </row>
    <row r="35" spans="1:11" x14ac:dyDescent="0.25">
      <c r="A35" s="8" t="s">
        <v>10</v>
      </c>
      <c r="B35" s="8"/>
      <c r="C35" s="8"/>
      <c r="D35" s="8"/>
      <c r="E35" s="30" t="s">
        <v>12</v>
      </c>
      <c r="F35" s="32">
        <f>F33+F34</f>
        <v>0</v>
      </c>
      <c r="G35" s="32"/>
      <c r="H35" s="8"/>
      <c r="I35" s="9"/>
      <c r="J35" s="23"/>
      <c r="K35" s="24"/>
    </row>
    <row r="36" spans="1:11" x14ac:dyDescent="0.25">
      <c r="A36" s="41"/>
      <c r="B36" s="41"/>
      <c r="C36" s="41"/>
      <c r="D36" s="41"/>
      <c r="E36" s="30"/>
      <c r="F36" s="41"/>
      <c r="G36" s="41"/>
      <c r="H36" s="8"/>
      <c r="I36" s="9"/>
      <c r="J36" s="23"/>
      <c r="K36" s="24"/>
    </row>
    <row r="37" spans="1:11" x14ac:dyDescent="0.25">
      <c r="A37" s="58" t="s">
        <v>15</v>
      </c>
      <c r="B37" s="58"/>
      <c r="C37" s="58"/>
      <c r="D37" s="58"/>
      <c r="E37" s="30" t="s">
        <v>12</v>
      </c>
      <c r="F37" s="33">
        <f>F32-F35</f>
        <v>3016980</v>
      </c>
      <c r="G37" s="33"/>
      <c r="H37" s="8"/>
      <c r="I37" s="9"/>
      <c r="J37" s="23"/>
      <c r="K37" s="24"/>
    </row>
    <row r="38" spans="1:11" ht="15.75" x14ac:dyDescent="0.25">
      <c r="A38" s="41"/>
      <c r="B38" s="41"/>
      <c r="C38" s="41"/>
      <c r="D38" s="8"/>
      <c r="E38" s="8"/>
      <c r="F38" s="44" t="str">
        <f>PROPER(IF(F37=0,"nol",IF(F37&lt;0,"minus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37),"000000000000000"),1,3)=0,"",MID(TEXT(ABS(F37),"000000000000000"),1,1)&amp;" ratus "&amp;MID(TEXT(ABS(F37),"000000000000000"),2,1)&amp;" puluh "&amp;MID(TEXT(ABS(F37),"000000000000000"),3,1)&amp;" trilyun ")&amp;IF(--MID(TEXT(ABS(F37),"000000000000000"),4,3)=0,"",MID(TEXT(ABS(F37),"000000000000000"),4,1)&amp;" ratus "&amp;MID(TEXT(ABS(F37),"000000000000000"),5,1)&amp;" puluh "&amp;MID(TEXT(ABS(F37),"000000000000000"),6,1)&amp;" milyar ")&amp;IF(--MID(TEXT(ABS(F37),"000000000000000"),7,3)=0,"",MID(TEXT(ABS(F37),"000000000000000"),7,1)&amp;" ratus "&amp;MID(TEXT(ABS(F37),"000000000000000"),8,1)&amp;" puluh "&amp;MID(TEXT(ABS(F37),"000000000000000"),9,1)&amp;" juta ")&amp;IF(--MID(TEXT(ABS(F37),"000000000000000"),10,3)=0,"",IF(--MID(TEXT(ABS(F37),"000000000000000"),10,3)=1,"*",MID(TEXT(ABS(F37),"000000000000000"),10,1)&amp;" ratus "&amp;MID(TEXT(ABS(F37),"000000000000000"),11,1)&amp;" puluh ")&amp;MID(TEXT(ABS(F37),"000000000000000"),12,1)&amp;" ribu ")&amp;IF(--MID(TEXT(ABS(F37),"000000000000000"),13,3)=0,"",MID(TEXT(ABS(F37),"000000000000000"),13,1)&amp;" ratus "&amp;MID(TEXT(ABS(F37),"000000000000000"),14,1)&amp;" puluh "&amp;MID(TEXT(ABS(F37),"000000000000000"),15,1)),1,"satu"),2,"dua"),3,"tiga"),4,"empat"),5,"lima"),6,"enam"),7,"tujuh"),8,"delapan"),9,"sembilan"),"0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Enambelas Ribu Sembilan Ratus Delapan Puluh Rupiah</v>
      </c>
      <c r="G38" s="8"/>
      <c r="H38" s="8"/>
      <c r="I38" s="8"/>
      <c r="J38" s="23"/>
      <c r="K38" s="24"/>
    </row>
    <row r="39" spans="1:11" x14ac:dyDescent="0.25">
      <c r="A39" s="26"/>
      <c r="B39" s="26"/>
      <c r="C39" s="26"/>
      <c r="D39" s="26"/>
      <c r="E39" s="26"/>
      <c r="F39" s="26"/>
      <c r="G39" s="26"/>
      <c r="H39" s="25"/>
      <c r="I39" s="24"/>
      <c r="J39" s="23"/>
      <c r="K39" s="24"/>
    </row>
    <row r="40" spans="1:11" x14ac:dyDescent="0.25">
      <c r="A40" s="25"/>
      <c r="B40" s="25"/>
      <c r="C40" s="25"/>
      <c r="D40" s="25"/>
      <c r="E40" s="25"/>
      <c r="F40" s="25"/>
      <c r="G40" s="25"/>
      <c r="H40" s="25"/>
      <c r="I40"/>
      <c r="J40" s="24"/>
      <c r="K40" s="24"/>
    </row>
    <row r="41" spans="1:11" x14ac:dyDescent="0.25">
      <c r="A41" s="41"/>
      <c r="B41" s="41"/>
      <c r="C41" s="41"/>
      <c r="D41" s="8"/>
      <c r="E41" s="8"/>
      <c r="F41" s="8"/>
      <c r="G41" s="8"/>
      <c r="H41" s="8"/>
      <c r="J41" s="42" t="s">
        <v>51</v>
      </c>
      <c r="K41" s="24"/>
    </row>
    <row r="42" spans="1:11" x14ac:dyDescent="0.25">
      <c r="A42" s="9" t="s">
        <v>26</v>
      </c>
      <c r="B42" s="9"/>
      <c r="C42" s="9"/>
      <c r="D42" s="8"/>
      <c r="E42" s="8"/>
      <c r="F42" s="8"/>
      <c r="G42" s="8"/>
      <c r="H42" s="8"/>
      <c r="J42" s="9" t="s">
        <v>25</v>
      </c>
      <c r="K42" s="24"/>
    </row>
    <row r="43" spans="1:11" x14ac:dyDescent="0.25">
      <c r="A43" s="8"/>
      <c r="B43" s="8"/>
      <c r="C43" s="8"/>
      <c r="D43" s="8"/>
      <c r="E43" s="8"/>
      <c r="F43" s="8"/>
      <c r="G43" s="8"/>
      <c r="H43" s="8"/>
      <c r="J43" s="9"/>
      <c r="K43" s="24"/>
    </row>
    <row r="44" spans="1:11" x14ac:dyDescent="0.25">
      <c r="A44" s="8"/>
      <c r="B44" s="8"/>
      <c r="C44" s="8"/>
      <c r="D44" s="8"/>
      <c r="E44" s="8"/>
      <c r="F44" s="8"/>
      <c r="G44" s="8"/>
      <c r="H44" s="8"/>
      <c r="J44" s="9"/>
      <c r="K44" s="24"/>
    </row>
    <row r="45" spans="1:11" x14ac:dyDescent="0.25">
      <c r="A45" s="8"/>
      <c r="B45" s="8"/>
      <c r="C45" s="8"/>
      <c r="D45" s="8"/>
      <c r="E45" s="8"/>
      <c r="F45" s="8"/>
      <c r="G45" s="8"/>
      <c r="H45" s="8"/>
      <c r="J45" s="9"/>
      <c r="K45" s="24"/>
    </row>
    <row r="46" spans="1:11" x14ac:dyDescent="0.25">
      <c r="A46" s="8"/>
      <c r="B46" s="8"/>
      <c r="C46" s="8"/>
      <c r="D46" s="8"/>
      <c r="E46" s="8"/>
      <c r="F46" s="8"/>
      <c r="G46" s="8"/>
      <c r="H46" s="8"/>
      <c r="J46" s="9"/>
      <c r="K46" s="24"/>
    </row>
    <row r="47" spans="1:11" x14ac:dyDescent="0.25">
      <c r="A47" s="28" t="s">
        <v>44</v>
      </c>
      <c r="B47" s="28"/>
      <c r="C47" s="28"/>
      <c r="D47" s="27"/>
      <c r="E47" s="27"/>
      <c r="F47" s="27"/>
      <c r="G47" s="27"/>
      <c r="H47" s="8" t="s">
        <v>11</v>
      </c>
      <c r="J47" s="28" t="s">
        <v>27</v>
      </c>
      <c r="K47" s="24"/>
    </row>
    <row r="52" spans="1:11" ht="15.75" x14ac:dyDescent="0.25">
      <c r="D52" s="3"/>
      <c r="E52" s="3"/>
      <c r="F52" s="3"/>
      <c r="G52" s="3"/>
    </row>
    <row r="53" spans="1:11" ht="15.75" x14ac:dyDescent="0.25">
      <c r="A53" s="2"/>
      <c r="B53" s="2"/>
      <c r="C53" s="2"/>
      <c r="D53" s="3"/>
      <c r="E53" s="3"/>
      <c r="F53" s="3"/>
      <c r="G53" s="3"/>
      <c r="H53" s="2"/>
      <c r="I53" s="4"/>
      <c r="J53" s="4"/>
      <c r="K53" s="5"/>
    </row>
    <row r="54" spans="1:11" x14ac:dyDescent="0.25">
      <c r="I54" s="5"/>
      <c r="J54" s="5"/>
      <c r="K54" s="5"/>
    </row>
    <row r="55" spans="1:11" x14ac:dyDescent="0.25">
      <c r="I55" s="5"/>
      <c r="J55" s="5"/>
      <c r="K55" s="5"/>
    </row>
    <row r="56" spans="1:11" x14ac:dyDescent="0.25">
      <c r="A56" s="71" t="s">
        <v>29</v>
      </c>
      <c r="B56" s="71"/>
      <c r="C56" s="71"/>
      <c r="D56" s="72"/>
      <c r="E56" s="72"/>
      <c r="F56" s="72"/>
      <c r="G56" s="72"/>
      <c r="H56" s="72"/>
      <c r="I56" s="72"/>
      <c r="J56" s="72"/>
      <c r="K56" s="72"/>
    </row>
    <row r="57" spans="1:11" x14ac:dyDescent="0.25">
      <c r="A57" s="72" t="s">
        <v>53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</row>
    <row r="58" spans="1:11" x14ac:dyDescent="0.25">
      <c r="A58" s="72" t="s">
        <v>13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</row>
    <row r="59" spans="1:11" x14ac:dyDescent="0.25">
      <c r="A59" s="72" t="s">
        <v>45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</row>
    <row r="60" spans="1:11" x14ac:dyDescent="0.25">
      <c r="A60" s="72" t="s">
        <v>24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</row>
    <row r="61" spans="1:11" x14ac:dyDescent="0.25">
      <c r="A61" s="29"/>
      <c r="B61" s="29"/>
      <c r="C61" s="29"/>
      <c r="D61" s="7"/>
      <c r="E61" s="7"/>
      <c r="F61" s="7"/>
      <c r="G61" s="7"/>
      <c r="H61" s="6"/>
      <c r="I61" s="10"/>
      <c r="J61" s="10"/>
      <c r="K61" s="10"/>
    </row>
    <row r="62" spans="1:11" x14ac:dyDescent="0.25">
      <c r="A62" s="49" t="s">
        <v>18</v>
      </c>
      <c r="B62" s="49"/>
      <c r="C62" s="49"/>
      <c r="D62" s="49"/>
      <c r="E62" s="34" t="s">
        <v>12</v>
      </c>
      <c r="F62" s="8" t="s">
        <v>30</v>
      </c>
      <c r="I62" s="9"/>
      <c r="J62" s="9"/>
      <c r="K62" s="10"/>
    </row>
    <row r="63" spans="1:11" x14ac:dyDescent="0.25">
      <c r="A63" s="49" t="s">
        <v>19</v>
      </c>
      <c r="B63" s="49"/>
      <c r="C63" s="49"/>
      <c r="D63" s="49"/>
      <c r="E63" s="34" t="s">
        <v>12</v>
      </c>
      <c r="F63" s="8" t="s">
        <v>31</v>
      </c>
      <c r="I63" s="9"/>
      <c r="J63" s="9"/>
      <c r="K63" s="10"/>
    </row>
    <row r="64" spans="1:11" x14ac:dyDescent="0.25">
      <c r="A64" s="49" t="s">
        <v>20</v>
      </c>
      <c r="B64" s="49"/>
      <c r="C64" s="49"/>
      <c r="D64" s="49"/>
      <c r="E64" s="34" t="s">
        <v>12</v>
      </c>
      <c r="F64" s="41">
        <v>2026</v>
      </c>
      <c r="I64" s="9"/>
      <c r="J64" s="9"/>
      <c r="K64" s="10"/>
    </row>
    <row r="65" spans="1:11" x14ac:dyDescent="0.25">
      <c r="A65" s="49" t="s">
        <v>21</v>
      </c>
      <c r="B65" s="49"/>
      <c r="C65" s="49"/>
      <c r="D65" s="49"/>
      <c r="E65" s="34" t="s">
        <v>12</v>
      </c>
      <c r="F65" s="38">
        <f>J78</f>
        <v>25115000</v>
      </c>
      <c r="I65" s="9"/>
      <c r="J65" s="9"/>
      <c r="K65" s="10"/>
    </row>
    <row r="66" spans="1:11" ht="15.75" x14ac:dyDescent="0.25">
      <c r="A66" s="8"/>
      <c r="B66" s="8"/>
      <c r="C66" s="8"/>
      <c r="D66" s="11" t="s">
        <v>0</v>
      </c>
      <c r="E66" s="34" t="s">
        <v>12</v>
      </c>
      <c r="F66" s="44" t="str">
        <f>PROPER(IF(F65=0,"nol",IF(F65&lt;0,"minus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65),"000000000000000"),1,3)=0,"",MID(TEXT(ABS(F65),"000000000000000"),1,1)&amp;" ratus "&amp;MID(TEXT(ABS(F65),"000000000000000"),2,1)&amp;" puluh "&amp;MID(TEXT(ABS(F65),"000000000000000"),3,1)&amp;" trilyun ")&amp;IF(--MID(TEXT(ABS(F65),"000000000000000"),4,3)=0,"",MID(TEXT(ABS(F65),"000000000000000"),4,1)&amp;" ratus "&amp;MID(TEXT(ABS(F65),"000000000000000"),5,1)&amp;" puluh "&amp;MID(TEXT(ABS(F65),"000000000000000"),6,1)&amp;" milyar ")&amp;IF(--MID(TEXT(ABS(F65),"000000000000000"),7,3)=0,"",MID(TEXT(ABS(F65),"000000000000000"),7,1)&amp;" ratus "&amp;MID(TEXT(ABS(F65),"000000000000000"),8,1)&amp;" puluh "&amp;MID(TEXT(ABS(F65),"000000000000000"),9,1)&amp;" juta ")&amp;IF(--MID(TEXT(ABS(F65),"000000000000000"),10,3)=0,"",IF(--MID(TEXT(ABS(F65),"000000000000000"),10,3)=1,"*",MID(TEXT(ABS(F65),"000000000000000"),10,1)&amp;" ratus "&amp;MID(TEXT(ABS(F65),"000000000000000"),11,1)&amp;" puluh ")&amp;MID(TEXT(ABS(F65),"000000000000000"),12,1)&amp;" ribu ")&amp;IF(--MID(TEXT(ABS(F65),"000000000000000"),13,3)=0,"",MID(TEXT(ABS(F65),"000000000000000"),13,1)&amp;" ratus "&amp;MID(TEXT(ABS(F65),"000000000000000"),14,1)&amp;" puluh "&amp;MID(TEXT(ABS(F65),"000000000000000"),15,1)),1,"satu"),2,"dua"),3,"tiga"),4,"empat"),5,"lima"),6,"enam"),7,"tujuh"),8,"delapan"),9,"sembilan"),"0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Lima Juta Seratus Limabelas Ribu Rupiah</v>
      </c>
      <c r="I66" s="9"/>
      <c r="J66" s="9"/>
      <c r="K66" s="10"/>
    </row>
    <row r="67" spans="1:11" ht="15.75" x14ac:dyDescent="0.25">
      <c r="A67" s="8"/>
      <c r="B67" s="8"/>
      <c r="C67" s="8"/>
      <c r="D67" s="11"/>
      <c r="E67" s="11"/>
      <c r="F67" s="11"/>
      <c r="G67" s="34"/>
      <c r="H67" s="44"/>
      <c r="I67" s="9"/>
      <c r="J67" s="9"/>
      <c r="K67" s="10"/>
    </row>
    <row r="68" spans="1:11" x14ac:dyDescent="0.25">
      <c r="A68" s="8" t="s">
        <v>1</v>
      </c>
      <c r="B68" s="8"/>
      <c r="C68" s="8"/>
      <c r="D68" s="8"/>
      <c r="E68" s="8"/>
      <c r="F68" s="8"/>
      <c r="G68" s="8"/>
      <c r="H68" s="8"/>
      <c r="I68" s="9"/>
      <c r="J68" s="9"/>
      <c r="K68" s="10"/>
    </row>
    <row r="69" spans="1:11" x14ac:dyDescent="0.25">
      <c r="A69" s="59" t="s">
        <v>2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45" x14ac:dyDescent="0.25">
      <c r="A70" s="12" t="s">
        <v>3</v>
      </c>
      <c r="B70" s="60" t="s">
        <v>22</v>
      </c>
      <c r="C70" s="61"/>
      <c r="D70" s="62" t="s">
        <v>4</v>
      </c>
      <c r="E70" s="63"/>
      <c r="F70" s="64"/>
      <c r="G70" s="43"/>
      <c r="H70" s="35" t="s">
        <v>5</v>
      </c>
      <c r="I70" s="13" t="s">
        <v>17</v>
      </c>
      <c r="J70" s="14" t="s">
        <v>6</v>
      </c>
      <c r="K70" s="15" t="s">
        <v>7</v>
      </c>
    </row>
    <row r="71" spans="1:11" x14ac:dyDescent="0.25">
      <c r="A71" s="56">
        <v>1</v>
      </c>
      <c r="B71" s="50"/>
      <c r="C71" s="50"/>
      <c r="D71" s="65" t="s">
        <v>42</v>
      </c>
      <c r="E71" s="66"/>
      <c r="F71" s="67"/>
      <c r="G71" s="45"/>
      <c r="H71" s="52" t="s">
        <v>28</v>
      </c>
      <c r="I71" s="52" t="s">
        <v>28</v>
      </c>
      <c r="J71" s="52" t="s">
        <v>28</v>
      </c>
      <c r="K71" s="52" t="s">
        <v>28</v>
      </c>
    </row>
    <row r="72" spans="1:11" x14ac:dyDescent="0.25">
      <c r="A72" s="46"/>
      <c r="B72" s="57" t="s">
        <v>23</v>
      </c>
      <c r="C72" s="50"/>
      <c r="D72" s="68" t="s">
        <v>32</v>
      </c>
      <c r="E72" s="69"/>
      <c r="F72" s="70"/>
      <c r="G72" s="45"/>
      <c r="H72" s="52" t="s">
        <v>28</v>
      </c>
      <c r="I72" s="52" t="s">
        <v>28</v>
      </c>
      <c r="J72" s="52" t="s">
        <v>28</v>
      </c>
      <c r="K72" s="52" t="s">
        <v>28</v>
      </c>
    </row>
    <row r="73" spans="1:11" x14ac:dyDescent="0.25">
      <c r="A73" s="46"/>
      <c r="B73" s="46"/>
      <c r="C73" s="46" t="s">
        <v>37</v>
      </c>
      <c r="D73" s="54" t="s">
        <v>33</v>
      </c>
      <c r="E73" s="55"/>
      <c r="F73" s="53"/>
      <c r="G73" s="45"/>
      <c r="H73" s="48">
        <v>25000000</v>
      </c>
      <c r="I73" s="39">
        <f>I25+J25</f>
        <v>0</v>
      </c>
      <c r="J73" s="39">
        <v>0</v>
      </c>
      <c r="K73" s="40">
        <f t="shared" ref="K73:K77" si="1">H73-I73-J73</f>
        <v>25000000</v>
      </c>
    </row>
    <row r="74" spans="1:11" x14ac:dyDescent="0.25">
      <c r="A74" s="46"/>
      <c r="B74" s="46"/>
      <c r="C74" s="46" t="s">
        <v>38</v>
      </c>
      <c r="D74" s="54" t="s">
        <v>34</v>
      </c>
      <c r="E74" s="55"/>
      <c r="F74" s="53"/>
      <c r="G74" s="45"/>
      <c r="H74" s="47">
        <v>3000000</v>
      </c>
      <c r="I74" s="39">
        <f t="shared" ref="I74:I77" si="2">I26+J26</f>
        <v>220000</v>
      </c>
      <c r="J74" s="39">
        <v>0</v>
      </c>
      <c r="K74" s="40">
        <f t="shared" si="1"/>
        <v>2780000</v>
      </c>
    </row>
    <row r="75" spans="1:11" x14ac:dyDescent="0.25">
      <c r="A75" s="46"/>
      <c r="B75" s="46"/>
      <c r="C75" s="46" t="s">
        <v>39</v>
      </c>
      <c r="D75" s="54" t="s">
        <v>35</v>
      </c>
      <c r="E75" s="55"/>
      <c r="F75" s="53"/>
      <c r="G75" s="45"/>
      <c r="H75" s="47">
        <v>58710000</v>
      </c>
      <c r="I75" s="39">
        <f t="shared" si="2"/>
        <v>3476980</v>
      </c>
      <c r="J75" s="39">
        <v>19640000</v>
      </c>
      <c r="K75" s="40">
        <f t="shared" si="1"/>
        <v>35593020</v>
      </c>
    </row>
    <row r="76" spans="1:11" x14ac:dyDescent="0.25">
      <c r="A76" s="46"/>
      <c r="B76" s="46"/>
      <c r="C76" s="46" t="s">
        <v>40</v>
      </c>
      <c r="D76" s="54" t="s">
        <v>36</v>
      </c>
      <c r="E76" s="55"/>
      <c r="F76" s="53"/>
      <c r="G76" s="45"/>
      <c r="H76" s="48">
        <v>20000000</v>
      </c>
      <c r="I76" s="39">
        <f t="shared" si="2"/>
        <v>0</v>
      </c>
      <c r="J76" s="39">
        <v>3150000</v>
      </c>
      <c r="K76" s="40">
        <f t="shared" si="1"/>
        <v>16850000</v>
      </c>
    </row>
    <row r="77" spans="1:11" x14ac:dyDescent="0.25">
      <c r="A77" s="46"/>
      <c r="B77" s="46"/>
      <c r="C77" s="46" t="s">
        <v>41</v>
      </c>
      <c r="D77" s="54" t="s">
        <v>43</v>
      </c>
      <c r="E77" s="55"/>
      <c r="F77" s="53"/>
      <c r="G77" s="45"/>
      <c r="H77" s="47">
        <v>10000000</v>
      </c>
      <c r="I77" s="39">
        <f t="shared" si="2"/>
        <v>80000</v>
      </c>
      <c r="J77" s="39">
        <v>2325000</v>
      </c>
      <c r="K77" s="40">
        <f t="shared" si="1"/>
        <v>7595000</v>
      </c>
    </row>
    <row r="78" spans="1:11" x14ac:dyDescent="0.25">
      <c r="A78" s="16"/>
      <c r="B78" s="16"/>
      <c r="C78" s="16"/>
      <c r="D78" s="17" t="s">
        <v>8</v>
      </c>
      <c r="E78" s="17"/>
      <c r="F78" s="17"/>
      <c r="G78" s="37"/>
      <c r="H78" s="36">
        <f>SUM(H71:H77)</f>
        <v>116710000</v>
      </c>
      <c r="I78" s="18">
        <f>SUM(I72:I77)</f>
        <v>3776980</v>
      </c>
      <c r="J78" s="18">
        <f>SUM(J72:J77)</f>
        <v>25115000</v>
      </c>
      <c r="K78" s="18">
        <f>SUM(K72:K77)</f>
        <v>87818020</v>
      </c>
    </row>
    <row r="79" spans="1:11" x14ac:dyDescent="0.25">
      <c r="A79" s="19"/>
      <c r="B79" s="51"/>
      <c r="C79" s="51"/>
      <c r="D79" s="6"/>
      <c r="E79" s="6"/>
      <c r="F79" s="6"/>
      <c r="G79" s="6"/>
      <c r="H79" s="20"/>
      <c r="I79" s="20"/>
      <c r="J79" s="20"/>
      <c r="K79" s="20"/>
    </row>
    <row r="80" spans="1:11" x14ac:dyDescent="0.25">
      <c r="A80" s="58" t="s">
        <v>14</v>
      </c>
      <c r="B80" s="58"/>
      <c r="C80" s="58"/>
      <c r="D80" s="58"/>
      <c r="E80" s="30" t="s">
        <v>12</v>
      </c>
      <c r="F80" s="38">
        <f>J78</f>
        <v>25115000</v>
      </c>
      <c r="G80" s="33"/>
      <c r="H80" s="21"/>
      <c r="I80" s="21"/>
      <c r="J80" s="10"/>
      <c r="K80" s="10"/>
    </row>
    <row r="81" spans="1:11" x14ac:dyDescent="0.25">
      <c r="A81" s="8" t="s">
        <v>9</v>
      </c>
      <c r="B81" s="8"/>
      <c r="C81" s="8"/>
      <c r="D81" s="8"/>
      <c r="E81" s="30" t="s">
        <v>12</v>
      </c>
      <c r="F81" s="31"/>
      <c r="G81" s="31"/>
      <c r="H81" s="22"/>
      <c r="I81" s="9"/>
      <c r="J81" s="10"/>
      <c r="K81" s="10"/>
    </row>
    <row r="82" spans="1:11" x14ac:dyDescent="0.25">
      <c r="A82" s="8" t="s">
        <v>16</v>
      </c>
      <c r="B82" s="8"/>
      <c r="C82" s="8"/>
      <c r="D82" s="8"/>
      <c r="E82" s="30" t="s">
        <v>12</v>
      </c>
      <c r="F82" s="32"/>
      <c r="G82" s="32"/>
      <c r="H82" s="22"/>
      <c r="I82" s="9"/>
      <c r="J82" s="10"/>
      <c r="K82" s="10"/>
    </row>
    <row r="83" spans="1:11" x14ac:dyDescent="0.25">
      <c r="A83" s="8" t="s">
        <v>10</v>
      </c>
      <c r="B83" s="8"/>
      <c r="C83" s="8"/>
      <c r="D83" s="8"/>
      <c r="E83" s="30" t="s">
        <v>12</v>
      </c>
      <c r="F83" s="32">
        <f>F81+F82</f>
        <v>0</v>
      </c>
      <c r="G83" s="32"/>
      <c r="H83" s="8"/>
      <c r="I83" s="9"/>
      <c r="J83" s="23"/>
      <c r="K83" s="24"/>
    </row>
    <row r="84" spans="1:11" x14ac:dyDescent="0.25">
      <c r="A84" s="41"/>
      <c r="B84" s="41"/>
      <c r="C84" s="41"/>
      <c r="D84" s="41"/>
      <c r="E84" s="30"/>
      <c r="F84" s="41"/>
      <c r="G84" s="41"/>
      <c r="H84" s="8"/>
      <c r="I84" s="9"/>
      <c r="J84" s="23"/>
      <c r="K84" s="24"/>
    </row>
    <row r="85" spans="1:11" x14ac:dyDescent="0.25">
      <c r="A85" s="58" t="s">
        <v>15</v>
      </c>
      <c r="B85" s="58"/>
      <c r="C85" s="58"/>
      <c r="D85" s="58"/>
      <c r="E85" s="30" t="s">
        <v>12</v>
      </c>
      <c r="F85" s="33">
        <f>F80-F83</f>
        <v>25115000</v>
      </c>
      <c r="G85" s="33"/>
      <c r="H85" s="8"/>
      <c r="I85" s="9"/>
      <c r="J85" s="23"/>
      <c r="K85" s="24"/>
    </row>
    <row r="86" spans="1:11" ht="15.75" x14ac:dyDescent="0.25">
      <c r="A86" s="41"/>
      <c r="B86" s="41"/>
      <c r="C86" s="41"/>
      <c r="D86" s="8"/>
      <c r="E86" s="8"/>
      <c r="F86" s="44" t="str">
        <f>PROPER(IF(F85=0,"nol",IF(F85&lt;0,"minus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85),"000000000000000"),1,3)=0,"",MID(TEXT(ABS(F85),"000000000000000"),1,1)&amp;" ratus "&amp;MID(TEXT(ABS(F85),"000000000000000"),2,1)&amp;" puluh "&amp;MID(TEXT(ABS(F85),"000000000000000"),3,1)&amp;" trilyun ")&amp;IF(--MID(TEXT(ABS(F85),"000000000000000"),4,3)=0,"",MID(TEXT(ABS(F85),"000000000000000"),4,1)&amp;" ratus "&amp;MID(TEXT(ABS(F85),"000000000000000"),5,1)&amp;" puluh "&amp;MID(TEXT(ABS(F85),"000000000000000"),6,1)&amp;" milyar ")&amp;IF(--MID(TEXT(ABS(F85),"000000000000000"),7,3)=0,"",MID(TEXT(ABS(F85),"000000000000000"),7,1)&amp;" ratus "&amp;MID(TEXT(ABS(F85),"000000000000000"),8,1)&amp;" puluh "&amp;MID(TEXT(ABS(F85),"000000000000000"),9,1)&amp;" juta ")&amp;IF(--MID(TEXT(ABS(F85),"000000000000000"),10,3)=0,"",IF(--MID(TEXT(ABS(F85),"000000000000000"),10,3)=1,"*",MID(TEXT(ABS(F85),"000000000000000"),10,1)&amp;" ratus "&amp;MID(TEXT(ABS(F85),"000000000000000"),11,1)&amp;" puluh ")&amp;MID(TEXT(ABS(F85),"000000000000000"),12,1)&amp;" ribu ")&amp;IF(--MID(TEXT(ABS(F85),"000000000000000"),13,3)=0,"",MID(TEXT(ABS(F85),"000000000000000"),13,1)&amp;" ratus "&amp;MID(TEXT(ABS(F85),"000000000000000"),14,1)&amp;" puluh "&amp;MID(TEXT(ABS(F85),"000000000000000"),15,1)),1,"satu"),2,"dua"),3,"tiga"),4,"empat"),5,"lima"),6,"enam"),7,"tujuh"),8,"delapan"),9,"sembilan"),"0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Lima Juta Seratus Limabelas Ribu Rupiah</v>
      </c>
      <c r="G86" s="8"/>
      <c r="H86" s="8"/>
      <c r="I86" s="8"/>
      <c r="J86" s="23"/>
      <c r="K86" s="24"/>
    </row>
    <row r="87" spans="1:11" x14ac:dyDescent="0.25">
      <c r="A87" s="26"/>
      <c r="B87" s="26"/>
      <c r="C87" s="26"/>
      <c r="D87" s="26"/>
      <c r="E87" s="26"/>
      <c r="F87" s="26"/>
      <c r="G87" s="26"/>
      <c r="H87" s="25"/>
      <c r="I87" s="24"/>
      <c r="J87" s="23"/>
      <c r="K87" s="24"/>
    </row>
    <row r="88" spans="1:11" x14ac:dyDescent="0.25">
      <c r="A88" s="25"/>
      <c r="B88" s="25"/>
      <c r="C88" s="25"/>
      <c r="D88" s="25"/>
      <c r="E88" s="25"/>
      <c r="F88" s="25"/>
      <c r="G88" s="25"/>
      <c r="H88" s="25"/>
      <c r="I88"/>
      <c r="J88" s="24"/>
      <c r="K88" s="24"/>
    </row>
    <row r="89" spans="1:11" x14ac:dyDescent="0.25">
      <c r="A89" s="41"/>
      <c r="B89" s="41"/>
      <c r="C89" s="41"/>
      <c r="D89" s="8"/>
      <c r="E89" s="8"/>
      <c r="F89" s="8"/>
      <c r="G89" s="8"/>
      <c r="H89" s="8"/>
      <c r="J89" s="42" t="s">
        <v>52</v>
      </c>
      <c r="K89" s="24"/>
    </row>
    <row r="90" spans="1:11" x14ac:dyDescent="0.25">
      <c r="A90" s="9" t="s">
        <v>26</v>
      </c>
      <c r="B90" s="9"/>
      <c r="C90" s="9"/>
      <c r="D90" s="8"/>
      <c r="E90" s="8"/>
      <c r="F90" s="8"/>
      <c r="G90" s="8"/>
      <c r="H90" s="8"/>
      <c r="J90" s="9" t="s">
        <v>25</v>
      </c>
      <c r="K90" s="24"/>
    </row>
    <row r="91" spans="1:11" x14ac:dyDescent="0.25">
      <c r="A91" s="8"/>
      <c r="B91" s="8"/>
      <c r="C91" s="8"/>
      <c r="D91" s="8"/>
      <c r="E91" s="8"/>
      <c r="F91" s="8"/>
      <c r="G91" s="8"/>
      <c r="H91" s="8"/>
      <c r="J91" s="9"/>
      <c r="K91" s="24"/>
    </row>
    <row r="92" spans="1:11" x14ac:dyDescent="0.25">
      <c r="A92" s="8"/>
      <c r="B92" s="8"/>
      <c r="C92" s="8"/>
      <c r="D92" s="8"/>
      <c r="E92" s="8"/>
      <c r="F92" s="8"/>
      <c r="G92" s="8"/>
      <c r="H92" s="8"/>
      <c r="J92" s="9"/>
      <c r="K92" s="24"/>
    </row>
    <row r="93" spans="1:11" x14ac:dyDescent="0.25">
      <c r="A93" s="8"/>
      <c r="B93" s="8"/>
      <c r="C93" s="8"/>
      <c r="D93" s="8"/>
      <c r="E93" s="8"/>
      <c r="F93" s="8"/>
      <c r="G93" s="8"/>
      <c r="H93" s="8"/>
      <c r="J93" s="9"/>
      <c r="K93" s="24"/>
    </row>
    <row r="94" spans="1:11" x14ac:dyDescent="0.25">
      <c r="A94" s="8"/>
      <c r="B94" s="8"/>
      <c r="C94" s="8"/>
      <c r="D94" s="8"/>
      <c r="E94" s="8"/>
      <c r="F94" s="8"/>
      <c r="G94" s="8"/>
      <c r="H94" s="8"/>
      <c r="J94" s="9"/>
      <c r="K94" s="24"/>
    </row>
    <row r="95" spans="1:11" x14ac:dyDescent="0.25">
      <c r="A95" s="28" t="s">
        <v>44</v>
      </c>
      <c r="B95" s="28"/>
      <c r="C95" s="28"/>
      <c r="D95" s="27"/>
      <c r="E95" s="27"/>
      <c r="F95" s="27"/>
      <c r="G95" s="27"/>
      <c r="H95" s="8" t="s">
        <v>11</v>
      </c>
      <c r="J95" s="28" t="s">
        <v>27</v>
      </c>
      <c r="K95" s="24"/>
    </row>
    <row r="100" spans="1:11" ht="15.75" x14ac:dyDescent="0.25">
      <c r="D100" s="3"/>
      <c r="E100" s="3"/>
      <c r="F100" s="3"/>
      <c r="G100" s="3"/>
    </row>
    <row r="101" spans="1:11" ht="15.75" x14ac:dyDescent="0.25">
      <c r="A101" s="2"/>
      <c r="B101" s="2"/>
      <c r="C101" s="2"/>
      <c r="D101" s="3"/>
      <c r="E101" s="3"/>
      <c r="F101" s="3"/>
      <c r="G101" s="3"/>
      <c r="H101" s="2"/>
      <c r="I101" s="4"/>
      <c r="J101" s="4"/>
      <c r="K101" s="5"/>
    </row>
    <row r="102" spans="1:11" x14ac:dyDescent="0.25">
      <c r="I102" s="5"/>
      <c r="J102" s="5"/>
      <c r="K102" s="5"/>
    </row>
    <row r="103" spans="1:11" x14ac:dyDescent="0.25">
      <c r="I103" s="5"/>
      <c r="J103" s="5"/>
      <c r="K103" s="5"/>
    </row>
    <row r="104" spans="1:11" x14ac:dyDescent="0.25">
      <c r="A104" s="71" t="s">
        <v>29</v>
      </c>
      <c r="B104" s="71"/>
      <c r="C104" s="71"/>
      <c r="D104" s="72"/>
      <c r="E104" s="72"/>
      <c r="F104" s="72"/>
      <c r="G104" s="72"/>
      <c r="H104" s="72"/>
      <c r="I104" s="72"/>
      <c r="J104" s="72"/>
      <c r="K104" s="72"/>
    </row>
    <row r="105" spans="1:11" x14ac:dyDescent="0.25">
      <c r="A105" s="72" t="s">
        <v>54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</row>
    <row r="106" spans="1:11" x14ac:dyDescent="0.25">
      <c r="A106" s="72" t="s">
        <v>13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</row>
    <row r="107" spans="1:11" x14ac:dyDescent="0.25">
      <c r="A107" s="72" t="s">
        <v>45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</row>
    <row r="108" spans="1:11" x14ac:dyDescent="0.25">
      <c r="A108" s="72" t="s">
        <v>24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</row>
    <row r="109" spans="1:11" x14ac:dyDescent="0.25">
      <c r="A109" s="29"/>
      <c r="B109" s="29"/>
      <c r="C109" s="29"/>
      <c r="D109" s="7"/>
      <c r="E109" s="7"/>
      <c r="F109" s="7"/>
      <c r="G109" s="7"/>
      <c r="H109" s="6"/>
      <c r="I109" s="10"/>
      <c r="J109" s="10"/>
      <c r="K109" s="10"/>
    </row>
    <row r="110" spans="1:11" x14ac:dyDescent="0.25">
      <c r="A110" s="49" t="s">
        <v>18</v>
      </c>
      <c r="B110" s="49"/>
      <c r="C110" s="49"/>
      <c r="D110" s="49"/>
      <c r="E110" s="34" t="s">
        <v>12</v>
      </c>
      <c r="F110" s="8" t="s">
        <v>30</v>
      </c>
      <c r="I110" s="9"/>
      <c r="J110" s="9"/>
      <c r="K110" s="10"/>
    </row>
    <row r="111" spans="1:11" x14ac:dyDescent="0.25">
      <c r="A111" s="49" t="s">
        <v>19</v>
      </c>
      <c r="B111" s="49"/>
      <c r="C111" s="49"/>
      <c r="D111" s="49"/>
      <c r="E111" s="34" t="s">
        <v>12</v>
      </c>
      <c r="F111" s="8" t="s">
        <v>31</v>
      </c>
      <c r="I111" s="9"/>
      <c r="J111" s="9"/>
      <c r="K111" s="10"/>
    </row>
    <row r="112" spans="1:11" x14ac:dyDescent="0.25">
      <c r="A112" s="49" t="s">
        <v>20</v>
      </c>
      <c r="B112" s="49"/>
      <c r="C112" s="49"/>
      <c r="D112" s="49"/>
      <c r="E112" s="34" t="s">
        <v>12</v>
      </c>
      <c r="F112" s="41">
        <v>2026</v>
      </c>
      <c r="I112" s="9"/>
      <c r="J112" s="9"/>
      <c r="K112" s="10"/>
    </row>
    <row r="113" spans="1:11" x14ac:dyDescent="0.25">
      <c r="A113" s="49" t="s">
        <v>21</v>
      </c>
      <c r="B113" s="49"/>
      <c r="C113" s="49"/>
      <c r="D113" s="49"/>
      <c r="E113" s="34" t="s">
        <v>12</v>
      </c>
      <c r="F113" s="38">
        <f>J126</f>
        <v>180000</v>
      </c>
      <c r="I113" s="9"/>
      <c r="J113" s="9"/>
      <c r="K113" s="10"/>
    </row>
    <row r="114" spans="1:11" ht="15.75" x14ac:dyDescent="0.25">
      <c r="A114" s="8"/>
      <c r="B114" s="8"/>
      <c r="C114" s="8"/>
      <c r="D114" s="11" t="s">
        <v>0</v>
      </c>
      <c r="E114" s="34" t="s">
        <v>12</v>
      </c>
      <c r="F114" s="44" t="str">
        <f>PROPER(IF(F113=0,"nol",IF(F113&lt;0,"minus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113),"000000000000000"),1,3)=0,"",MID(TEXT(ABS(F113),"000000000000000"),1,1)&amp;" ratus "&amp;MID(TEXT(ABS(F113),"000000000000000"),2,1)&amp;" puluh "&amp;MID(TEXT(ABS(F113),"000000000000000"),3,1)&amp;" trilyun ")&amp;IF(--MID(TEXT(ABS(F113),"000000000000000"),4,3)=0,"",MID(TEXT(ABS(F113),"000000000000000"),4,1)&amp;" ratus "&amp;MID(TEXT(ABS(F113),"000000000000000"),5,1)&amp;" puluh "&amp;MID(TEXT(ABS(F113),"000000000000000"),6,1)&amp;" milyar ")&amp;IF(--MID(TEXT(ABS(F113),"000000000000000"),7,3)=0,"",MID(TEXT(ABS(F113),"000000000000000"),7,1)&amp;" ratus "&amp;MID(TEXT(ABS(F113),"000000000000000"),8,1)&amp;" puluh "&amp;MID(TEXT(ABS(F113),"000000000000000"),9,1)&amp;" juta ")&amp;IF(--MID(TEXT(ABS(F113),"000000000000000"),10,3)=0,"",IF(--MID(TEXT(ABS(F113),"000000000000000"),10,3)=1,"*",MID(TEXT(ABS(F113),"000000000000000"),10,1)&amp;" ratus "&amp;MID(TEXT(ABS(F113),"000000000000000"),11,1)&amp;" puluh ")&amp;MID(TEXT(ABS(F113),"000000000000000"),12,1)&amp;" ribu ")&amp;IF(--MID(TEXT(ABS(F113),"000000000000000"),13,3)=0,"",MID(TEXT(ABS(F113),"000000000000000"),13,1)&amp;" ratus "&amp;MID(TEXT(ABS(F113),"000000000000000"),14,1)&amp;" puluh "&amp;MID(TEXT(ABS(F113),"000000000000000"),15,1)),1,"satu"),2,"dua"),3,"tiga"),4,"empat"),5,"lima"),6,"enam"),7,"tujuh"),8,"delapan"),9,"sembilan"),"0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Delapan Puluh Ribu Rupiah</v>
      </c>
      <c r="I114" s="9"/>
      <c r="J114" s="9"/>
      <c r="K114" s="10"/>
    </row>
    <row r="115" spans="1:11" ht="15.75" x14ac:dyDescent="0.25">
      <c r="A115" s="8"/>
      <c r="B115" s="8"/>
      <c r="C115" s="8"/>
      <c r="D115" s="11"/>
      <c r="E115" s="11"/>
      <c r="F115" s="11"/>
      <c r="G115" s="34"/>
      <c r="H115" s="44"/>
      <c r="I115" s="9"/>
      <c r="J115" s="9"/>
      <c r="K115" s="10"/>
    </row>
    <row r="116" spans="1:11" x14ac:dyDescent="0.25">
      <c r="A116" s="8" t="s">
        <v>1</v>
      </c>
      <c r="B116" s="8"/>
      <c r="C116" s="8"/>
      <c r="D116" s="8"/>
      <c r="E116" s="8"/>
      <c r="F116" s="8"/>
      <c r="G116" s="8"/>
      <c r="H116" s="8"/>
      <c r="I116" s="9"/>
      <c r="J116" s="9"/>
      <c r="K116" s="10"/>
    </row>
    <row r="117" spans="1:11" x14ac:dyDescent="0.25">
      <c r="A117" s="59" t="s">
        <v>2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</row>
    <row r="118" spans="1:11" ht="45" x14ac:dyDescent="0.25">
      <c r="A118" s="12" t="s">
        <v>3</v>
      </c>
      <c r="B118" s="60" t="s">
        <v>22</v>
      </c>
      <c r="C118" s="61"/>
      <c r="D118" s="62" t="s">
        <v>4</v>
      </c>
      <c r="E118" s="63"/>
      <c r="F118" s="64"/>
      <c r="G118" s="43"/>
      <c r="H118" s="35" t="s">
        <v>5</v>
      </c>
      <c r="I118" s="13" t="s">
        <v>17</v>
      </c>
      <c r="J118" s="14" t="s">
        <v>6</v>
      </c>
      <c r="K118" s="15" t="s">
        <v>7</v>
      </c>
    </row>
    <row r="119" spans="1:11" x14ac:dyDescent="0.25">
      <c r="A119" s="56">
        <v>1</v>
      </c>
      <c r="B119" s="50"/>
      <c r="C119" s="50"/>
      <c r="D119" s="65" t="s">
        <v>42</v>
      </c>
      <c r="E119" s="66"/>
      <c r="F119" s="67"/>
      <c r="G119" s="45"/>
      <c r="H119" s="52" t="s">
        <v>28</v>
      </c>
      <c r="I119" s="52" t="s">
        <v>28</v>
      </c>
      <c r="J119" s="52" t="s">
        <v>28</v>
      </c>
      <c r="K119" s="52" t="s">
        <v>28</v>
      </c>
    </row>
    <row r="120" spans="1:11" x14ac:dyDescent="0.25">
      <c r="A120" s="46"/>
      <c r="B120" s="57" t="s">
        <v>23</v>
      </c>
      <c r="C120" s="50"/>
      <c r="D120" s="68" t="s">
        <v>32</v>
      </c>
      <c r="E120" s="69"/>
      <c r="F120" s="70"/>
      <c r="G120" s="45"/>
      <c r="H120" s="52" t="s">
        <v>28</v>
      </c>
      <c r="I120" s="52" t="s">
        <v>28</v>
      </c>
      <c r="J120" s="52" t="s">
        <v>28</v>
      </c>
      <c r="K120" s="52" t="s">
        <v>28</v>
      </c>
    </row>
    <row r="121" spans="1:11" x14ac:dyDescent="0.25">
      <c r="A121" s="46"/>
      <c r="B121" s="46"/>
      <c r="C121" s="46" t="s">
        <v>37</v>
      </c>
      <c r="D121" s="54" t="s">
        <v>33</v>
      </c>
      <c r="E121" s="55"/>
      <c r="F121" s="53"/>
      <c r="G121" s="45"/>
      <c r="H121" s="48">
        <v>25000000</v>
      </c>
      <c r="I121" s="39">
        <f>I73+J73</f>
        <v>0</v>
      </c>
      <c r="J121" s="39">
        <v>0</v>
      </c>
      <c r="K121" s="40">
        <f t="shared" ref="K121:K125" si="3">H121-I121-J121</f>
        <v>25000000</v>
      </c>
    </row>
    <row r="122" spans="1:11" x14ac:dyDescent="0.25">
      <c r="A122" s="46"/>
      <c r="B122" s="46"/>
      <c r="C122" s="46" t="s">
        <v>38</v>
      </c>
      <c r="D122" s="54" t="s">
        <v>34</v>
      </c>
      <c r="E122" s="55"/>
      <c r="F122" s="53"/>
      <c r="G122" s="45"/>
      <c r="H122" s="47">
        <v>3000000</v>
      </c>
      <c r="I122" s="39">
        <f>I74+J74</f>
        <v>220000</v>
      </c>
      <c r="J122" s="39">
        <v>180000</v>
      </c>
      <c r="K122" s="40">
        <f t="shared" si="3"/>
        <v>2600000</v>
      </c>
    </row>
    <row r="123" spans="1:11" x14ac:dyDescent="0.25">
      <c r="A123" s="46"/>
      <c r="B123" s="46"/>
      <c r="C123" s="46" t="s">
        <v>39</v>
      </c>
      <c r="D123" s="54" t="s">
        <v>35</v>
      </c>
      <c r="E123" s="55"/>
      <c r="F123" s="53"/>
      <c r="G123" s="45"/>
      <c r="H123" s="47">
        <v>58710000</v>
      </c>
      <c r="I123" s="39">
        <f t="shared" ref="I123:I125" si="4">I75+J75</f>
        <v>23116980</v>
      </c>
      <c r="J123" s="39">
        <v>0</v>
      </c>
      <c r="K123" s="40">
        <f t="shared" si="3"/>
        <v>35593020</v>
      </c>
    </row>
    <row r="124" spans="1:11" x14ac:dyDescent="0.25">
      <c r="A124" s="46"/>
      <c r="B124" s="46"/>
      <c r="C124" s="46" t="s">
        <v>40</v>
      </c>
      <c r="D124" s="54" t="s">
        <v>36</v>
      </c>
      <c r="E124" s="55"/>
      <c r="F124" s="53"/>
      <c r="G124" s="45"/>
      <c r="H124" s="48">
        <v>20000000</v>
      </c>
      <c r="I124" s="39">
        <f t="shared" si="4"/>
        <v>3150000</v>
      </c>
      <c r="J124" s="39">
        <v>0</v>
      </c>
      <c r="K124" s="40">
        <f t="shared" si="3"/>
        <v>16850000</v>
      </c>
    </row>
    <row r="125" spans="1:11" x14ac:dyDescent="0.25">
      <c r="A125" s="46"/>
      <c r="B125" s="46"/>
      <c r="C125" s="46" t="s">
        <v>41</v>
      </c>
      <c r="D125" s="54" t="s">
        <v>43</v>
      </c>
      <c r="E125" s="55"/>
      <c r="F125" s="53"/>
      <c r="G125" s="45"/>
      <c r="H125" s="47">
        <v>10000000</v>
      </c>
      <c r="I125" s="39">
        <f t="shared" si="4"/>
        <v>2405000</v>
      </c>
      <c r="J125" s="39">
        <v>0</v>
      </c>
      <c r="K125" s="40">
        <f t="shared" si="3"/>
        <v>7595000</v>
      </c>
    </row>
    <row r="126" spans="1:11" x14ac:dyDescent="0.25">
      <c r="A126" s="16"/>
      <c r="B126" s="16"/>
      <c r="C126" s="16"/>
      <c r="D126" s="17" t="s">
        <v>8</v>
      </c>
      <c r="E126" s="17"/>
      <c r="F126" s="17"/>
      <c r="G126" s="37"/>
      <c r="H126" s="36">
        <f>SUM(H119:H125)</f>
        <v>116710000</v>
      </c>
      <c r="I126" s="18">
        <f>SUM(I120:I125)</f>
        <v>28891980</v>
      </c>
      <c r="J126" s="18">
        <f>SUM(J120:J125)</f>
        <v>180000</v>
      </c>
      <c r="K126" s="18">
        <f>SUM(K120:K125)</f>
        <v>87638020</v>
      </c>
    </row>
    <row r="127" spans="1:11" x14ac:dyDescent="0.25">
      <c r="A127" s="19"/>
      <c r="B127" s="51"/>
      <c r="C127" s="51"/>
      <c r="D127" s="6"/>
      <c r="E127" s="6"/>
      <c r="F127" s="6"/>
      <c r="G127" s="6"/>
      <c r="H127" s="20"/>
      <c r="I127" s="20"/>
      <c r="J127" s="20"/>
      <c r="K127" s="20"/>
    </row>
    <row r="128" spans="1:11" x14ac:dyDescent="0.25">
      <c r="A128" s="58" t="s">
        <v>14</v>
      </c>
      <c r="B128" s="58"/>
      <c r="C128" s="58"/>
      <c r="D128" s="58"/>
      <c r="E128" s="30" t="s">
        <v>12</v>
      </c>
      <c r="F128" s="38">
        <f>J126</f>
        <v>180000</v>
      </c>
      <c r="G128" s="33"/>
      <c r="H128" s="21"/>
      <c r="I128" s="21"/>
      <c r="J128" s="10"/>
      <c r="K128" s="10"/>
    </row>
    <row r="129" spans="1:11" x14ac:dyDescent="0.25">
      <c r="A129" s="8" t="s">
        <v>9</v>
      </c>
      <c r="B129" s="8"/>
      <c r="C129" s="8"/>
      <c r="D129" s="8"/>
      <c r="E129" s="30" t="s">
        <v>12</v>
      </c>
      <c r="F129" s="31"/>
      <c r="G129" s="31"/>
      <c r="H129" s="22"/>
      <c r="I129" s="9"/>
      <c r="J129" s="10"/>
      <c r="K129" s="10"/>
    </row>
    <row r="130" spans="1:11" x14ac:dyDescent="0.25">
      <c r="A130" s="8" t="s">
        <v>16</v>
      </c>
      <c r="B130" s="8"/>
      <c r="C130" s="8"/>
      <c r="D130" s="8"/>
      <c r="E130" s="30" t="s">
        <v>12</v>
      </c>
      <c r="F130" s="32"/>
      <c r="G130" s="32"/>
      <c r="H130" s="22"/>
      <c r="I130" s="9"/>
      <c r="J130" s="10"/>
      <c r="K130" s="10"/>
    </row>
    <row r="131" spans="1:11" x14ac:dyDescent="0.25">
      <c r="A131" s="8" t="s">
        <v>10</v>
      </c>
      <c r="B131" s="8"/>
      <c r="C131" s="8"/>
      <c r="D131" s="8"/>
      <c r="E131" s="30" t="s">
        <v>12</v>
      </c>
      <c r="F131" s="32">
        <f>F129+F130</f>
        <v>0</v>
      </c>
      <c r="G131" s="32"/>
      <c r="H131" s="8"/>
      <c r="I131" s="9"/>
      <c r="J131" s="23"/>
      <c r="K131" s="24"/>
    </row>
    <row r="132" spans="1:11" x14ac:dyDescent="0.25">
      <c r="A132" s="41"/>
      <c r="B132" s="41"/>
      <c r="C132" s="41"/>
      <c r="D132" s="41"/>
      <c r="E132" s="30"/>
      <c r="F132" s="41"/>
      <c r="G132" s="41"/>
      <c r="H132" s="8"/>
      <c r="I132" s="9"/>
      <c r="J132" s="23"/>
      <c r="K132" s="24"/>
    </row>
    <row r="133" spans="1:11" x14ac:dyDescent="0.25">
      <c r="A133" s="58" t="s">
        <v>15</v>
      </c>
      <c r="B133" s="58"/>
      <c r="C133" s="58"/>
      <c r="D133" s="58"/>
      <c r="E133" s="30" t="s">
        <v>12</v>
      </c>
      <c r="F133" s="33">
        <f>F128-F131</f>
        <v>180000</v>
      </c>
      <c r="G133" s="33"/>
      <c r="H133" s="8"/>
      <c r="I133" s="9"/>
      <c r="J133" s="23"/>
      <c r="K133" s="24"/>
    </row>
    <row r="134" spans="1:11" ht="15.75" x14ac:dyDescent="0.25">
      <c r="A134" s="41"/>
      <c r="B134" s="41"/>
      <c r="C134" s="41"/>
      <c r="D134" s="8"/>
      <c r="E134" s="8"/>
      <c r="F134" s="44" t="str">
        <f>PROPER(IF(F133=0,"nol",IF(F133&lt;0,"minus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133),"000000000000000"),1,3)=0,"",MID(TEXT(ABS(F133),"000000000000000"),1,1)&amp;" ratus "&amp;MID(TEXT(ABS(F133),"000000000000000"),2,1)&amp;" puluh "&amp;MID(TEXT(ABS(F133),"000000000000000"),3,1)&amp;" trilyun ")&amp;IF(--MID(TEXT(ABS(F133),"000000000000000"),4,3)=0,"",MID(TEXT(ABS(F133),"000000000000000"),4,1)&amp;" ratus "&amp;MID(TEXT(ABS(F133),"000000000000000"),5,1)&amp;" puluh "&amp;MID(TEXT(ABS(F133),"000000000000000"),6,1)&amp;" milyar ")&amp;IF(--MID(TEXT(ABS(F133),"000000000000000"),7,3)=0,"",MID(TEXT(ABS(F133),"000000000000000"),7,1)&amp;" ratus "&amp;MID(TEXT(ABS(F133),"000000000000000"),8,1)&amp;" puluh "&amp;MID(TEXT(ABS(F133),"000000000000000"),9,1)&amp;" juta ")&amp;IF(--MID(TEXT(ABS(F133),"000000000000000"),10,3)=0,"",IF(--MID(TEXT(ABS(F133),"000000000000000"),10,3)=1,"*",MID(TEXT(ABS(F133),"000000000000000"),10,1)&amp;" ratus "&amp;MID(TEXT(ABS(F133),"000000000000000"),11,1)&amp;" puluh ")&amp;MID(TEXT(ABS(F133),"000000000000000"),12,1)&amp;" ribu ")&amp;IF(--MID(TEXT(ABS(F133),"000000000000000"),13,3)=0,"",MID(TEXT(ABS(F133),"000000000000000"),13,1)&amp;" ratus "&amp;MID(TEXT(ABS(F133),"000000000000000"),14,1)&amp;" puluh "&amp;MID(TEXT(ABS(F133),"000000000000000"),15,1)),1,"satu"),2,"dua"),3,"tiga"),4,"empat"),5,"lima"),6,"enam"),7,"tujuh"),8,"delapan"),9,"sembilan"),"0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Delapan Puluh Ribu Rupiah</v>
      </c>
      <c r="G134" s="8"/>
      <c r="H134" s="8"/>
      <c r="I134" s="8"/>
      <c r="J134" s="23"/>
      <c r="K134" s="24"/>
    </row>
    <row r="135" spans="1:11" x14ac:dyDescent="0.25">
      <c r="A135" s="26"/>
      <c r="B135" s="26"/>
      <c r="C135" s="26"/>
      <c r="D135" s="26"/>
      <c r="E135" s="26"/>
      <c r="F135" s="26"/>
      <c r="G135" s="26"/>
      <c r="H135" s="25"/>
      <c r="I135" s="24"/>
      <c r="J135" s="23"/>
      <c r="K135" s="24"/>
    </row>
    <row r="136" spans="1:11" x14ac:dyDescent="0.25">
      <c r="A136" s="25"/>
      <c r="B136" s="25"/>
      <c r="C136" s="25"/>
      <c r="D136" s="25"/>
      <c r="E136" s="25"/>
      <c r="F136" s="25"/>
      <c r="G136" s="25"/>
      <c r="H136" s="25"/>
      <c r="I136"/>
      <c r="J136" s="24"/>
      <c r="K136" s="24"/>
    </row>
    <row r="137" spans="1:11" x14ac:dyDescent="0.25">
      <c r="A137" s="41"/>
      <c r="B137" s="41"/>
      <c r="C137" s="41"/>
      <c r="D137" s="8"/>
      <c r="E137" s="8"/>
      <c r="F137" s="8"/>
      <c r="G137" s="8"/>
      <c r="H137" s="8"/>
      <c r="J137" s="42" t="s">
        <v>52</v>
      </c>
      <c r="K137" s="24"/>
    </row>
    <row r="138" spans="1:11" x14ac:dyDescent="0.25">
      <c r="A138" s="9" t="s">
        <v>26</v>
      </c>
      <c r="B138" s="9"/>
      <c r="C138" s="9"/>
      <c r="D138" s="8"/>
      <c r="E138" s="8"/>
      <c r="F138" s="8"/>
      <c r="G138" s="8"/>
      <c r="H138" s="8"/>
      <c r="J138" s="9" t="s">
        <v>25</v>
      </c>
      <c r="K138" s="24"/>
    </row>
    <row r="139" spans="1:11" x14ac:dyDescent="0.25">
      <c r="A139" s="8"/>
      <c r="B139" s="8"/>
      <c r="C139" s="8"/>
      <c r="D139" s="8"/>
      <c r="E139" s="8"/>
      <c r="F139" s="8"/>
      <c r="G139" s="8"/>
      <c r="H139" s="8"/>
      <c r="J139" s="9"/>
      <c r="K139" s="24"/>
    </row>
    <row r="140" spans="1:11" x14ac:dyDescent="0.25">
      <c r="A140" s="8"/>
      <c r="B140" s="8"/>
      <c r="C140" s="8"/>
      <c r="D140" s="8"/>
      <c r="E140" s="8"/>
      <c r="F140" s="8"/>
      <c r="G140" s="8"/>
      <c r="H140" s="8"/>
      <c r="J140" s="9"/>
      <c r="K140" s="24"/>
    </row>
    <row r="141" spans="1:11" x14ac:dyDescent="0.25">
      <c r="A141" s="8"/>
      <c r="B141" s="8"/>
      <c r="C141" s="8"/>
      <c r="D141" s="8"/>
      <c r="E141" s="8"/>
      <c r="F141" s="8"/>
      <c r="G141" s="8"/>
      <c r="H141" s="8"/>
      <c r="J141" s="9"/>
      <c r="K141" s="24"/>
    </row>
    <row r="142" spans="1:11" x14ac:dyDescent="0.25">
      <c r="A142" s="8"/>
      <c r="B142" s="8"/>
      <c r="C142" s="8"/>
      <c r="D142" s="8"/>
      <c r="E142" s="8"/>
      <c r="F142" s="8"/>
      <c r="G142" s="8"/>
      <c r="H142" s="8"/>
      <c r="J142" s="9"/>
      <c r="K142" s="24"/>
    </row>
    <row r="143" spans="1:11" x14ac:dyDescent="0.25">
      <c r="A143" s="28" t="s">
        <v>44</v>
      </c>
      <c r="B143" s="28"/>
      <c r="C143" s="28"/>
      <c r="D143" s="27"/>
      <c r="E143" s="27"/>
      <c r="F143" s="27"/>
      <c r="G143" s="27"/>
      <c r="H143" s="8" t="s">
        <v>11</v>
      </c>
      <c r="J143" s="28" t="s">
        <v>27</v>
      </c>
      <c r="K143" s="24"/>
    </row>
    <row r="148" spans="1:11" ht="15.75" x14ac:dyDescent="0.25">
      <c r="D148" s="3"/>
      <c r="E148" s="3"/>
      <c r="F148" s="3"/>
      <c r="G148" s="3"/>
    </row>
    <row r="149" spans="1:11" ht="15.75" x14ac:dyDescent="0.25">
      <c r="A149" s="2"/>
      <c r="B149" s="2"/>
      <c r="C149" s="2"/>
      <c r="D149" s="3"/>
      <c r="E149" s="3"/>
      <c r="F149" s="3"/>
      <c r="G149" s="3"/>
      <c r="H149" s="2"/>
      <c r="I149" s="4"/>
      <c r="J149" s="4"/>
      <c r="K149" s="5"/>
    </row>
    <row r="150" spans="1:11" x14ac:dyDescent="0.25">
      <c r="I150" s="5"/>
      <c r="J150" s="5"/>
      <c r="K150" s="5"/>
    </row>
    <row r="151" spans="1:11" x14ac:dyDescent="0.25">
      <c r="I151" s="5"/>
      <c r="J151" s="5"/>
      <c r="K151" s="5"/>
    </row>
    <row r="152" spans="1:11" x14ac:dyDescent="0.25">
      <c r="A152" s="71" t="s">
        <v>29</v>
      </c>
      <c r="B152" s="71"/>
      <c r="C152" s="71"/>
      <c r="D152" s="72"/>
      <c r="E152" s="72"/>
      <c r="F152" s="72"/>
      <c r="G152" s="72"/>
      <c r="H152" s="72"/>
      <c r="I152" s="72"/>
      <c r="J152" s="72"/>
      <c r="K152" s="72"/>
    </row>
    <row r="153" spans="1:11" x14ac:dyDescent="0.25">
      <c r="A153" s="72" t="s">
        <v>55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72"/>
    </row>
    <row r="154" spans="1:11" x14ac:dyDescent="0.25">
      <c r="A154" s="72" t="s">
        <v>13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</row>
    <row r="155" spans="1:11" x14ac:dyDescent="0.25">
      <c r="A155" s="72" t="s">
        <v>45</v>
      </c>
      <c r="B155" s="72"/>
      <c r="C155" s="72"/>
      <c r="D155" s="72"/>
      <c r="E155" s="72"/>
      <c r="F155" s="72"/>
      <c r="G155" s="72"/>
      <c r="H155" s="72"/>
      <c r="I155" s="72"/>
      <c r="J155" s="72"/>
      <c r="K155" s="72"/>
    </row>
    <row r="156" spans="1:11" x14ac:dyDescent="0.25">
      <c r="A156" s="72" t="s">
        <v>24</v>
      </c>
      <c r="B156" s="72"/>
      <c r="C156" s="72"/>
      <c r="D156" s="72"/>
      <c r="E156" s="72"/>
      <c r="F156" s="72"/>
      <c r="G156" s="72"/>
      <c r="H156" s="72"/>
      <c r="I156" s="72"/>
      <c r="J156" s="72"/>
      <c r="K156" s="72"/>
    </row>
    <row r="157" spans="1:11" x14ac:dyDescent="0.25">
      <c r="A157" s="29"/>
      <c r="B157" s="29"/>
      <c r="C157" s="29"/>
      <c r="D157" s="7"/>
      <c r="E157" s="7"/>
      <c r="F157" s="7"/>
      <c r="G157" s="7"/>
      <c r="H157" s="6"/>
      <c r="I157" s="10"/>
      <c r="J157" s="10"/>
      <c r="K157" s="10"/>
    </row>
    <row r="158" spans="1:11" x14ac:dyDescent="0.25">
      <c r="A158" s="49" t="s">
        <v>18</v>
      </c>
      <c r="B158" s="49"/>
      <c r="C158" s="49"/>
      <c r="D158" s="49"/>
      <c r="E158" s="34" t="s">
        <v>12</v>
      </c>
      <c r="F158" s="8" t="s">
        <v>30</v>
      </c>
      <c r="I158" s="9"/>
      <c r="J158" s="9"/>
      <c r="K158" s="10"/>
    </row>
    <row r="159" spans="1:11" x14ac:dyDescent="0.25">
      <c r="A159" s="49" t="s">
        <v>19</v>
      </c>
      <c r="B159" s="49"/>
      <c r="C159" s="49"/>
      <c r="D159" s="49"/>
      <c r="E159" s="34" t="s">
        <v>12</v>
      </c>
      <c r="F159" s="8" t="s">
        <v>31</v>
      </c>
      <c r="I159" s="9"/>
      <c r="J159" s="9"/>
      <c r="K159" s="10"/>
    </row>
    <row r="160" spans="1:11" x14ac:dyDescent="0.25">
      <c r="A160" s="49" t="s">
        <v>20</v>
      </c>
      <c r="B160" s="49"/>
      <c r="C160" s="49"/>
      <c r="D160" s="49"/>
      <c r="E160" s="34" t="s">
        <v>12</v>
      </c>
      <c r="F160" s="41">
        <v>2026</v>
      </c>
      <c r="I160" s="9"/>
      <c r="J160" s="9"/>
      <c r="K160" s="10"/>
    </row>
    <row r="161" spans="1:11" x14ac:dyDescent="0.25">
      <c r="A161" s="49" t="s">
        <v>21</v>
      </c>
      <c r="B161" s="49"/>
      <c r="C161" s="49"/>
      <c r="D161" s="49"/>
      <c r="E161" s="34" t="s">
        <v>12</v>
      </c>
      <c r="F161" s="38">
        <f>J174</f>
        <v>455000</v>
      </c>
      <c r="I161" s="9"/>
      <c r="J161" s="9"/>
      <c r="K161" s="10"/>
    </row>
    <row r="162" spans="1:11" ht="15.75" x14ac:dyDescent="0.25">
      <c r="A162" s="8"/>
      <c r="B162" s="8"/>
      <c r="C162" s="8"/>
      <c r="D162" s="11" t="s">
        <v>0</v>
      </c>
      <c r="E162" s="34" t="s">
        <v>12</v>
      </c>
      <c r="F162" s="44" t="str">
        <f>PROPER(IF(F161=0,"nol",IF(F161&lt;0,"minus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161),"000000000000000"),1,3)=0,"",MID(TEXT(ABS(F161),"000000000000000"),1,1)&amp;" ratus "&amp;MID(TEXT(ABS(F161),"000000000000000"),2,1)&amp;" puluh "&amp;MID(TEXT(ABS(F161),"000000000000000"),3,1)&amp;" trilyun ")&amp;IF(--MID(TEXT(ABS(F161),"000000000000000"),4,3)=0,"",MID(TEXT(ABS(F161),"000000000000000"),4,1)&amp;" ratus "&amp;MID(TEXT(ABS(F161),"000000000000000"),5,1)&amp;" puluh "&amp;MID(TEXT(ABS(F161),"000000000000000"),6,1)&amp;" milyar ")&amp;IF(--MID(TEXT(ABS(F161),"000000000000000"),7,3)=0,"",MID(TEXT(ABS(F161),"000000000000000"),7,1)&amp;" ratus "&amp;MID(TEXT(ABS(F161),"000000000000000"),8,1)&amp;" puluh "&amp;MID(TEXT(ABS(F161),"000000000000000"),9,1)&amp;" juta ")&amp;IF(--MID(TEXT(ABS(F161),"000000000000000"),10,3)=0,"",IF(--MID(TEXT(ABS(F161),"000000000000000"),10,3)=1,"*",MID(TEXT(ABS(F161),"000000000000000"),10,1)&amp;" ratus "&amp;MID(TEXT(ABS(F161),"000000000000000"),11,1)&amp;" puluh ")&amp;MID(TEXT(ABS(F161),"000000000000000"),12,1)&amp;" ribu ")&amp;IF(--MID(TEXT(ABS(F161),"000000000000000"),13,3)=0,"",MID(TEXT(ABS(F161),"000000000000000"),13,1)&amp;" ratus "&amp;MID(TEXT(ABS(F161),"000000000000000"),14,1)&amp;" puluh "&amp;MID(TEXT(ABS(F161),"000000000000000"),15,1)),1,"satu"),2,"dua"),3,"tiga"),4,"empat"),5,"lima"),6,"enam"),7,"tujuh"),8,"delapan"),9,"sembilan"),"0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Lima Ribu Rupiah</v>
      </c>
      <c r="I162" s="9"/>
      <c r="J162" s="9"/>
      <c r="K162" s="10"/>
    </row>
    <row r="163" spans="1:11" ht="15.75" x14ac:dyDescent="0.25">
      <c r="A163" s="8"/>
      <c r="B163" s="8"/>
      <c r="C163" s="8"/>
      <c r="D163" s="11"/>
      <c r="E163" s="11"/>
      <c r="F163" s="11"/>
      <c r="G163" s="34"/>
      <c r="H163" s="44"/>
      <c r="I163" s="9"/>
      <c r="J163" s="9"/>
      <c r="K163" s="10"/>
    </row>
    <row r="164" spans="1:11" x14ac:dyDescent="0.25">
      <c r="A164" s="8" t="s">
        <v>1</v>
      </c>
      <c r="B164" s="8"/>
      <c r="C164" s="8"/>
      <c r="D164" s="8"/>
      <c r="E164" s="8"/>
      <c r="F164" s="8"/>
      <c r="G164" s="8"/>
      <c r="H164" s="8"/>
      <c r="I164" s="9"/>
      <c r="J164" s="9"/>
      <c r="K164" s="10"/>
    </row>
    <row r="165" spans="1:11" x14ac:dyDescent="0.25">
      <c r="A165" s="59" t="s">
        <v>2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</row>
    <row r="166" spans="1:11" ht="45" x14ac:dyDescent="0.25">
      <c r="A166" s="12" t="s">
        <v>3</v>
      </c>
      <c r="B166" s="60" t="s">
        <v>22</v>
      </c>
      <c r="C166" s="61"/>
      <c r="D166" s="62" t="s">
        <v>4</v>
      </c>
      <c r="E166" s="63"/>
      <c r="F166" s="64"/>
      <c r="G166" s="43"/>
      <c r="H166" s="35" t="s">
        <v>5</v>
      </c>
      <c r="I166" s="13" t="s">
        <v>17</v>
      </c>
      <c r="J166" s="14" t="s">
        <v>6</v>
      </c>
      <c r="K166" s="15" t="s">
        <v>7</v>
      </c>
    </row>
    <row r="167" spans="1:11" x14ac:dyDescent="0.25">
      <c r="A167" s="56">
        <v>1</v>
      </c>
      <c r="B167" s="50"/>
      <c r="C167" s="50"/>
      <c r="D167" s="65" t="s">
        <v>42</v>
      </c>
      <c r="E167" s="66"/>
      <c r="F167" s="67"/>
      <c r="G167" s="45"/>
      <c r="H167" s="52" t="s">
        <v>28</v>
      </c>
      <c r="I167" s="52" t="s">
        <v>28</v>
      </c>
      <c r="J167" s="52" t="s">
        <v>28</v>
      </c>
      <c r="K167" s="52" t="s">
        <v>28</v>
      </c>
    </row>
    <row r="168" spans="1:11" x14ac:dyDescent="0.25">
      <c r="A168" s="46"/>
      <c r="B168" s="57" t="s">
        <v>23</v>
      </c>
      <c r="C168" s="50"/>
      <c r="D168" s="68" t="s">
        <v>32</v>
      </c>
      <c r="E168" s="69"/>
      <c r="F168" s="70"/>
      <c r="G168" s="45"/>
      <c r="H168" s="52" t="s">
        <v>28</v>
      </c>
      <c r="I168" s="52" t="s">
        <v>28</v>
      </c>
      <c r="J168" s="52" t="s">
        <v>28</v>
      </c>
      <c r="K168" s="52" t="s">
        <v>28</v>
      </c>
    </row>
    <row r="169" spans="1:11" x14ac:dyDescent="0.25">
      <c r="A169" s="46"/>
      <c r="B169" s="46"/>
      <c r="C169" s="46" t="s">
        <v>37</v>
      </c>
      <c r="D169" s="54" t="s">
        <v>33</v>
      </c>
      <c r="E169" s="55"/>
      <c r="F169" s="53"/>
      <c r="G169" s="45"/>
      <c r="H169" s="48">
        <v>25000000</v>
      </c>
      <c r="I169" s="39">
        <f>I121+J121</f>
        <v>0</v>
      </c>
      <c r="J169" s="39">
        <v>0</v>
      </c>
      <c r="K169" s="40">
        <f t="shared" ref="K169:K173" si="5">H169-I169-J169</f>
        <v>25000000</v>
      </c>
    </row>
    <row r="170" spans="1:11" x14ac:dyDescent="0.25">
      <c r="A170" s="46"/>
      <c r="B170" s="46"/>
      <c r="C170" s="46" t="s">
        <v>38</v>
      </c>
      <c r="D170" s="54" t="s">
        <v>34</v>
      </c>
      <c r="E170" s="55"/>
      <c r="F170" s="53"/>
      <c r="G170" s="45"/>
      <c r="H170" s="47">
        <v>3000000</v>
      </c>
      <c r="I170" s="39">
        <f>I122+J122</f>
        <v>400000</v>
      </c>
      <c r="J170" s="39">
        <v>0</v>
      </c>
      <c r="K170" s="40">
        <f t="shared" si="5"/>
        <v>2600000</v>
      </c>
    </row>
    <row r="171" spans="1:11" x14ac:dyDescent="0.25">
      <c r="A171" s="46"/>
      <c r="B171" s="46"/>
      <c r="C171" s="46" t="s">
        <v>39</v>
      </c>
      <c r="D171" s="54" t="s">
        <v>35</v>
      </c>
      <c r="E171" s="55"/>
      <c r="F171" s="53"/>
      <c r="G171" s="45"/>
      <c r="H171" s="47">
        <v>58710000</v>
      </c>
      <c r="I171" s="39">
        <f t="shared" ref="I171:I173" si="6">I123+J123</f>
        <v>23116980</v>
      </c>
      <c r="J171" s="39">
        <v>455000</v>
      </c>
      <c r="K171" s="40">
        <f t="shared" si="5"/>
        <v>35138020</v>
      </c>
    </row>
    <row r="172" spans="1:11" x14ac:dyDescent="0.25">
      <c r="A172" s="46"/>
      <c r="B172" s="46"/>
      <c r="C172" s="46" t="s">
        <v>40</v>
      </c>
      <c r="D172" s="54" t="s">
        <v>36</v>
      </c>
      <c r="E172" s="55"/>
      <c r="F172" s="53"/>
      <c r="G172" s="45"/>
      <c r="H172" s="48">
        <v>20000000</v>
      </c>
      <c r="I172" s="39">
        <f t="shared" si="6"/>
        <v>3150000</v>
      </c>
      <c r="J172" s="39">
        <v>0</v>
      </c>
      <c r="K172" s="40">
        <f t="shared" si="5"/>
        <v>16850000</v>
      </c>
    </row>
    <row r="173" spans="1:11" x14ac:dyDescent="0.25">
      <c r="A173" s="46"/>
      <c r="B173" s="46"/>
      <c r="C173" s="46" t="s">
        <v>41</v>
      </c>
      <c r="D173" s="54" t="s">
        <v>43</v>
      </c>
      <c r="E173" s="55"/>
      <c r="F173" s="53"/>
      <c r="G173" s="45"/>
      <c r="H173" s="47">
        <v>10000000</v>
      </c>
      <c r="I173" s="39">
        <f t="shared" si="6"/>
        <v>2405000</v>
      </c>
      <c r="J173" s="39">
        <v>0</v>
      </c>
      <c r="K173" s="40">
        <f t="shared" si="5"/>
        <v>7595000</v>
      </c>
    </row>
    <row r="174" spans="1:11" x14ac:dyDescent="0.25">
      <c r="A174" s="16"/>
      <c r="B174" s="16"/>
      <c r="C174" s="16"/>
      <c r="D174" s="17" t="s">
        <v>8</v>
      </c>
      <c r="E174" s="17"/>
      <c r="F174" s="17"/>
      <c r="G174" s="37"/>
      <c r="H174" s="36">
        <f>SUM(H167:H173)</f>
        <v>116710000</v>
      </c>
      <c r="I174" s="18">
        <f>SUM(I168:I173)</f>
        <v>29071980</v>
      </c>
      <c r="J174" s="18">
        <f>SUM(J168:J173)</f>
        <v>455000</v>
      </c>
      <c r="K174" s="18">
        <f>SUM(K168:K173)</f>
        <v>87183020</v>
      </c>
    </row>
    <row r="175" spans="1:11" x14ac:dyDescent="0.25">
      <c r="A175" s="19"/>
      <c r="B175" s="51"/>
      <c r="C175" s="51"/>
      <c r="D175" s="6"/>
      <c r="E175" s="6"/>
      <c r="F175" s="6"/>
      <c r="G175" s="6"/>
      <c r="H175" s="20"/>
      <c r="I175" s="20"/>
      <c r="J175" s="20"/>
      <c r="K175" s="20"/>
    </row>
    <row r="176" spans="1:11" x14ac:dyDescent="0.25">
      <c r="A176" s="58" t="s">
        <v>14</v>
      </c>
      <c r="B176" s="58"/>
      <c r="C176" s="58"/>
      <c r="D176" s="58"/>
      <c r="E176" s="30" t="s">
        <v>12</v>
      </c>
      <c r="F176" s="38">
        <f>J174</f>
        <v>455000</v>
      </c>
      <c r="G176" s="33"/>
      <c r="H176" s="21"/>
      <c r="I176" s="21"/>
      <c r="J176" s="10"/>
      <c r="K176" s="10"/>
    </row>
    <row r="177" spans="1:11" x14ac:dyDescent="0.25">
      <c r="A177" s="8" t="s">
        <v>9</v>
      </c>
      <c r="B177" s="8"/>
      <c r="C177" s="8"/>
      <c r="D177" s="8"/>
      <c r="E177" s="30" t="s">
        <v>12</v>
      </c>
      <c r="F177" s="31"/>
      <c r="G177" s="31"/>
      <c r="H177" s="22"/>
      <c r="I177" s="9"/>
      <c r="J177" s="10"/>
      <c r="K177" s="10"/>
    </row>
    <row r="178" spans="1:11" x14ac:dyDescent="0.25">
      <c r="A178" s="8" t="s">
        <v>16</v>
      </c>
      <c r="B178" s="8"/>
      <c r="C178" s="8"/>
      <c r="D178" s="8"/>
      <c r="E178" s="30" t="s">
        <v>12</v>
      </c>
      <c r="F178" s="32"/>
      <c r="G178" s="32"/>
      <c r="H178" s="22"/>
      <c r="I178" s="9"/>
      <c r="J178" s="10"/>
      <c r="K178" s="10"/>
    </row>
    <row r="179" spans="1:11" x14ac:dyDescent="0.25">
      <c r="A179" s="8" t="s">
        <v>10</v>
      </c>
      <c r="B179" s="8"/>
      <c r="C179" s="8"/>
      <c r="D179" s="8"/>
      <c r="E179" s="30" t="s">
        <v>12</v>
      </c>
      <c r="F179" s="32">
        <f>F177+F178</f>
        <v>0</v>
      </c>
      <c r="G179" s="32"/>
      <c r="H179" s="8"/>
      <c r="I179" s="9"/>
      <c r="J179" s="23"/>
      <c r="K179" s="24"/>
    </row>
    <row r="180" spans="1:11" x14ac:dyDescent="0.25">
      <c r="A180" s="41"/>
      <c r="B180" s="41"/>
      <c r="C180" s="41"/>
      <c r="D180" s="41"/>
      <c r="E180" s="30"/>
      <c r="F180" s="41"/>
      <c r="G180" s="41"/>
      <c r="H180" s="8"/>
      <c r="I180" s="9"/>
      <c r="J180" s="23"/>
      <c r="K180" s="24"/>
    </row>
    <row r="181" spans="1:11" x14ac:dyDescent="0.25">
      <c r="A181" s="58" t="s">
        <v>15</v>
      </c>
      <c r="B181" s="58"/>
      <c r="C181" s="58"/>
      <c r="D181" s="58"/>
      <c r="E181" s="30" t="s">
        <v>12</v>
      </c>
      <c r="F181" s="33">
        <f>F176-F179</f>
        <v>455000</v>
      </c>
      <c r="G181" s="33"/>
      <c r="H181" s="8"/>
      <c r="I181" s="9"/>
      <c r="J181" s="23"/>
      <c r="K181" s="24"/>
    </row>
    <row r="182" spans="1:11" ht="15.75" x14ac:dyDescent="0.25">
      <c r="A182" s="41"/>
      <c r="B182" s="41"/>
      <c r="C182" s="41"/>
      <c r="D182" s="8"/>
      <c r="E182" s="8"/>
      <c r="F182" s="44" t="str">
        <f>PROPER(IF(F181=0,"nol",IF(F181&lt;0,"minus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181),"000000000000000"),1,3)=0,"",MID(TEXT(ABS(F181),"000000000000000"),1,1)&amp;" ratus "&amp;MID(TEXT(ABS(F181),"000000000000000"),2,1)&amp;" puluh "&amp;MID(TEXT(ABS(F181),"000000000000000"),3,1)&amp;" trilyun ")&amp;IF(--MID(TEXT(ABS(F181),"000000000000000"),4,3)=0,"",MID(TEXT(ABS(F181),"000000000000000"),4,1)&amp;" ratus "&amp;MID(TEXT(ABS(F181),"000000000000000"),5,1)&amp;" puluh "&amp;MID(TEXT(ABS(F181),"000000000000000"),6,1)&amp;" milyar ")&amp;IF(--MID(TEXT(ABS(F181),"000000000000000"),7,3)=0,"",MID(TEXT(ABS(F181),"000000000000000"),7,1)&amp;" ratus "&amp;MID(TEXT(ABS(F181),"000000000000000"),8,1)&amp;" puluh "&amp;MID(TEXT(ABS(F181),"000000000000000"),9,1)&amp;" juta ")&amp;IF(--MID(TEXT(ABS(F181),"000000000000000"),10,3)=0,"",IF(--MID(TEXT(ABS(F181),"000000000000000"),10,3)=1,"*",MID(TEXT(ABS(F181),"000000000000000"),10,1)&amp;" ratus "&amp;MID(TEXT(ABS(F181),"000000000000000"),11,1)&amp;" puluh ")&amp;MID(TEXT(ABS(F181),"000000000000000"),12,1)&amp;" ribu ")&amp;IF(--MID(TEXT(ABS(F181),"000000000000000"),13,3)=0,"",MID(TEXT(ABS(F181),"000000000000000"),13,1)&amp;" ratus "&amp;MID(TEXT(ABS(F181),"000000000000000"),14,1)&amp;" puluh "&amp;MID(TEXT(ABS(F181),"000000000000000"),15,1)),1,"satu"),2,"dua"),3,"tiga"),4,"empat"),5,"lima"),6,"enam"),7,"tujuh"),8,"delapan"),9,"sembilan"),"0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Lima Ribu Rupiah</v>
      </c>
      <c r="G182" s="8"/>
      <c r="H182" s="8"/>
      <c r="I182" s="8"/>
      <c r="J182" s="23"/>
      <c r="K182" s="24"/>
    </row>
    <row r="183" spans="1:11" x14ac:dyDescent="0.25">
      <c r="A183" s="26"/>
      <c r="B183" s="26"/>
      <c r="C183" s="26"/>
      <c r="D183" s="26"/>
      <c r="E183" s="26"/>
      <c r="F183" s="26"/>
      <c r="G183" s="26"/>
      <c r="H183" s="25"/>
      <c r="I183" s="24"/>
      <c r="J183" s="23"/>
      <c r="K183" s="24"/>
    </row>
    <row r="184" spans="1:11" x14ac:dyDescent="0.25">
      <c r="A184" s="25"/>
      <c r="B184" s="25"/>
      <c r="C184" s="25"/>
      <c r="D184" s="25"/>
      <c r="E184" s="25"/>
      <c r="F184" s="25"/>
      <c r="G184" s="25"/>
      <c r="H184" s="25"/>
      <c r="I184"/>
      <c r="J184" s="24"/>
      <c r="K184" s="24"/>
    </row>
    <row r="185" spans="1:11" x14ac:dyDescent="0.25">
      <c r="A185" s="41"/>
      <c r="B185" s="41"/>
      <c r="C185" s="41"/>
      <c r="D185" s="8"/>
      <c r="E185" s="8"/>
      <c r="F185" s="8"/>
      <c r="G185" s="8"/>
      <c r="H185" s="8"/>
      <c r="J185" s="42" t="s">
        <v>52</v>
      </c>
      <c r="K185" s="24"/>
    </row>
    <row r="186" spans="1:11" x14ac:dyDescent="0.25">
      <c r="A186" s="9" t="s">
        <v>26</v>
      </c>
      <c r="B186" s="9"/>
      <c r="C186" s="9"/>
      <c r="D186" s="8"/>
      <c r="E186" s="8"/>
      <c r="F186" s="8"/>
      <c r="G186" s="8"/>
      <c r="H186" s="8"/>
      <c r="J186" s="9" t="s">
        <v>25</v>
      </c>
      <c r="K186" s="24"/>
    </row>
    <row r="187" spans="1:11" x14ac:dyDescent="0.25">
      <c r="A187" s="8"/>
      <c r="B187" s="8"/>
      <c r="C187" s="8"/>
      <c r="D187" s="8"/>
      <c r="E187" s="8"/>
      <c r="F187" s="8"/>
      <c r="G187" s="8"/>
      <c r="H187" s="8"/>
      <c r="J187" s="9"/>
      <c r="K187" s="24"/>
    </row>
    <row r="188" spans="1:11" x14ac:dyDescent="0.25">
      <c r="A188" s="8"/>
      <c r="B188" s="8"/>
      <c r="C188" s="8"/>
      <c r="D188" s="8"/>
      <c r="E188" s="8"/>
      <c r="F188" s="8"/>
      <c r="G188" s="8"/>
      <c r="H188" s="8"/>
      <c r="J188" s="9"/>
      <c r="K188" s="24"/>
    </row>
    <row r="189" spans="1:11" x14ac:dyDescent="0.25">
      <c r="A189" s="8"/>
      <c r="B189" s="8"/>
      <c r="C189" s="8"/>
      <c r="D189" s="8"/>
      <c r="E189" s="8"/>
      <c r="F189" s="8"/>
      <c r="G189" s="8"/>
      <c r="H189" s="8"/>
      <c r="J189" s="9"/>
      <c r="K189" s="24"/>
    </row>
    <row r="190" spans="1:11" x14ac:dyDescent="0.25">
      <c r="A190" s="8"/>
      <c r="B190" s="8"/>
      <c r="C190" s="8"/>
      <c r="D190" s="8"/>
      <c r="E190" s="8"/>
      <c r="F190" s="8"/>
      <c r="G190" s="8"/>
      <c r="H190" s="8"/>
      <c r="J190" s="9"/>
      <c r="K190" s="24"/>
    </row>
    <row r="191" spans="1:11" x14ac:dyDescent="0.25">
      <c r="A191" s="28" t="s">
        <v>44</v>
      </c>
      <c r="B191" s="28"/>
      <c r="C191" s="28"/>
      <c r="D191" s="27"/>
      <c r="E191" s="27"/>
      <c r="F191" s="27"/>
      <c r="G191" s="27"/>
      <c r="H191" s="8" t="s">
        <v>11</v>
      </c>
      <c r="J191" s="28" t="s">
        <v>27</v>
      </c>
      <c r="K191" s="24"/>
    </row>
  </sheetData>
  <mergeCells count="48">
    <mergeCell ref="A37:D37"/>
    <mergeCell ref="A8:K8"/>
    <mergeCell ref="A9:K9"/>
    <mergeCell ref="A10:K10"/>
    <mergeCell ref="A11:K11"/>
    <mergeCell ref="A12:K12"/>
    <mergeCell ref="A21:K21"/>
    <mergeCell ref="B22:C22"/>
    <mergeCell ref="D22:F22"/>
    <mergeCell ref="D23:F23"/>
    <mergeCell ref="D24:F24"/>
    <mergeCell ref="A32:D32"/>
    <mergeCell ref="A85:D85"/>
    <mergeCell ref="A56:K56"/>
    <mergeCell ref="A57:K57"/>
    <mergeCell ref="A58:K58"/>
    <mergeCell ref="A59:K59"/>
    <mergeCell ref="A60:K60"/>
    <mergeCell ref="A69:K69"/>
    <mergeCell ref="B70:C70"/>
    <mergeCell ref="D70:F70"/>
    <mergeCell ref="D71:F71"/>
    <mergeCell ref="D72:F72"/>
    <mergeCell ref="A80:D80"/>
    <mergeCell ref="A133:D133"/>
    <mergeCell ref="A104:K104"/>
    <mergeCell ref="A105:K105"/>
    <mergeCell ref="A106:K106"/>
    <mergeCell ref="A107:K107"/>
    <mergeCell ref="A108:K108"/>
    <mergeCell ref="A117:K117"/>
    <mergeCell ref="B118:C118"/>
    <mergeCell ref="D118:F118"/>
    <mergeCell ref="D119:F119"/>
    <mergeCell ref="D120:F120"/>
    <mergeCell ref="A128:D128"/>
    <mergeCell ref="A152:K152"/>
    <mergeCell ref="A153:K153"/>
    <mergeCell ref="A154:K154"/>
    <mergeCell ref="A155:K155"/>
    <mergeCell ref="A156:K156"/>
    <mergeCell ref="A176:D176"/>
    <mergeCell ref="A181:D181"/>
    <mergeCell ref="A165:K165"/>
    <mergeCell ref="B166:C166"/>
    <mergeCell ref="D166:F166"/>
    <mergeCell ref="D167:F167"/>
    <mergeCell ref="D168:F168"/>
  </mergeCells>
  <pageMargins left="0.23622047244094491" right="0.23622047244094491" top="0.15748031496062992" bottom="0.74803149606299213" header="0.31496062992125984" footer="0.31496062992125984"/>
  <pageSetup paperSize="9" scale="84" orientation="portrait" horizontalDpi="4294967293" r:id="rId1"/>
  <rowBreaks count="3" manualBreakCount="3">
    <brk id="48" max="10" man="1"/>
    <brk id="96" max="10" man="1"/>
    <brk id="144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622C-2820-40C0-8947-9F336DFEDD0C}">
  <dimension ref="A4:L335"/>
  <sheetViews>
    <sheetView tabSelected="1" view="pageBreakPreview" topLeftCell="A285" zoomScaleNormal="100" zoomScaleSheetLayoutView="100" workbookViewId="0">
      <selection activeCell="K335" sqref="A289:K335"/>
    </sheetView>
  </sheetViews>
  <sheetFormatPr defaultRowHeight="15" x14ac:dyDescent="0.25"/>
  <cols>
    <col min="1" max="2" width="3.5703125" customWidth="1"/>
    <col min="3" max="3" width="5.140625" bestFit="1" customWidth="1"/>
    <col min="4" max="4" width="12.28515625" customWidth="1"/>
    <col min="5" max="5" width="1.85546875" customWidth="1"/>
    <col min="6" max="6" width="22.28515625" customWidth="1"/>
    <col min="7" max="7" width="1.140625" customWidth="1"/>
    <col min="8" max="8" width="18" customWidth="1"/>
    <col min="9" max="9" width="16.5703125" style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 x14ac:dyDescent="0.25">
      <c r="D4" s="3"/>
      <c r="E4" s="3"/>
      <c r="F4" s="3"/>
      <c r="G4" s="3"/>
    </row>
    <row r="5" spans="1:11" ht="15.75" x14ac:dyDescent="0.25">
      <c r="A5" s="2"/>
      <c r="B5" s="2"/>
      <c r="C5" s="2"/>
      <c r="D5" s="3"/>
      <c r="E5" s="3"/>
      <c r="F5" s="3"/>
      <c r="G5" s="3"/>
      <c r="H5" s="2"/>
      <c r="I5" s="4"/>
      <c r="J5" s="4"/>
      <c r="K5" s="5"/>
    </row>
    <row r="6" spans="1:11" x14ac:dyDescent="0.25">
      <c r="I6" s="5"/>
      <c r="J6" s="5"/>
      <c r="K6" s="5"/>
    </row>
    <row r="7" spans="1:11" x14ac:dyDescent="0.25">
      <c r="I7" s="5"/>
      <c r="J7" s="5"/>
      <c r="K7" s="5"/>
    </row>
    <row r="8" spans="1:11" x14ac:dyDescent="0.25">
      <c r="A8" s="71" t="s">
        <v>29</v>
      </c>
      <c r="B8" s="71"/>
      <c r="C8" s="71"/>
      <c r="D8" s="72"/>
      <c r="E8" s="72"/>
      <c r="F8" s="72"/>
      <c r="G8" s="72"/>
      <c r="H8" s="72"/>
      <c r="I8" s="72"/>
      <c r="J8" s="72"/>
      <c r="K8" s="72"/>
    </row>
    <row r="9" spans="1:11" x14ac:dyDescent="0.25">
      <c r="A9" s="72" t="s">
        <v>60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spans="1:11" x14ac:dyDescent="0.25">
      <c r="A10" s="72" t="s">
        <v>13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</row>
    <row r="11" spans="1:11" x14ac:dyDescent="0.25">
      <c r="A11" s="72" t="s">
        <v>45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</row>
    <row r="12" spans="1:11" x14ac:dyDescent="0.25">
      <c r="A12" s="72" t="s">
        <v>24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</row>
    <row r="13" spans="1:11" x14ac:dyDescent="0.25">
      <c r="A13" s="29"/>
      <c r="B13" s="29"/>
      <c r="C13" s="29"/>
      <c r="D13" s="7"/>
      <c r="E13" s="7"/>
      <c r="F13" s="7"/>
      <c r="G13" s="7"/>
      <c r="H13" s="6"/>
      <c r="I13" s="10"/>
      <c r="J13" s="10"/>
      <c r="K13" s="10"/>
    </row>
    <row r="14" spans="1:11" x14ac:dyDescent="0.25">
      <c r="A14" s="49" t="s">
        <v>18</v>
      </c>
      <c r="B14" s="49"/>
      <c r="C14" s="49"/>
      <c r="D14" s="49"/>
      <c r="E14" s="34" t="s">
        <v>12</v>
      </c>
      <c r="F14" s="8" t="s">
        <v>30</v>
      </c>
      <c r="I14" s="9"/>
      <c r="J14" s="9"/>
      <c r="K14" s="10"/>
    </row>
    <row r="15" spans="1:11" x14ac:dyDescent="0.25">
      <c r="A15" s="49" t="s">
        <v>19</v>
      </c>
      <c r="B15" s="49"/>
      <c r="C15" s="49"/>
      <c r="D15" s="49"/>
      <c r="E15" s="34" t="s">
        <v>12</v>
      </c>
      <c r="F15" s="8" t="s">
        <v>31</v>
      </c>
      <c r="I15" s="9"/>
      <c r="J15" s="9"/>
      <c r="K15" s="10"/>
    </row>
    <row r="16" spans="1:11" x14ac:dyDescent="0.25">
      <c r="A16" s="49" t="s">
        <v>20</v>
      </c>
      <c r="B16" s="49"/>
      <c r="C16" s="49"/>
      <c r="D16" s="49"/>
      <c r="E16" s="34" t="s">
        <v>12</v>
      </c>
      <c r="F16" s="41">
        <v>2026</v>
      </c>
      <c r="I16" s="9"/>
      <c r="J16" s="9"/>
      <c r="K16" s="10"/>
    </row>
    <row r="17" spans="1:11" x14ac:dyDescent="0.25">
      <c r="A17" s="49" t="s">
        <v>21</v>
      </c>
      <c r="B17" s="49"/>
      <c r="C17" s="49"/>
      <c r="D17" s="49"/>
      <c r="E17" s="34" t="s">
        <v>12</v>
      </c>
      <c r="F17" s="38">
        <f>J30</f>
        <v>80000</v>
      </c>
      <c r="I17" s="9"/>
      <c r="J17" s="9"/>
      <c r="K17" s="10"/>
    </row>
    <row r="18" spans="1:11" ht="15.75" x14ac:dyDescent="0.25">
      <c r="A18" s="8"/>
      <c r="B18" s="8"/>
      <c r="C18" s="8"/>
      <c r="D18" s="11" t="s">
        <v>0</v>
      </c>
      <c r="E18" s="34" t="s">
        <v>12</v>
      </c>
      <c r="F18" s="44" t="str">
        <f>PROPER(IF(F17=0,"nol",IF(F17&lt;0,"minus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17),"000000000000000"),1,3)=0,"",MID(TEXT(ABS(F17),"000000000000000"),1,1)&amp;" ratus "&amp;MID(TEXT(ABS(F17),"000000000000000"),2,1)&amp;" puluh "&amp;MID(TEXT(ABS(F17),"000000000000000"),3,1)&amp;" trilyun ")&amp;IF(--MID(TEXT(ABS(F17),"000000000000000"),4,3)=0,"",MID(TEXT(ABS(F17),"000000000000000"),4,1)&amp;" ratus "&amp;MID(TEXT(ABS(F17),"000000000000000"),5,1)&amp;" puluh "&amp;MID(TEXT(ABS(F17),"000000000000000"),6,1)&amp;" milyar ")&amp;IF(--MID(TEXT(ABS(F17),"000000000000000"),7,3)=0,"",MID(TEXT(ABS(F17),"000000000000000"),7,1)&amp;" ratus "&amp;MID(TEXT(ABS(F17),"000000000000000"),8,1)&amp;" puluh "&amp;MID(TEXT(ABS(F17),"000000000000000"),9,1)&amp;" juta ")&amp;IF(--MID(TEXT(ABS(F17),"000000000000000"),10,3)=0,"",IF(--MID(TEXT(ABS(F17),"000000000000000"),10,3)=1,"*",MID(TEXT(ABS(F17),"000000000000000"),10,1)&amp;" ratus "&amp;MID(TEXT(ABS(F17),"000000000000000"),11,1)&amp;" puluh ")&amp;MID(TEXT(ABS(F17),"000000000000000"),12,1)&amp;" ribu ")&amp;IF(--MID(TEXT(ABS(F17),"000000000000000"),13,3)=0,"",MID(TEXT(ABS(F17),"000000000000000"),13,1)&amp;" ratus "&amp;MID(TEXT(ABS(F17),"000000000000000"),14,1)&amp;" puluh "&amp;MID(TEXT(ABS(F17),"000000000000000"),15,1)),1,"satu"),2,"dua"),3,"tiga"),4,"empat"),5,"lima"),6,"enam"),7,"tujuh"),8,"delapan"),9,"sembilan"),"0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I18" s="9"/>
      <c r="J18" s="9"/>
      <c r="K18" s="10"/>
    </row>
    <row r="19" spans="1:11" ht="15.75" x14ac:dyDescent="0.25">
      <c r="A19" s="8"/>
      <c r="B19" s="8"/>
      <c r="C19" s="8"/>
      <c r="D19" s="11"/>
      <c r="E19" s="11"/>
      <c r="F19" s="11"/>
      <c r="G19" s="34"/>
      <c r="H19" s="44"/>
      <c r="I19" s="9"/>
      <c r="J19" s="9"/>
      <c r="K19" s="10"/>
    </row>
    <row r="20" spans="1:11" x14ac:dyDescent="0.25">
      <c r="A20" s="8" t="s">
        <v>1</v>
      </c>
      <c r="B20" s="8"/>
      <c r="C20" s="8"/>
      <c r="D20" s="8"/>
      <c r="E20" s="8"/>
      <c r="F20" s="8"/>
      <c r="G20" s="8"/>
      <c r="H20" s="8"/>
      <c r="I20" s="9"/>
      <c r="J20" s="9"/>
      <c r="K20" s="10"/>
    </row>
    <row r="21" spans="1:11" x14ac:dyDescent="0.25">
      <c r="A21" s="59" t="s">
        <v>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ht="45" x14ac:dyDescent="0.25">
      <c r="A22" s="12" t="s">
        <v>3</v>
      </c>
      <c r="B22" s="60" t="s">
        <v>22</v>
      </c>
      <c r="C22" s="61"/>
      <c r="D22" s="62" t="s">
        <v>4</v>
      </c>
      <c r="E22" s="63"/>
      <c r="F22" s="64"/>
      <c r="G22" s="43"/>
      <c r="H22" s="35" t="s">
        <v>5</v>
      </c>
      <c r="I22" s="13" t="s">
        <v>17</v>
      </c>
      <c r="J22" s="14" t="s">
        <v>6</v>
      </c>
      <c r="K22" s="15" t="s">
        <v>7</v>
      </c>
    </row>
    <row r="23" spans="1:11" x14ac:dyDescent="0.25">
      <c r="A23" s="56">
        <v>1</v>
      </c>
      <c r="B23" s="50"/>
      <c r="C23" s="50"/>
      <c r="D23" s="65" t="s">
        <v>42</v>
      </c>
      <c r="E23" s="66"/>
      <c r="F23" s="67"/>
      <c r="G23" s="45"/>
      <c r="H23" s="52" t="s">
        <v>28</v>
      </c>
      <c r="I23" s="52" t="s">
        <v>28</v>
      </c>
      <c r="J23" s="52" t="s">
        <v>28</v>
      </c>
      <c r="K23" s="52" t="s">
        <v>28</v>
      </c>
    </row>
    <row r="24" spans="1:11" x14ac:dyDescent="0.25">
      <c r="A24" s="46"/>
      <c r="B24" s="57" t="s">
        <v>23</v>
      </c>
      <c r="C24" s="50"/>
      <c r="D24" s="68" t="s">
        <v>32</v>
      </c>
      <c r="E24" s="69"/>
      <c r="F24" s="70"/>
      <c r="G24" s="45"/>
      <c r="H24" s="52" t="s">
        <v>28</v>
      </c>
      <c r="I24" s="52" t="s">
        <v>28</v>
      </c>
      <c r="J24" s="52" t="s">
        <v>28</v>
      </c>
      <c r="K24" s="52" t="s">
        <v>28</v>
      </c>
    </row>
    <row r="25" spans="1:11" x14ac:dyDescent="0.25">
      <c r="A25" s="46"/>
      <c r="B25" s="46"/>
      <c r="C25" s="46" t="s">
        <v>37</v>
      </c>
      <c r="D25" s="54" t="s">
        <v>33</v>
      </c>
      <c r="E25" s="55"/>
      <c r="F25" s="53"/>
      <c r="G25" s="45"/>
      <c r="H25" s="48">
        <v>25000000</v>
      </c>
      <c r="I25" s="39">
        <f>FEBRUARI!I169+FEBRUARI!J169</f>
        <v>0</v>
      </c>
      <c r="J25" s="39">
        <v>0</v>
      </c>
      <c r="K25" s="40">
        <f t="shared" ref="K25:K29" si="0">H25-I25-J25</f>
        <v>25000000</v>
      </c>
    </row>
    <row r="26" spans="1:11" x14ac:dyDescent="0.25">
      <c r="A26" s="46"/>
      <c r="B26" s="46"/>
      <c r="C26" s="46" t="s">
        <v>38</v>
      </c>
      <c r="D26" s="54" t="s">
        <v>34</v>
      </c>
      <c r="E26" s="55"/>
      <c r="F26" s="53"/>
      <c r="G26" s="45"/>
      <c r="H26" s="47">
        <v>3000000</v>
      </c>
      <c r="I26" s="39">
        <f>FEBRUARI!I170+FEBRUARI!J170</f>
        <v>400000</v>
      </c>
      <c r="J26" s="39">
        <v>0</v>
      </c>
      <c r="K26" s="40">
        <f t="shared" si="0"/>
        <v>2600000</v>
      </c>
    </row>
    <row r="27" spans="1:11" x14ac:dyDescent="0.25">
      <c r="A27" s="46"/>
      <c r="B27" s="46"/>
      <c r="C27" s="46" t="s">
        <v>39</v>
      </c>
      <c r="D27" s="54" t="s">
        <v>35</v>
      </c>
      <c r="E27" s="55"/>
      <c r="F27" s="53"/>
      <c r="G27" s="45"/>
      <c r="H27" s="47">
        <v>58710000</v>
      </c>
      <c r="I27" s="39">
        <f>FEBRUARI!I171+FEBRUARI!J171</f>
        <v>23571980</v>
      </c>
      <c r="J27" s="39">
        <v>0</v>
      </c>
      <c r="K27" s="40">
        <f t="shared" si="0"/>
        <v>35138020</v>
      </c>
    </row>
    <row r="28" spans="1:11" x14ac:dyDescent="0.25">
      <c r="A28" s="46"/>
      <c r="B28" s="46"/>
      <c r="C28" s="46" t="s">
        <v>40</v>
      </c>
      <c r="D28" s="54" t="s">
        <v>36</v>
      </c>
      <c r="E28" s="55"/>
      <c r="F28" s="53"/>
      <c r="G28" s="45"/>
      <c r="H28" s="48">
        <v>20000000</v>
      </c>
      <c r="I28" s="39">
        <f>FEBRUARI!I172+FEBRUARI!J172</f>
        <v>3150000</v>
      </c>
      <c r="J28" s="39">
        <v>0</v>
      </c>
      <c r="K28" s="40">
        <f t="shared" si="0"/>
        <v>16850000</v>
      </c>
    </row>
    <row r="29" spans="1:11" x14ac:dyDescent="0.25">
      <c r="A29" s="46"/>
      <c r="B29" s="46"/>
      <c r="C29" s="46" t="s">
        <v>41</v>
      </c>
      <c r="D29" s="54" t="s">
        <v>43</v>
      </c>
      <c r="E29" s="55"/>
      <c r="F29" s="53"/>
      <c r="G29" s="45"/>
      <c r="H29" s="47">
        <v>10000000</v>
      </c>
      <c r="I29" s="39">
        <f>FEBRUARI!I173+FEBRUARI!J173</f>
        <v>2405000</v>
      </c>
      <c r="J29" s="39">
        <v>80000</v>
      </c>
      <c r="K29" s="40">
        <f t="shared" si="0"/>
        <v>7515000</v>
      </c>
    </row>
    <row r="30" spans="1:11" x14ac:dyDescent="0.25">
      <c r="A30" s="16"/>
      <c r="B30" s="16"/>
      <c r="C30" s="16"/>
      <c r="D30" s="17" t="s">
        <v>8</v>
      </c>
      <c r="E30" s="17"/>
      <c r="F30" s="17"/>
      <c r="G30" s="37"/>
      <c r="H30" s="36">
        <f>SUM(H23:H29)</f>
        <v>116710000</v>
      </c>
      <c r="I30" s="18">
        <f>SUM(I24:I29)</f>
        <v>29526980</v>
      </c>
      <c r="J30" s="18">
        <f>SUM(J24:J29)</f>
        <v>80000</v>
      </c>
      <c r="K30" s="18">
        <f>SUM(K24:K29)</f>
        <v>87103020</v>
      </c>
    </row>
    <row r="31" spans="1:11" x14ac:dyDescent="0.25">
      <c r="A31" s="19"/>
      <c r="B31" s="51"/>
      <c r="C31" s="51"/>
      <c r="D31" s="6"/>
      <c r="E31" s="6"/>
      <c r="F31" s="6"/>
      <c r="G31" s="6"/>
      <c r="H31" s="20"/>
      <c r="I31" s="20"/>
      <c r="J31" s="20"/>
      <c r="K31" s="20"/>
    </row>
    <row r="32" spans="1:11" x14ac:dyDescent="0.25">
      <c r="A32" s="58" t="s">
        <v>14</v>
      </c>
      <c r="B32" s="58"/>
      <c r="C32" s="58"/>
      <c r="D32" s="58"/>
      <c r="E32" s="30" t="s">
        <v>12</v>
      </c>
      <c r="F32" s="38">
        <f>J30</f>
        <v>80000</v>
      </c>
      <c r="G32" s="33"/>
      <c r="H32" s="21"/>
      <c r="I32" s="21"/>
      <c r="J32" s="10"/>
      <c r="K32" s="10"/>
    </row>
    <row r="33" spans="1:11" x14ac:dyDescent="0.25">
      <c r="A33" s="8" t="s">
        <v>9</v>
      </c>
      <c r="B33" s="8"/>
      <c r="C33" s="8"/>
      <c r="D33" s="8"/>
      <c r="E33" s="30" t="s">
        <v>12</v>
      </c>
      <c r="F33" s="31"/>
      <c r="G33" s="31"/>
      <c r="H33" s="22"/>
      <c r="I33" s="9"/>
      <c r="J33" s="10"/>
      <c r="K33" s="10"/>
    </row>
    <row r="34" spans="1:11" x14ac:dyDescent="0.25">
      <c r="A34" s="8" t="s">
        <v>16</v>
      </c>
      <c r="B34" s="8"/>
      <c r="C34" s="8"/>
      <c r="D34" s="8"/>
      <c r="E34" s="30" t="s">
        <v>12</v>
      </c>
      <c r="F34" s="32"/>
      <c r="G34" s="32"/>
      <c r="H34" s="22"/>
      <c r="I34" s="9"/>
      <c r="J34" s="10"/>
      <c r="K34" s="10"/>
    </row>
    <row r="35" spans="1:11" x14ac:dyDescent="0.25">
      <c r="A35" s="8" t="s">
        <v>10</v>
      </c>
      <c r="B35" s="8"/>
      <c r="C35" s="8"/>
      <c r="D35" s="8"/>
      <c r="E35" s="30" t="s">
        <v>12</v>
      </c>
      <c r="F35" s="32">
        <f>F33+F34</f>
        <v>0</v>
      </c>
      <c r="G35" s="32"/>
      <c r="H35" s="8"/>
      <c r="I35" s="9"/>
      <c r="J35" s="23"/>
      <c r="K35" s="24"/>
    </row>
    <row r="36" spans="1:11" x14ac:dyDescent="0.25">
      <c r="A36" s="41"/>
      <c r="B36" s="41"/>
      <c r="C36" s="41"/>
      <c r="D36" s="41"/>
      <c r="E36" s="30"/>
      <c r="F36" s="41"/>
      <c r="G36" s="41"/>
      <c r="H36" s="8"/>
      <c r="I36" s="9"/>
      <c r="J36" s="23"/>
      <c r="K36" s="24"/>
    </row>
    <row r="37" spans="1:11" x14ac:dyDescent="0.25">
      <c r="A37" s="58" t="s">
        <v>15</v>
      </c>
      <c r="B37" s="58"/>
      <c r="C37" s="58"/>
      <c r="D37" s="58"/>
      <c r="E37" s="30" t="s">
        <v>12</v>
      </c>
      <c r="F37" s="33">
        <f>F32-F35</f>
        <v>80000</v>
      </c>
      <c r="G37" s="33"/>
      <c r="H37" s="8"/>
      <c r="I37" s="9"/>
      <c r="J37" s="23"/>
      <c r="K37" s="24"/>
    </row>
    <row r="38" spans="1:11" ht="15.75" x14ac:dyDescent="0.25">
      <c r="A38" s="41"/>
      <c r="B38" s="41"/>
      <c r="C38" s="41"/>
      <c r="D38" s="8"/>
      <c r="E38" s="8"/>
      <c r="F38" s="44" t="str">
        <f>PROPER(IF(F37=0,"nol",IF(F37&lt;0,"minus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37),"000000000000000"),1,3)=0,"",MID(TEXT(ABS(F37),"000000000000000"),1,1)&amp;" ratus "&amp;MID(TEXT(ABS(F37),"000000000000000"),2,1)&amp;" puluh "&amp;MID(TEXT(ABS(F37),"000000000000000"),3,1)&amp;" trilyun ")&amp;IF(--MID(TEXT(ABS(F37),"000000000000000"),4,3)=0,"",MID(TEXT(ABS(F37),"000000000000000"),4,1)&amp;" ratus "&amp;MID(TEXT(ABS(F37),"000000000000000"),5,1)&amp;" puluh "&amp;MID(TEXT(ABS(F37),"000000000000000"),6,1)&amp;" milyar ")&amp;IF(--MID(TEXT(ABS(F37),"000000000000000"),7,3)=0,"",MID(TEXT(ABS(F37),"000000000000000"),7,1)&amp;" ratus "&amp;MID(TEXT(ABS(F37),"000000000000000"),8,1)&amp;" puluh "&amp;MID(TEXT(ABS(F37),"000000000000000"),9,1)&amp;" juta ")&amp;IF(--MID(TEXT(ABS(F37),"000000000000000"),10,3)=0,"",IF(--MID(TEXT(ABS(F37),"000000000000000"),10,3)=1,"*",MID(TEXT(ABS(F37),"000000000000000"),10,1)&amp;" ratus "&amp;MID(TEXT(ABS(F37),"000000000000000"),11,1)&amp;" puluh ")&amp;MID(TEXT(ABS(F37),"000000000000000"),12,1)&amp;" ribu ")&amp;IF(--MID(TEXT(ABS(F37),"000000000000000"),13,3)=0,"",MID(TEXT(ABS(F37),"000000000000000"),13,1)&amp;" ratus "&amp;MID(TEXT(ABS(F37),"000000000000000"),14,1)&amp;" puluh "&amp;MID(TEXT(ABS(F37),"000000000000000"),15,1)),1,"satu"),2,"dua"),3,"tiga"),4,"empat"),5,"lima"),6,"enam"),7,"tujuh"),8,"delapan"),9,"sembilan"),"0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G38" s="8"/>
      <c r="H38" s="8"/>
      <c r="I38" s="8"/>
      <c r="J38" s="23"/>
      <c r="K38" s="24"/>
    </row>
    <row r="39" spans="1:11" x14ac:dyDescent="0.25">
      <c r="A39" s="26"/>
      <c r="B39" s="26"/>
      <c r="C39" s="26"/>
      <c r="D39" s="26"/>
      <c r="E39" s="26"/>
      <c r="F39" s="26"/>
      <c r="G39" s="26"/>
      <c r="H39" s="25"/>
      <c r="I39" s="24"/>
      <c r="J39" s="23"/>
      <c r="K39" s="24"/>
    </row>
    <row r="40" spans="1:11" x14ac:dyDescent="0.25">
      <c r="A40" s="25"/>
      <c r="B40" s="25"/>
      <c r="C40" s="25"/>
      <c r="D40" s="25"/>
      <c r="E40" s="25"/>
      <c r="F40" s="25"/>
      <c r="G40" s="25"/>
      <c r="H40" s="25"/>
      <c r="I40"/>
      <c r="J40" s="24"/>
      <c r="K40" s="24"/>
    </row>
    <row r="41" spans="1:11" x14ac:dyDescent="0.25">
      <c r="A41" s="41"/>
      <c r="B41" s="41"/>
      <c r="C41" s="41"/>
      <c r="D41" s="8"/>
      <c r="E41" s="8"/>
      <c r="F41" s="8"/>
      <c r="G41" s="8"/>
      <c r="H41" s="8"/>
      <c r="J41" s="42" t="s">
        <v>56</v>
      </c>
      <c r="K41" s="24"/>
    </row>
    <row r="42" spans="1:11" x14ac:dyDescent="0.25">
      <c r="A42" s="9" t="s">
        <v>26</v>
      </c>
      <c r="B42" s="9"/>
      <c r="C42" s="9"/>
      <c r="D42" s="8"/>
      <c r="E42" s="8"/>
      <c r="F42" s="8"/>
      <c r="G42" s="8"/>
      <c r="H42" s="8"/>
      <c r="J42" s="9" t="s">
        <v>25</v>
      </c>
      <c r="K42" s="24"/>
    </row>
    <row r="43" spans="1:11" x14ac:dyDescent="0.25">
      <c r="A43" s="8"/>
      <c r="B43" s="8"/>
      <c r="C43" s="8"/>
      <c r="D43" s="8"/>
      <c r="E43" s="8"/>
      <c r="F43" s="8"/>
      <c r="G43" s="8"/>
      <c r="H43" s="8"/>
      <c r="J43" s="9"/>
      <c r="K43" s="24"/>
    </row>
    <row r="44" spans="1:11" x14ac:dyDescent="0.25">
      <c r="A44" s="8"/>
      <c r="B44" s="8"/>
      <c r="C44" s="8"/>
      <c r="D44" s="8"/>
      <c r="E44" s="8"/>
      <c r="F44" s="8"/>
      <c r="G44" s="8"/>
      <c r="H44" s="8"/>
      <c r="J44" s="9"/>
      <c r="K44" s="24"/>
    </row>
    <row r="45" spans="1:11" x14ac:dyDescent="0.25">
      <c r="A45" s="8"/>
      <c r="B45" s="8"/>
      <c r="C45" s="8"/>
      <c r="D45" s="8"/>
      <c r="E45" s="8"/>
      <c r="F45" s="8"/>
      <c r="G45" s="8"/>
      <c r="H45" s="8"/>
      <c r="J45" s="9"/>
      <c r="K45" s="24"/>
    </row>
    <row r="46" spans="1:11" x14ac:dyDescent="0.25">
      <c r="A46" s="8"/>
      <c r="B46" s="8"/>
      <c r="C46" s="8"/>
      <c r="D46" s="8"/>
      <c r="E46" s="8"/>
      <c r="F46" s="8"/>
      <c r="G46" s="8"/>
      <c r="H46" s="8"/>
      <c r="J46" s="9"/>
      <c r="K46" s="24"/>
    </row>
    <row r="47" spans="1:11" x14ac:dyDescent="0.25">
      <c r="A47" s="28" t="s">
        <v>44</v>
      </c>
      <c r="B47" s="28"/>
      <c r="C47" s="28"/>
      <c r="D47" s="27"/>
      <c r="E47" s="27"/>
      <c r="F47" s="27"/>
      <c r="G47" s="27"/>
      <c r="H47" s="8" t="s">
        <v>11</v>
      </c>
      <c r="J47" s="28" t="s">
        <v>27</v>
      </c>
      <c r="K47" s="24"/>
    </row>
    <row r="52" spans="1:11" ht="15.75" x14ac:dyDescent="0.25">
      <c r="D52" s="3"/>
      <c r="E52" s="3"/>
      <c r="F52" s="3"/>
      <c r="G52" s="3"/>
    </row>
    <row r="53" spans="1:11" ht="15.75" x14ac:dyDescent="0.25">
      <c r="A53" s="2"/>
      <c r="B53" s="2"/>
      <c r="C53" s="2"/>
      <c r="D53" s="3"/>
      <c r="E53" s="3"/>
      <c r="F53" s="3"/>
      <c r="G53" s="3"/>
      <c r="H53" s="2"/>
      <c r="I53" s="4"/>
      <c r="J53" s="4"/>
      <c r="K53" s="5"/>
    </row>
    <row r="54" spans="1:11" x14ac:dyDescent="0.25">
      <c r="I54" s="5"/>
      <c r="J54" s="5"/>
      <c r="K54" s="5"/>
    </row>
    <row r="55" spans="1:11" x14ac:dyDescent="0.25">
      <c r="I55" s="5"/>
      <c r="J55" s="5"/>
      <c r="K55" s="5"/>
    </row>
    <row r="56" spans="1:11" x14ac:dyDescent="0.25">
      <c r="A56" s="71" t="s">
        <v>29</v>
      </c>
      <c r="B56" s="71"/>
      <c r="C56" s="71"/>
      <c r="D56" s="72"/>
      <c r="E56" s="72"/>
      <c r="F56" s="72"/>
      <c r="G56" s="72"/>
      <c r="H56" s="72"/>
      <c r="I56" s="72"/>
      <c r="J56" s="72"/>
      <c r="K56" s="72"/>
    </row>
    <row r="57" spans="1:11" x14ac:dyDescent="0.25">
      <c r="A57" s="72" t="s">
        <v>57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</row>
    <row r="58" spans="1:11" x14ac:dyDescent="0.25">
      <c r="A58" s="72" t="s">
        <v>13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</row>
    <row r="59" spans="1:11" x14ac:dyDescent="0.25">
      <c r="A59" s="72" t="s">
        <v>45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</row>
    <row r="60" spans="1:11" x14ac:dyDescent="0.25">
      <c r="A60" s="72" t="s">
        <v>24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</row>
    <row r="61" spans="1:11" x14ac:dyDescent="0.25">
      <c r="A61" s="29"/>
      <c r="B61" s="29"/>
      <c r="C61" s="29"/>
      <c r="D61" s="7"/>
      <c r="E61" s="7"/>
      <c r="F61" s="7"/>
      <c r="G61" s="7"/>
      <c r="H61" s="6"/>
      <c r="I61" s="10"/>
      <c r="J61" s="10"/>
      <c r="K61" s="10"/>
    </row>
    <row r="62" spans="1:11" x14ac:dyDescent="0.25">
      <c r="A62" s="49" t="s">
        <v>18</v>
      </c>
      <c r="B62" s="49"/>
      <c r="C62" s="49"/>
      <c r="D62" s="49"/>
      <c r="E62" s="34" t="s">
        <v>12</v>
      </c>
      <c r="F62" s="8" t="s">
        <v>30</v>
      </c>
      <c r="I62" s="9"/>
      <c r="J62" s="9"/>
      <c r="K62" s="10"/>
    </row>
    <row r="63" spans="1:11" x14ac:dyDescent="0.25">
      <c r="A63" s="49" t="s">
        <v>19</v>
      </c>
      <c r="B63" s="49"/>
      <c r="C63" s="49"/>
      <c r="D63" s="49"/>
      <c r="E63" s="34" t="s">
        <v>12</v>
      </c>
      <c r="F63" s="8" t="s">
        <v>31</v>
      </c>
      <c r="I63" s="9"/>
      <c r="J63" s="9"/>
      <c r="K63" s="10"/>
    </row>
    <row r="64" spans="1:11" x14ac:dyDescent="0.25">
      <c r="A64" s="49" t="s">
        <v>20</v>
      </c>
      <c r="B64" s="49"/>
      <c r="C64" s="49"/>
      <c r="D64" s="49"/>
      <c r="E64" s="34" t="s">
        <v>12</v>
      </c>
      <c r="F64" s="41">
        <v>2026</v>
      </c>
      <c r="I64" s="9"/>
      <c r="J64" s="9"/>
      <c r="K64" s="10"/>
    </row>
    <row r="65" spans="1:11" x14ac:dyDescent="0.25">
      <c r="A65" s="49" t="s">
        <v>21</v>
      </c>
      <c r="B65" s="49"/>
      <c r="C65" s="49"/>
      <c r="D65" s="49"/>
      <c r="E65" s="34" t="s">
        <v>12</v>
      </c>
      <c r="F65" s="38">
        <f>J78</f>
        <v>999000</v>
      </c>
      <c r="I65" s="9"/>
      <c r="J65" s="9"/>
      <c r="K65" s="10"/>
    </row>
    <row r="66" spans="1:11" ht="15.75" x14ac:dyDescent="0.25">
      <c r="A66" s="8"/>
      <c r="B66" s="8"/>
      <c r="C66" s="8"/>
      <c r="D66" s="11" t="s">
        <v>0</v>
      </c>
      <c r="E66" s="34" t="s">
        <v>12</v>
      </c>
      <c r="F66" s="44" t="str">
        <f>PROPER(IF(F65=0,"nol",IF(F65&lt;0,"minus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65),"000000000000000"),1,3)=0,"",MID(TEXT(ABS(F65),"000000000000000"),1,1)&amp;" ratus "&amp;MID(TEXT(ABS(F65),"000000000000000"),2,1)&amp;" puluh "&amp;MID(TEXT(ABS(F65),"000000000000000"),3,1)&amp;" trilyun ")&amp;IF(--MID(TEXT(ABS(F65),"000000000000000"),4,3)=0,"",MID(TEXT(ABS(F65),"000000000000000"),4,1)&amp;" ratus "&amp;MID(TEXT(ABS(F65),"000000000000000"),5,1)&amp;" puluh "&amp;MID(TEXT(ABS(F65),"000000000000000"),6,1)&amp;" milyar ")&amp;IF(--MID(TEXT(ABS(F65),"000000000000000"),7,3)=0,"",MID(TEXT(ABS(F65),"000000000000000"),7,1)&amp;" ratus "&amp;MID(TEXT(ABS(F65),"000000000000000"),8,1)&amp;" puluh "&amp;MID(TEXT(ABS(F65),"000000000000000"),9,1)&amp;" juta ")&amp;IF(--MID(TEXT(ABS(F65),"000000000000000"),10,3)=0,"",IF(--MID(TEXT(ABS(F65),"000000000000000"),10,3)=1,"*",MID(TEXT(ABS(F65),"000000000000000"),10,1)&amp;" ratus "&amp;MID(TEXT(ABS(F65),"000000000000000"),11,1)&amp;" puluh ")&amp;MID(TEXT(ABS(F65),"000000000000000"),12,1)&amp;" ribu ")&amp;IF(--MID(TEXT(ABS(F65),"000000000000000"),13,3)=0,"",MID(TEXT(ABS(F65),"000000000000000"),13,1)&amp;" ratus "&amp;MID(TEXT(ABS(F65),"000000000000000"),14,1)&amp;" puluh "&amp;MID(TEXT(ABS(F65),"000000000000000"),15,1)),1,"satu"),2,"dua"),3,"tiga"),4,"empat"),5,"lima"),6,"enam"),7,"tujuh"),8,"delapan"),9,"sembilan"),"0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Sembilan Ribu Rupiah</v>
      </c>
      <c r="I66" s="9"/>
      <c r="J66" s="9"/>
      <c r="K66" s="10"/>
    </row>
    <row r="67" spans="1:11" ht="15.75" x14ac:dyDescent="0.25">
      <c r="A67" s="8"/>
      <c r="B67" s="8"/>
      <c r="C67" s="8"/>
      <c r="D67" s="11"/>
      <c r="E67" s="11"/>
      <c r="F67" s="11"/>
      <c r="G67" s="34"/>
      <c r="H67" s="44"/>
      <c r="I67" s="9"/>
      <c r="J67" s="9"/>
      <c r="K67" s="10"/>
    </row>
    <row r="68" spans="1:11" x14ac:dyDescent="0.25">
      <c r="A68" s="8" t="s">
        <v>1</v>
      </c>
      <c r="B68" s="8"/>
      <c r="C68" s="8"/>
      <c r="D68" s="8"/>
      <c r="E68" s="8"/>
      <c r="F68" s="8"/>
      <c r="G68" s="8"/>
      <c r="H68" s="8"/>
      <c r="I68" s="9"/>
      <c r="J68" s="9"/>
      <c r="K68" s="10"/>
    </row>
    <row r="69" spans="1:11" x14ac:dyDescent="0.25">
      <c r="A69" s="59" t="s">
        <v>2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45" x14ac:dyDescent="0.25">
      <c r="A70" s="12" t="s">
        <v>3</v>
      </c>
      <c r="B70" s="60" t="s">
        <v>22</v>
      </c>
      <c r="C70" s="61"/>
      <c r="D70" s="62" t="s">
        <v>4</v>
      </c>
      <c r="E70" s="63"/>
      <c r="F70" s="64"/>
      <c r="G70" s="43"/>
      <c r="H70" s="35" t="s">
        <v>5</v>
      </c>
      <c r="I70" s="13" t="s">
        <v>17</v>
      </c>
      <c r="J70" s="14" t="s">
        <v>6</v>
      </c>
      <c r="K70" s="15" t="s">
        <v>7</v>
      </c>
    </row>
    <row r="71" spans="1:11" x14ac:dyDescent="0.25">
      <c r="A71" s="56">
        <v>1</v>
      </c>
      <c r="B71" s="50"/>
      <c r="C71" s="50"/>
      <c r="D71" s="65" t="s">
        <v>42</v>
      </c>
      <c r="E71" s="66"/>
      <c r="F71" s="67"/>
      <c r="G71" s="45"/>
      <c r="H71" s="52" t="s">
        <v>28</v>
      </c>
      <c r="I71" s="52" t="s">
        <v>28</v>
      </c>
      <c r="J71" s="52" t="s">
        <v>28</v>
      </c>
      <c r="K71" s="52" t="s">
        <v>28</v>
      </c>
    </row>
    <row r="72" spans="1:11" x14ac:dyDescent="0.25">
      <c r="A72" s="46"/>
      <c r="B72" s="57" t="s">
        <v>23</v>
      </c>
      <c r="C72" s="50"/>
      <c r="D72" s="68" t="s">
        <v>32</v>
      </c>
      <c r="E72" s="69"/>
      <c r="F72" s="70"/>
      <c r="G72" s="45"/>
      <c r="H72" s="52" t="s">
        <v>28</v>
      </c>
      <c r="I72" s="52" t="s">
        <v>28</v>
      </c>
      <c r="J72" s="52" t="s">
        <v>28</v>
      </c>
      <c r="K72" s="52" t="s">
        <v>28</v>
      </c>
    </row>
    <row r="73" spans="1:11" x14ac:dyDescent="0.25">
      <c r="A73" s="46"/>
      <c r="B73" s="46"/>
      <c r="C73" s="46" t="s">
        <v>37</v>
      </c>
      <c r="D73" s="54" t="s">
        <v>33</v>
      </c>
      <c r="E73" s="55"/>
      <c r="F73" s="53"/>
      <c r="G73" s="45"/>
      <c r="H73" s="48">
        <v>25000000</v>
      </c>
      <c r="I73" s="39">
        <f>I25+J25</f>
        <v>0</v>
      </c>
      <c r="J73" s="39">
        <v>0</v>
      </c>
      <c r="K73" s="40">
        <f t="shared" ref="K73:K77" si="1">H73-I73-J73</f>
        <v>25000000</v>
      </c>
    </row>
    <row r="74" spans="1:11" x14ac:dyDescent="0.25">
      <c r="A74" s="46"/>
      <c r="B74" s="46"/>
      <c r="C74" s="46" t="s">
        <v>38</v>
      </c>
      <c r="D74" s="54" t="s">
        <v>34</v>
      </c>
      <c r="E74" s="55"/>
      <c r="F74" s="53"/>
      <c r="G74" s="45"/>
      <c r="H74" s="47">
        <v>3000000</v>
      </c>
      <c r="I74" s="39">
        <f t="shared" ref="I74:I77" si="2">I26+J26</f>
        <v>400000</v>
      </c>
      <c r="J74" s="39">
        <v>0</v>
      </c>
      <c r="K74" s="40">
        <f t="shared" si="1"/>
        <v>2600000</v>
      </c>
    </row>
    <row r="75" spans="1:11" x14ac:dyDescent="0.25">
      <c r="A75" s="46"/>
      <c r="B75" s="46"/>
      <c r="C75" s="46" t="s">
        <v>39</v>
      </c>
      <c r="D75" s="54" t="s">
        <v>35</v>
      </c>
      <c r="E75" s="55"/>
      <c r="F75" s="53"/>
      <c r="G75" s="45"/>
      <c r="H75" s="47">
        <v>58710000</v>
      </c>
      <c r="I75" s="39">
        <f t="shared" si="2"/>
        <v>23571980</v>
      </c>
      <c r="J75" s="39">
        <v>999000</v>
      </c>
      <c r="K75" s="40">
        <f t="shared" si="1"/>
        <v>34139020</v>
      </c>
    </row>
    <row r="76" spans="1:11" x14ac:dyDescent="0.25">
      <c r="A76" s="46"/>
      <c r="B76" s="46"/>
      <c r="C76" s="46" t="s">
        <v>40</v>
      </c>
      <c r="D76" s="54" t="s">
        <v>36</v>
      </c>
      <c r="E76" s="55"/>
      <c r="F76" s="53"/>
      <c r="G76" s="45"/>
      <c r="H76" s="48">
        <v>20000000</v>
      </c>
      <c r="I76" s="39">
        <f t="shared" si="2"/>
        <v>3150000</v>
      </c>
      <c r="J76" s="39">
        <v>0</v>
      </c>
      <c r="K76" s="40">
        <f t="shared" si="1"/>
        <v>16850000</v>
      </c>
    </row>
    <row r="77" spans="1:11" x14ac:dyDescent="0.25">
      <c r="A77" s="46"/>
      <c r="B77" s="46"/>
      <c r="C77" s="46" t="s">
        <v>41</v>
      </c>
      <c r="D77" s="54" t="s">
        <v>43</v>
      </c>
      <c r="E77" s="55"/>
      <c r="F77" s="53"/>
      <c r="G77" s="45"/>
      <c r="H77" s="47">
        <v>10000000</v>
      </c>
      <c r="I77" s="39">
        <f t="shared" si="2"/>
        <v>2485000</v>
      </c>
      <c r="J77" s="39">
        <v>0</v>
      </c>
      <c r="K77" s="40">
        <f t="shared" si="1"/>
        <v>7515000</v>
      </c>
    </row>
    <row r="78" spans="1:11" x14ac:dyDescent="0.25">
      <c r="A78" s="16"/>
      <c r="B78" s="16"/>
      <c r="C78" s="16"/>
      <c r="D78" s="17" t="s">
        <v>8</v>
      </c>
      <c r="E78" s="17"/>
      <c r="F78" s="17"/>
      <c r="G78" s="37"/>
      <c r="H78" s="36">
        <f>SUM(H71:H77)</f>
        <v>116710000</v>
      </c>
      <c r="I78" s="18">
        <f>SUM(I72:I77)</f>
        <v>29606980</v>
      </c>
      <c r="J78" s="18">
        <f>SUM(J72:J77)</f>
        <v>999000</v>
      </c>
      <c r="K78" s="18">
        <f>SUM(K72:K77)</f>
        <v>86104020</v>
      </c>
    </row>
    <row r="79" spans="1:11" x14ac:dyDescent="0.25">
      <c r="A79" s="19"/>
      <c r="B79" s="51"/>
      <c r="C79" s="51"/>
      <c r="D79" s="6"/>
      <c r="E79" s="6"/>
      <c r="F79" s="6"/>
      <c r="G79" s="6"/>
      <c r="H79" s="20"/>
      <c r="I79" s="20"/>
      <c r="J79" s="20"/>
      <c r="K79" s="20"/>
    </row>
    <row r="80" spans="1:11" x14ac:dyDescent="0.25">
      <c r="A80" s="58" t="s">
        <v>14</v>
      </c>
      <c r="B80" s="58"/>
      <c r="C80" s="58"/>
      <c r="D80" s="58"/>
      <c r="E80" s="30" t="s">
        <v>12</v>
      </c>
      <c r="F80" s="38">
        <f>J78</f>
        <v>999000</v>
      </c>
      <c r="G80" s="33"/>
      <c r="H80" s="21"/>
      <c r="I80" s="21"/>
      <c r="J80" s="10"/>
      <c r="K80" s="10"/>
    </row>
    <row r="81" spans="1:11" x14ac:dyDescent="0.25">
      <c r="A81" s="8" t="s">
        <v>9</v>
      </c>
      <c r="B81" s="8"/>
      <c r="C81" s="8"/>
      <c r="D81" s="8"/>
      <c r="E81" s="30" t="s">
        <v>12</v>
      </c>
      <c r="F81" s="31"/>
      <c r="G81" s="31"/>
      <c r="H81" s="22"/>
      <c r="I81" s="9"/>
      <c r="J81" s="10"/>
      <c r="K81" s="10"/>
    </row>
    <row r="82" spans="1:11" x14ac:dyDescent="0.25">
      <c r="A82" s="8" t="s">
        <v>16</v>
      </c>
      <c r="B82" s="8"/>
      <c r="C82" s="8"/>
      <c r="D82" s="8"/>
      <c r="E82" s="30" t="s">
        <v>12</v>
      </c>
      <c r="F82" s="32"/>
      <c r="G82" s="32"/>
      <c r="H82" s="22"/>
      <c r="I82" s="9"/>
      <c r="J82" s="10"/>
      <c r="K82" s="10"/>
    </row>
    <row r="83" spans="1:11" x14ac:dyDescent="0.25">
      <c r="A83" s="8" t="s">
        <v>10</v>
      </c>
      <c r="B83" s="8"/>
      <c r="C83" s="8"/>
      <c r="D83" s="8"/>
      <c r="E83" s="30" t="s">
        <v>12</v>
      </c>
      <c r="F83" s="32">
        <f>F81+F82</f>
        <v>0</v>
      </c>
      <c r="G83" s="32"/>
      <c r="H83" s="8"/>
      <c r="I83" s="9"/>
      <c r="J83" s="23"/>
      <c r="K83" s="24"/>
    </row>
    <row r="84" spans="1:11" x14ac:dyDescent="0.25">
      <c r="A84" s="41"/>
      <c r="B84" s="41"/>
      <c r="C84" s="41"/>
      <c r="D84" s="41"/>
      <c r="E84" s="30"/>
      <c r="F84" s="41"/>
      <c r="G84" s="41"/>
      <c r="H84" s="8"/>
      <c r="I84" s="9"/>
      <c r="J84" s="23"/>
      <c r="K84" s="24"/>
    </row>
    <row r="85" spans="1:11" x14ac:dyDescent="0.25">
      <c r="A85" s="58" t="s">
        <v>15</v>
      </c>
      <c r="B85" s="58"/>
      <c r="C85" s="58"/>
      <c r="D85" s="58"/>
      <c r="E85" s="30" t="s">
        <v>12</v>
      </c>
      <c r="F85" s="33">
        <f>F80-F83</f>
        <v>999000</v>
      </c>
      <c r="G85" s="33"/>
      <c r="H85" s="8"/>
      <c r="I85" s="9"/>
      <c r="J85" s="23"/>
      <c r="K85" s="24"/>
    </row>
    <row r="86" spans="1:11" ht="15.75" x14ac:dyDescent="0.25">
      <c r="A86" s="41"/>
      <c r="B86" s="41"/>
      <c r="C86" s="41"/>
      <c r="D86" s="8"/>
      <c r="E86" s="8"/>
      <c r="F86" s="44" t="str">
        <f>PROPER(IF(F85=0,"nol",IF(F85&lt;0,"minus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85),"000000000000000"),1,3)=0,"",MID(TEXT(ABS(F85),"000000000000000"),1,1)&amp;" ratus "&amp;MID(TEXT(ABS(F85),"000000000000000"),2,1)&amp;" puluh "&amp;MID(TEXT(ABS(F85),"000000000000000"),3,1)&amp;" trilyun ")&amp;IF(--MID(TEXT(ABS(F85),"000000000000000"),4,3)=0,"",MID(TEXT(ABS(F85),"000000000000000"),4,1)&amp;" ratus "&amp;MID(TEXT(ABS(F85),"000000000000000"),5,1)&amp;" puluh "&amp;MID(TEXT(ABS(F85),"000000000000000"),6,1)&amp;" milyar ")&amp;IF(--MID(TEXT(ABS(F85),"000000000000000"),7,3)=0,"",MID(TEXT(ABS(F85),"000000000000000"),7,1)&amp;" ratus "&amp;MID(TEXT(ABS(F85),"000000000000000"),8,1)&amp;" puluh "&amp;MID(TEXT(ABS(F85),"000000000000000"),9,1)&amp;" juta ")&amp;IF(--MID(TEXT(ABS(F85),"000000000000000"),10,3)=0,"",IF(--MID(TEXT(ABS(F85),"000000000000000"),10,3)=1,"*",MID(TEXT(ABS(F85),"000000000000000"),10,1)&amp;" ratus "&amp;MID(TEXT(ABS(F85),"000000000000000"),11,1)&amp;" puluh ")&amp;MID(TEXT(ABS(F85),"000000000000000"),12,1)&amp;" ribu ")&amp;IF(--MID(TEXT(ABS(F85),"000000000000000"),13,3)=0,"",MID(TEXT(ABS(F85),"000000000000000"),13,1)&amp;" ratus "&amp;MID(TEXT(ABS(F85),"000000000000000"),14,1)&amp;" puluh "&amp;MID(TEXT(ABS(F85),"000000000000000"),15,1)),1,"satu"),2,"dua"),3,"tiga"),4,"empat"),5,"lima"),6,"enam"),7,"tujuh"),8,"delapan"),9,"sembilan"),"0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Sembilan Ribu Rupiah</v>
      </c>
      <c r="G86" s="8"/>
      <c r="H86" s="8"/>
      <c r="I86" s="8"/>
      <c r="J86" s="23"/>
      <c r="K86" s="24"/>
    </row>
    <row r="87" spans="1:11" x14ac:dyDescent="0.25">
      <c r="A87" s="26"/>
      <c r="B87" s="26"/>
      <c r="C87" s="26"/>
      <c r="D87" s="26"/>
      <c r="E87" s="26"/>
      <c r="F87" s="26"/>
      <c r="G87" s="26"/>
      <c r="H87" s="25"/>
      <c r="I87" s="24"/>
      <c r="J87" s="23"/>
      <c r="K87" s="24"/>
    </row>
    <row r="88" spans="1:11" x14ac:dyDescent="0.25">
      <c r="A88" s="25"/>
      <c r="B88" s="25"/>
      <c r="C88" s="25"/>
      <c r="D88" s="25"/>
      <c r="E88" s="25"/>
      <c r="F88" s="25"/>
      <c r="G88" s="25"/>
      <c r="H88" s="25"/>
      <c r="I88"/>
      <c r="J88" s="24"/>
      <c r="K88" s="24"/>
    </row>
    <row r="89" spans="1:11" x14ac:dyDescent="0.25">
      <c r="A89" s="41"/>
      <c r="B89" s="41"/>
      <c r="C89" s="41"/>
      <c r="D89" s="8"/>
      <c r="E89" s="8"/>
      <c r="F89" s="8"/>
      <c r="G89" s="8"/>
      <c r="H89" s="8"/>
      <c r="J89" s="42" t="s">
        <v>58</v>
      </c>
      <c r="K89" s="24"/>
    </row>
    <row r="90" spans="1:11" x14ac:dyDescent="0.25">
      <c r="A90" s="9" t="s">
        <v>26</v>
      </c>
      <c r="B90" s="9"/>
      <c r="C90" s="9"/>
      <c r="D90" s="8"/>
      <c r="E90" s="8"/>
      <c r="F90" s="8"/>
      <c r="G90" s="8"/>
      <c r="H90" s="8"/>
      <c r="J90" s="9" t="s">
        <v>25</v>
      </c>
      <c r="K90" s="24"/>
    </row>
    <row r="91" spans="1:11" x14ac:dyDescent="0.25">
      <c r="A91" s="8"/>
      <c r="B91" s="8"/>
      <c r="C91" s="8"/>
      <c r="D91" s="8"/>
      <c r="E91" s="8"/>
      <c r="F91" s="8"/>
      <c r="G91" s="8"/>
      <c r="H91" s="8"/>
      <c r="J91" s="9"/>
      <c r="K91" s="24"/>
    </row>
    <row r="92" spans="1:11" x14ac:dyDescent="0.25">
      <c r="A92" s="8"/>
      <c r="B92" s="8"/>
      <c r="C92" s="8"/>
      <c r="D92" s="8"/>
      <c r="E92" s="8"/>
      <c r="F92" s="8"/>
      <c r="G92" s="8"/>
      <c r="H92" s="8"/>
      <c r="J92" s="9"/>
      <c r="K92" s="24"/>
    </row>
    <row r="93" spans="1:11" x14ac:dyDescent="0.25">
      <c r="A93" s="8"/>
      <c r="B93" s="8"/>
      <c r="C93" s="8"/>
      <c r="D93" s="8"/>
      <c r="E93" s="8"/>
      <c r="F93" s="8"/>
      <c r="G93" s="8"/>
      <c r="H93" s="8"/>
      <c r="J93" s="9"/>
      <c r="K93" s="24"/>
    </row>
    <row r="94" spans="1:11" x14ac:dyDescent="0.25">
      <c r="A94" s="8"/>
      <c r="B94" s="8"/>
      <c r="C94" s="8"/>
      <c r="D94" s="8"/>
      <c r="E94" s="8"/>
      <c r="F94" s="8"/>
      <c r="G94" s="8"/>
      <c r="H94" s="8"/>
      <c r="J94" s="9"/>
      <c r="K94" s="24"/>
    </row>
    <row r="95" spans="1:11" x14ac:dyDescent="0.25">
      <c r="A95" s="28" t="s">
        <v>44</v>
      </c>
      <c r="B95" s="28"/>
      <c r="C95" s="28"/>
      <c r="D95" s="27"/>
      <c r="E95" s="27"/>
      <c r="F95" s="27"/>
      <c r="G95" s="27"/>
      <c r="H95" s="8" t="s">
        <v>11</v>
      </c>
      <c r="J95" s="28" t="s">
        <v>27</v>
      </c>
      <c r="K95" s="24"/>
    </row>
    <row r="100" spans="1:11" ht="15.75" x14ac:dyDescent="0.25">
      <c r="D100" s="3"/>
      <c r="E100" s="3"/>
      <c r="F100" s="3"/>
      <c r="G100" s="3"/>
    </row>
    <row r="101" spans="1:11" ht="15.75" x14ac:dyDescent="0.25">
      <c r="A101" s="2"/>
      <c r="B101" s="2"/>
      <c r="C101" s="2"/>
      <c r="D101" s="3"/>
      <c r="E101" s="3"/>
      <c r="F101" s="3"/>
      <c r="G101" s="3"/>
      <c r="H101" s="2"/>
      <c r="I101" s="4"/>
      <c r="J101" s="4"/>
      <c r="K101" s="5"/>
    </row>
    <row r="102" spans="1:11" x14ac:dyDescent="0.25">
      <c r="I102" s="5"/>
      <c r="J102" s="5"/>
      <c r="K102" s="5"/>
    </row>
    <row r="103" spans="1:11" x14ac:dyDescent="0.25">
      <c r="I103" s="5"/>
      <c r="J103" s="5"/>
      <c r="K103" s="5"/>
    </row>
    <row r="104" spans="1:11" x14ac:dyDescent="0.25">
      <c r="A104" s="71" t="s">
        <v>29</v>
      </c>
      <c r="B104" s="71"/>
      <c r="C104" s="71"/>
      <c r="D104" s="72"/>
      <c r="E104" s="72"/>
      <c r="F104" s="72"/>
      <c r="G104" s="72"/>
      <c r="H104" s="72"/>
      <c r="I104" s="72"/>
      <c r="J104" s="72"/>
      <c r="K104" s="72"/>
    </row>
    <row r="105" spans="1:11" x14ac:dyDescent="0.25">
      <c r="A105" s="72" t="s">
        <v>59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</row>
    <row r="106" spans="1:11" x14ac:dyDescent="0.25">
      <c r="A106" s="72" t="s">
        <v>13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</row>
    <row r="107" spans="1:11" x14ac:dyDescent="0.25">
      <c r="A107" s="72" t="s">
        <v>45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</row>
    <row r="108" spans="1:11" x14ac:dyDescent="0.25">
      <c r="A108" s="72" t="s">
        <v>24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</row>
    <row r="109" spans="1:11" x14ac:dyDescent="0.25">
      <c r="A109" s="29"/>
      <c r="B109" s="29"/>
      <c r="C109" s="29"/>
      <c r="D109" s="7"/>
      <c r="E109" s="7"/>
      <c r="F109" s="7"/>
      <c r="G109" s="7"/>
      <c r="H109" s="6"/>
      <c r="I109" s="10"/>
      <c r="J109" s="10"/>
      <c r="K109" s="10"/>
    </row>
    <row r="110" spans="1:11" x14ac:dyDescent="0.25">
      <c r="A110" s="49" t="s">
        <v>18</v>
      </c>
      <c r="B110" s="49"/>
      <c r="C110" s="49"/>
      <c r="D110" s="49"/>
      <c r="E110" s="34" t="s">
        <v>12</v>
      </c>
      <c r="F110" s="8" t="s">
        <v>30</v>
      </c>
      <c r="I110" s="9"/>
      <c r="J110" s="9"/>
      <c r="K110" s="10"/>
    </row>
    <row r="111" spans="1:11" x14ac:dyDescent="0.25">
      <c r="A111" s="49" t="s">
        <v>19</v>
      </c>
      <c r="B111" s="49"/>
      <c r="C111" s="49"/>
      <c r="D111" s="49"/>
      <c r="E111" s="34" t="s">
        <v>12</v>
      </c>
      <c r="F111" s="8" t="s">
        <v>31</v>
      </c>
      <c r="I111" s="9"/>
      <c r="J111" s="9"/>
      <c r="K111" s="10"/>
    </row>
    <row r="112" spans="1:11" x14ac:dyDescent="0.25">
      <c r="A112" s="49" t="s">
        <v>20</v>
      </c>
      <c r="B112" s="49"/>
      <c r="C112" s="49"/>
      <c r="D112" s="49"/>
      <c r="E112" s="34" t="s">
        <v>12</v>
      </c>
      <c r="F112" s="41">
        <v>2026</v>
      </c>
      <c r="I112" s="9"/>
      <c r="J112" s="9"/>
      <c r="K112" s="10"/>
    </row>
    <row r="113" spans="1:11" x14ac:dyDescent="0.25">
      <c r="A113" s="49" t="s">
        <v>21</v>
      </c>
      <c r="B113" s="49"/>
      <c r="C113" s="49"/>
      <c r="D113" s="49"/>
      <c r="E113" s="34" t="s">
        <v>12</v>
      </c>
      <c r="F113" s="38">
        <f>J126</f>
        <v>250000</v>
      </c>
      <c r="I113" s="9"/>
      <c r="J113" s="9"/>
      <c r="K113" s="10"/>
    </row>
    <row r="114" spans="1:11" ht="15.75" x14ac:dyDescent="0.25">
      <c r="A114" s="8"/>
      <c r="B114" s="8"/>
      <c r="C114" s="8"/>
      <c r="D114" s="11" t="s">
        <v>0</v>
      </c>
      <c r="E114" s="34" t="s">
        <v>12</v>
      </c>
      <c r="F114" s="44" t="str">
        <f>PROPER(IF(F113=0,"nol",IF(F113&lt;0,"minus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113),"000000000000000"),1,3)=0,"",MID(TEXT(ABS(F113),"000000000000000"),1,1)&amp;" ratus "&amp;MID(TEXT(ABS(F113),"000000000000000"),2,1)&amp;" puluh "&amp;MID(TEXT(ABS(F113),"000000000000000"),3,1)&amp;" trilyun ")&amp;IF(--MID(TEXT(ABS(F113),"000000000000000"),4,3)=0,"",MID(TEXT(ABS(F113),"000000000000000"),4,1)&amp;" ratus "&amp;MID(TEXT(ABS(F113),"000000000000000"),5,1)&amp;" puluh "&amp;MID(TEXT(ABS(F113),"000000000000000"),6,1)&amp;" milyar ")&amp;IF(--MID(TEXT(ABS(F113),"000000000000000"),7,3)=0,"",MID(TEXT(ABS(F113),"000000000000000"),7,1)&amp;" ratus "&amp;MID(TEXT(ABS(F113),"000000000000000"),8,1)&amp;" puluh "&amp;MID(TEXT(ABS(F113),"000000000000000"),9,1)&amp;" juta ")&amp;IF(--MID(TEXT(ABS(F113),"000000000000000"),10,3)=0,"",IF(--MID(TEXT(ABS(F113),"000000000000000"),10,3)=1,"*",MID(TEXT(ABS(F113),"000000000000000"),10,1)&amp;" ratus "&amp;MID(TEXT(ABS(F113),"000000000000000"),11,1)&amp;" puluh ")&amp;MID(TEXT(ABS(F113),"000000000000000"),12,1)&amp;" ribu ")&amp;IF(--MID(TEXT(ABS(F113),"000000000000000"),13,3)=0,"",MID(TEXT(ABS(F113),"000000000000000"),13,1)&amp;" ratus "&amp;MID(TEXT(ABS(F113),"000000000000000"),14,1)&amp;" puluh "&amp;MID(TEXT(ABS(F113),"000000000000000"),15,1)),1,"satu"),2,"dua"),3,"tiga"),4,"empat"),5,"lima"),6,"enam"),7,"tujuh"),8,"delapan"),9,"sembilan"),"0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I114" s="9"/>
      <c r="J114" s="9"/>
      <c r="K114" s="10"/>
    </row>
    <row r="115" spans="1:11" ht="15.75" x14ac:dyDescent="0.25">
      <c r="A115" s="8"/>
      <c r="B115" s="8"/>
      <c r="C115" s="8"/>
      <c r="D115" s="11"/>
      <c r="E115" s="11"/>
      <c r="F115" s="11"/>
      <c r="G115" s="34"/>
      <c r="H115" s="44"/>
      <c r="I115" s="9"/>
      <c r="J115" s="9"/>
      <c r="K115" s="10"/>
    </row>
    <row r="116" spans="1:11" x14ac:dyDescent="0.25">
      <c r="A116" s="8" t="s">
        <v>1</v>
      </c>
      <c r="B116" s="8"/>
      <c r="C116" s="8"/>
      <c r="D116" s="8"/>
      <c r="E116" s="8"/>
      <c r="F116" s="8"/>
      <c r="G116" s="8"/>
      <c r="H116" s="8"/>
      <c r="I116" s="9"/>
      <c r="J116" s="9"/>
      <c r="K116" s="10"/>
    </row>
    <row r="117" spans="1:11" x14ac:dyDescent="0.25">
      <c r="A117" s="59" t="s">
        <v>2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</row>
    <row r="118" spans="1:11" ht="45" x14ac:dyDescent="0.25">
      <c r="A118" s="12" t="s">
        <v>3</v>
      </c>
      <c r="B118" s="60" t="s">
        <v>22</v>
      </c>
      <c r="C118" s="61"/>
      <c r="D118" s="62" t="s">
        <v>4</v>
      </c>
      <c r="E118" s="63"/>
      <c r="F118" s="64"/>
      <c r="G118" s="43"/>
      <c r="H118" s="35" t="s">
        <v>5</v>
      </c>
      <c r="I118" s="13" t="s">
        <v>17</v>
      </c>
      <c r="J118" s="14" t="s">
        <v>6</v>
      </c>
      <c r="K118" s="15" t="s">
        <v>7</v>
      </c>
    </row>
    <row r="119" spans="1:11" x14ac:dyDescent="0.25">
      <c r="A119" s="56">
        <v>1</v>
      </c>
      <c r="B119" s="50"/>
      <c r="C119" s="50"/>
      <c r="D119" s="65" t="s">
        <v>42</v>
      </c>
      <c r="E119" s="66"/>
      <c r="F119" s="67"/>
      <c r="G119" s="45"/>
      <c r="H119" s="52" t="s">
        <v>28</v>
      </c>
      <c r="I119" s="52" t="s">
        <v>28</v>
      </c>
      <c r="J119" s="52" t="s">
        <v>28</v>
      </c>
      <c r="K119" s="52" t="s">
        <v>28</v>
      </c>
    </row>
    <row r="120" spans="1:11" x14ac:dyDescent="0.25">
      <c r="A120" s="46"/>
      <c r="B120" s="57" t="s">
        <v>23</v>
      </c>
      <c r="C120" s="50"/>
      <c r="D120" s="68" t="s">
        <v>32</v>
      </c>
      <c r="E120" s="69"/>
      <c r="F120" s="70"/>
      <c r="G120" s="45"/>
      <c r="H120" s="52" t="s">
        <v>28</v>
      </c>
      <c r="I120" s="52" t="s">
        <v>28</v>
      </c>
      <c r="J120" s="52" t="s">
        <v>28</v>
      </c>
      <c r="K120" s="52" t="s">
        <v>28</v>
      </c>
    </row>
    <row r="121" spans="1:11" x14ac:dyDescent="0.25">
      <c r="A121" s="46"/>
      <c r="B121" s="46"/>
      <c r="C121" s="46" t="s">
        <v>37</v>
      </c>
      <c r="D121" s="54" t="s">
        <v>33</v>
      </c>
      <c r="E121" s="55"/>
      <c r="F121" s="53"/>
      <c r="G121" s="45"/>
      <c r="H121" s="48">
        <v>25000000</v>
      </c>
      <c r="I121" s="39">
        <f>I73+J73</f>
        <v>0</v>
      </c>
      <c r="J121" s="39">
        <v>0</v>
      </c>
      <c r="K121" s="40">
        <f t="shared" ref="K121:K125" si="3">H121-I121-J121</f>
        <v>25000000</v>
      </c>
    </row>
    <row r="122" spans="1:11" x14ac:dyDescent="0.25">
      <c r="A122" s="46"/>
      <c r="B122" s="46"/>
      <c r="C122" s="46" t="s">
        <v>38</v>
      </c>
      <c r="D122" s="54" t="s">
        <v>34</v>
      </c>
      <c r="E122" s="55"/>
      <c r="F122" s="53"/>
      <c r="G122" s="45"/>
      <c r="H122" s="47">
        <v>3000000</v>
      </c>
      <c r="I122" s="39">
        <f>I74+J74</f>
        <v>400000</v>
      </c>
      <c r="J122" s="39">
        <v>0</v>
      </c>
      <c r="K122" s="40">
        <f t="shared" si="3"/>
        <v>2600000</v>
      </c>
    </row>
    <row r="123" spans="1:11" x14ac:dyDescent="0.25">
      <c r="A123" s="46"/>
      <c r="B123" s="46"/>
      <c r="C123" s="46" t="s">
        <v>39</v>
      </c>
      <c r="D123" s="54" t="s">
        <v>35</v>
      </c>
      <c r="E123" s="55"/>
      <c r="F123" s="53"/>
      <c r="G123" s="45"/>
      <c r="H123" s="47">
        <v>58710000</v>
      </c>
      <c r="I123" s="39">
        <f>I75+J75</f>
        <v>24570980</v>
      </c>
      <c r="J123" s="39">
        <v>250000</v>
      </c>
      <c r="K123" s="40">
        <f t="shared" si="3"/>
        <v>33889020</v>
      </c>
    </row>
    <row r="124" spans="1:11" x14ac:dyDescent="0.25">
      <c r="A124" s="46"/>
      <c r="B124" s="46"/>
      <c r="C124" s="46" t="s">
        <v>40</v>
      </c>
      <c r="D124" s="54" t="s">
        <v>36</v>
      </c>
      <c r="E124" s="55"/>
      <c r="F124" s="53"/>
      <c r="G124" s="45"/>
      <c r="H124" s="48">
        <v>20000000</v>
      </c>
      <c r="I124" s="39">
        <f t="shared" ref="I124:I125" si="4">I76+J76</f>
        <v>3150000</v>
      </c>
      <c r="J124" s="39">
        <v>0</v>
      </c>
      <c r="K124" s="40">
        <f t="shared" si="3"/>
        <v>16850000</v>
      </c>
    </row>
    <row r="125" spans="1:11" x14ac:dyDescent="0.25">
      <c r="A125" s="46"/>
      <c r="B125" s="46"/>
      <c r="C125" s="46" t="s">
        <v>41</v>
      </c>
      <c r="D125" s="54" t="s">
        <v>43</v>
      </c>
      <c r="E125" s="55"/>
      <c r="F125" s="53"/>
      <c r="G125" s="45"/>
      <c r="H125" s="47">
        <v>10000000</v>
      </c>
      <c r="I125" s="39">
        <f t="shared" si="4"/>
        <v>2485000</v>
      </c>
      <c r="J125" s="39">
        <v>0</v>
      </c>
      <c r="K125" s="40">
        <f t="shared" si="3"/>
        <v>7515000</v>
      </c>
    </row>
    <row r="126" spans="1:11" x14ac:dyDescent="0.25">
      <c r="A126" s="16"/>
      <c r="B126" s="16"/>
      <c r="C126" s="16"/>
      <c r="D126" s="17" t="s">
        <v>8</v>
      </c>
      <c r="E126" s="17"/>
      <c r="F126" s="17"/>
      <c r="G126" s="37"/>
      <c r="H126" s="36">
        <f>SUM(H119:H125)</f>
        <v>116710000</v>
      </c>
      <c r="I126" s="18">
        <f>SUM(I120:I125)</f>
        <v>30605980</v>
      </c>
      <c r="J126" s="18">
        <f>SUM(J120:J125)</f>
        <v>250000</v>
      </c>
      <c r="K126" s="18">
        <f>SUM(K120:K125)</f>
        <v>85854020</v>
      </c>
    </row>
    <row r="127" spans="1:11" x14ac:dyDescent="0.25">
      <c r="A127" s="19"/>
      <c r="B127" s="51"/>
      <c r="C127" s="51"/>
      <c r="D127" s="6"/>
      <c r="E127" s="6"/>
      <c r="F127" s="6"/>
      <c r="G127" s="6"/>
      <c r="H127" s="20"/>
      <c r="I127" s="20"/>
      <c r="J127" s="20"/>
      <c r="K127" s="20"/>
    </row>
    <row r="128" spans="1:11" x14ac:dyDescent="0.25">
      <c r="A128" s="58" t="s">
        <v>14</v>
      </c>
      <c r="B128" s="58"/>
      <c r="C128" s="58"/>
      <c r="D128" s="58"/>
      <c r="E128" s="30" t="s">
        <v>12</v>
      </c>
      <c r="F128" s="38">
        <f>J126</f>
        <v>250000</v>
      </c>
      <c r="G128" s="33"/>
      <c r="H128" s="21"/>
      <c r="I128" s="21"/>
      <c r="J128" s="10"/>
      <c r="K128" s="10"/>
    </row>
    <row r="129" spans="1:11" x14ac:dyDescent="0.25">
      <c r="A129" s="8" t="s">
        <v>9</v>
      </c>
      <c r="B129" s="8"/>
      <c r="C129" s="8"/>
      <c r="D129" s="8"/>
      <c r="E129" s="30" t="s">
        <v>12</v>
      </c>
      <c r="F129" s="31"/>
      <c r="G129" s="31"/>
      <c r="H129" s="22"/>
      <c r="I129" s="9"/>
      <c r="J129" s="10"/>
      <c r="K129" s="10"/>
    </row>
    <row r="130" spans="1:11" x14ac:dyDescent="0.25">
      <c r="A130" s="8" t="s">
        <v>16</v>
      </c>
      <c r="B130" s="8"/>
      <c r="C130" s="8"/>
      <c r="D130" s="8"/>
      <c r="E130" s="30" t="s">
        <v>12</v>
      </c>
      <c r="F130" s="32"/>
      <c r="G130" s="32"/>
      <c r="H130" s="22"/>
      <c r="I130" s="9"/>
      <c r="J130" s="10"/>
      <c r="K130" s="10"/>
    </row>
    <row r="131" spans="1:11" x14ac:dyDescent="0.25">
      <c r="A131" s="8" t="s">
        <v>10</v>
      </c>
      <c r="B131" s="8"/>
      <c r="C131" s="8"/>
      <c r="D131" s="8"/>
      <c r="E131" s="30" t="s">
        <v>12</v>
      </c>
      <c r="F131" s="32">
        <f>F129+F130</f>
        <v>0</v>
      </c>
      <c r="G131" s="32"/>
      <c r="H131" s="8"/>
      <c r="I131" s="9"/>
      <c r="J131" s="23"/>
      <c r="K131" s="24"/>
    </row>
    <row r="132" spans="1:11" x14ac:dyDescent="0.25">
      <c r="A132" s="41"/>
      <c r="B132" s="41"/>
      <c r="C132" s="41"/>
      <c r="D132" s="41"/>
      <c r="E132" s="30"/>
      <c r="F132" s="41"/>
      <c r="G132" s="41"/>
      <c r="H132" s="8"/>
      <c r="I132" s="9"/>
      <c r="J132" s="23"/>
      <c r="K132" s="24"/>
    </row>
    <row r="133" spans="1:11" x14ac:dyDescent="0.25">
      <c r="A133" s="58" t="s">
        <v>15</v>
      </c>
      <c r="B133" s="58"/>
      <c r="C133" s="58"/>
      <c r="D133" s="58"/>
      <c r="E133" s="30" t="s">
        <v>12</v>
      </c>
      <c r="F133" s="33">
        <f>F128-F131</f>
        <v>250000</v>
      </c>
      <c r="G133" s="33"/>
      <c r="H133" s="8"/>
      <c r="I133" s="9"/>
      <c r="J133" s="23"/>
      <c r="K133" s="24"/>
    </row>
    <row r="134" spans="1:11" ht="15.75" x14ac:dyDescent="0.25">
      <c r="A134" s="41"/>
      <c r="B134" s="41"/>
      <c r="C134" s="41"/>
      <c r="D134" s="8"/>
      <c r="E134" s="8"/>
      <c r="F134" s="44" t="str">
        <f>PROPER(IF(F133=0,"nol",IF(F133&lt;0,"minus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133),"000000000000000"),1,3)=0,"",MID(TEXT(ABS(F133),"000000000000000"),1,1)&amp;" ratus "&amp;MID(TEXT(ABS(F133),"000000000000000"),2,1)&amp;" puluh "&amp;MID(TEXT(ABS(F133),"000000000000000"),3,1)&amp;" trilyun ")&amp;IF(--MID(TEXT(ABS(F133),"000000000000000"),4,3)=0,"",MID(TEXT(ABS(F133),"000000000000000"),4,1)&amp;" ratus "&amp;MID(TEXT(ABS(F133),"000000000000000"),5,1)&amp;" puluh "&amp;MID(TEXT(ABS(F133),"000000000000000"),6,1)&amp;" milyar ")&amp;IF(--MID(TEXT(ABS(F133),"000000000000000"),7,3)=0,"",MID(TEXT(ABS(F133),"000000000000000"),7,1)&amp;" ratus "&amp;MID(TEXT(ABS(F133),"000000000000000"),8,1)&amp;" puluh "&amp;MID(TEXT(ABS(F133),"000000000000000"),9,1)&amp;" juta ")&amp;IF(--MID(TEXT(ABS(F133),"000000000000000"),10,3)=0,"",IF(--MID(TEXT(ABS(F133),"000000000000000"),10,3)=1,"*",MID(TEXT(ABS(F133),"000000000000000"),10,1)&amp;" ratus "&amp;MID(TEXT(ABS(F133),"000000000000000"),11,1)&amp;" puluh ")&amp;MID(TEXT(ABS(F133),"000000000000000"),12,1)&amp;" ribu ")&amp;IF(--MID(TEXT(ABS(F133),"000000000000000"),13,3)=0,"",MID(TEXT(ABS(F133),"000000000000000"),13,1)&amp;" ratus "&amp;MID(TEXT(ABS(F133),"000000000000000"),14,1)&amp;" puluh "&amp;MID(TEXT(ABS(F133),"000000000000000"),15,1)),1,"satu"),2,"dua"),3,"tiga"),4,"empat"),5,"lima"),6,"enam"),7,"tujuh"),8,"delapan"),9,"sembilan"),"0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G134" s="8"/>
      <c r="H134" s="8"/>
      <c r="I134" s="8"/>
      <c r="J134" s="23"/>
      <c r="K134" s="24"/>
    </row>
    <row r="135" spans="1:11" x14ac:dyDescent="0.25">
      <c r="A135" s="26"/>
      <c r="B135" s="26"/>
      <c r="C135" s="26"/>
      <c r="D135" s="26"/>
      <c r="E135" s="26"/>
      <c r="F135" s="26"/>
      <c r="G135" s="26"/>
      <c r="H135" s="25"/>
      <c r="I135" s="24"/>
      <c r="J135" s="23"/>
      <c r="K135" s="24"/>
    </row>
    <row r="136" spans="1:11" x14ac:dyDescent="0.25">
      <c r="A136" s="25"/>
      <c r="B136" s="25"/>
      <c r="C136" s="25"/>
      <c r="D136" s="25"/>
      <c r="E136" s="25"/>
      <c r="F136" s="25"/>
      <c r="G136" s="25"/>
      <c r="H136" s="25"/>
      <c r="I136"/>
      <c r="J136" s="24"/>
      <c r="K136" s="24"/>
    </row>
    <row r="137" spans="1:11" x14ac:dyDescent="0.25">
      <c r="A137" s="41"/>
      <c r="B137" s="41"/>
      <c r="C137" s="41"/>
      <c r="D137" s="8"/>
      <c r="E137" s="8"/>
      <c r="F137" s="8"/>
      <c r="G137" s="8"/>
      <c r="H137" s="8"/>
      <c r="J137" s="42" t="s">
        <v>61</v>
      </c>
      <c r="K137" s="24"/>
    </row>
    <row r="138" spans="1:11" x14ac:dyDescent="0.25">
      <c r="A138" s="9" t="s">
        <v>26</v>
      </c>
      <c r="B138" s="9"/>
      <c r="C138" s="9"/>
      <c r="D138" s="8"/>
      <c r="E138" s="8"/>
      <c r="F138" s="8"/>
      <c r="G138" s="8"/>
      <c r="H138" s="8"/>
      <c r="J138" s="9" t="s">
        <v>25</v>
      </c>
      <c r="K138" s="24"/>
    </row>
    <row r="139" spans="1:11" x14ac:dyDescent="0.25">
      <c r="A139" s="8"/>
      <c r="B139" s="8"/>
      <c r="C139" s="8"/>
      <c r="D139" s="8"/>
      <c r="E139" s="8"/>
      <c r="F139" s="8"/>
      <c r="G139" s="8"/>
      <c r="H139" s="8"/>
      <c r="J139" s="9"/>
      <c r="K139" s="24"/>
    </row>
    <row r="140" spans="1:11" x14ac:dyDescent="0.25">
      <c r="A140" s="8"/>
      <c r="B140" s="8"/>
      <c r="C140" s="8"/>
      <c r="D140" s="8"/>
      <c r="E140" s="8"/>
      <c r="F140" s="8"/>
      <c r="G140" s="8"/>
      <c r="H140" s="8"/>
      <c r="J140" s="9"/>
      <c r="K140" s="24"/>
    </row>
    <row r="141" spans="1:11" x14ac:dyDescent="0.25">
      <c r="A141" s="8"/>
      <c r="B141" s="8"/>
      <c r="C141" s="8"/>
      <c r="D141" s="8"/>
      <c r="E141" s="8"/>
      <c r="F141" s="8"/>
      <c r="G141" s="8"/>
      <c r="H141" s="8"/>
      <c r="J141" s="9"/>
      <c r="K141" s="24"/>
    </row>
    <row r="142" spans="1:11" x14ac:dyDescent="0.25">
      <c r="A142" s="8"/>
      <c r="B142" s="8"/>
      <c r="C142" s="8"/>
      <c r="D142" s="8"/>
      <c r="E142" s="8"/>
      <c r="F142" s="8"/>
      <c r="G142" s="8"/>
      <c r="H142" s="8"/>
      <c r="J142" s="9"/>
      <c r="K142" s="24"/>
    </row>
    <row r="143" spans="1:11" x14ac:dyDescent="0.25">
      <c r="A143" s="28" t="s">
        <v>44</v>
      </c>
      <c r="B143" s="28"/>
      <c r="C143" s="28"/>
      <c r="D143" s="27"/>
      <c r="E143" s="27"/>
      <c r="F143" s="27"/>
      <c r="G143" s="27"/>
      <c r="H143" s="8" t="s">
        <v>11</v>
      </c>
      <c r="J143" s="28" t="s">
        <v>27</v>
      </c>
      <c r="K143" s="24"/>
    </row>
    <row r="148" spans="1:11" ht="15.75" x14ac:dyDescent="0.25">
      <c r="D148" s="3"/>
      <c r="E148" s="3"/>
      <c r="F148" s="3"/>
      <c r="G148" s="3"/>
    </row>
    <row r="149" spans="1:11" ht="15.75" x14ac:dyDescent="0.25">
      <c r="A149" s="2"/>
      <c r="B149" s="2"/>
      <c r="C149" s="2"/>
      <c r="D149" s="3"/>
      <c r="E149" s="3"/>
      <c r="F149" s="3"/>
      <c r="G149" s="3"/>
      <c r="H149" s="2"/>
      <c r="I149" s="4"/>
      <c r="J149" s="4"/>
      <c r="K149" s="5"/>
    </row>
    <row r="150" spans="1:11" x14ac:dyDescent="0.25">
      <c r="I150" s="5"/>
      <c r="J150" s="5"/>
      <c r="K150" s="5"/>
    </row>
    <row r="151" spans="1:11" x14ac:dyDescent="0.25">
      <c r="I151" s="5"/>
      <c r="J151" s="5"/>
      <c r="K151" s="5"/>
    </row>
    <row r="152" spans="1:11" x14ac:dyDescent="0.25">
      <c r="A152" s="71" t="s">
        <v>29</v>
      </c>
      <c r="B152" s="71"/>
      <c r="C152" s="71"/>
      <c r="D152" s="72"/>
      <c r="E152" s="72"/>
      <c r="F152" s="72"/>
      <c r="G152" s="72"/>
      <c r="H152" s="72"/>
      <c r="I152" s="72"/>
      <c r="J152" s="72"/>
      <c r="K152" s="72"/>
    </row>
    <row r="153" spans="1:11" x14ac:dyDescent="0.25">
      <c r="A153" s="72" t="s">
        <v>63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72"/>
    </row>
    <row r="154" spans="1:11" x14ac:dyDescent="0.25">
      <c r="A154" s="72" t="s">
        <v>13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</row>
    <row r="155" spans="1:11" x14ac:dyDescent="0.25">
      <c r="A155" s="72" t="s">
        <v>45</v>
      </c>
      <c r="B155" s="72"/>
      <c r="C155" s="72"/>
      <c r="D155" s="72"/>
      <c r="E155" s="72"/>
      <c r="F155" s="72"/>
      <c r="G155" s="72"/>
      <c r="H155" s="72"/>
      <c r="I155" s="72"/>
      <c r="J155" s="72"/>
      <c r="K155" s="72"/>
    </row>
    <row r="156" spans="1:11" x14ac:dyDescent="0.25">
      <c r="A156" s="72" t="s">
        <v>24</v>
      </c>
      <c r="B156" s="72"/>
      <c r="C156" s="72"/>
      <c r="D156" s="72"/>
      <c r="E156" s="72"/>
      <c r="F156" s="72"/>
      <c r="G156" s="72"/>
      <c r="H156" s="72"/>
      <c r="I156" s="72"/>
      <c r="J156" s="72"/>
      <c r="K156" s="72"/>
    </row>
    <row r="157" spans="1:11" x14ac:dyDescent="0.25">
      <c r="A157" s="29"/>
      <c r="B157" s="29"/>
      <c r="C157" s="29"/>
      <c r="D157" s="7"/>
      <c r="E157" s="7"/>
      <c r="F157" s="7"/>
      <c r="G157" s="7"/>
      <c r="H157" s="6"/>
      <c r="I157" s="10"/>
      <c r="J157" s="10"/>
      <c r="K157" s="10"/>
    </row>
    <row r="158" spans="1:11" x14ac:dyDescent="0.25">
      <c r="A158" s="49" t="s">
        <v>18</v>
      </c>
      <c r="B158" s="49"/>
      <c r="C158" s="49"/>
      <c r="D158" s="49"/>
      <c r="E158" s="34" t="s">
        <v>12</v>
      </c>
      <c r="F158" s="8" t="s">
        <v>30</v>
      </c>
      <c r="I158" s="9"/>
      <c r="J158" s="9"/>
      <c r="K158" s="10"/>
    </row>
    <row r="159" spans="1:11" x14ac:dyDescent="0.25">
      <c r="A159" s="49" t="s">
        <v>19</v>
      </c>
      <c r="B159" s="49"/>
      <c r="C159" s="49"/>
      <c r="D159" s="49"/>
      <c r="E159" s="34" t="s">
        <v>12</v>
      </c>
      <c r="F159" s="8" t="s">
        <v>31</v>
      </c>
      <c r="I159" s="9"/>
      <c r="J159" s="9"/>
      <c r="K159" s="10"/>
    </row>
    <row r="160" spans="1:11" x14ac:dyDescent="0.25">
      <c r="A160" s="49" t="s">
        <v>20</v>
      </c>
      <c r="B160" s="49"/>
      <c r="C160" s="49"/>
      <c r="D160" s="49"/>
      <c r="E160" s="34" t="s">
        <v>12</v>
      </c>
      <c r="F160" s="41">
        <v>2026</v>
      </c>
      <c r="I160" s="9"/>
      <c r="J160" s="9"/>
      <c r="K160" s="10"/>
    </row>
    <row r="161" spans="1:11" x14ac:dyDescent="0.25">
      <c r="A161" s="49" t="s">
        <v>21</v>
      </c>
      <c r="B161" s="49"/>
      <c r="C161" s="49"/>
      <c r="D161" s="49"/>
      <c r="E161" s="34" t="s">
        <v>12</v>
      </c>
      <c r="F161" s="38">
        <f>J174</f>
        <v>140000</v>
      </c>
      <c r="I161" s="9"/>
      <c r="J161" s="9"/>
      <c r="K161" s="10"/>
    </row>
    <row r="162" spans="1:11" ht="15.75" x14ac:dyDescent="0.25">
      <c r="A162" s="8"/>
      <c r="B162" s="8"/>
      <c r="C162" s="8"/>
      <c r="D162" s="11" t="s">
        <v>0</v>
      </c>
      <c r="E162" s="34" t="s">
        <v>12</v>
      </c>
      <c r="F162" s="44" t="str">
        <f>PROPER(IF(F161=0,"nol",IF(F161&lt;0,"minus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161),"000000000000000"),1,3)=0,"",MID(TEXT(ABS(F161),"000000000000000"),1,1)&amp;" ratus "&amp;MID(TEXT(ABS(F161),"000000000000000"),2,1)&amp;" puluh "&amp;MID(TEXT(ABS(F161),"000000000000000"),3,1)&amp;" trilyun ")&amp;IF(--MID(TEXT(ABS(F161),"000000000000000"),4,3)=0,"",MID(TEXT(ABS(F161),"000000000000000"),4,1)&amp;" ratus "&amp;MID(TEXT(ABS(F161),"000000000000000"),5,1)&amp;" puluh "&amp;MID(TEXT(ABS(F161),"000000000000000"),6,1)&amp;" milyar ")&amp;IF(--MID(TEXT(ABS(F161),"000000000000000"),7,3)=0,"",MID(TEXT(ABS(F161),"000000000000000"),7,1)&amp;" ratus "&amp;MID(TEXT(ABS(F161),"000000000000000"),8,1)&amp;" puluh "&amp;MID(TEXT(ABS(F161),"000000000000000"),9,1)&amp;" juta ")&amp;IF(--MID(TEXT(ABS(F161),"000000000000000"),10,3)=0,"",IF(--MID(TEXT(ABS(F161),"000000000000000"),10,3)=1,"*",MID(TEXT(ABS(F161),"000000000000000"),10,1)&amp;" ratus "&amp;MID(TEXT(ABS(F161),"000000000000000"),11,1)&amp;" puluh ")&amp;MID(TEXT(ABS(F161),"000000000000000"),12,1)&amp;" ribu ")&amp;IF(--MID(TEXT(ABS(F161),"000000000000000"),13,3)=0,"",MID(TEXT(ABS(F161),"000000000000000"),13,1)&amp;" ratus "&amp;MID(TEXT(ABS(F161),"000000000000000"),14,1)&amp;" puluh "&amp;MID(TEXT(ABS(F161),"000000000000000"),15,1)),1,"satu"),2,"dua"),3,"tiga"),4,"empat"),5,"lima"),6,"enam"),7,"tujuh"),8,"delapan"),9,"sembilan"),"0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Ribu Rupiah</v>
      </c>
      <c r="I162" s="9"/>
      <c r="J162" s="9"/>
      <c r="K162" s="10"/>
    </row>
    <row r="163" spans="1:11" ht="15.75" x14ac:dyDescent="0.25">
      <c r="A163" s="8"/>
      <c r="B163" s="8"/>
      <c r="C163" s="8"/>
      <c r="D163" s="11"/>
      <c r="E163" s="11"/>
      <c r="F163" s="11"/>
      <c r="G163" s="34"/>
      <c r="H163" s="44"/>
      <c r="I163" s="9"/>
      <c r="J163" s="9"/>
      <c r="K163" s="10"/>
    </row>
    <row r="164" spans="1:11" x14ac:dyDescent="0.25">
      <c r="A164" s="8" t="s">
        <v>1</v>
      </c>
      <c r="B164" s="8"/>
      <c r="C164" s="8"/>
      <c r="D164" s="8"/>
      <c r="E164" s="8"/>
      <c r="F164" s="8"/>
      <c r="G164" s="8"/>
      <c r="H164" s="8"/>
      <c r="I164" s="9"/>
      <c r="J164" s="9"/>
      <c r="K164" s="10"/>
    </row>
    <row r="165" spans="1:11" x14ac:dyDescent="0.25">
      <c r="A165" s="59" t="s">
        <v>2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</row>
    <row r="166" spans="1:11" ht="45" x14ac:dyDescent="0.25">
      <c r="A166" s="12" t="s">
        <v>3</v>
      </c>
      <c r="B166" s="60" t="s">
        <v>22</v>
      </c>
      <c r="C166" s="61"/>
      <c r="D166" s="62" t="s">
        <v>4</v>
      </c>
      <c r="E166" s="63"/>
      <c r="F166" s="64"/>
      <c r="G166" s="43"/>
      <c r="H166" s="35" t="s">
        <v>5</v>
      </c>
      <c r="I166" s="13" t="s">
        <v>17</v>
      </c>
      <c r="J166" s="14" t="s">
        <v>6</v>
      </c>
      <c r="K166" s="15" t="s">
        <v>7</v>
      </c>
    </row>
    <row r="167" spans="1:11" x14ac:dyDescent="0.25">
      <c r="A167" s="56">
        <v>1</v>
      </c>
      <c r="B167" s="50"/>
      <c r="C167" s="50"/>
      <c r="D167" s="65" t="s">
        <v>42</v>
      </c>
      <c r="E167" s="66"/>
      <c r="F167" s="67"/>
      <c r="G167" s="45"/>
      <c r="H167" s="52" t="s">
        <v>28</v>
      </c>
      <c r="I167" s="52" t="s">
        <v>28</v>
      </c>
      <c r="J167" s="52" t="s">
        <v>28</v>
      </c>
      <c r="K167" s="52" t="s">
        <v>28</v>
      </c>
    </row>
    <row r="168" spans="1:11" x14ac:dyDescent="0.25">
      <c r="A168" s="46"/>
      <c r="B168" s="57" t="s">
        <v>23</v>
      </c>
      <c r="C168" s="50"/>
      <c r="D168" s="68" t="s">
        <v>32</v>
      </c>
      <c r="E168" s="69"/>
      <c r="F168" s="70"/>
      <c r="G168" s="45"/>
      <c r="H168" s="52" t="s">
        <v>28</v>
      </c>
      <c r="I168" s="52" t="s">
        <v>28</v>
      </c>
      <c r="J168" s="52" t="s">
        <v>28</v>
      </c>
      <c r="K168" s="52" t="s">
        <v>28</v>
      </c>
    </row>
    <row r="169" spans="1:11" x14ac:dyDescent="0.25">
      <c r="A169" s="46"/>
      <c r="B169" s="46"/>
      <c r="C169" s="46" t="s">
        <v>37</v>
      </c>
      <c r="D169" s="54" t="s">
        <v>33</v>
      </c>
      <c r="E169" s="55"/>
      <c r="F169" s="53"/>
      <c r="G169" s="45"/>
      <c r="H169" s="48">
        <v>25000000</v>
      </c>
      <c r="I169" s="39">
        <f>I121+J121</f>
        <v>0</v>
      </c>
      <c r="J169" s="39">
        <v>0</v>
      </c>
      <c r="K169" s="40">
        <f t="shared" ref="K169:K173" si="5">H169-I169-J169</f>
        <v>25000000</v>
      </c>
    </row>
    <row r="170" spans="1:11" x14ac:dyDescent="0.25">
      <c r="A170" s="46"/>
      <c r="B170" s="46"/>
      <c r="C170" s="46" t="s">
        <v>38</v>
      </c>
      <c r="D170" s="54" t="s">
        <v>34</v>
      </c>
      <c r="E170" s="55"/>
      <c r="F170" s="53"/>
      <c r="G170" s="45"/>
      <c r="H170" s="47">
        <v>3000000</v>
      </c>
      <c r="I170" s="39">
        <f>I122+J122</f>
        <v>400000</v>
      </c>
      <c r="J170" s="39">
        <v>140000</v>
      </c>
      <c r="K170" s="40">
        <f t="shared" si="5"/>
        <v>2460000</v>
      </c>
    </row>
    <row r="171" spans="1:11" x14ac:dyDescent="0.25">
      <c r="A171" s="46"/>
      <c r="B171" s="46"/>
      <c r="C171" s="46" t="s">
        <v>39</v>
      </c>
      <c r="D171" s="54" t="s">
        <v>35</v>
      </c>
      <c r="E171" s="55"/>
      <c r="F171" s="53"/>
      <c r="G171" s="45"/>
      <c r="H171" s="47">
        <v>58710000</v>
      </c>
      <c r="I171" s="39">
        <f t="shared" ref="I171:I173" si="6">I123+J123</f>
        <v>24820980</v>
      </c>
      <c r="J171" s="39">
        <v>0</v>
      </c>
      <c r="K171" s="40">
        <f t="shared" si="5"/>
        <v>33889020</v>
      </c>
    </row>
    <row r="172" spans="1:11" x14ac:dyDescent="0.25">
      <c r="A172" s="46"/>
      <c r="B172" s="46"/>
      <c r="C172" s="46" t="s">
        <v>40</v>
      </c>
      <c r="D172" s="54" t="s">
        <v>36</v>
      </c>
      <c r="E172" s="55"/>
      <c r="F172" s="53"/>
      <c r="G172" s="45"/>
      <c r="H172" s="48">
        <v>20000000</v>
      </c>
      <c r="I172" s="39">
        <f t="shared" si="6"/>
        <v>3150000</v>
      </c>
      <c r="J172" s="39">
        <v>0</v>
      </c>
      <c r="K172" s="40">
        <f t="shared" si="5"/>
        <v>16850000</v>
      </c>
    </row>
    <row r="173" spans="1:11" x14ac:dyDescent="0.25">
      <c r="A173" s="46"/>
      <c r="B173" s="46"/>
      <c r="C173" s="46" t="s">
        <v>41</v>
      </c>
      <c r="D173" s="54" t="s">
        <v>43</v>
      </c>
      <c r="E173" s="55"/>
      <c r="F173" s="53"/>
      <c r="G173" s="45"/>
      <c r="H173" s="47">
        <v>10000000</v>
      </c>
      <c r="I173" s="39">
        <f t="shared" si="6"/>
        <v>2485000</v>
      </c>
      <c r="J173" s="39">
        <v>0</v>
      </c>
      <c r="K173" s="40">
        <f t="shared" si="5"/>
        <v>7515000</v>
      </c>
    </row>
    <row r="174" spans="1:11" x14ac:dyDescent="0.25">
      <c r="A174" s="16"/>
      <c r="B174" s="16"/>
      <c r="C174" s="16"/>
      <c r="D174" s="17" t="s">
        <v>8</v>
      </c>
      <c r="E174" s="17"/>
      <c r="F174" s="17"/>
      <c r="G174" s="37"/>
      <c r="H174" s="36">
        <f>SUM(H167:H173)</f>
        <v>116710000</v>
      </c>
      <c r="I174" s="18">
        <f>SUM(I168:I173)</f>
        <v>30855980</v>
      </c>
      <c r="J174" s="18">
        <f>SUM(J168:J173)</f>
        <v>140000</v>
      </c>
      <c r="K174" s="18">
        <f>SUM(K168:K173)</f>
        <v>85714020</v>
      </c>
    </row>
    <row r="175" spans="1:11" x14ac:dyDescent="0.25">
      <c r="A175" s="19"/>
      <c r="B175" s="51"/>
      <c r="C175" s="51"/>
      <c r="D175" s="6"/>
      <c r="E175" s="6"/>
      <c r="F175" s="6"/>
      <c r="G175" s="6"/>
      <c r="H175" s="20"/>
      <c r="I175" s="20"/>
      <c r="J175" s="20"/>
      <c r="K175" s="20"/>
    </row>
    <row r="176" spans="1:11" x14ac:dyDescent="0.25">
      <c r="A176" s="58" t="s">
        <v>14</v>
      </c>
      <c r="B176" s="58"/>
      <c r="C176" s="58"/>
      <c r="D176" s="58"/>
      <c r="E176" s="30" t="s">
        <v>12</v>
      </c>
      <c r="F176" s="38">
        <f>J174</f>
        <v>140000</v>
      </c>
      <c r="G176" s="33"/>
      <c r="H176" s="21"/>
      <c r="I176" s="21"/>
      <c r="J176" s="10"/>
      <c r="K176" s="10"/>
    </row>
    <row r="177" spans="1:11" x14ac:dyDescent="0.25">
      <c r="A177" s="8" t="s">
        <v>9</v>
      </c>
      <c r="B177" s="8"/>
      <c r="C177" s="8"/>
      <c r="D177" s="8"/>
      <c r="E177" s="30" t="s">
        <v>12</v>
      </c>
      <c r="F177" s="31"/>
      <c r="G177" s="31"/>
      <c r="H177" s="22"/>
      <c r="I177" s="9"/>
      <c r="J177" s="10"/>
      <c r="K177" s="10"/>
    </row>
    <row r="178" spans="1:11" x14ac:dyDescent="0.25">
      <c r="A178" s="8" t="s">
        <v>16</v>
      </c>
      <c r="B178" s="8"/>
      <c r="C178" s="8"/>
      <c r="D178" s="8"/>
      <c r="E178" s="30" t="s">
        <v>12</v>
      </c>
      <c r="F178" s="32"/>
      <c r="G178" s="32"/>
      <c r="H178" s="22"/>
      <c r="I178" s="9"/>
      <c r="J178" s="10"/>
      <c r="K178" s="10"/>
    </row>
    <row r="179" spans="1:11" x14ac:dyDescent="0.25">
      <c r="A179" s="8" t="s">
        <v>10</v>
      </c>
      <c r="B179" s="8"/>
      <c r="C179" s="8"/>
      <c r="D179" s="8"/>
      <c r="E179" s="30" t="s">
        <v>12</v>
      </c>
      <c r="F179" s="32">
        <f>F177+F178</f>
        <v>0</v>
      </c>
      <c r="G179" s="32"/>
      <c r="H179" s="8"/>
      <c r="I179" s="9"/>
      <c r="J179" s="23"/>
      <c r="K179" s="24"/>
    </row>
    <row r="180" spans="1:11" x14ac:dyDescent="0.25">
      <c r="A180" s="41"/>
      <c r="B180" s="41"/>
      <c r="C180" s="41"/>
      <c r="D180" s="41"/>
      <c r="E180" s="30"/>
      <c r="F180" s="41"/>
      <c r="G180" s="41"/>
      <c r="H180" s="8"/>
      <c r="I180" s="9"/>
      <c r="J180" s="23"/>
      <c r="K180" s="24"/>
    </row>
    <row r="181" spans="1:11" x14ac:dyDescent="0.25">
      <c r="A181" s="58" t="s">
        <v>15</v>
      </c>
      <c r="B181" s="58"/>
      <c r="C181" s="58"/>
      <c r="D181" s="58"/>
      <c r="E181" s="30" t="s">
        <v>12</v>
      </c>
      <c r="F181" s="33">
        <f>F176-F179</f>
        <v>140000</v>
      </c>
      <c r="G181" s="33"/>
      <c r="H181" s="8"/>
      <c r="I181" s="9"/>
      <c r="J181" s="23"/>
      <c r="K181" s="24"/>
    </row>
    <row r="182" spans="1:11" ht="15.75" x14ac:dyDescent="0.25">
      <c r="A182" s="41"/>
      <c r="B182" s="41"/>
      <c r="C182" s="41"/>
      <c r="D182" s="8"/>
      <c r="E182" s="8"/>
      <c r="F182" s="44" t="str">
        <f>PROPER(IF(F181=0,"nol",IF(F181&lt;0,"minus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181),"000000000000000"),1,3)=0,"",MID(TEXT(ABS(F181),"000000000000000"),1,1)&amp;" ratus "&amp;MID(TEXT(ABS(F181),"000000000000000"),2,1)&amp;" puluh "&amp;MID(TEXT(ABS(F181),"000000000000000"),3,1)&amp;" trilyun ")&amp;IF(--MID(TEXT(ABS(F181),"000000000000000"),4,3)=0,"",MID(TEXT(ABS(F181),"000000000000000"),4,1)&amp;" ratus "&amp;MID(TEXT(ABS(F181),"000000000000000"),5,1)&amp;" puluh "&amp;MID(TEXT(ABS(F181),"000000000000000"),6,1)&amp;" milyar ")&amp;IF(--MID(TEXT(ABS(F181),"000000000000000"),7,3)=0,"",MID(TEXT(ABS(F181),"000000000000000"),7,1)&amp;" ratus "&amp;MID(TEXT(ABS(F181),"000000000000000"),8,1)&amp;" puluh "&amp;MID(TEXT(ABS(F181),"000000000000000"),9,1)&amp;" juta ")&amp;IF(--MID(TEXT(ABS(F181),"000000000000000"),10,3)=0,"",IF(--MID(TEXT(ABS(F181),"000000000000000"),10,3)=1,"*",MID(TEXT(ABS(F181),"000000000000000"),10,1)&amp;" ratus "&amp;MID(TEXT(ABS(F181),"000000000000000"),11,1)&amp;" puluh ")&amp;MID(TEXT(ABS(F181),"000000000000000"),12,1)&amp;" ribu ")&amp;IF(--MID(TEXT(ABS(F181),"000000000000000"),13,3)=0,"",MID(TEXT(ABS(F181),"000000000000000"),13,1)&amp;" ratus "&amp;MID(TEXT(ABS(F181),"000000000000000"),14,1)&amp;" puluh "&amp;MID(TEXT(ABS(F181),"000000000000000"),15,1)),1,"satu"),2,"dua"),3,"tiga"),4,"empat"),5,"lima"),6,"enam"),7,"tujuh"),8,"delapan"),9,"sembilan"),"0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Empat Puluh Ribu Rupiah</v>
      </c>
      <c r="G182" s="8"/>
      <c r="H182" s="8"/>
      <c r="I182" s="8"/>
      <c r="J182" s="23"/>
      <c r="K182" s="24"/>
    </row>
    <row r="183" spans="1:11" x14ac:dyDescent="0.25">
      <c r="A183" s="26"/>
      <c r="B183" s="26"/>
      <c r="C183" s="26"/>
      <c r="D183" s="26"/>
      <c r="E183" s="26"/>
      <c r="F183" s="26"/>
      <c r="G183" s="26"/>
      <c r="H183" s="25"/>
      <c r="I183" s="24"/>
      <c r="J183" s="23"/>
      <c r="K183" s="24"/>
    </row>
    <row r="184" spans="1:11" x14ac:dyDescent="0.25">
      <c r="A184" s="25"/>
      <c r="B184" s="25"/>
      <c r="C184" s="25"/>
      <c r="D184" s="25"/>
      <c r="E184" s="25"/>
      <c r="F184" s="25"/>
      <c r="G184" s="25"/>
      <c r="H184" s="25"/>
      <c r="I184"/>
      <c r="J184" s="24"/>
      <c r="K184" s="24"/>
    </row>
    <row r="185" spans="1:11" x14ac:dyDescent="0.25">
      <c r="A185" s="41"/>
      <c r="B185" s="41"/>
      <c r="C185" s="41"/>
      <c r="D185" s="8"/>
      <c r="E185" s="8"/>
      <c r="F185" s="8"/>
      <c r="G185" s="8"/>
      <c r="H185" s="8"/>
      <c r="J185" s="42" t="s">
        <v>62</v>
      </c>
      <c r="K185" s="24"/>
    </row>
    <row r="186" spans="1:11" x14ac:dyDescent="0.25">
      <c r="A186" s="9" t="s">
        <v>26</v>
      </c>
      <c r="B186" s="9"/>
      <c r="C186" s="9"/>
      <c r="D186" s="8"/>
      <c r="E186" s="8"/>
      <c r="F186" s="8"/>
      <c r="G186" s="8"/>
      <c r="H186" s="8"/>
      <c r="J186" s="9" t="s">
        <v>25</v>
      </c>
      <c r="K186" s="24"/>
    </row>
    <row r="187" spans="1:11" x14ac:dyDescent="0.25">
      <c r="A187" s="8"/>
      <c r="B187" s="8"/>
      <c r="C187" s="8"/>
      <c r="D187" s="8"/>
      <c r="E187" s="8"/>
      <c r="F187" s="8"/>
      <c r="G187" s="8"/>
      <c r="H187" s="8"/>
      <c r="J187" s="9"/>
      <c r="K187" s="24"/>
    </row>
    <row r="188" spans="1:11" x14ac:dyDescent="0.25">
      <c r="A188" s="8"/>
      <c r="B188" s="8"/>
      <c r="C188" s="8"/>
      <c r="D188" s="8"/>
      <c r="E188" s="8"/>
      <c r="F188" s="8"/>
      <c r="G188" s="8"/>
      <c r="H188" s="8"/>
      <c r="J188" s="9"/>
      <c r="K188" s="24"/>
    </row>
    <row r="189" spans="1:11" x14ac:dyDescent="0.25">
      <c r="A189" s="8"/>
      <c r="B189" s="8"/>
      <c r="C189" s="8"/>
      <c r="D189" s="8"/>
      <c r="E189" s="8"/>
      <c r="F189" s="8"/>
      <c r="G189" s="8"/>
      <c r="H189" s="8"/>
      <c r="J189" s="9"/>
      <c r="K189" s="24"/>
    </row>
    <row r="190" spans="1:11" x14ac:dyDescent="0.25">
      <c r="A190" s="8"/>
      <c r="B190" s="8"/>
      <c r="C190" s="8"/>
      <c r="D190" s="8"/>
      <c r="E190" s="8"/>
      <c r="F190" s="8"/>
      <c r="G190" s="8"/>
      <c r="H190" s="8"/>
      <c r="J190" s="9"/>
      <c r="K190" s="24"/>
    </row>
    <row r="191" spans="1:11" x14ac:dyDescent="0.25">
      <c r="A191" s="28" t="s">
        <v>44</v>
      </c>
      <c r="B191" s="28"/>
      <c r="C191" s="28"/>
      <c r="D191" s="27"/>
      <c r="E191" s="27"/>
      <c r="F191" s="27"/>
      <c r="G191" s="27"/>
      <c r="H191" s="8" t="s">
        <v>11</v>
      </c>
      <c r="J191" s="28" t="s">
        <v>27</v>
      </c>
      <c r="K191" s="24"/>
    </row>
    <row r="196" spans="1:11" ht="15.75" x14ac:dyDescent="0.25">
      <c r="D196" s="3"/>
      <c r="E196" s="3"/>
      <c r="F196" s="3"/>
      <c r="G196" s="3"/>
    </row>
    <row r="197" spans="1:11" ht="15.75" x14ac:dyDescent="0.25">
      <c r="A197" s="2"/>
      <c r="B197" s="2"/>
      <c r="C197" s="2"/>
      <c r="D197" s="3"/>
      <c r="E197" s="3"/>
      <c r="F197" s="3"/>
      <c r="G197" s="3"/>
      <c r="H197" s="2"/>
      <c r="I197" s="4"/>
      <c r="J197" s="4"/>
      <c r="K197" s="5"/>
    </row>
    <row r="198" spans="1:11" x14ac:dyDescent="0.25">
      <c r="I198" s="5"/>
      <c r="J198" s="5"/>
      <c r="K198" s="5"/>
    </row>
    <row r="199" spans="1:11" x14ac:dyDescent="0.25">
      <c r="I199" s="5"/>
      <c r="J199" s="5"/>
      <c r="K199" s="5"/>
    </row>
    <row r="200" spans="1:11" x14ac:dyDescent="0.25">
      <c r="A200" s="71" t="s">
        <v>29</v>
      </c>
      <c r="B200" s="71"/>
      <c r="C200" s="71"/>
      <c r="D200" s="72"/>
      <c r="E200" s="72"/>
      <c r="F200" s="72"/>
      <c r="G200" s="72"/>
      <c r="H200" s="72"/>
      <c r="I200" s="72"/>
      <c r="J200" s="72"/>
      <c r="K200" s="72"/>
    </row>
    <row r="201" spans="1:11" x14ac:dyDescent="0.25">
      <c r="A201" s="72" t="s">
        <v>64</v>
      </c>
      <c r="B201" s="72"/>
      <c r="C201" s="72"/>
      <c r="D201" s="72"/>
      <c r="E201" s="72"/>
      <c r="F201" s="72"/>
      <c r="G201" s="72"/>
      <c r="H201" s="72"/>
      <c r="I201" s="72"/>
      <c r="J201" s="72"/>
      <c r="K201" s="72"/>
    </row>
    <row r="202" spans="1:11" x14ac:dyDescent="0.25">
      <c r="A202" s="72" t="s">
        <v>13</v>
      </c>
      <c r="B202" s="72"/>
      <c r="C202" s="72"/>
      <c r="D202" s="72"/>
      <c r="E202" s="72"/>
      <c r="F202" s="72"/>
      <c r="G202" s="72"/>
      <c r="H202" s="72"/>
      <c r="I202" s="72"/>
      <c r="J202" s="72"/>
      <c r="K202" s="72"/>
    </row>
    <row r="203" spans="1:11" x14ac:dyDescent="0.25">
      <c r="A203" s="72" t="s">
        <v>45</v>
      </c>
      <c r="B203" s="72"/>
      <c r="C203" s="72"/>
      <c r="D203" s="72"/>
      <c r="E203" s="72"/>
      <c r="F203" s="72"/>
      <c r="G203" s="72"/>
      <c r="H203" s="72"/>
      <c r="I203" s="72"/>
      <c r="J203" s="72"/>
      <c r="K203" s="72"/>
    </row>
    <row r="204" spans="1:11" x14ac:dyDescent="0.25">
      <c r="A204" s="72" t="s">
        <v>24</v>
      </c>
      <c r="B204" s="72"/>
      <c r="C204" s="72"/>
      <c r="D204" s="72"/>
      <c r="E204" s="72"/>
      <c r="F204" s="72"/>
      <c r="G204" s="72"/>
      <c r="H204" s="72"/>
      <c r="I204" s="72"/>
      <c r="J204" s="72"/>
      <c r="K204" s="72"/>
    </row>
    <row r="205" spans="1:11" x14ac:dyDescent="0.25">
      <c r="A205" s="29"/>
      <c r="B205" s="29"/>
      <c r="C205" s="29"/>
      <c r="D205" s="7"/>
      <c r="E205" s="7"/>
      <c r="F205" s="7"/>
      <c r="G205" s="7"/>
      <c r="H205" s="6"/>
      <c r="I205" s="10"/>
      <c r="J205" s="10"/>
      <c r="K205" s="10"/>
    </row>
    <row r="206" spans="1:11" x14ac:dyDescent="0.25">
      <c r="A206" s="49" t="s">
        <v>18</v>
      </c>
      <c r="B206" s="49"/>
      <c r="C206" s="49"/>
      <c r="D206" s="49"/>
      <c r="E206" s="34" t="s">
        <v>12</v>
      </c>
      <c r="F206" s="8" t="s">
        <v>30</v>
      </c>
      <c r="I206" s="9"/>
      <c r="J206" s="9"/>
      <c r="K206" s="10"/>
    </row>
    <row r="207" spans="1:11" x14ac:dyDescent="0.25">
      <c r="A207" s="49" t="s">
        <v>19</v>
      </c>
      <c r="B207" s="49"/>
      <c r="C207" s="49"/>
      <c r="D207" s="49"/>
      <c r="E207" s="34" t="s">
        <v>12</v>
      </c>
      <c r="F207" s="8" t="s">
        <v>31</v>
      </c>
      <c r="I207" s="9"/>
      <c r="J207" s="9"/>
      <c r="K207" s="10"/>
    </row>
    <row r="208" spans="1:11" x14ac:dyDescent="0.25">
      <c r="A208" s="49" t="s">
        <v>20</v>
      </c>
      <c r="B208" s="49"/>
      <c r="C208" s="49"/>
      <c r="D208" s="49"/>
      <c r="E208" s="34" t="s">
        <v>12</v>
      </c>
      <c r="F208" s="41">
        <v>2026</v>
      </c>
      <c r="I208" s="9"/>
      <c r="J208" s="9"/>
      <c r="K208" s="10"/>
    </row>
    <row r="209" spans="1:11" x14ac:dyDescent="0.25">
      <c r="A209" s="49" t="s">
        <v>21</v>
      </c>
      <c r="B209" s="49"/>
      <c r="C209" s="49"/>
      <c r="D209" s="49"/>
      <c r="E209" s="34" t="s">
        <v>12</v>
      </c>
      <c r="F209" s="38">
        <f>J222</f>
        <v>80000</v>
      </c>
      <c r="I209" s="9"/>
      <c r="J209" s="9"/>
      <c r="K209" s="10"/>
    </row>
    <row r="210" spans="1:11" ht="15.75" x14ac:dyDescent="0.25">
      <c r="A210" s="8"/>
      <c r="B210" s="8"/>
      <c r="C210" s="8"/>
      <c r="D210" s="11" t="s">
        <v>0</v>
      </c>
      <c r="E210" s="34" t="s">
        <v>12</v>
      </c>
      <c r="F210" s="44" t="str">
        <f>PROPER(IF(F209=0,"nol",IF(F209&lt;0,"minus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209),"000000000000000"),1,3)=0,"",MID(TEXT(ABS(F209),"000000000000000"),1,1)&amp;" ratus "&amp;MID(TEXT(ABS(F209),"000000000000000"),2,1)&amp;" puluh "&amp;MID(TEXT(ABS(F209),"000000000000000"),3,1)&amp;" trilyun ")&amp;IF(--MID(TEXT(ABS(F209),"000000000000000"),4,3)=0,"",MID(TEXT(ABS(F209),"000000000000000"),4,1)&amp;" ratus "&amp;MID(TEXT(ABS(F209),"000000000000000"),5,1)&amp;" puluh "&amp;MID(TEXT(ABS(F209),"000000000000000"),6,1)&amp;" milyar ")&amp;IF(--MID(TEXT(ABS(F209),"000000000000000"),7,3)=0,"",MID(TEXT(ABS(F209),"000000000000000"),7,1)&amp;" ratus "&amp;MID(TEXT(ABS(F209),"000000000000000"),8,1)&amp;" puluh "&amp;MID(TEXT(ABS(F209),"000000000000000"),9,1)&amp;" juta ")&amp;IF(--MID(TEXT(ABS(F209),"000000000000000"),10,3)=0,"",IF(--MID(TEXT(ABS(F209),"000000000000000"),10,3)=1,"*",MID(TEXT(ABS(F209),"000000000000000"),10,1)&amp;" ratus "&amp;MID(TEXT(ABS(F209),"000000000000000"),11,1)&amp;" puluh ")&amp;MID(TEXT(ABS(F209),"000000000000000"),12,1)&amp;" ribu ")&amp;IF(--MID(TEXT(ABS(F209),"000000000000000"),13,3)=0,"",MID(TEXT(ABS(F209),"000000000000000"),13,1)&amp;" ratus "&amp;MID(TEXT(ABS(F209),"000000000000000"),14,1)&amp;" puluh "&amp;MID(TEXT(ABS(F209),"000000000000000"),15,1)),1,"satu"),2,"dua"),3,"tiga"),4,"empat"),5,"lima"),6,"enam"),7,"tujuh"),8,"delapan"),9,"sembilan"),"0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I210" s="9"/>
      <c r="J210" s="9"/>
      <c r="K210" s="10"/>
    </row>
    <row r="211" spans="1:11" ht="15.75" x14ac:dyDescent="0.25">
      <c r="A211" s="8"/>
      <c r="B211" s="8"/>
      <c r="C211" s="8"/>
      <c r="D211" s="11"/>
      <c r="E211" s="11"/>
      <c r="F211" s="11"/>
      <c r="G211" s="34"/>
      <c r="H211" s="44"/>
      <c r="I211" s="9"/>
      <c r="J211" s="9"/>
      <c r="K211" s="10"/>
    </row>
    <row r="212" spans="1:11" x14ac:dyDescent="0.25">
      <c r="A212" s="8" t="s">
        <v>1</v>
      </c>
      <c r="B212" s="8"/>
      <c r="C212" s="8"/>
      <c r="D212" s="8"/>
      <c r="E212" s="8"/>
      <c r="F212" s="8"/>
      <c r="G212" s="8"/>
      <c r="H212" s="8"/>
      <c r="I212" s="9"/>
      <c r="J212" s="9"/>
      <c r="K212" s="10"/>
    </row>
    <row r="213" spans="1:11" x14ac:dyDescent="0.25">
      <c r="A213" s="59" t="s">
        <v>2</v>
      </c>
      <c r="B213" s="59"/>
      <c r="C213" s="59"/>
      <c r="D213" s="59"/>
      <c r="E213" s="59"/>
      <c r="F213" s="59"/>
      <c r="G213" s="59"/>
      <c r="H213" s="59"/>
      <c r="I213" s="59"/>
      <c r="J213" s="59"/>
      <c r="K213" s="59"/>
    </row>
    <row r="214" spans="1:11" ht="45" x14ac:dyDescent="0.25">
      <c r="A214" s="12" t="s">
        <v>3</v>
      </c>
      <c r="B214" s="60" t="s">
        <v>22</v>
      </c>
      <c r="C214" s="61"/>
      <c r="D214" s="62" t="s">
        <v>4</v>
      </c>
      <c r="E214" s="63"/>
      <c r="F214" s="64"/>
      <c r="G214" s="43"/>
      <c r="H214" s="35" t="s">
        <v>5</v>
      </c>
      <c r="I214" s="13" t="s">
        <v>17</v>
      </c>
      <c r="J214" s="14" t="s">
        <v>6</v>
      </c>
      <c r="K214" s="15" t="s">
        <v>7</v>
      </c>
    </row>
    <row r="215" spans="1:11" x14ac:dyDescent="0.25">
      <c r="A215" s="56">
        <v>1</v>
      </c>
      <c r="B215" s="50"/>
      <c r="C215" s="50"/>
      <c r="D215" s="65" t="s">
        <v>42</v>
      </c>
      <c r="E215" s="66"/>
      <c r="F215" s="67"/>
      <c r="G215" s="45"/>
      <c r="H215" s="52" t="s">
        <v>28</v>
      </c>
      <c r="I215" s="52" t="s">
        <v>28</v>
      </c>
      <c r="J215" s="52" t="s">
        <v>28</v>
      </c>
      <c r="K215" s="52" t="s">
        <v>28</v>
      </c>
    </row>
    <row r="216" spans="1:11" x14ac:dyDescent="0.25">
      <c r="A216" s="46"/>
      <c r="B216" s="57" t="s">
        <v>23</v>
      </c>
      <c r="C216" s="50"/>
      <c r="D216" s="68" t="s">
        <v>32</v>
      </c>
      <c r="E216" s="69"/>
      <c r="F216" s="70"/>
      <c r="G216" s="45"/>
      <c r="H216" s="52" t="s">
        <v>28</v>
      </c>
      <c r="I216" s="52" t="s">
        <v>28</v>
      </c>
      <c r="J216" s="52" t="s">
        <v>28</v>
      </c>
      <c r="K216" s="52" t="s">
        <v>28</v>
      </c>
    </row>
    <row r="217" spans="1:11" x14ac:dyDescent="0.25">
      <c r="A217" s="46"/>
      <c r="B217" s="46"/>
      <c r="C217" s="46" t="s">
        <v>37</v>
      </c>
      <c r="D217" s="54" t="s">
        <v>33</v>
      </c>
      <c r="E217" s="55"/>
      <c r="F217" s="53"/>
      <c r="G217" s="45"/>
      <c r="H217" s="48">
        <v>25000000</v>
      </c>
      <c r="I217" s="39">
        <f>I169+J169</f>
        <v>0</v>
      </c>
      <c r="J217" s="39">
        <v>0</v>
      </c>
      <c r="K217" s="40">
        <f t="shared" ref="K217:K221" si="7">H217-I217-J217</f>
        <v>25000000</v>
      </c>
    </row>
    <row r="218" spans="1:11" x14ac:dyDescent="0.25">
      <c r="A218" s="46"/>
      <c r="B218" s="46"/>
      <c r="C218" s="46" t="s">
        <v>38</v>
      </c>
      <c r="D218" s="54" t="s">
        <v>34</v>
      </c>
      <c r="E218" s="55"/>
      <c r="F218" s="53"/>
      <c r="G218" s="45"/>
      <c r="H218" s="47">
        <v>3000000</v>
      </c>
      <c r="I218" s="39">
        <f>I170+J170</f>
        <v>540000</v>
      </c>
      <c r="J218" s="39">
        <v>0</v>
      </c>
      <c r="K218" s="40">
        <f t="shared" si="7"/>
        <v>2460000</v>
      </c>
    </row>
    <row r="219" spans="1:11" x14ac:dyDescent="0.25">
      <c r="A219" s="46"/>
      <c r="B219" s="46"/>
      <c r="C219" s="46" t="s">
        <v>39</v>
      </c>
      <c r="D219" s="54" t="s">
        <v>35</v>
      </c>
      <c r="E219" s="55"/>
      <c r="F219" s="53"/>
      <c r="G219" s="45"/>
      <c r="H219" s="47">
        <v>58710000</v>
      </c>
      <c r="I219" s="39">
        <f t="shared" ref="I219:I221" si="8">I171+J171</f>
        <v>24820980</v>
      </c>
      <c r="J219" s="39">
        <v>0</v>
      </c>
      <c r="K219" s="40">
        <f t="shared" si="7"/>
        <v>33889020</v>
      </c>
    </row>
    <row r="220" spans="1:11" x14ac:dyDescent="0.25">
      <c r="A220" s="46"/>
      <c r="B220" s="46"/>
      <c r="C220" s="46" t="s">
        <v>40</v>
      </c>
      <c r="D220" s="54" t="s">
        <v>36</v>
      </c>
      <c r="E220" s="55"/>
      <c r="F220" s="53"/>
      <c r="G220" s="45"/>
      <c r="H220" s="48">
        <v>20000000</v>
      </c>
      <c r="I220" s="39">
        <f t="shared" si="8"/>
        <v>3150000</v>
      </c>
      <c r="J220" s="39">
        <v>0</v>
      </c>
      <c r="K220" s="40">
        <f t="shared" si="7"/>
        <v>16850000</v>
      </c>
    </row>
    <row r="221" spans="1:11" x14ac:dyDescent="0.25">
      <c r="A221" s="46"/>
      <c r="B221" s="46"/>
      <c r="C221" s="46" t="s">
        <v>41</v>
      </c>
      <c r="D221" s="54" t="s">
        <v>43</v>
      </c>
      <c r="E221" s="55"/>
      <c r="F221" s="53"/>
      <c r="G221" s="45"/>
      <c r="H221" s="47">
        <v>10000000</v>
      </c>
      <c r="I221" s="39">
        <f t="shared" si="8"/>
        <v>2485000</v>
      </c>
      <c r="J221" s="39">
        <v>80000</v>
      </c>
      <c r="K221" s="40">
        <f t="shared" si="7"/>
        <v>7435000</v>
      </c>
    </row>
    <row r="222" spans="1:11" x14ac:dyDescent="0.25">
      <c r="A222" s="16"/>
      <c r="B222" s="16"/>
      <c r="C222" s="16"/>
      <c r="D222" s="17" t="s">
        <v>8</v>
      </c>
      <c r="E222" s="17"/>
      <c r="F222" s="17"/>
      <c r="G222" s="37"/>
      <c r="H222" s="36">
        <f>SUM(H215:H221)</f>
        <v>116710000</v>
      </c>
      <c r="I222" s="18">
        <f>SUM(I216:I221)</f>
        <v>30995980</v>
      </c>
      <c r="J222" s="18">
        <f>SUM(J216:J221)</f>
        <v>80000</v>
      </c>
      <c r="K222" s="18">
        <f>SUM(K216:K221)</f>
        <v>85634020</v>
      </c>
    </row>
    <row r="223" spans="1:11" x14ac:dyDescent="0.25">
      <c r="A223" s="19"/>
      <c r="B223" s="51"/>
      <c r="C223" s="51"/>
      <c r="D223" s="6"/>
      <c r="E223" s="6"/>
      <c r="F223" s="6"/>
      <c r="G223" s="6"/>
      <c r="H223" s="20"/>
      <c r="I223" s="20"/>
      <c r="J223" s="20"/>
      <c r="K223" s="20"/>
    </row>
    <row r="224" spans="1:11" x14ac:dyDescent="0.25">
      <c r="A224" s="58" t="s">
        <v>14</v>
      </c>
      <c r="B224" s="58"/>
      <c r="C224" s="58"/>
      <c r="D224" s="58"/>
      <c r="E224" s="30" t="s">
        <v>12</v>
      </c>
      <c r="F224" s="38">
        <f>J222</f>
        <v>80000</v>
      </c>
      <c r="G224" s="33"/>
      <c r="H224" s="21"/>
      <c r="I224" s="21"/>
      <c r="J224" s="10"/>
      <c r="K224" s="10"/>
    </row>
    <row r="225" spans="1:11" x14ac:dyDescent="0.25">
      <c r="A225" s="8" t="s">
        <v>9</v>
      </c>
      <c r="B225" s="8"/>
      <c r="C225" s="8"/>
      <c r="D225" s="8"/>
      <c r="E225" s="30" t="s">
        <v>12</v>
      </c>
      <c r="F225" s="31"/>
      <c r="G225" s="31"/>
      <c r="H225" s="22"/>
      <c r="I225" s="9"/>
      <c r="J225" s="10"/>
      <c r="K225" s="10"/>
    </row>
    <row r="226" spans="1:11" x14ac:dyDescent="0.25">
      <c r="A226" s="8" t="s">
        <v>16</v>
      </c>
      <c r="B226" s="8"/>
      <c r="C226" s="8"/>
      <c r="D226" s="8"/>
      <c r="E226" s="30" t="s">
        <v>12</v>
      </c>
      <c r="F226" s="32"/>
      <c r="G226" s="32"/>
      <c r="H226" s="22"/>
      <c r="I226" s="9"/>
      <c r="J226" s="10"/>
      <c r="K226" s="10"/>
    </row>
    <row r="227" spans="1:11" x14ac:dyDescent="0.25">
      <c r="A227" s="8" t="s">
        <v>10</v>
      </c>
      <c r="B227" s="8"/>
      <c r="C227" s="8"/>
      <c r="D227" s="8"/>
      <c r="E227" s="30" t="s">
        <v>12</v>
      </c>
      <c r="F227" s="32">
        <f>F225+F226</f>
        <v>0</v>
      </c>
      <c r="G227" s="32"/>
      <c r="H227" s="8"/>
      <c r="I227" s="9"/>
      <c r="J227" s="23"/>
      <c r="K227" s="24"/>
    </row>
    <row r="228" spans="1:11" x14ac:dyDescent="0.25">
      <c r="A228" s="41"/>
      <c r="B228" s="41"/>
      <c r="C228" s="41"/>
      <c r="D228" s="41"/>
      <c r="E228" s="30"/>
      <c r="F228" s="41"/>
      <c r="G228" s="41"/>
      <c r="H228" s="8"/>
      <c r="I228" s="9"/>
      <c r="J228" s="23"/>
      <c r="K228" s="24"/>
    </row>
    <row r="229" spans="1:11" x14ac:dyDescent="0.25">
      <c r="A229" s="58" t="s">
        <v>15</v>
      </c>
      <c r="B229" s="58"/>
      <c r="C229" s="58"/>
      <c r="D229" s="58"/>
      <c r="E229" s="30" t="s">
        <v>12</v>
      </c>
      <c r="F229" s="33">
        <f>F224-F227</f>
        <v>80000</v>
      </c>
      <c r="G229" s="33"/>
      <c r="H229" s="8"/>
      <c r="I229" s="9"/>
      <c r="J229" s="23"/>
      <c r="K229" s="24"/>
    </row>
    <row r="230" spans="1:11" ht="15.75" x14ac:dyDescent="0.25">
      <c r="A230" s="41"/>
      <c r="B230" s="41"/>
      <c r="C230" s="41"/>
      <c r="D230" s="8"/>
      <c r="E230" s="8"/>
      <c r="F230" s="44" t="str">
        <f>PROPER(IF(F229=0,"nol",IF(F229&lt;0,"minus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229),"000000000000000"),1,3)=0,"",MID(TEXT(ABS(F229),"000000000000000"),1,1)&amp;" ratus "&amp;MID(TEXT(ABS(F229),"000000000000000"),2,1)&amp;" puluh "&amp;MID(TEXT(ABS(F229),"000000000000000"),3,1)&amp;" trilyun ")&amp;IF(--MID(TEXT(ABS(F229),"000000000000000"),4,3)=0,"",MID(TEXT(ABS(F229),"000000000000000"),4,1)&amp;" ratus "&amp;MID(TEXT(ABS(F229),"000000000000000"),5,1)&amp;" puluh "&amp;MID(TEXT(ABS(F229),"000000000000000"),6,1)&amp;" milyar ")&amp;IF(--MID(TEXT(ABS(F229),"000000000000000"),7,3)=0,"",MID(TEXT(ABS(F229),"000000000000000"),7,1)&amp;" ratus "&amp;MID(TEXT(ABS(F229),"000000000000000"),8,1)&amp;" puluh "&amp;MID(TEXT(ABS(F229),"000000000000000"),9,1)&amp;" juta ")&amp;IF(--MID(TEXT(ABS(F229),"000000000000000"),10,3)=0,"",IF(--MID(TEXT(ABS(F229),"000000000000000"),10,3)=1,"*",MID(TEXT(ABS(F229),"000000000000000"),10,1)&amp;" ratus "&amp;MID(TEXT(ABS(F229),"000000000000000"),11,1)&amp;" puluh ")&amp;MID(TEXT(ABS(F229),"000000000000000"),12,1)&amp;" ribu ")&amp;IF(--MID(TEXT(ABS(F229),"000000000000000"),13,3)=0,"",MID(TEXT(ABS(F229),"000000000000000"),13,1)&amp;" ratus "&amp;MID(TEXT(ABS(F229),"000000000000000"),14,1)&amp;" puluh "&amp;MID(TEXT(ABS(F229),"000000000000000"),15,1)),1,"satu"),2,"dua"),3,"tiga"),4,"empat"),5,"lima"),6,"enam"),7,"tujuh"),8,"delapan"),9,"sembilan"),"0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G230" s="8"/>
      <c r="H230" s="8"/>
      <c r="I230" s="8"/>
      <c r="J230" s="23"/>
      <c r="K230" s="24"/>
    </row>
    <row r="231" spans="1:11" x14ac:dyDescent="0.25">
      <c r="A231" s="26"/>
      <c r="B231" s="26"/>
      <c r="C231" s="26"/>
      <c r="D231" s="26"/>
      <c r="E231" s="26"/>
      <c r="F231" s="26"/>
      <c r="G231" s="26"/>
      <c r="H231" s="25"/>
      <c r="I231" s="24"/>
      <c r="J231" s="23"/>
      <c r="K231" s="24"/>
    </row>
    <row r="232" spans="1:11" x14ac:dyDescent="0.25">
      <c r="A232" s="25"/>
      <c r="B232" s="25"/>
      <c r="C232" s="25"/>
      <c r="D232" s="25"/>
      <c r="E232" s="25"/>
      <c r="F232" s="25"/>
      <c r="G232" s="25"/>
      <c r="H232" s="25"/>
      <c r="I232"/>
      <c r="J232" s="24"/>
      <c r="K232" s="24"/>
    </row>
    <row r="233" spans="1:11" x14ac:dyDescent="0.25">
      <c r="A233" s="41"/>
      <c r="B233" s="41"/>
      <c r="C233" s="41"/>
      <c r="D233" s="8"/>
      <c r="E233" s="8"/>
      <c r="F233" s="8"/>
      <c r="G233" s="8"/>
      <c r="H233" s="8"/>
      <c r="J233" s="42" t="s">
        <v>62</v>
      </c>
      <c r="K233" s="24"/>
    </row>
    <row r="234" spans="1:11" x14ac:dyDescent="0.25">
      <c r="A234" s="9" t="s">
        <v>26</v>
      </c>
      <c r="B234" s="9"/>
      <c r="C234" s="9"/>
      <c r="D234" s="8"/>
      <c r="E234" s="8"/>
      <c r="F234" s="8"/>
      <c r="G234" s="8"/>
      <c r="H234" s="8"/>
      <c r="J234" s="9" t="s">
        <v>25</v>
      </c>
      <c r="K234" s="24"/>
    </row>
    <row r="235" spans="1:11" x14ac:dyDescent="0.25">
      <c r="A235" s="8"/>
      <c r="B235" s="8"/>
      <c r="C235" s="8"/>
      <c r="D235" s="8"/>
      <c r="E235" s="8"/>
      <c r="F235" s="8"/>
      <c r="G235" s="8"/>
      <c r="H235" s="8"/>
      <c r="J235" s="9"/>
      <c r="K235" s="24"/>
    </row>
    <row r="236" spans="1:11" x14ac:dyDescent="0.25">
      <c r="A236" s="8"/>
      <c r="B236" s="8"/>
      <c r="C236" s="8"/>
      <c r="D236" s="8"/>
      <c r="E236" s="8"/>
      <c r="F236" s="8"/>
      <c r="G236" s="8"/>
      <c r="H236" s="8"/>
      <c r="J236" s="9"/>
      <c r="K236" s="24"/>
    </row>
    <row r="237" spans="1:11" x14ac:dyDescent="0.25">
      <c r="A237" s="8"/>
      <c r="B237" s="8"/>
      <c r="C237" s="8"/>
      <c r="D237" s="8"/>
      <c r="E237" s="8"/>
      <c r="F237" s="8"/>
      <c r="G237" s="8"/>
      <c r="H237" s="8"/>
      <c r="J237" s="9"/>
      <c r="K237" s="24"/>
    </row>
    <row r="238" spans="1:11" x14ac:dyDescent="0.25">
      <c r="A238" s="8"/>
      <c r="B238" s="8"/>
      <c r="C238" s="8"/>
      <c r="D238" s="8"/>
      <c r="E238" s="8"/>
      <c r="F238" s="8"/>
      <c r="G238" s="8"/>
      <c r="H238" s="8"/>
      <c r="J238" s="9"/>
      <c r="K238" s="24"/>
    </row>
    <row r="239" spans="1:11" x14ac:dyDescent="0.25">
      <c r="A239" s="28" t="s">
        <v>44</v>
      </c>
      <c r="B239" s="28"/>
      <c r="C239" s="28"/>
      <c r="D239" s="27"/>
      <c r="E239" s="27"/>
      <c r="F239" s="27"/>
      <c r="G239" s="27"/>
      <c r="H239" s="8" t="s">
        <v>11</v>
      </c>
      <c r="J239" s="28" t="s">
        <v>27</v>
      </c>
      <c r="K239" s="24"/>
    </row>
    <row r="244" spans="1:11" ht="15.75" x14ac:dyDescent="0.25">
      <c r="D244" s="3"/>
      <c r="E244" s="3"/>
      <c r="F244" s="3"/>
      <c r="G244" s="3"/>
    </row>
    <row r="245" spans="1:11" ht="15.75" x14ac:dyDescent="0.25">
      <c r="A245" s="2"/>
      <c r="B245" s="2"/>
      <c r="C245" s="2"/>
      <c r="D245" s="3"/>
      <c r="E245" s="3"/>
      <c r="F245" s="3"/>
      <c r="G245" s="3"/>
      <c r="H245" s="2"/>
      <c r="I245" s="4"/>
      <c r="J245" s="4"/>
      <c r="K245" s="5"/>
    </row>
    <row r="246" spans="1:11" x14ac:dyDescent="0.25">
      <c r="I246" s="5"/>
      <c r="J246" s="5"/>
      <c r="K246" s="5"/>
    </row>
    <row r="247" spans="1:11" x14ac:dyDescent="0.25">
      <c r="I247" s="5"/>
      <c r="J247" s="5"/>
      <c r="K247" s="5"/>
    </row>
    <row r="248" spans="1:11" x14ac:dyDescent="0.25">
      <c r="A248" s="71" t="s">
        <v>29</v>
      </c>
      <c r="B248" s="71"/>
      <c r="C248" s="71"/>
      <c r="D248" s="72"/>
      <c r="E248" s="72"/>
      <c r="F248" s="72"/>
      <c r="G248" s="72"/>
      <c r="H248" s="72"/>
      <c r="I248" s="72"/>
      <c r="J248" s="72"/>
      <c r="K248" s="72"/>
    </row>
    <row r="249" spans="1:11" x14ac:dyDescent="0.25">
      <c r="A249" s="72" t="s">
        <v>65</v>
      </c>
      <c r="B249" s="72"/>
      <c r="C249" s="72"/>
      <c r="D249" s="72"/>
      <c r="E249" s="72"/>
      <c r="F249" s="72"/>
      <c r="G249" s="72"/>
      <c r="H249" s="72"/>
      <c r="I249" s="72"/>
      <c r="J249" s="72"/>
      <c r="K249" s="72"/>
    </row>
    <row r="250" spans="1:11" x14ac:dyDescent="0.25">
      <c r="A250" s="72" t="s">
        <v>13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72"/>
    </row>
    <row r="251" spans="1:11" x14ac:dyDescent="0.25">
      <c r="A251" s="72" t="s">
        <v>45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</row>
    <row r="252" spans="1:11" x14ac:dyDescent="0.25">
      <c r="A252" s="72" t="s">
        <v>24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72"/>
    </row>
    <row r="253" spans="1:11" x14ac:dyDescent="0.25">
      <c r="A253" s="29"/>
      <c r="B253" s="29"/>
      <c r="C253" s="29"/>
      <c r="D253" s="7"/>
      <c r="E253" s="7"/>
      <c r="F253" s="7"/>
      <c r="G253" s="7"/>
      <c r="H253" s="6"/>
      <c r="I253" s="10"/>
      <c r="J253" s="10"/>
      <c r="K253" s="10"/>
    </row>
    <row r="254" spans="1:11" x14ac:dyDescent="0.25">
      <c r="A254" s="49" t="s">
        <v>18</v>
      </c>
      <c r="B254" s="49"/>
      <c r="C254" s="49"/>
      <c r="D254" s="49"/>
      <c r="E254" s="34" t="s">
        <v>12</v>
      </c>
      <c r="F254" s="8" t="s">
        <v>30</v>
      </c>
      <c r="I254" s="9"/>
      <c r="J254" s="9"/>
      <c r="K254" s="10"/>
    </row>
    <row r="255" spans="1:11" x14ac:dyDescent="0.25">
      <c r="A255" s="49" t="s">
        <v>19</v>
      </c>
      <c r="B255" s="49"/>
      <c r="C255" s="49"/>
      <c r="D255" s="49"/>
      <c r="E255" s="34" t="s">
        <v>12</v>
      </c>
      <c r="F255" s="8" t="s">
        <v>31</v>
      </c>
      <c r="I255" s="9"/>
      <c r="J255" s="9"/>
      <c r="K255" s="10"/>
    </row>
    <row r="256" spans="1:11" x14ac:dyDescent="0.25">
      <c r="A256" s="49" t="s">
        <v>20</v>
      </c>
      <c r="B256" s="49"/>
      <c r="C256" s="49"/>
      <c r="D256" s="49"/>
      <c r="E256" s="34" t="s">
        <v>12</v>
      </c>
      <c r="F256" s="41">
        <v>2026</v>
      </c>
      <c r="I256" s="9"/>
      <c r="J256" s="9"/>
      <c r="K256" s="10"/>
    </row>
    <row r="257" spans="1:11" x14ac:dyDescent="0.25">
      <c r="A257" s="49" t="s">
        <v>21</v>
      </c>
      <c r="B257" s="49"/>
      <c r="C257" s="49"/>
      <c r="D257" s="49"/>
      <c r="E257" s="34" t="s">
        <v>12</v>
      </c>
      <c r="F257" s="38">
        <f>J270</f>
        <v>275000</v>
      </c>
      <c r="I257" s="9"/>
      <c r="J257" s="9"/>
      <c r="K257" s="10"/>
    </row>
    <row r="258" spans="1:11" ht="15.75" x14ac:dyDescent="0.25">
      <c r="A258" s="8"/>
      <c r="B258" s="8"/>
      <c r="C258" s="8"/>
      <c r="D258" s="11" t="s">
        <v>0</v>
      </c>
      <c r="E258" s="34" t="s">
        <v>12</v>
      </c>
      <c r="F258" s="44" t="str">
        <f>PROPER(IF(F257=0,"nol",IF(F257&lt;0,"minus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257),"000000000000000"),1,3)=0,"",MID(TEXT(ABS(F257),"000000000000000"),1,1)&amp;" ratus "&amp;MID(TEXT(ABS(F257),"000000000000000"),2,1)&amp;" puluh "&amp;MID(TEXT(ABS(F257),"000000000000000"),3,1)&amp;" trilyun ")&amp;IF(--MID(TEXT(ABS(F257),"000000000000000"),4,3)=0,"",MID(TEXT(ABS(F257),"000000000000000"),4,1)&amp;" ratus "&amp;MID(TEXT(ABS(F257),"000000000000000"),5,1)&amp;" puluh "&amp;MID(TEXT(ABS(F257),"000000000000000"),6,1)&amp;" milyar ")&amp;IF(--MID(TEXT(ABS(F257),"000000000000000"),7,3)=0,"",MID(TEXT(ABS(F257),"000000000000000"),7,1)&amp;" ratus "&amp;MID(TEXT(ABS(F257),"000000000000000"),8,1)&amp;" puluh "&amp;MID(TEXT(ABS(F257),"000000000000000"),9,1)&amp;" juta ")&amp;IF(--MID(TEXT(ABS(F257),"000000000000000"),10,3)=0,"",IF(--MID(TEXT(ABS(F257),"000000000000000"),10,3)=1,"*",MID(TEXT(ABS(F257),"000000000000000"),10,1)&amp;" ratus "&amp;MID(TEXT(ABS(F257),"000000000000000"),11,1)&amp;" puluh ")&amp;MID(TEXT(ABS(F257),"000000000000000"),12,1)&amp;" ribu ")&amp;IF(--MID(TEXT(ABS(F257),"000000000000000"),13,3)=0,"",MID(TEXT(ABS(F257),"000000000000000"),13,1)&amp;" ratus "&amp;MID(TEXT(ABS(F257),"000000000000000"),14,1)&amp;" puluh "&amp;MID(TEXT(ABS(F257),"000000000000000"),15,1)),1,"satu"),2,"dua"),3,"tiga"),4,"empat"),5,"lima"),6,"enam"),7,"tujuh"),8,"delapan"),9,"sembilan"),"0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Tujuh Puluh Lima Ribu Rupiah</v>
      </c>
      <c r="I258" s="9"/>
      <c r="J258" s="9"/>
      <c r="K258" s="10"/>
    </row>
    <row r="259" spans="1:11" ht="15.75" x14ac:dyDescent="0.25">
      <c r="A259" s="8"/>
      <c r="B259" s="8"/>
      <c r="C259" s="8"/>
      <c r="D259" s="11"/>
      <c r="E259" s="11"/>
      <c r="F259" s="11"/>
      <c r="G259" s="34"/>
      <c r="H259" s="44"/>
      <c r="I259" s="9"/>
      <c r="J259" s="9"/>
      <c r="K259" s="10"/>
    </row>
    <row r="260" spans="1:11" x14ac:dyDescent="0.25">
      <c r="A260" s="8" t="s">
        <v>1</v>
      </c>
      <c r="B260" s="8"/>
      <c r="C260" s="8"/>
      <c r="D260" s="8"/>
      <c r="E260" s="8"/>
      <c r="F260" s="8"/>
      <c r="G260" s="8"/>
      <c r="H260" s="8"/>
      <c r="I260" s="9"/>
      <c r="J260" s="9"/>
      <c r="K260" s="10"/>
    </row>
    <row r="261" spans="1:11" x14ac:dyDescent="0.25">
      <c r="A261" s="59" t="s">
        <v>2</v>
      </c>
      <c r="B261" s="59"/>
      <c r="C261" s="59"/>
      <c r="D261" s="59"/>
      <c r="E261" s="59"/>
      <c r="F261" s="59"/>
      <c r="G261" s="59"/>
      <c r="H261" s="59"/>
      <c r="I261" s="59"/>
      <c r="J261" s="59"/>
      <c r="K261" s="59"/>
    </row>
    <row r="262" spans="1:11" ht="45" x14ac:dyDescent="0.25">
      <c r="A262" s="12" t="s">
        <v>3</v>
      </c>
      <c r="B262" s="60" t="s">
        <v>22</v>
      </c>
      <c r="C262" s="61"/>
      <c r="D262" s="62" t="s">
        <v>4</v>
      </c>
      <c r="E262" s="63"/>
      <c r="F262" s="64"/>
      <c r="G262" s="43"/>
      <c r="H262" s="35" t="s">
        <v>5</v>
      </c>
      <c r="I262" s="13" t="s">
        <v>17</v>
      </c>
      <c r="J262" s="14" t="s">
        <v>6</v>
      </c>
      <c r="K262" s="15" t="s">
        <v>7</v>
      </c>
    </row>
    <row r="263" spans="1:11" x14ac:dyDescent="0.25">
      <c r="A263" s="56">
        <v>1</v>
      </c>
      <c r="B263" s="50"/>
      <c r="C263" s="50"/>
      <c r="D263" s="65" t="s">
        <v>42</v>
      </c>
      <c r="E263" s="66"/>
      <c r="F263" s="67"/>
      <c r="G263" s="45"/>
      <c r="H263" s="52" t="s">
        <v>28</v>
      </c>
      <c r="I263" s="52" t="s">
        <v>28</v>
      </c>
      <c r="J263" s="52" t="s">
        <v>28</v>
      </c>
      <c r="K263" s="52" t="s">
        <v>28</v>
      </c>
    </row>
    <row r="264" spans="1:11" x14ac:dyDescent="0.25">
      <c r="A264" s="46"/>
      <c r="B264" s="57" t="s">
        <v>23</v>
      </c>
      <c r="C264" s="50"/>
      <c r="D264" s="68" t="s">
        <v>32</v>
      </c>
      <c r="E264" s="69"/>
      <c r="F264" s="70"/>
      <c r="G264" s="45"/>
      <c r="H264" s="52" t="s">
        <v>28</v>
      </c>
      <c r="I264" s="52" t="s">
        <v>28</v>
      </c>
      <c r="J264" s="52" t="s">
        <v>28</v>
      </c>
      <c r="K264" s="52" t="s">
        <v>28</v>
      </c>
    </row>
    <row r="265" spans="1:11" x14ac:dyDescent="0.25">
      <c r="A265" s="46"/>
      <c r="B265" s="46"/>
      <c r="C265" s="46" t="s">
        <v>37</v>
      </c>
      <c r="D265" s="54" t="s">
        <v>33</v>
      </c>
      <c r="E265" s="55"/>
      <c r="F265" s="53"/>
      <c r="G265" s="45"/>
      <c r="H265" s="48">
        <v>25000000</v>
      </c>
      <c r="I265" s="39">
        <f>I217+J217</f>
        <v>0</v>
      </c>
      <c r="J265" s="39">
        <v>0</v>
      </c>
      <c r="K265" s="40">
        <f t="shared" ref="K265:K269" si="9">H265-I265-J265</f>
        <v>25000000</v>
      </c>
    </row>
    <row r="266" spans="1:11" x14ac:dyDescent="0.25">
      <c r="A266" s="46"/>
      <c r="B266" s="46"/>
      <c r="C266" s="46" t="s">
        <v>38</v>
      </c>
      <c r="D266" s="54" t="s">
        <v>34</v>
      </c>
      <c r="E266" s="55"/>
      <c r="F266" s="53"/>
      <c r="G266" s="45"/>
      <c r="H266" s="47">
        <v>3000000</v>
      </c>
      <c r="I266" s="39">
        <f>I218+J218</f>
        <v>540000</v>
      </c>
      <c r="J266" s="39">
        <v>0</v>
      </c>
      <c r="K266" s="40">
        <f t="shared" si="9"/>
        <v>2460000</v>
      </c>
    </row>
    <row r="267" spans="1:11" x14ac:dyDescent="0.25">
      <c r="A267" s="46"/>
      <c r="B267" s="46"/>
      <c r="C267" s="46" t="s">
        <v>39</v>
      </c>
      <c r="D267" s="54" t="s">
        <v>35</v>
      </c>
      <c r="E267" s="55"/>
      <c r="F267" s="53"/>
      <c r="G267" s="45"/>
      <c r="H267" s="47">
        <v>58710000</v>
      </c>
      <c r="I267" s="39">
        <f t="shared" ref="I267:I269" si="10">I219+J219</f>
        <v>24820980</v>
      </c>
      <c r="J267" s="39">
        <v>275000</v>
      </c>
      <c r="K267" s="40">
        <f t="shared" si="9"/>
        <v>33614020</v>
      </c>
    </row>
    <row r="268" spans="1:11" x14ac:dyDescent="0.25">
      <c r="A268" s="46"/>
      <c r="B268" s="46"/>
      <c r="C268" s="46" t="s">
        <v>40</v>
      </c>
      <c r="D268" s="54" t="s">
        <v>36</v>
      </c>
      <c r="E268" s="55"/>
      <c r="F268" s="53"/>
      <c r="G268" s="45"/>
      <c r="H268" s="48">
        <v>20000000</v>
      </c>
      <c r="I268" s="39">
        <f t="shared" si="10"/>
        <v>3150000</v>
      </c>
      <c r="J268" s="39">
        <v>0</v>
      </c>
      <c r="K268" s="40">
        <f t="shared" si="9"/>
        <v>16850000</v>
      </c>
    </row>
    <row r="269" spans="1:11" x14ac:dyDescent="0.25">
      <c r="A269" s="46"/>
      <c r="B269" s="46"/>
      <c r="C269" s="46" t="s">
        <v>41</v>
      </c>
      <c r="D269" s="54" t="s">
        <v>43</v>
      </c>
      <c r="E269" s="55"/>
      <c r="F269" s="53"/>
      <c r="G269" s="45"/>
      <c r="H269" s="47">
        <v>10000000</v>
      </c>
      <c r="I269" s="39">
        <f t="shared" si="10"/>
        <v>2565000</v>
      </c>
      <c r="J269" s="39">
        <v>0</v>
      </c>
      <c r="K269" s="40">
        <f t="shared" si="9"/>
        <v>7435000</v>
      </c>
    </row>
    <row r="270" spans="1:11" x14ac:dyDescent="0.25">
      <c r="A270" s="16"/>
      <c r="B270" s="16"/>
      <c r="C270" s="16"/>
      <c r="D270" s="17" t="s">
        <v>8</v>
      </c>
      <c r="E270" s="17"/>
      <c r="F270" s="17"/>
      <c r="G270" s="37"/>
      <c r="H270" s="36">
        <f>SUM(H263:H269)</f>
        <v>116710000</v>
      </c>
      <c r="I270" s="18">
        <f>SUM(I264:I269)</f>
        <v>31075980</v>
      </c>
      <c r="J270" s="18">
        <f>SUM(J264:J269)</f>
        <v>275000</v>
      </c>
      <c r="K270" s="18">
        <f>SUM(K264:K269)</f>
        <v>85359020</v>
      </c>
    </row>
    <row r="271" spans="1:11" x14ac:dyDescent="0.25">
      <c r="A271" s="19"/>
      <c r="B271" s="51"/>
      <c r="C271" s="51"/>
      <c r="D271" s="6"/>
      <c r="E271" s="6"/>
      <c r="F271" s="6"/>
      <c r="G271" s="6"/>
      <c r="H271" s="20"/>
      <c r="I271" s="20"/>
      <c r="J271" s="20"/>
      <c r="K271" s="20"/>
    </row>
    <row r="272" spans="1:11" x14ac:dyDescent="0.25">
      <c r="A272" s="58" t="s">
        <v>14</v>
      </c>
      <c r="B272" s="58"/>
      <c r="C272" s="58"/>
      <c r="D272" s="58"/>
      <c r="E272" s="30" t="s">
        <v>12</v>
      </c>
      <c r="F272" s="38">
        <f>J270</f>
        <v>275000</v>
      </c>
      <c r="G272" s="33"/>
      <c r="H272" s="21"/>
      <c r="I272" s="21"/>
      <c r="J272" s="10"/>
      <c r="K272" s="10"/>
    </row>
    <row r="273" spans="1:11" x14ac:dyDescent="0.25">
      <c r="A273" s="8" t="s">
        <v>9</v>
      </c>
      <c r="B273" s="8"/>
      <c r="C273" s="8"/>
      <c r="D273" s="8"/>
      <c r="E273" s="30" t="s">
        <v>12</v>
      </c>
      <c r="F273" s="31"/>
      <c r="G273" s="31"/>
      <c r="H273" s="22"/>
      <c r="I273" s="9"/>
      <c r="J273" s="10"/>
      <c r="K273" s="10"/>
    </row>
    <row r="274" spans="1:11" x14ac:dyDescent="0.25">
      <c r="A274" s="8" t="s">
        <v>16</v>
      </c>
      <c r="B274" s="8"/>
      <c r="C274" s="8"/>
      <c r="D274" s="8"/>
      <c r="E274" s="30" t="s">
        <v>12</v>
      </c>
      <c r="F274" s="32"/>
      <c r="G274" s="32"/>
      <c r="H274" s="22"/>
      <c r="I274" s="9"/>
      <c r="J274" s="10"/>
      <c r="K274" s="10"/>
    </row>
    <row r="275" spans="1:11" x14ac:dyDescent="0.25">
      <c r="A275" s="8" t="s">
        <v>10</v>
      </c>
      <c r="B275" s="8"/>
      <c r="C275" s="8"/>
      <c r="D275" s="8"/>
      <c r="E275" s="30" t="s">
        <v>12</v>
      </c>
      <c r="F275" s="32">
        <f>F273+F274</f>
        <v>0</v>
      </c>
      <c r="G275" s="32"/>
      <c r="H275" s="8"/>
      <c r="I275" s="9"/>
      <c r="J275" s="23"/>
      <c r="K275" s="24"/>
    </row>
    <row r="276" spans="1:11" x14ac:dyDescent="0.25">
      <c r="A276" s="41"/>
      <c r="B276" s="41"/>
      <c r="C276" s="41"/>
      <c r="D276" s="41"/>
      <c r="E276" s="30"/>
      <c r="F276" s="41"/>
      <c r="G276" s="41"/>
      <c r="H276" s="8"/>
      <c r="I276" s="9"/>
      <c r="J276" s="23"/>
      <c r="K276" s="24"/>
    </row>
    <row r="277" spans="1:11" x14ac:dyDescent="0.25">
      <c r="A277" s="58" t="s">
        <v>15</v>
      </c>
      <c r="B277" s="58"/>
      <c r="C277" s="58"/>
      <c r="D277" s="58"/>
      <c r="E277" s="30" t="s">
        <v>12</v>
      </c>
      <c r="F277" s="33">
        <f>F272-F275</f>
        <v>275000</v>
      </c>
      <c r="G277" s="33"/>
      <c r="H277" s="8"/>
      <c r="I277" s="9"/>
      <c r="J277" s="23"/>
      <c r="K277" s="24"/>
    </row>
    <row r="278" spans="1:11" ht="15.75" x14ac:dyDescent="0.25">
      <c r="A278" s="41"/>
      <c r="B278" s="41"/>
      <c r="C278" s="41"/>
      <c r="D278" s="8"/>
      <c r="E278" s="8"/>
      <c r="F278" s="44" t="str">
        <f>PROPER(IF(F277=0,"nol",IF(F277&lt;0,"minus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277),"000000000000000"),1,3)=0,"",MID(TEXT(ABS(F277),"000000000000000"),1,1)&amp;" ratus "&amp;MID(TEXT(ABS(F277),"000000000000000"),2,1)&amp;" puluh "&amp;MID(TEXT(ABS(F277),"000000000000000"),3,1)&amp;" trilyun ")&amp;IF(--MID(TEXT(ABS(F277),"000000000000000"),4,3)=0,"",MID(TEXT(ABS(F277),"000000000000000"),4,1)&amp;" ratus "&amp;MID(TEXT(ABS(F277),"000000000000000"),5,1)&amp;" puluh "&amp;MID(TEXT(ABS(F277),"000000000000000"),6,1)&amp;" milyar ")&amp;IF(--MID(TEXT(ABS(F277),"000000000000000"),7,3)=0,"",MID(TEXT(ABS(F277),"000000000000000"),7,1)&amp;" ratus "&amp;MID(TEXT(ABS(F277),"000000000000000"),8,1)&amp;" puluh "&amp;MID(TEXT(ABS(F277),"000000000000000"),9,1)&amp;" juta ")&amp;IF(--MID(TEXT(ABS(F277),"000000000000000"),10,3)=0,"",IF(--MID(TEXT(ABS(F277),"000000000000000"),10,3)=1,"*",MID(TEXT(ABS(F277),"000000000000000"),10,1)&amp;" ratus "&amp;MID(TEXT(ABS(F277),"000000000000000"),11,1)&amp;" puluh ")&amp;MID(TEXT(ABS(F277),"000000000000000"),12,1)&amp;" ribu ")&amp;IF(--MID(TEXT(ABS(F277),"000000000000000"),13,3)=0,"",MID(TEXT(ABS(F277),"000000000000000"),13,1)&amp;" ratus "&amp;MID(TEXT(ABS(F277),"000000000000000"),14,1)&amp;" puluh "&amp;MID(TEXT(ABS(F277),"000000000000000"),15,1)),1,"satu"),2,"dua"),3,"tiga"),4,"empat"),5,"lima"),6,"enam"),7,"tujuh"),8,"delapan"),9,"sembilan"),"0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Tujuh Puluh Lima Ribu Rupiah</v>
      </c>
      <c r="G278" s="8"/>
      <c r="H278" s="8"/>
      <c r="I278" s="8"/>
      <c r="J278" s="23"/>
      <c r="K278" s="24"/>
    </row>
    <row r="279" spans="1:11" x14ac:dyDescent="0.25">
      <c r="A279" s="26"/>
      <c r="B279" s="26"/>
      <c r="C279" s="26"/>
      <c r="D279" s="26"/>
      <c r="E279" s="26"/>
      <c r="F279" s="26"/>
      <c r="G279" s="26"/>
      <c r="H279" s="25"/>
      <c r="I279" s="24"/>
      <c r="J279" s="23"/>
      <c r="K279" s="24"/>
    </row>
    <row r="280" spans="1:11" x14ac:dyDescent="0.25">
      <c r="A280" s="25"/>
      <c r="B280" s="25"/>
      <c r="C280" s="25"/>
      <c r="D280" s="25"/>
      <c r="E280" s="25"/>
      <c r="F280" s="25"/>
      <c r="G280" s="25"/>
      <c r="H280" s="25"/>
      <c r="I280"/>
      <c r="J280" s="24"/>
      <c r="K280" s="24"/>
    </row>
    <row r="281" spans="1:11" x14ac:dyDescent="0.25">
      <c r="A281" s="41"/>
      <c r="B281" s="41"/>
      <c r="C281" s="41"/>
      <c r="D281" s="8"/>
      <c r="E281" s="8"/>
      <c r="F281" s="8"/>
      <c r="G281" s="8"/>
      <c r="H281" s="8"/>
      <c r="J281" s="42" t="s">
        <v>66</v>
      </c>
      <c r="K281" s="24"/>
    </row>
    <row r="282" spans="1:11" x14ac:dyDescent="0.25">
      <c r="A282" s="9" t="s">
        <v>26</v>
      </c>
      <c r="B282" s="9"/>
      <c r="C282" s="9"/>
      <c r="D282" s="8"/>
      <c r="E282" s="8"/>
      <c r="F282" s="8"/>
      <c r="G282" s="8"/>
      <c r="H282" s="8"/>
      <c r="J282" s="9" t="s">
        <v>25</v>
      </c>
      <c r="K282" s="24"/>
    </row>
    <row r="283" spans="1:11" x14ac:dyDescent="0.25">
      <c r="A283" s="8"/>
      <c r="B283" s="8"/>
      <c r="C283" s="8"/>
      <c r="D283" s="8"/>
      <c r="E283" s="8"/>
      <c r="F283" s="8"/>
      <c r="G283" s="8"/>
      <c r="H283" s="8"/>
      <c r="J283" s="9"/>
      <c r="K283" s="24"/>
    </row>
    <row r="284" spans="1:11" x14ac:dyDescent="0.25">
      <c r="A284" s="8"/>
      <c r="B284" s="8"/>
      <c r="C284" s="8"/>
      <c r="D284" s="8"/>
      <c r="E284" s="8"/>
      <c r="F284" s="8"/>
      <c r="G284" s="8"/>
      <c r="H284" s="8"/>
      <c r="J284" s="9"/>
      <c r="K284" s="24"/>
    </row>
    <row r="285" spans="1:11" x14ac:dyDescent="0.25">
      <c r="A285" s="8"/>
      <c r="B285" s="8"/>
      <c r="C285" s="8"/>
      <c r="D285" s="8"/>
      <c r="E285" s="8"/>
      <c r="F285" s="8"/>
      <c r="G285" s="8"/>
      <c r="H285" s="8"/>
      <c r="J285" s="9"/>
      <c r="K285" s="24"/>
    </row>
    <row r="286" spans="1:11" x14ac:dyDescent="0.25">
      <c r="A286" s="8"/>
      <c r="B286" s="8"/>
      <c r="C286" s="8"/>
      <c r="D286" s="8"/>
      <c r="E286" s="8"/>
      <c r="F286" s="8"/>
      <c r="G286" s="8"/>
      <c r="H286" s="8"/>
      <c r="J286" s="9"/>
      <c r="K286" s="24"/>
    </row>
    <row r="287" spans="1:11" x14ac:dyDescent="0.25">
      <c r="A287" s="28" t="s">
        <v>44</v>
      </c>
      <c r="B287" s="28"/>
      <c r="C287" s="28"/>
      <c r="D287" s="27"/>
      <c r="E287" s="27"/>
      <c r="F287" s="27"/>
      <c r="G287" s="27"/>
      <c r="H287" s="8" t="s">
        <v>11</v>
      </c>
      <c r="J287" s="28" t="s">
        <v>27</v>
      </c>
      <c r="K287" s="24"/>
    </row>
    <row r="292" spans="1:11" ht="15.75" x14ac:dyDescent="0.25">
      <c r="D292" s="3"/>
      <c r="E292" s="3"/>
      <c r="F292" s="3"/>
      <c r="G292" s="3"/>
    </row>
    <row r="293" spans="1:11" ht="15.75" x14ac:dyDescent="0.25">
      <c r="A293" s="2"/>
      <c r="B293" s="2"/>
      <c r="C293" s="2"/>
      <c r="D293" s="3"/>
      <c r="E293" s="3"/>
      <c r="F293" s="3"/>
      <c r="G293" s="3"/>
      <c r="H293" s="2"/>
      <c r="I293" s="4"/>
      <c r="J293" s="4"/>
      <c r="K293" s="5"/>
    </row>
    <row r="294" spans="1:11" x14ac:dyDescent="0.25">
      <c r="I294" s="5"/>
      <c r="J294" s="5"/>
      <c r="K294" s="5"/>
    </row>
    <row r="295" spans="1:11" x14ac:dyDescent="0.25">
      <c r="I295" s="5"/>
      <c r="J295" s="5"/>
      <c r="K295" s="5"/>
    </row>
    <row r="296" spans="1:11" x14ac:dyDescent="0.25">
      <c r="A296" s="71" t="s">
        <v>29</v>
      </c>
      <c r="B296" s="71"/>
      <c r="C296" s="71"/>
      <c r="D296" s="72"/>
      <c r="E296" s="72"/>
      <c r="F296" s="72"/>
      <c r="G296" s="72"/>
      <c r="H296" s="72"/>
      <c r="I296" s="72"/>
      <c r="J296" s="72"/>
      <c r="K296" s="72"/>
    </row>
    <row r="297" spans="1:11" x14ac:dyDescent="0.25">
      <c r="A297" s="72" t="s">
        <v>67</v>
      </c>
      <c r="B297" s="72"/>
      <c r="C297" s="72"/>
      <c r="D297" s="72"/>
      <c r="E297" s="72"/>
      <c r="F297" s="72"/>
      <c r="G297" s="72"/>
      <c r="H297" s="72"/>
      <c r="I297" s="72"/>
      <c r="J297" s="72"/>
      <c r="K297" s="72"/>
    </row>
    <row r="298" spans="1:11" x14ac:dyDescent="0.25">
      <c r="A298" s="72" t="s">
        <v>13</v>
      </c>
      <c r="B298" s="72"/>
      <c r="C298" s="72"/>
      <c r="D298" s="72"/>
      <c r="E298" s="72"/>
      <c r="F298" s="72"/>
      <c r="G298" s="72"/>
      <c r="H298" s="72"/>
      <c r="I298" s="72"/>
      <c r="J298" s="72"/>
      <c r="K298" s="72"/>
    </row>
    <row r="299" spans="1:11" x14ac:dyDescent="0.25">
      <c r="A299" s="72" t="s">
        <v>45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72"/>
    </row>
    <row r="300" spans="1:11" x14ac:dyDescent="0.25">
      <c r="A300" s="72" t="s">
        <v>24</v>
      </c>
      <c r="B300" s="72"/>
      <c r="C300" s="72"/>
      <c r="D300" s="72"/>
      <c r="E300" s="72"/>
      <c r="F300" s="72"/>
      <c r="G300" s="72"/>
      <c r="H300" s="72"/>
      <c r="I300" s="72"/>
      <c r="J300" s="72"/>
      <c r="K300" s="72"/>
    </row>
    <row r="301" spans="1:11" x14ac:dyDescent="0.25">
      <c r="A301" s="29"/>
      <c r="B301" s="29"/>
      <c r="C301" s="29"/>
      <c r="D301" s="7"/>
      <c r="E301" s="7"/>
      <c r="F301" s="7"/>
      <c r="G301" s="7"/>
      <c r="H301" s="6"/>
      <c r="I301" s="10"/>
      <c r="J301" s="10"/>
      <c r="K301" s="10"/>
    </row>
    <row r="302" spans="1:11" x14ac:dyDescent="0.25">
      <c r="A302" s="49" t="s">
        <v>18</v>
      </c>
      <c r="B302" s="49"/>
      <c r="C302" s="49"/>
      <c r="D302" s="49"/>
      <c r="E302" s="34" t="s">
        <v>12</v>
      </c>
      <c r="F302" s="8" t="s">
        <v>30</v>
      </c>
      <c r="I302" s="9"/>
      <c r="J302" s="9"/>
      <c r="K302" s="10"/>
    </row>
    <row r="303" spans="1:11" x14ac:dyDescent="0.25">
      <c r="A303" s="49" t="s">
        <v>19</v>
      </c>
      <c r="B303" s="49"/>
      <c r="C303" s="49"/>
      <c r="D303" s="49"/>
      <c r="E303" s="34" t="s">
        <v>12</v>
      </c>
      <c r="F303" s="8" t="s">
        <v>31</v>
      </c>
      <c r="I303" s="9"/>
      <c r="J303" s="9"/>
      <c r="K303" s="10"/>
    </row>
    <row r="304" spans="1:11" x14ac:dyDescent="0.25">
      <c r="A304" s="49" t="s">
        <v>20</v>
      </c>
      <c r="B304" s="49"/>
      <c r="C304" s="49"/>
      <c r="D304" s="49"/>
      <c r="E304" s="34" t="s">
        <v>12</v>
      </c>
      <c r="F304" s="41">
        <v>2026</v>
      </c>
      <c r="I304" s="9"/>
      <c r="J304" s="9"/>
      <c r="K304" s="10"/>
    </row>
    <row r="305" spans="1:11" x14ac:dyDescent="0.25">
      <c r="A305" s="49" t="s">
        <v>21</v>
      </c>
      <c r="B305" s="49"/>
      <c r="C305" s="49"/>
      <c r="D305" s="49"/>
      <c r="E305" s="34" t="s">
        <v>12</v>
      </c>
      <c r="F305" s="38">
        <f>J318</f>
        <v>10745000</v>
      </c>
      <c r="I305" s="9"/>
      <c r="J305" s="9"/>
      <c r="K305" s="10"/>
    </row>
    <row r="306" spans="1:11" ht="15.75" x14ac:dyDescent="0.25">
      <c r="A306" s="8"/>
      <c r="B306" s="8"/>
      <c r="C306" s="8"/>
      <c r="D306" s="11" t="s">
        <v>0</v>
      </c>
      <c r="E306" s="34" t="s">
        <v>12</v>
      </c>
      <c r="F306" s="44" t="str">
        <f>PROPER(IF(F305=0,"nol",IF(F305&lt;0,"minus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305),"000000000000000"),1,3)=0,"",MID(TEXT(ABS(F305),"000000000000000"),1,1)&amp;" ratus "&amp;MID(TEXT(ABS(F305),"000000000000000"),2,1)&amp;" puluh "&amp;MID(TEXT(ABS(F305),"000000000000000"),3,1)&amp;" trilyun ")&amp;IF(--MID(TEXT(ABS(F305),"000000000000000"),4,3)=0,"",MID(TEXT(ABS(F305),"000000000000000"),4,1)&amp;" ratus "&amp;MID(TEXT(ABS(F305),"000000000000000"),5,1)&amp;" puluh "&amp;MID(TEXT(ABS(F305),"000000000000000"),6,1)&amp;" milyar ")&amp;IF(--MID(TEXT(ABS(F305),"000000000000000"),7,3)=0,"",MID(TEXT(ABS(F305),"000000000000000"),7,1)&amp;" ratus "&amp;MID(TEXT(ABS(F305),"000000000000000"),8,1)&amp;" puluh "&amp;MID(TEXT(ABS(F305),"000000000000000"),9,1)&amp;" juta ")&amp;IF(--MID(TEXT(ABS(F305),"000000000000000"),10,3)=0,"",IF(--MID(TEXT(ABS(F305),"000000000000000"),10,3)=1,"*",MID(TEXT(ABS(F305),"000000000000000"),10,1)&amp;" ratus "&amp;MID(TEXT(ABS(F305),"000000000000000"),11,1)&amp;" puluh ")&amp;MID(TEXT(ABS(F305),"000000000000000"),12,1)&amp;" ribu ")&amp;IF(--MID(TEXT(ABS(F305),"000000000000000"),13,3)=0,"",MID(TEXT(ABS(F305),"000000000000000"),13,1)&amp;" ratus "&amp;MID(TEXT(ABS(F305),"000000000000000"),14,1)&amp;" puluh "&amp;MID(TEXT(ABS(F305),"000000000000000"),15,1)),1,"satu"),2,"dua"),3,"tiga"),4,"empat"),5,"lima"),6,"enam"),7,"tujuh"),8,"delapan"),9,"sembilan"),"0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Sepuluh Juta Tujuh Ratus Empat Puluh Lima Ribu Rupiah</v>
      </c>
      <c r="I306" s="9"/>
      <c r="J306" s="9"/>
      <c r="K306" s="10"/>
    </row>
    <row r="307" spans="1:11" ht="15.75" x14ac:dyDescent="0.25">
      <c r="A307" s="8"/>
      <c r="B307" s="8"/>
      <c r="C307" s="8"/>
      <c r="D307" s="11"/>
      <c r="E307" s="11"/>
      <c r="F307" s="11"/>
      <c r="G307" s="34"/>
      <c r="H307" s="44"/>
      <c r="I307" s="9"/>
      <c r="J307" s="9"/>
      <c r="K307" s="10"/>
    </row>
    <row r="308" spans="1:11" x14ac:dyDescent="0.25">
      <c r="A308" s="8" t="s">
        <v>1</v>
      </c>
      <c r="B308" s="8"/>
      <c r="C308" s="8"/>
      <c r="D308" s="8"/>
      <c r="E308" s="8"/>
      <c r="F308" s="8"/>
      <c r="G308" s="8"/>
      <c r="H308" s="8"/>
      <c r="I308" s="9"/>
      <c r="J308" s="9"/>
      <c r="K308" s="10"/>
    </row>
    <row r="309" spans="1:11" x14ac:dyDescent="0.25">
      <c r="A309" s="59" t="s">
        <v>2</v>
      </c>
      <c r="B309" s="59"/>
      <c r="C309" s="59"/>
      <c r="D309" s="59"/>
      <c r="E309" s="59"/>
      <c r="F309" s="59"/>
      <c r="G309" s="59"/>
      <c r="H309" s="59"/>
      <c r="I309" s="59"/>
      <c r="J309" s="59"/>
      <c r="K309" s="59"/>
    </row>
    <row r="310" spans="1:11" ht="45" x14ac:dyDescent="0.25">
      <c r="A310" s="12" t="s">
        <v>3</v>
      </c>
      <c r="B310" s="60" t="s">
        <v>22</v>
      </c>
      <c r="C310" s="61"/>
      <c r="D310" s="62" t="s">
        <v>4</v>
      </c>
      <c r="E310" s="63"/>
      <c r="F310" s="64"/>
      <c r="G310" s="43"/>
      <c r="H310" s="35" t="s">
        <v>5</v>
      </c>
      <c r="I310" s="13" t="s">
        <v>17</v>
      </c>
      <c r="J310" s="14" t="s">
        <v>6</v>
      </c>
      <c r="K310" s="15" t="s">
        <v>7</v>
      </c>
    </row>
    <row r="311" spans="1:11" x14ac:dyDescent="0.25">
      <c r="A311" s="56">
        <v>1</v>
      </c>
      <c r="B311" s="50"/>
      <c r="C311" s="50"/>
      <c r="D311" s="65" t="s">
        <v>42</v>
      </c>
      <c r="E311" s="66"/>
      <c r="F311" s="67"/>
      <c r="G311" s="45"/>
      <c r="H311" s="52" t="s">
        <v>28</v>
      </c>
      <c r="I311" s="52" t="s">
        <v>28</v>
      </c>
      <c r="J311" s="52" t="s">
        <v>28</v>
      </c>
      <c r="K311" s="52" t="s">
        <v>28</v>
      </c>
    </row>
    <row r="312" spans="1:11" x14ac:dyDescent="0.25">
      <c r="A312" s="46"/>
      <c r="B312" s="57" t="s">
        <v>23</v>
      </c>
      <c r="C312" s="50"/>
      <c r="D312" s="68" t="s">
        <v>32</v>
      </c>
      <c r="E312" s="69"/>
      <c r="F312" s="70"/>
      <c r="G312" s="45"/>
      <c r="H312" s="52" t="s">
        <v>28</v>
      </c>
      <c r="I312" s="52" t="s">
        <v>28</v>
      </c>
      <c r="J312" s="52" t="s">
        <v>28</v>
      </c>
      <c r="K312" s="52" t="s">
        <v>28</v>
      </c>
    </row>
    <row r="313" spans="1:11" x14ac:dyDescent="0.25">
      <c r="A313" s="46"/>
      <c r="B313" s="46"/>
      <c r="C313" s="46" t="s">
        <v>37</v>
      </c>
      <c r="D313" s="54" t="s">
        <v>33</v>
      </c>
      <c r="E313" s="55"/>
      <c r="F313" s="53"/>
      <c r="G313" s="45"/>
      <c r="H313" s="48">
        <v>25000000</v>
      </c>
      <c r="I313" s="39">
        <f>I265+J265</f>
        <v>0</v>
      </c>
      <c r="J313" s="39">
        <v>0</v>
      </c>
      <c r="K313" s="40">
        <f t="shared" ref="K313:K317" si="11">H313-I313-J313</f>
        <v>25000000</v>
      </c>
    </row>
    <row r="314" spans="1:11" x14ac:dyDescent="0.25">
      <c r="A314" s="46"/>
      <c r="B314" s="46"/>
      <c r="C314" s="46" t="s">
        <v>38</v>
      </c>
      <c r="D314" s="54" t="s">
        <v>34</v>
      </c>
      <c r="E314" s="55"/>
      <c r="F314" s="53"/>
      <c r="G314" s="45"/>
      <c r="H314" s="47">
        <v>3000000</v>
      </c>
      <c r="I314" s="39">
        <f>I266+J266</f>
        <v>540000</v>
      </c>
      <c r="J314" s="39">
        <v>0</v>
      </c>
      <c r="K314" s="40">
        <f t="shared" si="11"/>
        <v>2460000</v>
      </c>
    </row>
    <row r="315" spans="1:11" x14ac:dyDescent="0.25">
      <c r="A315" s="46"/>
      <c r="B315" s="46"/>
      <c r="C315" s="46" t="s">
        <v>39</v>
      </c>
      <c r="D315" s="54" t="s">
        <v>35</v>
      </c>
      <c r="E315" s="55"/>
      <c r="F315" s="53"/>
      <c r="G315" s="45"/>
      <c r="H315" s="47">
        <v>58710000</v>
      </c>
      <c r="I315" s="39">
        <f t="shared" ref="I315:I317" si="12">I267+J267</f>
        <v>25095980</v>
      </c>
      <c r="J315" s="39">
        <v>10745000</v>
      </c>
      <c r="K315" s="40">
        <f t="shared" si="11"/>
        <v>22869020</v>
      </c>
    </row>
    <row r="316" spans="1:11" x14ac:dyDescent="0.25">
      <c r="A316" s="46"/>
      <c r="B316" s="46"/>
      <c r="C316" s="46" t="s">
        <v>40</v>
      </c>
      <c r="D316" s="54" t="s">
        <v>36</v>
      </c>
      <c r="E316" s="55"/>
      <c r="F316" s="53"/>
      <c r="G316" s="45"/>
      <c r="H316" s="48">
        <v>20000000</v>
      </c>
      <c r="I316" s="39">
        <f t="shared" si="12"/>
        <v>3150000</v>
      </c>
      <c r="J316" s="39">
        <v>0</v>
      </c>
      <c r="K316" s="40">
        <f t="shared" si="11"/>
        <v>16850000</v>
      </c>
    </row>
    <row r="317" spans="1:11" x14ac:dyDescent="0.25">
      <c r="A317" s="46"/>
      <c r="B317" s="46"/>
      <c r="C317" s="46" t="s">
        <v>41</v>
      </c>
      <c r="D317" s="54" t="s">
        <v>43</v>
      </c>
      <c r="E317" s="55"/>
      <c r="F317" s="53"/>
      <c r="G317" s="45"/>
      <c r="H317" s="47">
        <v>10000000</v>
      </c>
      <c r="I317" s="39">
        <f t="shared" si="12"/>
        <v>2565000</v>
      </c>
      <c r="J317" s="39">
        <v>0</v>
      </c>
      <c r="K317" s="40">
        <f t="shared" si="11"/>
        <v>7435000</v>
      </c>
    </row>
    <row r="318" spans="1:11" x14ac:dyDescent="0.25">
      <c r="A318" s="16"/>
      <c r="B318" s="16"/>
      <c r="C318" s="16"/>
      <c r="D318" s="17" t="s">
        <v>8</v>
      </c>
      <c r="E318" s="17"/>
      <c r="F318" s="17"/>
      <c r="G318" s="37"/>
      <c r="H318" s="36">
        <f>SUM(H311:H317)</f>
        <v>116710000</v>
      </c>
      <c r="I318" s="18">
        <f>SUM(I312:I317)</f>
        <v>31350980</v>
      </c>
      <c r="J318" s="18">
        <f>SUM(J312:J317)</f>
        <v>10745000</v>
      </c>
      <c r="K318" s="18">
        <f>SUM(K312:K317)</f>
        <v>74614020</v>
      </c>
    </row>
    <row r="319" spans="1:11" x14ac:dyDescent="0.25">
      <c r="A319" s="19"/>
      <c r="B319" s="51"/>
      <c r="C319" s="51"/>
      <c r="D319" s="6"/>
      <c r="E319" s="6"/>
      <c r="F319" s="6"/>
      <c r="G319" s="6"/>
      <c r="H319" s="20"/>
      <c r="I319" s="20"/>
      <c r="J319" s="20"/>
      <c r="K319" s="20"/>
    </row>
    <row r="320" spans="1:11" x14ac:dyDescent="0.25">
      <c r="A320" s="58" t="s">
        <v>14</v>
      </c>
      <c r="B320" s="58"/>
      <c r="C320" s="58"/>
      <c r="D320" s="58"/>
      <c r="E320" s="30" t="s">
        <v>12</v>
      </c>
      <c r="F320" s="38">
        <f>J318</f>
        <v>10745000</v>
      </c>
      <c r="G320" s="33"/>
      <c r="H320" s="21"/>
      <c r="I320" s="21"/>
      <c r="J320" s="10"/>
      <c r="K320" s="10"/>
    </row>
    <row r="321" spans="1:11" x14ac:dyDescent="0.25">
      <c r="A321" s="8" t="s">
        <v>9</v>
      </c>
      <c r="B321" s="8"/>
      <c r="C321" s="8"/>
      <c r="D321" s="8"/>
      <c r="E321" s="30" t="s">
        <v>12</v>
      </c>
      <c r="F321" s="31"/>
      <c r="G321" s="31"/>
      <c r="H321" s="22"/>
      <c r="I321" s="9"/>
      <c r="J321" s="10"/>
      <c r="K321" s="10"/>
    </row>
    <row r="322" spans="1:11" x14ac:dyDescent="0.25">
      <c r="A322" s="8" t="s">
        <v>16</v>
      </c>
      <c r="B322" s="8"/>
      <c r="C322" s="8"/>
      <c r="D322" s="8"/>
      <c r="E322" s="30" t="s">
        <v>12</v>
      </c>
      <c r="F322" s="32"/>
      <c r="G322" s="32"/>
      <c r="H322" s="22"/>
      <c r="I322" s="9"/>
      <c r="J322" s="10"/>
      <c r="K322" s="10"/>
    </row>
    <row r="323" spans="1:11" x14ac:dyDescent="0.25">
      <c r="A323" s="8" t="s">
        <v>10</v>
      </c>
      <c r="B323" s="8"/>
      <c r="C323" s="8"/>
      <c r="D323" s="8"/>
      <c r="E323" s="30" t="s">
        <v>12</v>
      </c>
      <c r="F323" s="32">
        <f>F321+F322</f>
        <v>0</v>
      </c>
      <c r="G323" s="32"/>
      <c r="H323" s="8"/>
      <c r="I323" s="9"/>
      <c r="J323" s="23"/>
      <c r="K323" s="24"/>
    </row>
    <row r="324" spans="1:11" x14ac:dyDescent="0.25">
      <c r="A324" s="41"/>
      <c r="B324" s="41"/>
      <c r="C324" s="41"/>
      <c r="D324" s="41"/>
      <c r="E324" s="30"/>
      <c r="F324" s="41"/>
      <c r="G324" s="41"/>
      <c r="H324" s="8"/>
      <c r="I324" s="9"/>
      <c r="J324" s="23"/>
      <c r="K324" s="24"/>
    </row>
    <row r="325" spans="1:11" x14ac:dyDescent="0.25">
      <c r="A325" s="58" t="s">
        <v>15</v>
      </c>
      <c r="B325" s="58"/>
      <c r="C325" s="58"/>
      <c r="D325" s="58"/>
      <c r="E325" s="30" t="s">
        <v>12</v>
      </c>
      <c r="F325" s="33">
        <f>F320-F323</f>
        <v>10745000</v>
      </c>
      <c r="G325" s="33"/>
      <c r="H325" s="8"/>
      <c r="I325" s="9"/>
      <c r="J325" s="23"/>
      <c r="K325" s="24"/>
    </row>
    <row r="326" spans="1:11" ht="15.75" x14ac:dyDescent="0.25">
      <c r="A326" s="41"/>
      <c r="B326" s="41"/>
      <c r="C326" s="41"/>
      <c r="D326" s="8"/>
      <c r="E326" s="8"/>
      <c r="F326" s="44" t="str">
        <f>PROPER(IF(F325=0,"nol",IF(F325&lt;0,"minus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F325),"000000000000000"),1,3)=0,"",MID(TEXT(ABS(F325),"000000000000000"),1,1)&amp;" ratus "&amp;MID(TEXT(ABS(F325),"000000000000000"),2,1)&amp;" puluh "&amp;MID(TEXT(ABS(F325),"000000000000000"),3,1)&amp;" trilyun ")&amp;IF(--MID(TEXT(ABS(F325),"000000000000000"),4,3)=0,"",MID(TEXT(ABS(F325),"000000000000000"),4,1)&amp;" ratus "&amp;MID(TEXT(ABS(F325),"000000000000000"),5,1)&amp;" puluh "&amp;MID(TEXT(ABS(F325),"000000000000000"),6,1)&amp;" milyar ")&amp;IF(--MID(TEXT(ABS(F325),"000000000000000"),7,3)=0,"",MID(TEXT(ABS(F325),"000000000000000"),7,1)&amp;" ratus "&amp;MID(TEXT(ABS(F325),"000000000000000"),8,1)&amp;" puluh "&amp;MID(TEXT(ABS(F325),"000000000000000"),9,1)&amp;" juta ")&amp;IF(--MID(TEXT(ABS(F325),"000000000000000"),10,3)=0,"",IF(--MID(TEXT(ABS(F325),"000000000000000"),10,3)=1,"*",MID(TEXT(ABS(F325),"000000000000000"),10,1)&amp;" ratus "&amp;MID(TEXT(ABS(F325),"000000000000000"),11,1)&amp;" puluh ")&amp;MID(TEXT(ABS(F325),"000000000000000"),12,1)&amp;" ribu ")&amp;IF(--MID(TEXT(ABS(F325),"000000000000000"),13,3)=0,"",MID(TEXT(ABS(F325),"000000000000000"),13,1)&amp;" ratus "&amp;MID(TEXT(ABS(F325),"000000000000000"),14,1)&amp;" puluh "&amp;MID(TEXT(ABS(F325),"000000000000000"),15,1)),1,"satu"),2,"dua"),3,"tiga"),4,"empat"),5,"lima"),6,"enam"),7,"tujuh"),8,"delapan"),9,"sembilan"),"0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Sepuluh Juta Tujuh Ratus Empat Puluh Lima Ribu Rupiah</v>
      </c>
      <c r="G326" s="8"/>
      <c r="H326" s="8"/>
      <c r="I326" s="8"/>
      <c r="J326" s="23"/>
      <c r="K326" s="24"/>
    </row>
    <row r="327" spans="1:11" x14ac:dyDescent="0.25">
      <c r="A327" s="26"/>
      <c r="B327" s="26"/>
      <c r="C327" s="26"/>
      <c r="D327" s="26"/>
      <c r="E327" s="26"/>
      <c r="F327" s="26"/>
      <c r="G327" s="26"/>
      <c r="H327" s="25"/>
      <c r="I327" s="24"/>
      <c r="J327" s="23"/>
      <c r="K327" s="24"/>
    </row>
    <row r="328" spans="1:11" x14ac:dyDescent="0.25">
      <c r="A328" s="25"/>
      <c r="B328" s="25"/>
      <c r="C328" s="25"/>
      <c r="D328" s="25"/>
      <c r="E328" s="25"/>
      <c r="F328" s="25"/>
      <c r="G328" s="25"/>
      <c r="H328" s="25"/>
      <c r="I328"/>
      <c r="J328" s="24"/>
      <c r="K328" s="24"/>
    </row>
    <row r="329" spans="1:11" x14ac:dyDescent="0.25">
      <c r="A329" s="41"/>
      <c r="B329" s="41"/>
      <c r="C329" s="41"/>
      <c r="D329" s="8"/>
      <c r="E329" s="8"/>
      <c r="F329" s="8"/>
      <c r="G329" s="8"/>
      <c r="H329" s="8"/>
      <c r="J329" s="42" t="s">
        <v>66</v>
      </c>
      <c r="K329" s="24"/>
    </row>
    <row r="330" spans="1:11" x14ac:dyDescent="0.25">
      <c r="A330" s="9" t="s">
        <v>26</v>
      </c>
      <c r="B330" s="9"/>
      <c r="C330" s="9"/>
      <c r="D330" s="8"/>
      <c r="E330" s="8"/>
      <c r="F330" s="8"/>
      <c r="G330" s="8"/>
      <c r="H330" s="8"/>
      <c r="J330" s="9" t="s">
        <v>25</v>
      </c>
      <c r="K330" s="24"/>
    </row>
    <row r="331" spans="1:11" x14ac:dyDescent="0.25">
      <c r="A331" s="8"/>
      <c r="B331" s="8"/>
      <c r="C331" s="8"/>
      <c r="D331" s="8"/>
      <c r="E331" s="8"/>
      <c r="F331" s="8"/>
      <c r="G331" s="8"/>
      <c r="H331" s="8"/>
      <c r="J331" s="9"/>
      <c r="K331" s="24"/>
    </row>
    <row r="332" spans="1:11" x14ac:dyDescent="0.25">
      <c r="A332" s="8"/>
      <c r="B332" s="8"/>
      <c r="C332" s="8"/>
      <c r="D332" s="8"/>
      <c r="E332" s="8"/>
      <c r="F332" s="8"/>
      <c r="G332" s="8"/>
      <c r="H332" s="8"/>
      <c r="J332" s="9"/>
      <c r="K332" s="24"/>
    </row>
    <row r="333" spans="1:11" x14ac:dyDescent="0.25">
      <c r="A333" s="8"/>
      <c r="B333" s="8"/>
      <c r="C333" s="8"/>
      <c r="D333" s="8"/>
      <c r="E333" s="8"/>
      <c r="F333" s="8"/>
      <c r="G333" s="8"/>
      <c r="H333" s="8"/>
      <c r="J333" s="9"/>
      <c r="K333" s="24"/>
    </row>
    <row r="334" spans="1:11" x14ac:dyDescent="0.25">
      <c r="A334" s="8"/>
      <c r="B334" s="8"/>
      <c r="C334" s="8"/>
      <c r="D334" s="8"/>
      <c r="E334" s="8"/>
      <c r="F334" s="8"/>
      <c r="G334" s="8"/>
      <c r="H334" s="8"/>
      <c r="J334" s="9"/>
      <c r="K334" s="24"/>
    </row>
    <row r="335" spans="1:11" x14ac:dyDescent="0.25">
      <c r="A335" s="28" t="s">
        <v>44</v>
      </c>
      <c r="B335" s="28"/>
      <c r="C335" s="28"/>
      <c r="D335" s="27"/>
      <c r="E335" s="27"/>
      <c r="F335" s="27"/>
      <c r="G335" s="27"/>
      <c r="H335" s="8" t="s">
        <v>11</v>
      </c>
      <c r="J335" s="28" t="s">
        <v>27</v>
      </c>
      <c r="K335" s="24"/>
    </row>
  </sheetData>
  <mergeCells count="84">
    <mergeCell ref="D311:F311"/>
    <mergeCell ref="D312:F312"/>
    <mergeCell ref="A320:D320"/>
    <mergeCell ref="A325:D325"/>
    <mergeCell ref="A299:K299"/>
    <mergeCell ref="A300:K300"/>
    <mergeCell ref="A309:K309"/>
    <mergeCell ref="B310:C310"/>
    <mergeCell ref="D310:F310"/>
    <mergeCell ref="A272:D272"/>
    <mergeCell ref="A277:D277"/>
    <mergeCell ref="A296:K296"/>
    <mergeCell ref="A297:K297"/>
    <mergeCell ref="A298:K298"/>
    <mergeCell ref="A261:K261"/>
    <mergeCell ref="B262:C262"/>
    <mergeCell ref="D262:F262"/>
    <mergeCell ref="D263:F263"/>
    <mergeCell ref="D264:F264"/>
    <mergeCell ref="A248:K248"/>
    <mergeCell ref="A249:K249"/>
    <mergeCell ref="A250:K250"/>
    <mergeCell ref="A251:K251"/>
    <mergeCell ref="A252:K252"/>
    <mergeCell ref="A181:D181"/>
    <mergeCell ref="A152:K152"/>
    <mergeCell ref="A153:K153"/>
    <mergeCell ref="A154:K154"/>
    <mergeCell ref="A155:K155"/>
    <mergeCell ref="A156:K156"/>
    <mergeCell ref="A165:K165"/>
    <mergeCell ref="B166:C166"/>
    <mergeCell ref="D166:F166"/>
    <mergeCell ref="D167:F167"/>
    <mergeCell ref="D168:F168"/>
    <mergeCell ref="A176:D176"/>
    <mergeCell ref="A133:D133"/>
    <mergeCell ref="A104:K104"/>
    <mergeCell ref="A105:K105"/>
    <mergeCell ref="A106:K106"/>
    <mergeCell ref="A107:K107"/>
    <mergeCell ref="A108:K108"/>
    <mergeCell ref="A117:K117"/>
    <mergeCell ref="B118:C118"/>
    <mergeCell ref="D118:F118"/>
    <mergeCell ref="D119:F119"/>
    <mergeCell ref="D120:F120"/>
    <mergeCell ref="A128:D128"/>
    <mergeCell ref="A85:D85"/>
    <mergeCell ref="A56:K56"/>
    <mergeCell ref="A57:K57"/>
    <mergeCell ref="A58:K58"/>
    <mergeCell ref="A59:K59"/>
    <mergeCell ref="A60:K60"/>
    <mergeCell ref="A69:K69"/>
    <mergeCell ref="B70:C70"/>
    <mergeCell ref="D70:F70"/>
    <mergeCell ref="D71:F71"/>
    <mergeCell ref="D72:F72"/>
    <mergeCell ref="A80:D80"/>
    <mergeCell ref="A37:D37"/>
    <mergeCell ref="A8:K8"/>
    <mergeCell ref="A9:K9"/>
    <mergeCell ref="A10:K10"/>
    <mergeCell ref="A11:K11"/>
    <mergeCell ref="A12:K12"/>
    <mergeCell ref="A21:K21"/>
    <mergeCell ref="B22:C22"/>
    <mergeCell ref="D22:F22"/>
    <mergeCell ref="D23:F23"/>
    <mergeCell ref="D24:F24"/>
    <mergeCell ref="A32:D32"/>
    <mergeCell ref="A200:K200"/>
    <mergeCell ref="A201:K201"/>
    <mergeCell ref="A202:K202"/>
    <mergeCell ref="A203:K203"/>
    <mergeCell ref="A204:K204"/>
    <mergeCell ref="A224:D224"/>
    <mergeCell ref="A229:D229"/>
    <mergeCell ref="A213:K213"/>
    <mergeCell ref="B214:C214"/>
    <mergeCell ref="D214:F214"/>
    <mergeCell ref="D215:F215"/>
    <mergeCell ref="D216:F216"/>
  </mergeCells>
  <pageMargins left="0.23622047244094491" right="0.23622047244094491" top="0.15748031496062992" bottom="0.74803149606299213" header="0.31496062992125984" footer="0.31496062992125984"/>
  <pageSetup paperSize="9" scale="84" orientation="portrait" horizontalDpi="4294967293" r:id="rId1"/>
  <rowBreaks count="6" manualBreakCount="6">
    <brk id="48" max="10" man="1"/>
    <brk id="96" max="10" man="1"/>
    <brk id="144" max="10" man="1"/>
    <brk id="192" max="10" man="1"/>
    <brk id="240" max="10" man="1"/>
    <brk id="28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2026-03-27T07:10:20Z</cp:lastPrinted>
  <dcterms:created xsi:type="dcterms:W3CDTF">2017-02-01T01:06:13Z</dcterms:created>
  <dcterms:modified xsi:type="dcterms:W3CDTF">2026-03-27T07:21:30Z</dcterms:modified>
</cp:coreProperties>
</file>