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2AD82349-4D45-484C-8192-784E265BFC2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6" r:id="rId1"/>
    <sheet name="FEBRUARI" sheetId="15" r:id="rId2"/>
    <sheet name="MARET" sheetId="17" r:id="rId3"/>
  </sheets>
  <definedNames>
    <definedName name="_xlnm.Print_Area" localSheetId="1">FEBRUARI!$A$1:$J$206</definedName>
    <definedName name="_xlnm.Print_Area" localSheetId="0">JANUARI!$A$1:$J$96</definedName>
    <definedName name="_xlnm.Print_Area" localSheetId="2">MARET!$A$1:$J$328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0" i="17" l="1"/>
  <c r="E207" i="17"/>
  <c r="I202" i="17"/>
  <c r="E204" i="17" s="1"/>
  <c r="E209" i="17" s="1"/>
  <c r="E210" i="17" s="1"/>
  <c r="G202" i="17"/>
  <c r="H201" i="17"/>
  <c r="J201" i="17" s="1"/>
  <c r="E193" i="17"/>
  <c r="E194" i="17" s="1"/>
  <c r="E163" i="17"/>
  <c r="I158" i="17"/>
  <c r="E160" i="17" s="1"/>
  <c r="E165" i="17" s="1"/>
  <c r="E166" i="17" s="1"/>
  <c r="G158" i="17"/>
  <c r="H157" i="17"/>
  <c r="J157" i="17" s="1"/>
  <c r="H156" i="17"/>
  <c r="E149" i="17"/>
  <c r="E150" i="17" s="1"/>
  <c r="H112" i="17"/>
  <c r="H68" i="17"/>
  <c r="H24" i="17"/>
  <c r="E119" i="17"/>
  <c r="I114" i="17"/>
  <c r="E116" i="17" s="1"/>
  <c r="E121" i="17" s="1"/>
  <c r="E122" i="17" s="1"/>
  <c r="G114" i="17"/>
  <c r="E105" i="17"/>
  <c r="E106" i="17" s="1"/>
  <c r="E75" i="17"/>
  <c r="I70" i="17"/>
  <c r="G70" i="17"/>
  <c r="H69" i="17"/>
  <c r="E31" i="17"/>
  <c r="I26" i="17"/>
  <c r="E28" i="17" s="1"/>
  <c r="E33" i="17" s="1"/>
  <c r="E34" i="17" s="1"/>
  <c r="G26" i="17"/>
  <c r="J25" i="17"/>
  <c r="E17" i="17"/>
  <c r="E18" i="17" s="1"/>
  <c r="E119" i="15"/>
  <c r="I114" i="15"/>
  <c r="E116" i="15" s="1"/>
  <c r="E121" i="15" s="1"/>
  <c r="E122" i="15" s="1"/>
  <c r="G114" i="15"/>
  <c r="H113" i="15"/>
  <c r="J113" i="15" s="1"/>
  <c r="H112" i="15"/>
  <c r="E105" i="15"/>
  <c r="E106" i="15" s="1"/>
  <c r="H68" i="15"/>
  <c r="H24" i="15"/>
  <c r="E31" i="16"/>
  <c r="I26" i="16"/>
  <c r="E28" i="16" s="1"/>
  <c r="H26" i="16"/>
  <c r="G26" i="16"/>
  <c r="J25" i="16"/>
  <c r="J24" i="16"/>
  <c r="J26" i="16" s="1"/>
  <c r="H69" i="15"/>
  <c r="J68" i="15"/>
  <c r="E75" i="15"/>
  <c r="I70" i="15"/>
  <c r="E72" i="15" s="1"/>
  <c r="E77" i="15" s="1"/>
  <c r="E78" i="15" s="1"/>
  <c r="G70" i="15"/>
  <c r="E61" i="15"/>
  <c r="E62" i="15" s="1"/>
  <c r="J25" i="15"/>
  <c r="J24" i="15"/>
  <c r="E31" i="15"/>
  <c r="I26" i="15"/>
  <c r="E28" i="15" s="1"/>
  <c r="G26" i="15"/>
  <c r="H202" i="17" l="1"/>
  <c r="J200" i="17"/>
  <c r="J202" i="17" s="1"/>
  <c r="H158" i="17"/>
  <c r="J156" i="17"/>
  <c r="J158" i="17" s="1"/>
  <c r="E72" i="17"/>
  <c r="E77" i="17" s="1"/>
  <c r="E78" i="17" s="1"/>
  <c r="E61" i="17"/>
  <c r="E62" i="17" s="1"/>
  <c r="J69" i="17"/>
  <c r="H113" i="17"/>
  <c r="J113" i="17" s="1"/>
  <c r="H26" i="17"/>
  <c r="J24" i="17"/>
  <c r="J26" i="17" s="1"/>
  <c r="H114" i="15"/>
  <c r="J112" i="15"/>
  <c r="J114" i="15" s="1"/>
  <c r="H70" i="15"/>
  <c r="E33" i="16"/>
  <c r="E34" i="16" s="1"/>
  <c r="E17" i="16"/>
  <c r="E18" i="16" s="1"/>
  <c r="J69" i="15"/>
  <c r="J70" i="15" s="1"/>
  <c r="E33" i="15"/>
  <c r="E34" i="15" s="1"/>
  <c r="H26" i="15"/>
  <c r="E17" i="15"/>
  <c r="E18" i="15" s="1"/>
  <c r="J26" i="15"/>
  <c r="J68" i="17" l="1"/>
  <c r="J70" i="17" s="1"/>
  <c r="H70" i="17"/>
  <c r="J112" i="17" l="1"/>
  <c r="J114" i="17" s="1"/>
  <c r="H114" i="17"/>
</calcChain>
</file>

<file path=xl/sharedStrings.xml><?xml version="1.0" encoding="utf-8"?>
<sst xmlns="http://schemas.openxmlformats.org/spreadsheetml/2006/main" count="468" uniqueCount="55">
  <si>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</si>
  <si>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</si>
  <si>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</si>
  <si>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</si>
  <si>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</si>
  <si>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</si>
  <si>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</si>
  <si>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</si>
  <si>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</si>
  <si>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</si>
  <si>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</si>
  <si>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</si>
  <si>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</si>
  <si>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</si>
  <si>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</si>
  <si>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</si>
  <si>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</si>
  <si>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</si>
  <si>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</si>
  <si>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</si>
  <si>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</si>
  <si>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</si>
  <si>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</si>
  <si>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</si>
  <si>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</si>
  <si>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</si>
  <si>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</si>
  <si>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</si>
  <si>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</si>
  <si>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</si>
  <si>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</si>
  <si>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</si>
  <si>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</si>
  <si>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BEBAN POKOK KEBUTUHAN POKOK</t>
  </si>
  <si>
    <t>IRNA WAHYUNI N.</t>
  </si>
  <si>
    <t>PERUMDA PASAR BANJARMASIN</t>
  </si>
  <si>
    <t>Beban Pokok Perdagangan Bahan Pokok</t>
  </si>
  <si>
    <t>Beban Pokok Gerai Inflasi</t>
  </si>
  <si>
    <r>
      <t>Nomor : 103/DIV-KEU/PPB/I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</si>
  <si>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03 Februari 2026</t>
  </si>
  <si>
    <r>
      <t>Nomor : 39/DIV-KEU/PPB/I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</si>
  <si>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Februari 2026</t>
  </si>
  <si>
    <t>Nomor : 36/DIV-KEU/PPB/I/2026</t>
  </si>
  <si>
    <t>Banjarmasin, 15 Januari 2026</t>
  </si>
  <si>
    <t>Banjarmasin, 18 Februari 2026</t>
  </si>
  <si>
    <r>
      <t>Nomor : 068/DIV-KEU/PPB/I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</si>
  <si>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010/DIV-KEU/PPB/II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</si>
  <si>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03 Maret 2026</t>
  </si>
  <si>
    <r>
      <t>Nomor : 021/DIV-KEU/PPB/II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</si>
  <si>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Maret 2026</t>
  </si>
  <si>
    <t>Banjarmasin, 16 Maret 2026</t>
  </si>
  <si>
    <r>
      <t>Nomor : 035/DIV-KEU/PPB/II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</si>
  <si>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036/DIV-KEU/PPB/II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</si>
  <si>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25 Maret 2026</t>
  </si>
  <si>
    <r>
      <t>Nomor : 042/DIV-KEU/PPB/II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</si>
</sst>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7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3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28576</xdr:rowOff>
    </xdr:from>
    <xdr:to>
      <xdr:col>9</xdr:col>
      <xdr:colOff>1162050</xdr:colOff>
      <xdr:row>9</xdr:row>
      <xdr:rowOff>108387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0E5B-722F-4972-82F8-A4808471B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28576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049E7D2-37F8-4E66-990C-7CE3F68D18AF}"/>
            </a:ext>
          </a:extLst>
        </xdr:cNvPr>
        <xdr:cNvCxnSpPr/>
      </xdr:nvCxnSpPr>
      <xdr:spPr>
        <a:xfrm>
          <a:off x="19050" y="1209675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88</xdr:row>
      <xdr:rowOff>9525</xdr:rowOff>
    </xdr:from>
    <xdr:to>
      <xdr:col>9</xdr:col>
      <xdr:colOff>1162051</xdr:colOff>
      <xdr:row>97</xdr:row>
      <xdr:rowOff>89336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0BAEAA-8633-40B4-97B4-8933FBC1C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7630775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44</xdr:row>
      <xdr:rowOff>9525</xdr:rowOff>
    </xdr:from>
    <xdr:to>
      <xdr:col>9</xdr:col>
      <xdr:colOff>1162051</xdr:colOff>
      <xdr:row>53</xdr:row>
      <xdr:rowOff>89336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50F324-8E88-48D9-BF8A-DAE8F0CA9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820150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9</xdr:col>
      <xdr:colOff>1162050</xdr:colOff>
      <xdr:row>9</xdr:row>
      <xdr:rowOff>108387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35C142F-1441-457D-B92C-2D2E2FF62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28576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01AA88C-F4A6-4B29-9B54-01DD7CBE2129}"/>
            </a:ext>
          </a:extLst>
        </xdr:cNvPr>
        <xdr:cNvCxnSpPr/>
      </xdr:nvCxnSpPr>
      <xdr:spPr>
        <a:xfrm>
          <a:off x="19050" y="1409700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5C497F-7A8C-45FF-88FE-2F477413B770}"/>
            </a:ext>
          </a:extLst>
        </xdr:cNvPr>
        <xdr:cNvCxnSpPr/>
      </xdr:nvCxnSpPr>
      <xdr:spPr>
        <a:xfrm>
          <a:off x="19050" y="1209675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7ED5D1A-B700-4B85-8467-063DD3A8F1DE}"/>
            </a:ext>
          </a:extLst>
        </xdr:cNvPr>
        <xdr:cNvCxnSpPr/>
      </xdr:nvCxnSpPr>
      <xdr:spPr>
        <a:xfrm>
          <a:off x="19050" y="10020300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176</xdr:row>
      <xdr:rowOff>9525</xdr:rowOff>
    </xdr:from>
    <xdr:to>
      <xdr:col>9</xdr:col>
      <xdr:colOff>1162051</xdr:colOff>
      <xdr:row>185</xdr:row>
      <xdr:rowOff>89336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D2F478-E56C-457D-BDC7-D2F190285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5252025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132</xdr:row>
      <xdr:rowOff>9525</xdr:rowOff>
    </xdr:from>
    <xdr:to>
      <xdr:col>9</xdr:col>
      <xdr:colOff>1162051</xdr:colOff>
      <xdr:row>141</xdr:row>
      <xdr:rowOff>89336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3062D6-D40C-4A27-8AFA-01AC90C00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6441400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88</xdr:row>
      <xdr:rowOff>9525</xdr:rowOff>
    </xdr:from>
    <xdr:to>
      <xdr:col>9</xdr:col>
      <xdr:colOff>1162051</xdr:colOff>
      <xdr:row>97</xdr:row>
      <xdr:rowOff>89336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132A7-2465-446E-913B-E3EA007E3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7630775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44</xdr:row>
      <xdr:rowOff>9525</xdr:rowOff>
    </xdr:from>
    <xdr:to>
      <xdr:col>9</xdr:col>
      <xdr:colOff>1162051</xdr:colOff>
      <xdr:row>53</xdr:row>
      <xdr:rowOff>89336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D1EC4D-3DB4-4295-B7DB-B4CA5F8DA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820150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9</xdr:col>
      <xdr:colOff>1162050</xdr:colOff>
      <xdr:row>9</xdr:row>
      <xdr:rowOff>108387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EA4AD3-DA8C-4019-A20B-B8522D24B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28576"/>
          <a:ext cx="7943851" cy="1813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6B543C4-71ED-4547-AD3A-0757712AC0D9}"/>
            </a:ext>
          </a:extLst>
        </xdr:cNvPr>
        <xdr:cNvCxnSpPr/>
      </xdr:nvCxnSpPr>
      <xdr:spPr>
        <a:xfrm>
          <a:off x="19050" y="1209675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2E068BD-8B1C-4E47-A532-0B1006CDE44D}"/>
            </a:ext>
          </a:extLst>
        </xdr:cNvPr>
        <xdr:cNvCxnSpPr/>
      </xdr:nvCxnSpPr>
      <xdr:spPr>
        <a:xfrm>
          <a:off x="19050" y="10020300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2FB13E1-8776-4765-A0CD-9633D496A612}"/>
            </a:ext>
          </a:extLst>
        </xdr:cNvPr>
        <xdr:cNvCxnSpPr/>
      </xdr:nvCxnSpPr>
      <xdr:spPr>
        <a:xfrm>
          <a:off x="19050" y="18830925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138</xdr:row>
      <xdr:rowOff>47625</xdr:rowOff>
    </xdr:from>
    <xdr:to>
      <xdr:col>9</xdr:col>
      <xdr:colOff>1162050</xdr:colOff>
      <xdr:row>138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B3DC41A-6DDC-41F5-BD7E-55CE171E900C}"/>
            </a:ext>
          </a:extLst>
        </xdr:cNvPr>
        <xdr:cNvCxnSpPr/>
      </xdr:nvCxnSpPr>
      <xdr:spPr>
        <a:xfrm>
          <a:off x="19050" y="18830925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182</xdr:row>
      <xdr:rowOff>47625</xdr:rowOff>
    </xdr:from>
    <xdr:to>
      <xdr:col>9</xdr:col>
      <xdr:colOff>1162050</xdr:colOff>
      <xdr:row>182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2FCF694-B08B-41FB-A189-9E96ADBBFBE0}"/>
            </a:ext>
          </a:extLst>
        </xdr:cNvPr>
        <xdr:cNvCxnSpPr/>
      </xdr:nvCxnSpPr>
      <xdr:spPr>
        <a:xfrm>
          <a:off x="19050" y="27641550"/>
          <a:ext cx="79533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3ECD-1359-4C5D-B4B9-140643AF396B}">
  <dimension ref="A1:V44"/>
  <sheetViews>
    <sheetView view="pageBreakPreview" zoomScaleNormal="100" zoomScaleSheetLayoutView="100" workbookViewId="0">
      <selection activeCell="J43" sqref="A1:J43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7.57031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30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42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35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25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I26</f>
        <v>150000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0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1" t="s">
        <v>4</v>
      </c>
      <c r="D22" s="62"/>
      <c r="E22" s="63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33</v>
      </c>
      <c r="D23" s="57"/>
      <c r="E23" s="45"/>
      <c r="F23" s="39"/>
      <c r="G23" s="56" t="s">
        <v>29</v>
      </c>
      <c r="H23" s="56" t="s">
        <v>29</v>
      </c>
      <c r="I23" s="56" t="s">
        <v>29</v>
      </c>
      <c r="J23" s="56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59"/>
      <c r="B24" s="48" t="s">
        <v>23</v>
      </c>
      <c r="C24" s="39" t="s">
        <v>36</v>
      </c>
      <c r="D24" s="8"/>
      <c r="E24" s="45"/>
      <c r="F24" s="39"/>
      <c r="G24" s="52">
        <v>17824795429</v>
      </c>
      <c r="H24" s="46">
        <v>0</v>
      </c>
      <c r="I24" s="36">
        <v>150000</v>
      </c>
      <c r="J24" s="37">
        <f>G24-H24-I24</f>
        <v>17824645429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37</v>
      </c>
      <c r="D25" s="8"/>
      <c r="E25" s="45"/>
      <c r="F25" s="39"/>
      <c r="G25" s="52">
        <v>1212786825</v>
      </c>
      <c r="H25" s="46">
        <v>0</v>
      </c>
      <c r="I25" s="36">
        <v>0</v>
      </c>
      <c r="J25" s="37">
        <f>G25-H25-I25</f>
        <v>1212786825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19037582254</v>
      </c>
      <c r="H26" s="18">
        <f>SUM(H23:H25)</f>
        <v>0</v>
      </c>
      <c r="I26" s="18">
        <f>SUM(I23:I25)</f>
        <v>150000</v>
      </c>
      <c r="J26" s="18">
        <f>SUM(J23:J25)</f>
        <v>19037432254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4" t="s">
        <v>14</v>
      </c>
      <c r="B28" s="64"/>
      <c r="C28" s="64"/>
      <c r="D28" s="33" t="s">
        <v>12</v>
      </c>
      <c r="E28" s="44">
        <f>I26</f>
        <v>150000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4" t="s">
        <v>15</v>
      </c>
      <c r="B33" s="64"/>
      <c r="C33" s="64"/>
      <c r="D33" s="33" t="s">
        <v>12</v>
      </c>
      <c r="E33" s="38">
        <f>E28-E31</f>
        <v>150000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1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43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27</v>
      </c>
      <c r="B38" s="9"/>
      <c r="C38" s="8"/>
      <c r="D38" s="8"/>
      <c r="E38" s="8"/>
      <c r="F38" s="8"/>
      <c r="G38" s="8"/>
      <c r="I38" s="9" t="s">
        <v>26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34</v>
      </c>
      <c r="B43" s="28"/>
      <c r="C43" s="27"/>
      <c r="D43" s="27"/>
      <c r="E43" s="27"/>
      <c r="F43" s="27"/>
      <c r="G43" s="8" t="s">
        <v>11</v>
      </c>
      <c r="I43" s="28" t="s">
        <v>28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</sheetData>
  <mergeCells count="9">
    <mergeCell ref="C22:E22"/>
    <mergeCell ref="A28:C28"/>
    <mergeCell ref="A33:C33"/>
    <mergeCell ref="A8:J8"/>
    <mergeCell ref="A9:J9"/>
    <mergeCell ref="A10:J10"/>
    <mergeCell ref="A11:J11"/>
    <mergeCell ref="A12:J12"/>
    <mergeCell ref="A21:J21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1" manualBreakCount="1">
    <brk id="44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0E5E-85A1-467A-B9F8-B1E7B37F0E39}">
  <dimension ref="A1:V131"/>
  <sheetViews>
    <sheetView view="pageBreakPreview" topLeftCell="A98" zoomScaleNormal="100" zoomScaleSheetLayoutView="100" workbookViewId="0">
      <selection activeCell="A89" sqref="A89:J131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7.57031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30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38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35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25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I26</f>
        <v>1525000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0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1" t="s">
        <v>4</v>
      </c>
      <c r="D22" s="62"/>
      <c r="E22" s="63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33</v>
      </c>
      <c r="D23" s="57"/>
      <c r="E23" s="45"/>
      <c r="F23" s="39"/>
      <c r="G23" s="56" t="s">
        <v>29</v>
      </c>
      <c r="H23" s="56" t="s">
        <v>29</v>
      </c>
      <c r="I23" s="56" t="s">
        <v>29</v>
      </c>
      <c r="J23" s="56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59"/>
      <c r="B24" s="48" t="s">
        <v>23</v>
      </c>
      <c r="C24" s="39" t="s">
        <v>36</v>
      </c>
      <c r="D24" s="8"/>
      <c r="E24" s="45"/>
      <c r="F24" s="39"/>
      <c r="G24" s="52">
        <v>17824795429</v>
      </c>
      <c r="H24" s="46">
        <f>JANUARI!H24+JANUARI!I24</f>
        <v>150000</v>
      </c>
      <c r="I24" s="36">
        <v>1525000</v>
      </c>
      <c r="J24" s="37">
        <f>G24-H24-I24</f>
        <v>17823120429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37</v>
      </c>
      <c r="D25" s="8"/>
      <c r="E25" s="45"/>
      <c r="F25" s="39"/>
      <c r="G25" s="52">
        <v>1212786825</v>
      </c>
      <c r="H25" s="46">
        <v>0</v>
      </c>
      <c r="I25" s="36">
        <v>0</v>
      </c>
      <c r="J25" s="37">
        <f>G25-H25-I25</f>
        <v>1212786825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19037582254</v>
      </c>
      <c r="H26" s="18">
        <f>SUM(H23:H25)</f>
        <v>150000</v>
      </c>
      <c r="I26" s="18">
        <f>SUM(I23:I25)</f>
        <v>1525000</v>
      </c>
      <c r="J26" s="18">
        <f>SUM(J23:J25)</f>
        <v>19035907254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4" t="s">
        <v>14</v>
      </c>
      <c r="B28" s="64"/>
      <c r="C28" s="64"/>
      <c r="D28" s="33" t="s">
        <v>12</v>
      </c>
      <c r="E28" s="44">
        <f>I26</f>
        <v>1525000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4" t="s">
        <v>15</v>
      </c>
      <c r="B33" s="64"/>
      <c r="C33" s="64"/>
      <c r="D33" s="33" t="s">
        <v>12</v>
      </c>
      <c r="E33" s="38">
        <f>E28-E31</f>
        <v>1525000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1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39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27</v>
      </c>
      <c r="B38" s="9"/>
      <c r="C38" s="8"/>
      <c r="D38" s="8"/>
      <c r="E38" s="8"/>
      <c r="F38" s="8"/>
      <c r="G38" s="8"/>
      <c r="I38" s="9" t="s">
        <v>26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34</v>
      </c>
      <c r="B43" s="28"/>
      <c r="C43" s="27"/>
      <c r="D43" s="27"/>
      <c r="E43" s="27"/>
      <c r="F43" s="27"/>
      <c r="G43" s="8" t="s">
        <v>11</v>
      </c>
      <c r="I43" s="28" t="s">
        <v>28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5" t="s">
        <v>30</v>
      </c>
      <c r="B52" s="65"/>
      <c r="C52" s="66"/>
      <c r="D52" s="66"/>
      <c r="E52" s="66"/>
      <c r="F52" s="66"/>
      <c r="G52" s="66"/>
      <c r="H52" s="66"/>
      <c r="I52" s="66"/>
      <c r="J52" s="66"/>
    </row>
    <row r="53" spans="1:10" x14ac:dyDescent="0.25">
      <c r="A53" s="66" t="s">
        <v>40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10" x14ac:dyDescent="0.25">
      <c r="A54" s="66" t="s">
        <v>13</v>
      </c>
      <c r="B54" s="66"/>
      <c r="C54" s="66"/>
      <c r="D54" s="66"/>
      <c r="E54" s="66"/>
      <c r="F54" s="66"/>
      <c r="G54" s="66"/>
      <c r="H54" s="66"/>
      <c r="I54" s="66"/>
      <c r="J54" s="66"/>
    </row>
    <row r="55" spans="1:10" x14ac:dyDescent="0.25">
      <c r="A55" s="66" t="s">
        <v>35</v>
      </c>
      <c r="B55" s="66"/>
      <c r="C55" s="66"/>
      <c r="D55" s="66"/>
      <c r="E55" s="66"/>
      <c r="F55" s="66"/>
      <c r="G55" s="66"/>
      <c r="H55" s="66"/>
      <c r="I55" s="66"/>
      <c r="J55" s="66"/>
    </row>
    <row r="56" spans="1:10" x14ac:dyDescent="0.25">
      <c r="A56" s="66" t="s">
        <v>25</v>
      </c>
      <c r="B56" s="66"/>
      <c r="C56" s="66"/>
      <c r="D56" s="66"/>
      <c r="E56" s="66"/>
      <c r="F56" s="66"/>
      <c r="G56" s="66"/>
      <c r="H56" s="66"/>
      <c r="I56" s="66"/>
      <c r="J56" s="66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3" t="s">
        <v>18</v>
      </c>
      <c r="B58" s="53"/>
      <c r="C58" s="53"/>
      <c r="D58" s="40" t="s">
        <v>12</v>
      </c>
      <c r="E58" s="8" t="s">
        <v>31</v>
      </c>
      <c r="H58" s="9"/>
      <c r="I58" s="9"/>
      <c r="J58" s="10"/>
    </row>
    <row r="59" spans="1:10" x14ac:dyDescent="0.25">
      <c r="A59" s="53" t="s">
        <v>19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20</v>
      </c>
      <c r="B60" s="53"/>
      <c r="C60" s="53"/>
      <c r="D60" s="40" t="s">
        <v>12</v>
      </c>
      <c r="E60" s="47">
        <v>2026</v>
      </c>
      <c r="H60" s="9"/>
      <c r="I60" s="9"/>
      <c r="J60" s="10"/>
    </row>
    <row r="61" spans="1:10" x14ac:dyDescent="0.25">
      <c r="A61" s="53" t="s">
        <v>21</v>
      </c>
      <c r="B61" s="53"/>
      <c r="C61" s="53"/>
      <c r="D61" s="40" t="s">
        <v>12</v>
      </c>
      <c r="E61" s="44">
        <f>I70</f>
        <v>1525000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40" t="s">
        <v>12</v>
      </c>
      <c r="E62" s="51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40"/>
      <c r="G63" s="51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0" t="s">
        <v>2</v>
      </c>
      <c r="B65" s="60"/>
      <c r="C65" s="60"/>
      <c r="D65" s="60"/>
      <c r="E65" s="60"/>
      <c r="F65" s="60"/>
      <c r="G65" s="60"/>
      <c r="H65" s="60"/>
      <c r="I65" s="60"/>
      <c r="J65" s="60"/>
    </row>
    <row r="66" spans="1:10" ht="45" x14ac:dyDescent="0.25">
      <c r="A66" s="12" t="s">
        <v>3</v>
      </c>
      <c r="B66" s="58" t="s">
        <v>22</v>
      </c>
      <c r="C66" s="61" t="s">
        <v>4</v>
      </c>
      <c r="D66" s="62"/>
      <c r="E66" s="63"/>
      <c r="F66" s="50"/>
      <c r="G66" s="41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59">
        <v>1</v>
      </c>
      <c r="B67" s="48"/>
      <c r="C67" s="55" t="s">
        <v>33</v>
      </c>
      <c r="D67" s="57"/>
      <c r="E67" s="45"/>
      <c r="F67" s="39"/>
      <c r="G67" s="56" t="s">
        <v>29</v>
      </c>
      <c r="H67" s="56" t="s">
        <v>29</v>
      </c>
      <c r="I67" s="56" t="s">
        <v>29</v>
      </c>
      <c r="J67" s="56" t="s">
        <v>29</v>
      </c>
    </row>
    <row r="68" spans="1:10" x14ac:dyDescent="0.25">
      <c r="A68" s="59"/>
      <c r="B68" s="48" t="s">
        <v>23</v>
      </c>
      <c r="C68" s="39" t="s">
        <v>36</v>
      </c>
      <c r="D68" s="8"/>
      <c r="E68" s="45"/>
      <c r="F68" s="39"/>
      <c r="G68" s="52">
        <v>17824795429</v>
      </c>
      <c r="H68" s="46">
        <f>H24+I24</f>
        <v>1675000</v>
      </c>
      <c r="I68" s="36">
        <v>1525000</v>
      </c>
      <c r="J68" s="37">
        <f>G68-H68-I68</f>
        <v>17821595429</v>
      </c>
    </row>
    <row r="69" spans="1:10" x14ac:dyDescent="0.25">
      <c r="A69" s="48"/>
      <c r="B69" s="48" t="s">
        <v>24</v>
      </c>
      <c r="C69" s="39" t="s">
        <v>37</v>
      </c>
      <c r="D69" s="8"/>
      <c r="E69" s="45"/>
      <c r="F69" s="39"/>
      <c r="G69" s="52">
        <v>1212786825</v>
      </c>
      <c r="H69" s="46">
        <f>H25+I25</f>
        <v>0</v>
      </c>
      <c r="I69" s="36">
        <v>0</v>
      </c>
      <c r="J69" s="37">
        <f>G69-H69-I69</f>
        <v>1212786825</v>
      </c>
    </row>
    <row r="70" spans="1:10" x14ac:dyDescent="0.25">
      <c r="A70" s="16"/>
      <c r="B70" s="16"/>
      <c r="C70" s="17" t="s">
        <v>8</v>
      </c>
      <c r="D70" s="17"/>
      <c r="E70" s="17"/>
      <c r="F70" s="43"/>
      <c r="G70" s="42">
        <f>SUM(G67:G69)</f>
        <v>19037582254</v>
      </c>
      <c r="H70" s="18">
        <f>SUM(H67:H69)</f>
        <v>1675000</v>
      </c>
      <c r="I70" s="18">
        <f>SUM(I67:I69)</f>
        <v>1525000</v>
      </c>
      <c r="J70" s="18">
        <f>SUM(J67:J69)</f>
        <v>19034382254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64" t="s">
        <v>14</v>
      </c>
      <c r="B72" s="64"/>
      <c r="C72" s="64"/>
      <c r="D72" s="33" t="s">
        <v>12</v>
      </c>
      <c r="E72" s="44">
        <f>I70</f>
        <v>1525000</v>
      </c>
      <c r="F72" s="38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7"/>
      <c r="B76" s="47"/>
      <c r="C76" s="47"/>
      <c r="D76" s="33"/>
      <c r="E76" s="47"/>
      <c r="F76" s="47"/>
      <c r="G76" s="8"/>
      <c r="H76" s="9"/>
      <c r="I76" s="23"/>
      <c r="J76" s="24"/>
    </row>
    <row r="77" spans="1:10" x14ac:dyDescent="0.25">
      <c r="A77" s="64" t="s">
        <v>15</v>
      </c>
      <c r="B77" s="64"/>
      <c r="C77" s="64"/>
      <c r="D77" s="33" t="s">
        <v>12</v>
      </c>
      <c r="E77" s="38">
        <f>E72-E75</f>
        <v>1525000</v>
      </c>
      <c r="F77" s="38"/>
      <c r="G77" s="8"/>
      <c r="H77" s="9"/>
      <c r="I77" s="23"/>
      <c r="J77" s="24"/>
    </row>
    <row r="78" spans="1:10" ht="15.75" x14ac:dyDescent="0.25">
      <c r="A78" s="47"/>
      <c r="B78" s="47"/>
      <c r="C78" s="8"/>
      <c r="D78" s="8"/>
      <c r="E78" s="51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7"/>
      <c r="B81" s="47"/>
      <c r="C81" s="8"/>
      <c r="D81" s="8"/>
      <c r="E81" s="8"/>
      <c r="F81" s="8"/>
      <c r="G81" s="8"/>
      <c r="I81" s="49" t="s">
        <v>41</v>
      </c>
      <c r="J81" s="24"/>
    </row>
    <row r="82" spans="1:10" x14ac:dyDescent="0.25">
      <c r="A82" s="9" t="s">
        <v>27</v>
      </c>
      <c r="B82" s="9"/>
      <c r="C82" s="8"/>
      <c r="D82" s="8"/>
      <c r="E82" s="8"/>
      <c r="F82" s="8"/>
      <c r="G82" s="8"/>
      <c r="I82" s="9" t="s">
        <v>26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34</v>
      </c>
      <c r="B87" s="28"/>
      <c r="C87" s="27"/>
      <c r="D87" s="27"/>
      <c r="E87" s="27"/>
      <c r="F87" s="27"/>
      <c r="G87" s="8" t="s">
        <v>11</v>
      </c>
      <c r="I87" s="28" t="s">
        <v>28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5" t="s">
        <v>30</v>
      </c>
      <c r="B96" s="65"/>
      <c r="C96" s="66"/>
      <c r="D96" s="66"/>
      <c r="E96" s="66"/>
      <c r="F96" s="66"/>
      <c r="G96" s="66"/>
      <c r="H96" s="66"/>
      <c r="I96" s="66"/>
      <c r="J96" s="66"/>
    </row>
    <row r="97" spans="1:10" x14ac:dyDescent="0.25">
      <c r="A97" s="66" t="s">
        <v>45</v>
      </c>
      <c r="B97" s="66"/>
      <c r="C97" s="66"/>
      <c r="D97" s="66"/>
      <c r="E97" s="66"/>
      <c r="F97" s="66"/>
      <c r="G97" s="66"/>
      <c r="H97" s="66"/>
      <c r="I97" s="66"/>
      <c r="J97" s="66"/>
    </row>
    <row r="98" spans="1:10" x14ac:dyDescent="0.25">
      <c r="A98" s="66" t="s">
        <v>13</v>
      </c>
      <c r="B98" s="66"/>
      <c r="C98" s="66"/>
      <c r="D98" s="66"/>
      <c r="E98" s="66"/>
      <c r="F98" s="66"/>
      <c r="G98" s="66"/>
      <c r="H98" s="66"/>
      <c r="I98" s="66"/>
      <c r="J98" s="66"/>
    </row>
    <row r="99" spans="1:10" x14ac:dyDescent="0.25">
      <c r="A99" s="66" t="s">
        <v>35</v>
      </c>
      <c r="B99" s="66"/>
      <c r="C99" s="66"/>
      <c r="D99" s="66"/>
      <c r="E99" s="66"/>
      <c r="F99" s="66"/>
      <c r="G99" s="66"/>
      <c r="H99" s="66"/>
      <c r="I99" s="66"/>
      <c r="J99" s="66"/>
    </row>
    <row r="100" spans="1:10" x14ac:dyDescent="0.25">
      <c r="A100" s="66" t="s">
        <v>25</v>
      </c>
      <c r="B100" s="66"/>
      <c r="C100" s="66"/>
      <c r="D100" s="66"/>
      <c r="E100" s="66"/>
      <c r="F100" s="66"/>
      <c r="G100" s="66"/>
      <c r="H100" s="66"/>
      <c r="I100" s="66"/>
      <c r="J100" s="66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3" t="s">
        <v>18</v>
      </c>
      <c r="B102" s="53"/>
      <c r="C102" s="53"/>
      <c r="D102" s="40" t="s">
        <v>12</v>
      </c>
      <c r="E102" s="8" t="s">
        <v>31</v>
      </c>
      <c r="H102" s="9"/>
      <c r="I102" s="9"/>
      <c r="J102" s="10"/>
    </row>
    <row r="103" spans="1:10" x14ac:dyDescent="0.25">
      <c r="A103" s="53" t="s">
        <v>19</v>
      </c>
      <c r="B103" s="53"/>
      <c r="C103" s="53"/>
      <c r="D103" s="40" t="s">
        <v>12</v>
      </c>
      <c r="E103" s="8" t="s">
        <v>32</v>
      </c>
      <c r="H103" s="9"/>
      <c r="I103" s="9"/>
      <c r="J103" s="10"/>
    </row>
    <row r="104" spans="1:10" x14ac:dyDescent="0.25">
      <c r="A104" s="53" t="s">
        <v>20</v>
      </c>
      <c r="B104" s="53"/>
      <c r="C104" s="53"/>
      <c r="D104" s="40" t="s">
        <v>12</v>
      </c>
      <c r="E104" s="47">
        <v>2026</v>
      </c>
      <c r="H104" s="9"/>
      <c r="I104" s="9"/>
      <c r="J104" s="10"/>
    </row>
    <row r="105" spans="1:10" x14ac:dyDescent="0.25">
      <c r="A105" s="53" t="s">
        <v>21</v>
      </c>
      <c r="B105" s="53"/>
      <c r="C105" s="53"/>
      <c r="D105" s="40" t="s">
        <v>12</v>
      </c>
      <c r="E105" s="44">
        <f>I114</f>
        <v>1525000</v>
      </c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40" t="s">
        <v>12</v>
      </c>
      <c r="E106" s="51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40"/>
      <c r="G107" s="51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0" t="s">
        <v>2</v>
      </c>
      <c r="B109" s="60"/>
      <c r="C109" s="60"/>
      <c r="D109" s="60"/>
      <c r="E109" s="60"/>
      <c r="F109" s="60"/>
      <c r="G109" s="60"/>
      <c r="H109" s="60"/>
      <c r="I109" s="60"/>
      <c r="J109" s="60"/>
    </row>
    <row r="110" spans="1:10" ht="45" x14ac:dyDescent="0.25">
      <c r="A110" s="12" t="s">
        <v>3</v>
      </c>
      <c r="B110" s="58" t="s">
        <v>22</v>
      </c>
      <c r="C110" s="61" t="s">
        <v>4</v>
      </c>
      <c r="D110" s="62"/>
      <c r="E110" s="63"/>
      <c r="F110" s="50"/>
      <c r="G110" s="41" t="s">
        <v>5</v>
      </c>
      <c r="H110" s="13" t="s">
        <v>17</v>
      </c>
      <c r="I110" s="14" t="s">
        <v>6</v>
      </c>
      <c r="J110" s="15" t="s">
        <v>7</v>
      </c>
    </row>
    <row r="111" spans="1:10" x14ac:dyDescent="0.25">
      <c r="A111" s="59">
        <v>1</v>
      </c>
      <c r="B111" s="48"/>
      <c r="C111" s="55" t="s">
        <v>33</v>
      </c>
      <c r="D111" s="57"/>
      <c r="E111" s="45"/>
      <c r="F111" s="39"/>
      <c r="G111" s="56" t="s">
        <v>29</v>
      </c>
      <c r="H111" s="56" t="s">
        <v>29</v>
      </c>
      <c r="I111" s="56" t="s">
        <v>29</v>
      </c>
      <c r="J111" s="56" t="s">
        <v>29</v>
      </c>
    </row>
    <row r="112" spans="1:10" x14ac:dyDescent="0.25">
      <c r="A112" s="59"/>
      <c r="B112" s="48" t="s">
        <v>23</v>
      </c>
      <c r="C112" s="39" t="s">
        <v>36</v>
      </c>
      <c r="D112" s="8"/>
      <c r="E112" s="45"/>
      <c r="F112" s="39"/>
      <c r="G112" s="52">
        <v>17824795429</v>
      </c>
      <c r="H112" s="46">
        <f>H68+I68</f>
        <v>3200000</v>
      </c>
      <c r="I112" s="36">
        <v>1525000</v>
      </c>
      <c r="J112" s="37">
        <f>G112-H112-I112</f>
        <v>17820070429</v>
      </c>
    </row>
    <row r="113" spans="1:10" x14ac:dyDescent="0.25">
      <c r="A113" s="48"/>
      <c r="B113" s="48" t="s">
        <v>24</v>
      </c>
      <c r="C113" s="39" t="s">
        <v>37</v>
      </c>
      <c r="D113" s="8"/>
      <c r="E113" s="45"/>
      <c r="F113" s="39"/>
      <c r="G113" s="52">
        <v>1212786825</v>
      </c>
      <c r="H113" s="46">
        <f>H69+I69</f>
        <v>0</v>
      </c>
      <c r="I113" s="36">
        <v>0</v>
      </c>
      <c r="J113" s="37">
        <f>G113-H113-I113</f>
        <v>1212786825</v>
      </c>
    </row>
    <row r="114" spans="1:10" x14ac:dyDescent="0.25">
      <c r="A114" s="16"/>
      <c r="B114" s="16"/>
      <c r="C114" s="17" t="s">
        <v>8</v>
      </c>
      <c r="D114" s="17"/>
      <c r="E114" s="17"/>
      <c r="F114" s="43"/>
      <c r="G114" s="42">
        <f>SUM(G111:G113)</f>
        <v>19037582254</v>
      </c>
      <c r="H114" s="18">
        <f>SUM(H111:H113)</f>
        <v>3200000</v>
      </c>
      <c r="I114" s="18">
        <f>SUM(I111:I113)</f>
        <v>1525000</v>
      </c>
      <c r="J114" s="18">
        <f>SUM(J111:J113)</f>
        <v>19032857254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64" t="s">
        <v>14</v>
      </c>
      <c r="B116" s="64"/>
      <c r="C116" s="64"/>
      <c r="D116" s="33" t="s">
        <v>12</v>
      </c>
      <c r="E116" s="44">
        <f>I114</f>
        <v>1525000</v>
      </c>
      <c r="F116" s="38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16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7"/>
      <c r="B120" s="47"/>
      <c r="C120" s="47"/>
      <c r="D120" s="33"/>
      <c r="E120" s="47"/>
      <c r="F120" s="47"/>
      <c r="G120" s="8"/>
      <c r="H120" s="9"/>
      <c r="I120" s="23"/>
      <c r="J120" s="24"/>
    </row>
    <row r="121" spans="1:10" x14ac:dyDescent="0.25">
      <c r="A121" s="64" t="s">
        <v>15</v>
      </c>
      <c r="B121" s="64"/>
      <c r="C121" s="64"/>
      <c r="D121" s="33" t="s">
        <v>12</v>
      </c>
      <c r="E121" s="38">
        <f>E116-E119</f>
        <v>1525000</v>
      </c>
      <c r="F121" s="38"/>
      <c r="G121" s="8"/>
      <c r="H121" s="9"/>
      <c r="I121" s="23"/>
      <c r="J121" s="24"/>
    </row>
    <row r="122" spans="1:10" ht="15.75" x14ac:dyDescent="0.25">
      <c r="A122" s="47"/>
      <c r="B122" s="47"/>
      <c r="C122" s="8"/>
      <c r="D122" s="8"/>
      <c r="E122" s="51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7"/>
      <c r="B125" s="47"/>
      <c r="C125" s="8"/>
      <c r="D125" s="8"/>
      <c r="E125" s="8"/>
      <c r="F125" s="8"/>
      <c r="G125" s="8"/>
      <c r="I125" s="49" t="s">
        <v>44</v>
      </c>
      <c r="J125" s="24"/>
    </row>
    <row r="126" spans="1:10" x14ac:dyDescent="0.25">
      <c r="A126" s="9" t="s">
        <v>27</v>
      </c>
      <c r="B126" s="9"/>
      <c r="C126" s="8"/>
      <c r="D126" s="8"/>
      <c r="E126" s="8"/>
      <c r="F126" s="8"/>
      <c r="G126" s="8"/>
      <c r="I126" s="9" t="s">
        <v>26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34</v>
      </c>
      <c r="B131" s="28"/>
      <c r="C131" s="27"/>
      <c r="D131" s="27"/>
      <c r="E131" s="27"/>
      <c r="F131" s="27"/>
      <c r="G131" s="8" t="s">
        <v>11</v>
      </c>
      <c r="I131" s="28" t="s">
        <v>28</v>
      </c>
      <c r="J131" s="24"/>
    </row>
  </sheetData>
  <mergeCells count="27">
    <mergeCell ref="A109:J109"/>
    <mergeCell ref="C110:E110"/>
    <mergeCell ref="A116:C116"/>
    <mergeCell ref="A121:C121"/>
    <mergeCell ref="A96:J96"/>
    <mergeCell ref="A97:J97"/>
    <mergeCell ref="A98:J98"/>
    <mergeCell ref="A99:J99"/>
    <mergeCell ref="A100:J100"/>
    <mergeCell ref="A65:J65"/>
    <mergeCell ref="C66:E66"/>
    <mergeCell ref="A72:C72"/>
    <mergeCell ref="A77:C77"/>
    <mergeCell ref="A52:J52"/>
    <mergeCell ref="A53:J53"/>
    <mergeCell ref="A54:J54"/>
    <mergeCell ref="A55:J55"/>
    <mergeCell ref="A56:J56"/>
    <mergeCell ref="C22:E22"/>
    <mergeCell ref="A28:C28"/>
    <mergeCell ref="A33:C33"/>
    <mergeCell ref="A21:J21"/>
    <mergeCell ref="A8:J8"/>
    <mergeCell ref="A9:J9"/>
    <mergeCell ref="A10:J10"/>
    <mergeCell ref="A11:J11"/>
    <mergeCell ref="A12:J12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3" manualBreakCount="3">
    <brk id="44" max="9" man="1"/>
    <brk id="88" max="9" man="1"/>
    <brk id="132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84B3-A5E7-4CC8-8140-D7B522027B81}">
  <dimension ref="A1:V219"/>
  <sheetViews>
    <sheetView tabSelected="1" view="pageBreakPreview" topLeftCell="A158" zoomScaleNormal="100" zoomScaleSheetLayoutView="100" workbookViewId="0">
      <selection activeCell="J219" sqref="A177:J219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7.57031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30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46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35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25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I26</f>
        <v>1220000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0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1" t="s">
        <v>4</v>
      </c>
      <c r="D22" s="62"/>
      <c r="E22" s="63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33</v>
      </c>
      <c r="D23" s="57"/>
      <c r="E23" s="45"/>
      <c r="F23" s="39"/>
      <c r="G23" s="56" t="s">
        <v>29</v>
      </c>
      <c r="H23" s="56" t="s">
        <v>29</v>
      </c>
      <c r="I23" s="56" t="s">
        <v>29</v>
      </c>
      <c r="J23" s="56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59"/>
      <c r="B24" s="48" t="s">
        <v>23</v>
      </c>
      <c r="C24" s="39" t="s">
        <v>36</v>
      </c>
      <c r="D24" s="8"/>
      <c r="E24" s="45"/>
      <c r="F24" s="39"/>
      <c r="G24" s="52">
        <v>17824795429</v>
      </c>
      <c r="H24" s="46">
        <f>FEBRUARI!H112+FEBRUARI!I112</f>
        <v>4725000</v>
      </c>
      <c r="I24" s="36">
        <v>1220000</v>
      </c>
      <c r="J24" s="37">
        <f>G24-H24-I24</f>
        <v>17818850429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37</v>
      </c>
      <c r="D25" s="8"/>
      <c r="E25" s="45"/>
      <c r="F25" s="39"/>
      <c r="G25" s="52">
        <v>1212786825</v>
      </c>
      <c r="H25" s="46">
        <v>0</v>
      </c>
      <c r="I25" s="36">
        <v>0</v>
      </c>
      <c r="J25" s="37">
        <f>G25-H25-I25</f>
        <v>1212786825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19037582254</v>
      </c>
      <c r="H26" s="18">
        <f>SUM(H23:H25)</f>
        <v>4725000</v>
      </c>
      <c r="I26" s="18">
        <f>SUM(I23:I25)</f>
        <v>1220000</v>
      </c>
      <c r="J26" s="18">
        <f>SUM(J23:J25)</f>
        <v>19031637254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4" t="s">
        <v>14</v>
      </c>
      <c r="B28" s="64"/>
      <c r="C28" s="64"/>
      <c r="D28" s="33" t="s">
        <v>12</v>
      </c>
      <c r="E28" s="44">
        <f>I26</f>
        <v>1220000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4" t="s">
        <v>15</v>
      </c>
      <c r="B33" s="64"/>
      <c r="C33" s="64"/>
      <c r="D33" s="33" t="s">
        <v>12</v>
      </c>
      <c r="E33" s="38">
        <f>E28-E31</f>
        <v>1220000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1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47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27</v>
      </c>
      <c r="B38" s="9"/>
      <c r="C38" s="8"/>
      <c r="D38" s="8"/>
      <c r="E38" s="8"/>
      <c r="F38" s="8"/>
      <c r="G38" s="8"/>
      <c r="I38" s="9" t="s">
        <v>26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34</v>
      </c>
      <c r="B43" s="28"/>
      <c r="C43" s="27"/>
      <c r="D43" s="27"/>
      <c r="E43" s="27"/>
      <c r="F43" s="27"/>
      <c r="G43" s="8" t="s">
        <v>11</v>
      </c>
      <c r="I43" s="28" t="s">
        <v>28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5" t="s">
        <v>30</v>
      </c>
      <c r="B52" s="65"/>
      <c r="C52" s="66"/>
      <c r="D52" s="66"/>
      <c r="E52" s="66"/>
      <c r="F52" s="66"/>
      <c r="G52" s="66"/>
      <c r="H52" s="66"/>
      <c r="I52" s="66"/>
      <c r="J52" s="66"/>
    </row>
    <row r="53" spans="1:10" x14ac:dyDescent="0.25">
      <c r="A53" s="66" t="s">
        <v>48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10" x14ac:dyDescent="0.25">
      <c r="A54" s="66" t="s">
        <v>13</v>
      </c>
      <c r="B54" s="66"/>
      <c r="C54" s="66"/>
      <c r="D54" s="66"/>
      <c r="E54" s="66"/>
      <c r="F54" s="66"/>
      <c r="G54" s="66"/>
      <c r="H54" s="66"/>
      <c r="I54" s="66"/>
      <c r="J54" s="66"/>
    </row>
    <row r="55" spans="1:10" x14ac:dyDescent="0.25">
      <c r="A55" s="66" t="s">
        <v>35</v>
      </c>
      <c r="B55" s="66"/>
      <c r="C55" s="66"/>
      <c r="D55" s="66"/>
      <c r="E55" s="66"/>
      <c r="F55" s="66"/>
      <c r="G55" s="66"/>
      <c r="H55" s="66"/>
      <c r="I55" s="66"/>
      <c r="J55" s="66"/>
    </row>
    <row r="56" spans="1:10" x14ac:dyDescent="0.25">
      <c r="A56" s="66" t="s">
        <v>25</v>
      </c>
      <c r="B56" s="66"/>
      <c r="C56" s="66"/>
      <c r="D56" s="66"/>
      <c r="E56" s="66"/>
      <c r="F56" s="66"/>
      <c r="G56" s="66"/>
      <c r="H56" s="66"/>
      <c r="I56" s="66"/>
      <c r="J56" s="66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3" t="s">
        <v>18</v>
      </c>
      <c r="B58" s="53"/>
      <c r="C58" s="53"/>
      <c r="D58" s="40" t="s">
        <v>12</v>
      </c>
      <c r="E58" s="8" t="s">
        <v>31</v>
      </c>
      <c r="H58" s="9"/>
      <c r="I58" s="9"/>
      <c r="J58" s="10"/>
    </row>
    <row r="59" spans="1:10" x14ac:dyDescent="0.25">
      <c r="A59" s="53" t="s">
        <v>19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20</v>
      </c>
      <c r="B60" s="53"/>
      <c r="C60" s="53"/>
      <c r="D60" s="40" t="s">
        <v>12</v>
      </c>
      <c r="E60" s="47">
        <v>2026</v>
      </c>
      <c r="H60" s="9"/>
      <c r="I60" s="9"/>
      <c r="J60" s="10"/>
    </row>
    <row r="61" spans="1:10" x14ac:dyDescent="0.25">
      <c r="A61" s="53" t="s">
        <v>21</v>
      </c>
      <c r="B61" s="53"/>
      <c r="C61" s="53"/>
      <c r="D61" s="40" t="s">
        <v>12</v>
      </c>
      <c r="E61" s="44">
        <f>I70</f>
        <v>1220000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40" t="s">
        <v>12</v>
      </c>
      <c r="E62" s="51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40"/>
      <c r="G63" s="51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0" t="s">
        <v>2</v>
      </c>
      <c r="B65" s="60"/>
      <c r="C65" s="60"/>
      <c r="D65" s="60"/>
      <c r="E65" s="60"/>
      <c r="F65" s="60"/>
      <c r="G65" s="60"/>
      <c r="H65" s="60"/>
      <c r="I65" s="60"/>
      <c r="J65" s="60"/>
    </row>
    <row r="66" spans="1:10" ht="45" x14ac:dyDescent="0.25">
      <c r="A66" s="12" t="s">
        <v>3</v>
      </c>
      <c r="B66" s="58" t="s">
        <v>22</v>
      </c>
      <c r="C66" s="61" t="s">
        <v>4</v>
      </c>
      <c r="D66" s="62"/>
      <c r="E66" s="63"/>
      <c r="F66" s="50"/>
      <c r="G66" s="41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59">
        <v>1</v>
      </c>
      <c r="B67" s="48"/>
      <c r="C67" s="55" t="s">
        <v>33</v>
      </c>
      <c r="D67" s="57"/>
      <c r="E67" s="45"/>
      <c r="F67" s="39"/>
      <c r="G67" s="56" t="s">
        <v>29</v>
      </c>
      <c r="H67" s="56" t="s">
        <v>29</v>
      </c>
      <c r="I67" s="56" t="s">
        <v>29</v>
      </c>
      <c r="J67" s="56" t="s">
        <v>29</v>
      </c>
    </row>
    <row r="68" spans="1:10" x14ac:dyDescent="0.25">
      <c r="A68" s="59"/>
      <c r="B68" s="48" t="s">
        <v>23</v>
      </c>
      <c r="C68" s="39" t="s">
        <v>36</v>
      </c>
      <c r="D68" s="8"/>
      <c r="E68" s="45"/>
      <c r="F68" s="39"/>
      <c r="G68" s="52">
        <v>17824795429</v>
      </c>
      <c r="H68" s="46">
        <f>H24+I24</f>
        <v>5945000</v>
      </c>
      <c r="I68" s="36">
        <v>1220000</v>
      </c>
      <c r="J68" s="37">
        <f>G68-H68-I68</f>
        <v>17817630429</v>
      </c>
    </row>
    <row r="69" spans="1:10" x14ac:dyDescent="0.25">
      <c r="A69" s="48"/>
      <c r="B69" s="48" t="s">
        <v>24</v>
      </c>
      <c r="C69" s="39" t="s">
        <v>37</v>
      </c>
      <c r="D69" s="8"/>
      <c r="E69" s="45"/>
      <c r="F69" s="39"/>
      <c r="G69" s="52">
        <v>1212786825</v>
      </c>
      <c r="H69" s="46">
        <f>H25+I25</f>
        <v>0</v>
      </c>
      <c r="I69" s="36">
        <v>0</v>
      </c>
      <c r="J69" s="37">
        <f>G69-H69-I69</f>
        <v>1212786825</v>
      </c>
    </row>
    <row r="70" spans="1:10" x14ac:dyDescent="0.25">
      <c r="A70" s="16"/>
      <c r="B70" s="16"/>
      <c r="C70" s="17" t="s">
        <v>8</v>
      </c>
      <c r="D70" s="17"/>
      <c r="E70" s="17"/>
      <c r="F70" s="43"/>
      <c r="G70" s="42">
        <f>SUM(G67:G69)</f>
        <v>19037582254</v>
      </c>
      <c r="H70" s="18">
        <f>SUM(H67:H69)</f>
        <v>5945000</v>
      </c>
      <c r="I70" s="18">
        <f>SUM(I67:I69)</f>
        <v>1220000</v>
      </c>
      <c r="J70" s="18">
        <f>SUM(J67:J69)</f>
        <v>19030417254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64" t="s">
        <v>14</v>
      </c>
      <c r="B72" s="64"/>
      <c r="C72" s="64"/>
      <c r="D72" s="33" t="s">
        <v>12</v>
      </c>
      <c r="E72" s="44">
        <f>I70</f>
        <v>1220000</v>
      </c>
      <c r="F72" s="38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7"/>
      <c r="B76" s="47"/>
      <c r="C76" s="47"/>
      <c r="D76" s="33"/>
      <c r="E76" s="47"/>
      <c r="F76" s="47"/>
      <c r="G76" s="8"/>
      <c r="H76" s="9"/>
      <c r="I76" s="23"/>
      <c r="J76" s="24"/>
    </row>
    <row r="77" spans="1:10" x14ac:dyDescent="0.25">
      <c r="A77" s="64" t="s">
        <v>15</v>
      </c>
      <c r="B77" s="64"/>
      <c r="C77" s="64"/>
      <c r="D77" s="33" t="s">
        <v>12</v>
      </c>
      <c r="E77" s="38">
        <f>E72-E75</f>
        <v>1220000</v>
      </c>
      <c r="F77" s="38"/>
      <c r="G77" s="8"/>
      <c r="H77" s="9"/>
      <c r="I77" s="23"/>
      <c r="J77" s="24"/>
    </row>
    <row r="78" spans="1:10" ht="15.75" x14ac:dyDescent="0.25">
      <c r="A78" s="47"/>
      <c r="B78" s="47"/>
      <c r="C78" s="8"/>
      <c r="D78" s="8"/>
      <c r="E78" s="51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7"/>
      <c r="B81" s="47"/>
      <c r="C81" s="8"/>
      <c r="D81" s="8"/>
      <c r="E81" s="8"/>
      <c r="F81" s="8"/>
      <c r="G81" s="8"/>
      <c r="I81" s="49" t="s">
        <v>49</v>
      </c>
      <c r="J81" s="24"/>
    </row>
    <row r="82" spans="1:10" x14ac:dyDescent="0.25">
      <c r="A82" s="9" t="s">
        <v>27</v>
      </c>
      <c r="B82" s="9"/>
      <c r="C82" s="8"/>
      <c r="D82" s="8"/>
      <c r="E82" s="8"/>
      <c r="F82" s="8"/>
      <c r="G82" s="8"/>
      <c r="I82" s="9" t="s">
        <v>26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34</v>
      </c>
      <c r="B87" s="28"/>
      <c r="C87" s="27"/>
      <c r="D87" s="27"/>
      <c r="E87" s="27"/>
      <c r="F87" s="27"/>
      <c r="G87" s="8" t="s">
        <v>11</v>
      </c>
      <c r="I87" s="28" t="s">
        <v>28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5" t="s">
        <v>30</v>
      </c>
      <c r="B96" s="65"/>
      <c r="C96" s="66"/>
      <c r="D96" s="66"/>
      <c r="E96" s="66"/>
      <c r="F96" s="66"/>
      <c r="G96" s="66"/>
      <c r="H96" s="66"/>
      <c r="I96" s="66"/>
      <c r="J96" s="66"/>
    </row>
    <row r="97" spans="1:10" x14ac:dyDescent="0.25">
      <c r="A97" s="66" t="s">
        <v>51</v>
      </c>
      <c r="B97" s="66"/>
      <c r="C97" s="66"/>
      <c r="D97" s="66"/>
      <c r="E97" s="66"/>
      <c r="F97" s="66"/>
      <c r="G97" s="66"/>
      <c r="H97" s="66"/>
      <c r="I97" s="66"/>
      <c r="J97" s="66"/>
    </row>
    <row r="98" spans="1:10" x14ac:dyDescent="0.25">
      <c r="A98" s="66" t="s">
        <v>13</v>
      </c>
      <c r="B98" s="66"/>
      <c r="C98" s="66"/>
      <c r="D98" s="66"/>
      <c r="E98" s="66"/>
      <c r="F98" s="66"/>
      <c r="G98" s="66"/>
      <c r="H98" s="66"/>
      <c r="I98" s="66"/>
      <c r="J98" s="66"/>
    </row>
    <row r="99" spans="1:10" x14ac:dyDescent="0.25">
      <c r="A99" s="66" t="s">
        <v>35</v>
      </c>
      <c r="B99" s="66"/>
      <c r="C99" s="66"/>
      <c r="D99" s="66"/>
      <c r="E99" s="66"/>
      <c r="F99" s="66"/>
      <c r="G99" s="66"/>
      <c r="H99" s="66"/>
      <c r="I99" s="66"/>
      <c r="J99" s="66"/>
    </row>
    <row r="100" spans="1:10" x14ac:dyDescent="0.25">
      <c r="A100" s="66" t="s">
        <v>25</v>
      </c>
      <c r="B100" s="66"/>
      <c r="C100" s="66"/>
      <c r="D100" s="66"/>
      <c r="E100" s="66"/>
      <c r="F100" s="66"/>
      <c r="G100" s="66"/>
      <c r="H100" s="66"/>
      <c r="I100" s="66"/>
      <c r="J100" s="66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3" t="s">
        <v>18</v>
      </c>
      <c r="B102" s="53"/>
      <c r="C102" s="53"/>
      <c r="D102" s="40" t="s">
        <v>12</v>
      </c>
      <c r="E102" s="8" t="s">
        <v>31</v>
      </c>
      <c r="H102" s="9"/>
      <c r="I102" s="9"/>
      <c r="J102" s="10"/>
    </row>
    <row r="103" spans="1:10" x14ac:dyDescent="0.25">
      <c r="A103" s="53" t="s">
        <v>19</v>
      </c>
      <c r="B103" s="53"/>
      <c r="C103" s="53"/>
      <c r="D103" s="40" t="s">
        <v>12</v>
      </c>
      <c r="E103" s="8" t="s">
        <v>32</v>
      </c>
      <c r="H103" s="9"/>
      <c r="I103" s="9"/>
      <c r="J103" s="10"/>
    </row>
    <row r="104" spans="1:10" x14ac:dyDescent="0.25">
      <c r="A104" s="53" t="s">
        <v>20</v>
      </c>
      <c r="B104" s="53"/>
      <c r="C104" s="53"/>
      <c r="D104" s="40" t="s">
        <v>12</v>
      </c>
      <c r="E104" s="47">
        <v>2026</v>
      </c>
      <c r="H104" s="9"/>
      <c r="I104" s="9"/>
      <c r="J104" s="10"/>
    </row>
    <row r="105" spans="1:10" x14ac:dyDescent="0.25">
      <c r="A105" s="53" t="s">
        <v>21</v>
      </c>
      <c r="B105" s="53"/>
      <c r="C105" s="53"/>
      <c r="D105" s="40" t="s">
        <v>12</v>
      </c>
      <c r="E105" s="44">
        <f>I114</f>
        <v>4698000</v>
      </c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40" t="s">
        <v>12</v>
      </c>
      <c r="E106" s="51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Enam Ratus Sembilan Puluh Delapan Ribu Rupiah</v>
      </c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40"/>
      <c r="G107" s="51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0" t="s">
        <v>2</v>
      </c>
      <c r="B109" s="60"/>
      <c r="C109" s="60"/>
      <c r="D109" s="60"/>
      <c r="E109" s="60"/>
      <c r="F109" s="60"/>
      <c r="G109" s="60"/>
      <c r="H109" s="60"/>
      <c r="I109" s="60"/>
      <c r="J109" s="60"/>
    </row>
    <row r="110" spans="1:10" ht="45" x14ac:dyDescent="0.25">
      <c r="A110" s="12" t="s">
        <v>3</v>
      </c>
      <c r="B110" s="58" t="s">
        <v>22</v>
      </c>
      <c r="C110" s="61" t="s">
        <v>4</v>
      </c>
      <c r="D110" s="62"/>
      <c r="E110" s="63"/>
      <c r="F110" s="50"/>
      <c r="G110" s="41" t="s">
        <v>5</v>
      </c>
      <c r="H110" s="13" t="s">
        <v>17</v>
      </c>
      <c r="I110" s="14" t="s">
        <v>6</v>
      </c>
      <c r="J110" s="15" t="s">
        <v>7</v>
      </c>
    </row>
    <row r="111" spans="1:10" x14ac:dyDescent="0.25">
      <c r="A111" s="59">
        <v>1</v>
      </c>
      <c r="B111" s="48"/>
      <c r="C111" s="55" t="s">
        <v>33</v>
      </c>
      <c r="D111" s="57"/>
      <c r="E111" s="45"/>
      <c r="F111" s="39"/>
      <c r="G111" s="56" t="s">
        <v>29</v>
      </c>
      <c r="H111" s="56" t="s">
        <v>29</v>
      </c>
      <c r="I111" s="56" t="s">
        <v>29</v>
      </c>
      <c r="J111" s="56" t="s">
        <v>29</v>
      </c>
    </row>
    <row r="112" spans="1:10" x14ac:dyDescent="0.25">
      <c r="A112" s="59"/>
      <c r="B112" s="48" t="s">
        <v>23</v>
      </c>
      <c r="C112" s="39" t="s">
        <v>36</v>
      </c>
      <c r="D112" s="8"/>
      <c r="E112" s="45"/>
      <c r="F112" s="39"/>
      <c r="G112" s="52">
        <v>17824795429</v>
      </c>
      <c r="H112" s="46">
        <f>H68+I68</f>
        <v>7165000</v>
      </c>
      <c r="I112" s="36">
        <v>0</v>
      </c>
      <c r="J112" s="37">
        <f>G112-H112-I112</f>
        <v>17817630429</v>
      </c>
    </row>
    <row r="113" spans="1:10" x14ac:dyDescent="0.25">
      <c r="A113" s="48"/>
      <c r="B113" s="48" t="s">
        <v>24</v>
      </c>
      <c r="C113" s="39" t="s">
        <v>37</v>
      </c>
      <c r="D113" s="8"/>
      <c r="E113" s="45"/>
      <c r="F113" s="39"/>
      <c r="G113" s="52">
        <v>1212786825</v>
      </c>
      <c r="H113" s="46">
        <f>H69+I69</f>
        <v>0</v>
      </c>
      <c r="I113" s="36">
        <v>4698000</v>
      </c>
      <c r="J113" s="37">
        <f>G113-H113-I113</f>
        <v>1208088825</v>
      </c>
    </row>
    <row r="114" spans="1:10" x14ac:dyDescent="0.25">
      <c r="A114" s="16"/>
      <c r="B114" s="16"/>
      <c r="C114" s="17" t="s">
        <v>8</v>
      </c>
      <c r="D114" s="17"/>
      <c r="E114" s="17"/>
      <c r="F114" s="43"/>
      <c r="G114" s="42">
        <f>SUM(G111:G113)</f>
        <v>19037582254</v>
      </c>
      <c r="H114" s="18">
        <f>SUM(H111:H113)</f>
        <v>7165000</v>
      </c>
      <c r="I114" s="18">
        <f>SUM(I111:I113)</f>
        <v>4698000</v>
      </c>
      <c r="J114" s="18">
        <f>SUM(J111:J113)</f>
        <v>19025719254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64" t="s">
        <v>14</v>
      </c>
      <c r="B116" s="64"/>
      <c r="C116" s="64"/>
      <c r="D116" s="33" t="s">
        <v>12</v>
      </c>
      <c r="E116" s="44">
        <f>I114</f>
        <v>4698000</v>
      </c>
      <c r="F116" s="38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16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7"/>
      <c r="B120" s="47"/>
      <c r="C120" s="47"/>
      <c r="D120" s="33"/>
      <c r="E120" s="47"/>
      <c r="F120" s="47"/>
      <c r="G120" s="8"/>
      <c r="H120" s="9"/>
      <c r="I120" s="23"/>
      <c r="J120" s="24"/>
    </row>
    <row r="121" spans="1:10" x14ac:dyDescent="0.25">
      <c r="A121" s="64" t="s">
        <v>15</v>
      </c>
      <c r="B121" s="64"/>
      <c r="C121" s="64"/>
      <c r="D121" s="33" t="s">
        <v>12</v>
      </c>
      <c r="E121" s="38">
        <f>E116-E119</f>
        <v>4698000</v>
      </c>
      <c r="F121" s="38"/>
      <c r="G121" s="8"/>
      <c r="H121" s="9"/>
      <c r="I121" s="23"/>
      <c r="J121" s="24"/>
    </row>
    <row r="122" spans="1:10" ht="15.75" x14ac:dyDescent="0.25">
      <c r="A122" s="47"/>
      <c r="B122" s="47"/>
      <c r="C122" s="8"/>
      <c r="D122" s="8"/>
      <c r="E122" s="51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Enam Ratus Sembilan Puluh Delapan Ribu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7"/>
      <c r="B125" s="47"/>
      <c r="C125" s="8"/>
      <c r="D125" s="8"/>
      <c r="E125" s="8"/>
      <c r="F125" s="8"/>
      <c r="G125" s="8"/>
      <c r="I125" s="49" t="s">
        <v>50</v>
      </c>
      <c r="J125" s="24"/>
    </row>
    <row r="126" spans="1:10" x14ac:dyDescent="0.25">
      <c r="A126" s="9" t="s">
        <v>27</v>
      </c>
      <c r="B126" s="9"/>
      <c r="C126" s="8"/>
      <c r="D126" s="8"/>
      <c r="E126" s="8"/>
      <c r="F126" s="8"/>
      <c r="G126" s="8"/>
      <c r="I126" s="9" t="s">
        <v>26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34</v>
      </c>
      <c r="B131" s="28"/>
      <c r="C131" s="27"/>
      <c r="D131" s="27"/>
      <c r="E131" s="27"/>
      <c r="F131" s="27"/>
      <c r="G131" s="8" t="s">
        <v>11</v>
      </c>
      <c r="I131" s="28" t="s">
        <v>28</v>
      </c>
      <c r="J131" s="24"/>
    </row>
    <row r="136" spans="1:10" ht="15.75" x14ac:dyDescent="0.25">
      <c r="C136" s="3"/>
      <c r="D136" s="3"/>
      <c r="E136" s="3"/>
      <c r="F136" s="3"/>
    </row>
    <row r="137" spans="1:10" ht="15.75" x14ac:dyDescent="0.25">
      <c r="A137" s="2"/>
      <c r="B137" s="2"/>
      <c r="C137" s="3"/>
      <c r="D137" s="3"/>
      <c r="E137" s="3"/>
      <c r="F137" s="3"/>
      <c r="G137" s="2"/>
      <c r="H137" s="4"/>
      <c r="I137" s="4"/>
      <c r="J137" s="5"/>
    </row>
    <row r="138" spans="1:10" x14ac:dyDescent="0.25">
      <c r="H138" s="5"/>
      <c r="I138" s="5"/>
      <c r="J138" s="5"/>
    </row>
    <row r="139" spans="1:10" x14ac:dyDescent="0.25">
      <c r="H139" s="5"/>
      <c r="I139" s="5"/>
      <c r="J139" s="5"/>
    </row>
    <row r="140" spans="1:10" x14ac:dyDescent="0.25">
      <c r="A140" s="65" t="s">
        <v>30</v>
      </c>
      <c r="B140" s="65"/>
      <c r="C140" s="66"/>
      <c r="D140" s="66"/>
      <c r="E140" s="66"/>
      <c r="F140" s="66"/>
      <c r="G140" s="66"/>
      <c r="H140" s="66"/>
      <c r="I140" s="66"/>
      <c r="J140" s="66"/>
    </row>
    <row r="141" spans="1:10" x14ac:dyDescent="0.25">
      <c r="A141" s="66" t="s">
        <v>52</v>
      </c>
      <c r="B141" s="66"/>
      <c r="C141" s="66"/>
      <c r="D141" s="66"/>
      <c r="E141" s="66"/>
      <c r="F141" s="66"/>
      <c r="G141" s="66"/>
      <c r="H141" s="66"/>
      <c r="I141" s="66"/>
      <c r="J141" s="66"/>
    </row>
    <row r="142" spans="1:10" x14ac:dyDescent="0.25">
      <c r="A142" s="66" t="s">
        <v>13</v>
      </c>
      <c r="B142" s="66"/>
      <c r="C142" s="66"/>
      <c r="D142" s="66"/>
      <c r="E142" s="66"/>
      <c r="F142" s="66"/>
      <c r="G142" s="66"/>
      <c r="H142" s="66"/>
      <c r="I142" s="66"/>
      <c r="J142" s="66"/>
    </row>
    <row r="143" spans="1:10" x14ac:dyDescent="0.25">
      <c r="A143" s="66" t="s">
        <v>35</v>
      </c>
      <c r="B143" s="66"/>
      <c r="C143" s="66"/>
      <c r="D143" s="66"/>
      <c r="E143" s="66"/>
      <c r="F143" s="66"/>
      <c r="G143" s="66"/>
      <c r="H143" s="66"/>
      <c r="I143" s="66"/>
      <c r="J143" s="66"/>
    </row>
    <row r="144" spans="1:10" x14ac:dyDescent="0.25">
      <c r="A144" s="66" t="s">
        <v>25</v>
      </c>
      <c r="B144" s="66"/>
      <c r="C144" s="66"/>
      <c r="D144" s="66"/>
      <c r="E144" s="66"/>
      <c r="F144" s="66"/>
      <c r="G144" s="66"/>
      <c r="H144" s="66"/>
      <c r="I144" s="66"/>
      <c r="J144" s="66"/>
    </row>
    <row r="145" spans="1:10" x14ac:dyDescent="0.25">
      <c r="A145" s="32"/>
      <c r="B145" s="32"/>
      <c r="C145" s="7"/>
      <c r="D145" s="7"/>
      <c r="E145" s="7"/>
      <c r="F145" s="7"/>
      <c r="G145" s="6"/>
      <c r="H145" s="10"/>
      <c r="I145" s="10"/>
      <c r="J145" s="10"/>
    </row>
    <row r="146" spans="1:10" x14ac:dyDescent="0.25">
      <c r="A146" s="53" t="s">
        <v>18</v>
      </c>
      <c r="B146" s="53"/>
      <c r="C146" s="53"/>
      <c r="D146" s="40" t="s">
        <v>12</v>
      </c>
      <c r="E146" s="8" t="s">
        <v>31</v>
      </c>
      <c r="H146" s="9"/>
      <c r="I146" s="9"/>
      <c r="J146" s="10"/>
    </row>
    <row r="147" spans="1:10" x14ac:dyDescent="0.25">
      <c r="A147" s="53" t="s">
        <v>19</v>
      </c>
      <c r="B147" s="53"/>
      <c r="C147" s="53"/>
      <c r="D147" s="40" t="s">
        <v>12</v>
      </c>
      <c r="E147" s="8" t="s">
        <v>32</v>
      </c>
      <c r="H147" s="9"/>
      <c r="I147" s="9"/>
      <c r="J147" s="10"/>
    </row>
    <row r="148" spans="1:10" x14ac:dyDescent="0.25">
      <c r="A148" s="53" t="s">
        <v>20</v>
      </c>
      <c r="B148" s="53"/>
      <c r="C148" s="53"/>
      <c r="D148" s="40" t="s">
        <v>12</v>
      </c>
      <c r="E148" s="47">
        <v>2026</v>
      </c>
      <c r="H148" s="9"/>
      <c r="I148" s="9"/>
      <c r="J148" s="10"/>
    </row>
    <row r="149" spans="1:10" x14ac:dyDescent="0.25">
      <c r="A149" s="53" t="s">
        <v>21</v>
      </c>
      <c r="B149" s="53"/>
      <c r="C149" s="53"/>
      <c r="D149" s="40" t="s">
        <v>12</v>
      </c>
      <c r="E149" s="44">
        <f>I158</f>
        <v>1220000</v>
      </c>
      <c r="H149" s="9"/>
      <c r="I149" s="9"/>
      <c r="J149" s="10"/>
    </row>
    <row r="150" spans="1:10" ht="15.75" x14ac:dyDescent="0.25">
      <c r="A150" s="8"/>
      <c r="B150" s="8"/>
      <c r="C150" s="11" t="s">
        <v>0</v>
      </c>
      <c r="D150" s="40" t="s">
        <v>12</v>
      </c>
      <c r="E150" s="51" t="str">
        <f>PROPER(IF(E149=0,"nol",IF(E149&lt;0,"minus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149),"000000000000000"),1,3)=0,"",MID(TEXT(ABS(E149),"000000000000000"),1,1)&amp;" ratus "&amp;MID(TEXT(ABS(E149),"000000000000000"),2,1)&amp;" puluh "&amp;MID(TEXT(ABS(E149),"000000000000000"),3,1)&amp;" trilyun ")&amp;IF(--MID(TEXT(ABS(E149),"000000000000000"),4,3)=0,"",MID(TEXT(ABS(E149),"000000000000000"),4,1)&amp;" ratus "&amp;MID(TEXT(ABS(E149),"000000000000000"),5,1)&amp;" puluh "&amp;MID(TEXT(ABS(E149),"000000000000000"),6,1)&amp;" milyar ")&amp;IF(--MID(TEXT(ABS(E149),"000000000000000"),7,3)=0,"",MID(TEXT(ABS(E149),"000000000000000"),7,1)&amp;" ratus "&amp;MID(TEXT(ABS(E149),"000000000000000"),8,1)&amp;" puluh "&amp;MID(TEXT(ABS(E149),"000000000000000"),9,1)&amp;" juta ")&amp;IF(--MID(TEXT(ABS(E149),"000000000000000"),10,3)=0,"",IF(--MID(TEXT(ABS(E149),"000000000000000"),10,3)=1,"*",MID(TEXT(ABS(E149),"000000000000000"),10,1)&amp;" ratus "&amp;MID(TEXT(ABS(E149),"000000000000000"),11,1)&amp;" puluh ")&amp;MID(TEXT(ABS(E149),"000000000000000"),12,1)&amp;" ribu ")&amp;IF(--MID(TEXT(ABS(E149),"000000000000000"),13,3)=0,"",MID(TEXT(ABS(E149),"000000000000000"),13,1)&amp;" ratus "&amp;MID(TEXT(ABS(E149),"000000000000000"),14,1)&amp;" puluh "&amp;MID(TEXT(ABS(E149),"000000000000000"),15,1)),1,"satu"),2,"dua"),3,"tiga"),4,"empat"),5,"lima"),6,"enam"),7,"tujuh"),8,"delapan"),9,"sembilan"),"0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H150" s="9"/>
      <c r="I150" s="9"/>
      <c r="J150" s="10"/>
    </row>
    <row r="151" spans="1:10" ht="15.75" x14ac:dyDescent="0.25">
      <c r="A151" s="8"/>
      <c r="B151" s="8"/>
      <c r="C151" s="11"/>
      <c r="D151" s="11"/>
      <c r="E151" s="11"/>
      <c r="F151" s="40"/>
      <c r="G151" s="51"/>
      <c r="H151" s="9"/>
      <c r="I151" s="9"/>
      <c r="J151" s="10"/>
    </row>
    <row r="152" spans="1:10" x14ac:dyDescent="0.25">
      <c r="A152" s="8" t="s">
        <v>1</v>
      </c>
      <c r="B152" s="8"/>
      <c r="C152" s="8"/>
      <c r="D152" s="8"/>
      <c r="E152" s="8"/>
      <c r="F152" s="8"/>
      <c r="G152" s="8"/>
      <c r="H152" s="9"/>
      <c r="I152" s="9"/>
      <c r="J152" s="10"/>
    </row>
    <row r="153" spans="1:10" x14ac:dyDescent="0.25">
      <c r="A153" s="60" t="s">
        <v>2</v>
      </c>
      <c r="B153" s="60"/>
      <c r="C153" s="60"/>
      <c r="D153" s="60"/>
      <c r="E153" s="60"/>
      <c r="F153" s="60"/>
      <c r="G153" s="60"/>
      <c r="H153" s="60"/>
      <c r="I153" s="60"/>
      <c r="J153" s="60"/>
    </row>
    <row r="154" spans="1:10" ht="45" x14ac:dyDescent="0.25">
      <c r="A154" s="12" t="s">
        <v>3</v>
      </c>
      <c r="B154" s="58" t="s">
        <v>22</v>
      </c>
      <c r="C154" s="61" t="s">
        <v>4</v>
      </c>
      <c r="D154" s="62"/>
      <c r="E154" s="63"/>
      <c r="F154" s="50"/>
      <c r="G154" s="41" t="s">
        <v>5</v>
      </c>
      <c r="H154" s="13" t="s">
        <v>17</v>
      </c>
      <c r="I154" s="14" t="s">
        <v>6</v>
      </c>
      <c r="J154" s="15" t="s">
        <v>7</v>
      </c>
    </row>
    <row r="155" spans="1:10" x14ac:dyDescent="0.25">
      <c r="A155" s="59">
        <v>1</v>
      </c>
      <c r="B155" s="48"/>
      <c r="C155" s="55" t="s">
        <v>33</v>
      </c>
      <c r="D155" s="57"/>
      <c r="E155" s="45"/>
      <c r="F155" s="39"/>
      <c r="G155" s="56" t="s">
        <v>29</v>
      </c>
      <c r="H155" s="56" t="s">
        <v>29</v>
      </c>
      <c r="I155" s="56" t="s">
        <v>29</v>
      </c>
      <c r="J155" s="56" t="s">
        <v>29</v>
      </c>
    </row>
    <row r="156" spans="1:10" x14ac:dyDescent="0.25">
      <c r="A156" s="59"/>
      <c r="B156" s="48" t="s">
        <v>23</v>
      </c>
      <c r="C156" s="39" t="s">
        <v>36</v>
      </c>
      <c r="D156" s="8"/>
      <c r="E156" s="45"/>
      <c r="F156" s="39"/>
      <c r="G156" s="52">
        <v>17824795429</v>
      </c>
      <c r="H156" s="46">
        <f>H112+I112</f>
        <v>7165000</v>
      </c>
      <c r="I156" s="36">
        <v>1220000</v>
      </c>
      <c r="J156" s="37">
        <f>G156-H156-I156</f>
        <v>17816410429</v>
      </c>
    </row>
    <row r="157" spans="1:10" x14ac:dyDescent="0.25">
      <c r="A157" s="48"/>
      <c r="B157" s="48" t="s">
        <v>24</v>
      </c>
      <c r="C157" s="39" t="s">
        <v>37</v>
      </c>
      <c r="D157" s="8"/>
      <c r="E157" s="45"/>
      <c r="F157" s="39"/>
      <c r="G157" s="52">
        <v>1212786825</v>
      </c>
      <c r="H157" s="46">
        <f>H113+I113</f>
        <v>4698000</v>
      </c>
      <c r="I157" s="36">
        <v>0</v>
      </c>
      <c r="J157" s="37">
        <f>G157-H157-I157</f>
        <v>1208088825</v>
      </c>
    </row>
    <row r="158" spans="1:10" x14ac:dyDescent="0.25">
      <c r="A158" s="16"/>
      <c r="B158" s="16"/>
      <c r="C158" s="17" t="s">
        <v>8</v>
      </c>
      <c r="D158" s="17"/>
      <c r="E158" s="17"/>
      <c r="F158" s="43"/>
      <c r="G158" s="42">
        <f>SUM(G155:G157)</f>
        <v>19037582254</v>
      </c>
      <c r="H158" s="18">
        <f>SUM(H155:H157)</f>
        <v>11863000</v>
      </c>
      <c r="I158" s="18">
        <f>SUM(I155:I157)</f>
        <v>1220000</v>
      </c>
      <c r="J158" s="18">
        <f>SUM(J155:J157)</f>
        <v>19024499254</v>
      </c>
    </row>
    <row r="159" spans="1:10" x14ac:dyDescent="0.25">
      <c r="A159" s="19"/>
      <c r="B159" s="54"/>
      <c r="C159" s="6"/>
      <c r="D159" s="6"/>
      <c r="E159" s="6"/>
      <c r="F159" s="6"/>
      <c r="G159" s="20"/>
      <c r="H159" s="20"/>
      <c r="I159" s="20"/>
      <c r="J159" s="20"/>
    </row>
    <row r="160" spans="1:10" x14ac:dyDescent="0.25">
      <c r="A160" s="64" t="s">
        <v>14</v>
      </c>
      <c r="B160" s="64"/>
      <c r="C160" s="64"/>
      <c r="D160" s="33" t="s">
        <v>12</v>
      </c>
      <c r="E160" s="44">
        <f>I158</f>
        <v>1220000</v>
      </c>
      <c r="F160" s="38"/>
      <c r="G160" s="21"/>
      <c r="H160" s="21"/>
      <c r="I160" s="10"/>
      <c r="J160" s="10"/>
    </row>
    <row r="161" spans="1:10" x14ac:dyDescent="0.25">
      <c r="A161" s="8" t="s">
        <v>9</v>
      </c>
      <c r="B161" s="8"/>
      <c r="C161" s="8"/>
      <c r="D161" s="33" t="s">
        <v>12</v>
      </c>
      <c r="E161" s="34"/>
      <c r="F161" s="34"/>
      <c r="G161" s="22"/>
      <c r="H161" s="9"/>
      <c r="I161" s="10"/>
      <c r="J161" s="10"/>
    </row>
    <row r="162" spans="1:10" x14ac:dyDescent="0.25">
      <c r="A162" s="8" t="s">
        <v>16</v>
      </c>
      <c r="B162" s="8"/>
      <c r="C162" s="8"/>
      <c r="D162" s="33" t="s">
        <v>12</v>
      </c>
      <c r="E162" s="35"/>
      <c r="F162" s="35"/>
      <c r="G162" s="22"/>
      <c r="H162" s="9"/>
      <c r="I162" s="10"/>
      <c r="J162" s="10"/>
    </row>
    <row r="163" spans="1:10" x14ac:dyDescent="0.25">
      <c r="A163" s="8" t="s">
        <v>10</v>
      </c>
      <c r="B163" s="8"/>
      <c r="C163" s="8"/>
      <c r="D163" s="33" t="s">
        <v>12</v>
      </c>
      <c r="E163" s="35">
        <f>E161+E162</f>
        <v>0</v>
      </c>
      <c r="F163" s="35"/>
      <c r="G163" s="8"/>
      <c r="H163" s="9"/>
      <c r="I163" s="23"/>
      <c r="J163" s="24"/>
    </row>
    <row r="164" spans="1:10" x14ac:dyDescent="0.25">
      <c r="A164" s="47"/>
      <c r="B164" s="47"/>
      <c r="C164" s="47"/>
      <c r="D164" s="33"/>
      <c r="E164" s="47"/>
      <c r="F164" s="47"/>
      <c r="G164" s="8"/>
      <c r="H164" s="9"/>
      <c r="I164" s="23"/>
      <c r="J164" s="24"/>
    </row>
    <row r="165" spans="1:10" x14ac:dyDescent="0.25">
      <c r="A165" s="64" t="s">
        <v>15</v>
      </c>
      <c r="B165" s="64"/>
      <c r="C165" s="64"/>
      <c r="D165" s="33" t="s">
        <v>12</v>
      </c>
      <c r="E165" s="38">
        <f>E160-E163</f>
        <v>1220000</v>
      </c>
      <c r="F165" s="38"/>
      <c r="G165" s="8"/>
      <c r="H165" s="9"/>
      <c r="I165" s="23"/>
      <c r="J165" s="24"/>
    </row>
    <row r="166" spans="1:10" ht="15.75" x14ac:dyDescent="0.25">
      <c r="A166" s="47"/>
      <c r="B166" s="47"/>
      <c r="C166" s="8"/>
      <c r="D166" s="8"/>
      <c r="E166" s="51" t="str">
        <f>PROPER(IF(E165=0,"nol",IF(E165&lt;0,"minus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165),"000000000000000"),1,3)=0,"",MID(TEXT(ABS(E165),"000000000000000"),1,1)&amp;" ratus "&amp;MID(TEXT(ABS(E165),"000000000000000"),2,1)&amp;" puluh "&amp;MID(TEXT(ABS(E165),"000000000000000"),3,1)&amp;" trilyun ")&amp;IF(--MID(TEXT(ABS(E165),"000000000000000"),4,3)=0,"",MID(TEXT(ABS(E165),"000000000000000"),4,1)&amp;" ratus "&amp;MID(TEXT(ABS(E165),"000000000000000"),5,1)&amp;" puluh "&amp;MID(TEXT(ABS(E165),"000000000000000"),6,1)&amp;" milyar ")&amp;IF(--MID(TEXT(ABS(E165),"000000000000000"),7,3)=0,"",MID(TEXT(ABS(E165),"000000000000000"),7,1)&amp;" ratus "&amp;MID(TEXT(ABS(E165),"000000000000000"),8,1)&amp;" puluh "&amp;MID(TEXT(ABS(E165),"000000000000000"),9,1)&amp;" juta ")&amp;IF(--MID(TEXT(ABS(E165),"000000000000000"),10,3)=0,"",IF(--MID(TEXT(ABS(E165),"000000000000000"),10,3)=1,"*",MID(TEXT(ABS(E165),"000000000000000"),10,1)&amp;" ratus "&amp;MID(TEXT(ABS(E165),"000000000000000"),11,1)&amp;" puluh ")&amp;MID(TEXT(ABS(E165),"000000000000000"),12,1)&amp;" ribu ")&amp;IF(--MID(TEXT(ABS(E165),"000000000000000"),13,3)=0,"",MID(TEXT(ABS(E165),"000000000000000"),13,1)&amp;" ratus "&amp;MID(TEXT(ABS(E165),"000000000000000"),14,1)&amp;" puluh "&amp;MID(TEXT(ABS(E165),"000000000000000"),15,1)),1,"satu"),2,"dua"),3,"tiga"),4,"empat"),5,"lima"),6,"enam"),7,"tujuh"),8,"delapan"),9,"sembilan"),"0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F166" s="8"/>
      <c r="G166" s="8"/>
      <c r="H166" s="8"/>
      <c r="I166" s="23"/>
      <c r="J166" s="24"/>
    </row>
    <row r="167" spans="1:10" x14ac:dyDescent="0.25">
      <c r="A167" s="26"/>
      <c r="B167" s="26"/>
      <c r="C167" s="26"/>
      <c r="D167" s="26"/>
      <c r="E167" s="26"/>
      <c r="F167" s="26"/>
      <c r="G167" s="25"/>
      <c r="H167" s="24"/>
      <c r="I167" s="23"/>
      <c r="J167" s="24"/>
    </row>
    <row r="168" spans="1:10" x14ac:dyDescent="0.25">
      <c r="A168" s="25"/>
      <c r="B168" s="25"/>
      <c r="C168" s="25"/>
      <c r="D168" s="25"/>
      <c r="E168" s="25"/>
      <c r="F168" s="25"/>
      <c r="G168" s="25"/>
      <c r="H168"/>
      <c r="I168" s="24"/>
      <c r="J168" s="24"/>
    </row>
    <row r="169" spans="1:10" x14ac:dyDescent="0.25">
      <c r="A169" s="47"/>
      <c r="B169" s="47"/>
      <c r="C169" s="8"/>
      <c r="D169" s="8"/>
      <c r="E169" s="8"/>
      <c r="F169" s="8"/>
      <c r="G169" s="8"/>
      <c r="I169" s="49" t="s">
        <v>50</v>
      </c>
      <c r="J169" s="24"/>
    </row>
    <row r="170" spans="1:10" x14ac:dyDescent="0.25">
      <c r="A170" s="9" t="s">
        <v>27</v>
      </c>
      <c r="B170" s="9"/>
      <c r="C170" s="8"/>
      <c r="D170" s="8"/>
      <c r="E170" s="8"/>
      <c r="F170" s="8"/>
      <c r="G170" s="8"/>
      <c r="I170" s="9" t="s">
        <v>26</v>
      </c>
      <c r="J170" s="24"/>
    </row>
    <row r="171" spans="1:10" x14ac:dyDescent="0.25">
      <c r="A171" s="8"/>
      <c r="B171" s="8"/>
      <c r="C171" s="8"/>
      <c r="D171" s="8"/>
      <c r="E171" s="8"/>
      <c r="F171" s="8"/>
      <c r="G171" s="8"/>
      <c r="I171" s="9"/>
      <c r="J171" s="24"/>
    </row>
    <row r="172" spans="1:10" x14ac:dyDescent="0.25">
      <c r="A172" s="8"/>
      <c r="B172" s="8"/>
      <c r="C172" s="8"/>
      <c r="D172" s="8"/>
      <c r="E172" s="8"/>
      <c r="F172" s="8"/>
      <c r="G172" s="8"/>
      <c r="I172" s="9"/>
      <c r="J172" s="24"/>
    </row>
    <row r="173" spans="1:10" x14ac:dyDescent="0.25">
      <c r="A173" s="8"/>
      <c r="B173" s="8"/>
      <c r="C173" s="8"/>
      <c r="D173" s="8"/>
      <c r="E173" s="8"/>
      <c r="F173" s="8"/>
      <c r="G173" s="8"/>
      <c r="I173" s="9"/>
      <c r="J173" s="24"/>
    </row>
    <row r="174" spans="1:10" x14ac:dyDescent="0.25">
      <c r="A174" s="8"/>
      <c r="B174" s="8"/>
      <c r="C174" s="8"/>
      <c r="D174" s="8"/>
      <c r="E174" s="8"/>
      <c r="F174" s="8"/>
      <c r="G174" s="8"/>
      <c r="I174" s="9"/>
      <c r="J174" s="24"/>
    </row>
    <row r="175" spans="1:10" x14ac:dyDescent="0.25">
      <c r="A175" s="28" t="s">
        <v>34</v>
      </c>
      <c r="B175" s="28"/>
      <c r="C175" s="27"/>
      <c r="D175" s="27"/>
      <c r="E175" s="27"/>
      <c r="F175" s="27"/>
      <c r="G175" s="8" t="s">
        <v>11</v>
      </c>
      <c r="I175" s="28" t="s">
        <v>28</v>
      </c>
      <c r="J175" s="24"/>
    </row>
    <row r="180" spans="1:10" ht="15.75" x14ac:dyDescent="0.25">
      <c r="C180" s="3"/>
      <c r="D180" s="3"/>
      <c r="E180" s="3"/>
      <c r="F180" s="3"/>
    </row>
    <row r="181" spans="1:10" ht="15.75" x14ac:dyDescent="0.25">
      <c r="A181" s="2"/>
      <c r="B181" s="2"/>
      <c r="C181" s="3"/>
      <c r="D181" s="3"/>
      <c r="E181" s="3"/>
      <c r="F181" s="3"/>
      <c r="G181" s="2"/>
      <c r="H181" s="4"/>
      <c r="I181" s="4"/>
      <c r="J181" s="5"/>
    </row>
    <row r="182" spans="1:10" x14ac:dyDescent="0.25">
      <c r="H182" s="5"/>
      <c r="I182" s="5"/>
      <c r="J182" s="5"/>
    </row>
    <row r="183" spans="1:10" x14ac:dyDescent="0.25">
      <c r="H183" s="5"/>
      <c r="I183" s="5"/>
      <c r="J183" s="5"/>
    </row>
    <row r="184" spans="1:10" x14ac:dyDescent="0.25">
      <c r="A184" s="65" t="s">
        <v>30</v>
      </c>
      <c r="B184" s="65"/>
      <c r="C184" s="66"/>
      <c r="D184" s="66"/>
      <c r="E184" s="66"/>
      <c r="F184" s="66"/>
      <c r="G184" s="66"/>
      <c r="H184" s="66"/>
      <c r="I184" s="66"/>
      <c r="J184" s="66"/>
    </row>
    <row r="185" spans="1:10" x14ac:dyDescent="0.25">
      <c r="A185" s="66" t="s">
        <v>54</v>
      </c>
      <c r="B185" s="66"/>
      <c r="C185" s="66"/>
      <c r="D185" s="66"/>
      <c r="E185" s="66"/>
      <c r="F185" s="66"/>
      <c r="G185" s="66"/>
      <c r="H185" s="66"/>
      <c r="I185" s="66"/>
      <c r="J185" s="66"/>
    </row>
    <row r="186" spans="1:10" x14ac:dyDescent="0.25">
      <c r="A186" s="66" t="s">
        <v>13</v>
      </c>
      <c r="B186" s="66"/>
      <c r="C186" s="66"/>
      <c r="D186" s="66"/>
      <c r="E186" s="66"/>
      <c r="F186" s="66"/>
      <c r="G186" s="66"/>
      <c r="H186" s="66"/>
      <c r="I186" s="66"/>
      <c r="J186" s="66"/>
    </row>
    <row r="187" spans="1:10" x14ac:dyDescent="0.25">
      <c r="A187" s="66" t="s">
        <v>35</v>
      </c>
      <c r="B187" s="66"/>
      <c r="C187" s="66"/>
      <c r="D187" s="66"/>
      <c r="E187" s="66"/>
      <c r="F187" s="66"/>
      <c r="G187" s="66"/>
      <c r="H187" s="66"/>
      <c r="I187" s="66"/>
      <c r="J187" s="66"/>
    </row>
    <row r="188" spans="1:10" x14ac:dyDescent="0.25">
      <c r="A188" s="66" t="s">
        <v>25</v>
      </c>
      <c r="B188" s="66"/>
      <c r="C188" s="66"/>
      <c r="D188" s="66"/>
      <c r="E188" s="66"/>
      <c r="F188" s="66"/>
      <c r="G188" s="66"/>
      <c r="H188" s="66"/>
      <c r="I188" s="66"/>
      <c r="J188" s="66"/>
    </row>
    <row r="189" spans="1:10" x14ac:dyDescent="0.25">
      <c r="A189" s="32"/>
      <c r="B189" s="32"/>
      <c r="C189" s="7"/>
      <c r="D189" s="7"/>
      <c r="E189" s="7"/>
      <c r="F189" s="7"/>
      <c r="G189" s="6"/>
      <c r="H189" s="10"/>
      <c r="I189" s="10"/>
      <c r="J189" s="10"/>
    </row>
    <row r="190" spans="1:10" x14ac:dyDescent="0.25">
      <c r="A190" s="53" t="s">
        <v>18</v>
      </c>
      <c r="B190" s="53"/>
      <c r="C190" s="53"/>
      <c r="D190" s="40" t="s">
        <v>12</v>
      </c>
      <c r="E190" s="8" t="s">
        <v>31</v>
      </c>
      <c r="H190" s="9"/>
      <c r="I190" s="9"/>
      <c r="J190" s="10"/>
    </row>
    <row r="191" spans="1:10" x14ac:dyDescent="0.25">
      <c r="A191" s="53" t="s">
        <v>19</v>
      </c>
      <c r="B191" s="53"/>
      <c r="C191" s="53"/>
      <c r="D191" s="40" t="s">
        <v>12</v>
      </c>
      <c r="E191" s="8" t="s">
        <v>32</v>
      </c>
      <c r="H191" s="9"/>
      <c r="I191" s="9"/>
      <c r="J191" s="10"/>
    </row>
    <row r="192" spans="1:10" x14ac:dyDescent="0.25">
      <c r="A192" s="53" t="s">
        <v>20</v>
      </c>
      <c r="B192" s="53"/>
      <c r="C192" s="53"/>
      <c r="D192" s="40" t="s">
        <v>12</v>
      </c>
      <c r="E192" s="47">
        <v>2026</v>
      </c>
      <c r="H192" s="9"/>
      <c r="I192" s="9"/>
      <c r="J192" s="10"/>
    </row>
    <row r="193" spans="1:10" x14ac:dyDescent="0.25">
      <c r="A193" s="53" t="s">
        <v>21</v>
      </c>
      <c r="B193" s="53"/>
      <c r="C193" s="53"/>
      <c r="D193" s="40" t="s">
        <v>12</v>
      </c>
      <c r="E193" s="44">
        <f>I202</f>
        <v>1220000</v>
      </c>
      <c r="H193" s="9"/>
      <c r="I193" s="9"/>
      <c r="J193" s="10"/>
    </row>
    <row r="194" spans="1:10" ht="15.75" x14ac:dyDescent="0.25">
      <c r="A194" s="8"/>
      <c r="B194" s="8"/>
      <c r="C194" s="11" t="s">
        <v>0</v>
      </c>
      <c r="D194" s="40" t="s">
        <v>12</v>
      </c>
      <c r="E194" s="51" t="str">
        <f>PROPER(IF(E193=0,"nol",IF(E193&lt;0,"minus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193),"000000000000000"),1,3)=0,"",MID(TEXT(ABS(E193),"000000000000000"),1,1)&amp;" ratus "&amp;MID(TEXT(ABS(E193),"000000000000000"),2,1)&amp;" puluh "&amp;MID(TEXT(ABS(E193),"000000000000000"),3,1)&amp;" trilyun ")&amp;IF(--MID(TEXT(ABS(E193),"000000000000000"),4,3)=0,"",MID(TEXT(ABS(E193),"000000000000000"),4,1)&amp;" ratus "&amp;MID(TEXT(ABS(E193),"000000000000000"),5,1)&amp;" puluh "&amp;MID(TEXT(ABS(E193),"000000000000000"),6,1)&amp;" milyar ")&amp;IF(--MID(TEXT(ABS(E193),"000000000000000"),7,3)=0,"",MID(TEXT(ABS(E193),"000000000000000"),7,1)&amp;" ratus "&amp;MID(TEXT(ABS(E193),"000000000000000"),8,1)&amp;" puluh "&amp;MID(TEXT(ABS(E193),"000000000000000"),9,1)&amp;" juta ")&amp;IF(--MID(TEXT(ABS(E193),"000000000000000"),10,3)=0,"",IF(--MID(TEXT(ABS(E193),"000000000000000"),10,3)=1,"*",MID(TEXT(ABS(E193),"000000000000000"),10,1)&amp;" ratus "&amp;MID(TEXT(ABS(E193),"000000000000000"),11,1)&amp;" puluh ")&amp;MID(TEXT(ABS(E193),"000000000000000"),12,1)&amp;" ribu ")&amp;IF(--MID(TEXT(ABS(E193),"000000000000000"),13,3)=0,"",MID(TEXT(ABS(E193),"000000000000000"),13,1)&amp;" ratus "&amp;MID(TEXT(ABS(E193),"000000000000000"),14,1)&amp;" puluh "&amp;MID(TEXT(ABS(E193),"000000000000000"),15,1)),1,"satu"),2,"dua"),3,"tiga"),4,"empat"),5,"lima"),6,"enam"),7,"tujuh"),8,"delapan"),9,"sembilan"),"0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H194" s="9"/>
      <c r="I194" s="9"/>
      <c r="J194" s="10"/>
    </row>
    <row r="195" spans="1:10" ht="15.75" x14ac:dyDescent="0.25">
      <c r="A195" s="8"/>
      <c r="B195" s="8"/>
      <c r="C195" s="11"/>
      <c r="D195" s="11"/>
      <c r="E195" s="11"/>
      <c r="F195" s="40"/>
      <c r="G195" s="51"/>
      <c r="H195" s="9"/>
      <c r="I195" s="9"/>
      <c r="J195" s="10"/>
    </row>
    <row r="196" spans="1:10" x14ac:dyDescent="0.25">
      <c r="A196" s="8" t="s">
        <v>1</v>
      </c>
      <c r="B196" s="8"/>
      <c r="C196" s="8"/>
      <c r="D196" s="8"/>
      <c r="E196" s="8"/>
      <c r="F196" s="8"/>
      <c r="G196" s="8"/>
      <c r="H196" s="9"/>
      <c r="I196" s="9"/>
      <c r="J196" s="10"/>
    </row>
    <row r="197" spans="1:10" x14ac:dyDescent="0.25">
      <c r="A197" s="60" t="s">
        <v>2</v>
      </c>
      <c r="B197" s="60"/>
      <c r="C197" s="60"/>
      <c r="D197" s="60"/>
      <c r="E197" s="60"/>
      <c r="F197" s="60"/>
      <c r="G197" s="60"/>
      <c r="H197" s="60"/>
      <c r="I197" s="60"/>
      <c r="J197" s="60"/>
    </row>
    <row r="198" spans="1:10" ht="45" x14ac:dyDescent="0.25">
      <c r="A198" s="12" t="s">
        <v>3</v>
      </c>
      <c r="B198" s="58" t="s">
        <v>22</v>
      </c>
      <c r="C198" s="61" t="s">
        <v>4</v>
      </c>
      <c r="D198" s="62"/>
      <c r="E198" s="63"/>
      <c r="F198" s="50"/>
      <c r="G198" s="41" t="s">
        <v>5</v>
      </c>
      <c r="H198" s="13" t="s">
        <v>17</v>
      </c>
      <c r="I198" s="14" t="s">
        <v>6</v>
      </c>
      <c r="J198" s="15" t="s">
        <v>7</v>
      </c>
    </row>
    <row r="199" spans="1:10" x14ac:dyDescent="0.25">
      <c r="A199" s="59">
        <v>1</v>
      </c>
      <c r="B199" s="48"/>
      <c r="C199" s="55" t="s">
        <v>33</v>
      </c>
      <c r="D199" s="57"/>
      <c r="E199" s="45"/>
      <c r="F199" s="39"/>
      <c r="G199" s="56" t="s">
        <v>29</v>
      </c>
      <c r="H199" s="56" t="s">
        <v>29</v>
      </c>
      <c r="I199" s="56" t="s">
        <v>29</v>
      </c>
      <c r="J199" s="56" t="s">
        <v>29</v>
      </c>
    </row>
    <row r="200" spans="1:10" x14ac:dyDescent="0.25">
      <c r="A200" s="59"/>
      <c r="B200" s="48" t="s">
        <v>23</v>
      </c>
      <c r="C200" s="39" t="s">
        <v>36</v>
      </c>
      <c r="D200" s="8"/>
      <c r="E200" s="45"/>
      <c r="F200" s="39"/>
      <c r="G200" s="52">
        <v>17824795429</v>
      </c>
      <c r="H200" s="46">
        <f>H156+I156</f>
        <v>8385000</v>
      </c>
      <c r="I200" s="36">
        <v>1220000</v>
      </c>
      <c r="J200" s="37">
        <f>G200-H200-I200</f>
        <v>17815190429</v>
      </c>
    </row>
    <row r="201" spans="1:10" x14ac:dyDescent="0.25">
      <c r="A201" s="48"/>
      <c r="B201" s="48" t="s">
        <v>24</v>
      </c>
      <c r="C201" s="39" t="s">
        <v>37</v>
      </c>
      <c r="D201" s="8"/>
      <c r="E201" s="45"/>
      <c r="F201" s="39"/>
      <c r="G201" s="52">
        <v>1212786825</v>
      </c>
      <c r="H201" s="46">
        <f>H157+I157</f>
        <v>4698000</v>
      </c>
      <c r="I201" s="36">
        <v>0</v>
      </c>
      <c r="J201" s="37">
        <f>G201-H201-I201</f>
        <v>1208088825</v>
      </c>
    </row>
    <row r="202" spans="1:10" x14ac:dyDescent="0.25">
      <c r="A202" s="16"/>
      <c r="B202" s="16"/>
      <c r="C202" s="17" t="s">
        <v>8</v>
      </c>
      <c r="D202" s="17"/>
      <c r="E202" s="17"/>
      <c r="F202" s="43"/>
      <c r="G202" s="42">
        <f>SUM(G199:G201)</f>
        <v>19037582254</v>
      </c>
      <c r="H202" s="18">
        <f>SUM(H199:H201)</f>
        <v>13083000</v>
      </c>
      <c r="I202" s="18">
        <f>SUM(I199:I201)</f>
        <v>1220000</v>
      </c>
      <c r="J202" s="18">
        <f>SUM(J199:J201)</f>
        <v>19023279254</v>
      </c>
    </row>
    <row r="203" spans="1:10" x14ac:dyDescent="0.25">
      <c r="A203" s="19"/>
      <c r="B203" s="54"/>
      <c r="C203" s="6"/>
      <c r="D203" s="6"/>
      <c r="E203" s="6"/>
      <c r="F203" s="6"/>
      <c r="G203" s="20"/>
      <c r="H203" s="20"/>
      <c r="I203" s="20"/>
      <c r="J203" s="20"/>
    </row>
    <row r="204" spans="1:10" x14ac:dyDescent="0.25">
      <c r="A204" s="64" t="s">
        <v>14</v>
      </c>
      <c r="B204" s="64"/>
      <c r="C204" s="64"/>
      <c r="D204" s="33" t="s">
        <v>12</v>
      </c>
      <c r="E204" s="44">
        <f>I202</f>
        <v>1220000</v>
      </c>
      <c r="F204" s="38"/>
      <c r="G204" s="21"/>
      <c r="H204" s="21"/>
      <c r="I204" s="10"/>
      <c r="J204" s="10"/>
    </row>
    <row r="205" spans="1:10" x14ac:dyDescent="0.25">
      <c r="A205" s="8" t="s">
        <v>9</v>
      </c>
      <c r="B205" s="8"/>
      <c r="C205" s="8"/>
      <c r="D205" s="33" t="s">
        <v>12</v>
      </c>
      <c r="E205" s="34"/>
      <c r="F205" s="34"/>
      <c r="G205" s="22"/>
      <c r="H205" s="9"/>
      <c r="I205" s="10"/>
      <c r="J205" s="10"/>
    </row>
    <row r="206" spans="1:10" x14ac:dyDescent="0.25">
      <c r="A206" s="8" t="s">
        <v>16</v>
      </c>
      <c r="B206" s="8"/>
      <c r="C206" s="8"/>
      <c r="D206" s="33" t="s">
        <v>12</v>
      </c>
      <c r="E206" s="35"/>
      <c r="F206" s="35"/>
      <c r="G206" s="22"/>
      <c r="H206" s="9"/>
      <c r="I206" s="10"/>
      <c r="J206" s="10"/>
    </row>
    <row r="207" spans="1:10" x14ac:dyDescent="0.25">
      <c r="A207" s="8" t="s">
        <v>10</v>
      </c>
      <c r="B207" s="8"/>
      <c r="C207" s="8"/>
      <c r="D207" s="33" t="s">
        <v>12</v>
      </c>
      <c r="E207" s="35">
        <f>E205+E206</f>
        <v>0</v>
      </c>
      <c r="F207" s="35"/>
      <c r="G207" s="8"/>
      <c r="H207" s="9"/>
      <c r="I207" s="23"/>
      <c r="J207" s="24"/>
    </row>
    <row r="208" spans="1:10" x14ac:dyDescent="0.25">
      <c r="A208" s="47"/>
      <c r="B208" s="47"/>
      <c r="C208" s="47"/>
      <c r="D208" s="33"/>
      <c r="E208" s="47"/>
      <c r="F208" s="47"/>
      <c r="G208" s="8"/>
      <c r="H208" s="9"/>
      <c r="I208" s="23"/>
      <c r="J208" s="24"/>
    </row>
    <row r="209" spans="1:10" x14ac:dyDescent="0.25">
      <c r="A209" s="64" t="s">
        <v>15</v>
      </c>
      <c r="B209" s="64"/>
      <c r="C209" s="64"/>
      <c r="D209" s="33" t="s">
        <v>12</v>
      </c>
      <c r="E209" s="38">
        <f>E204-E207</f>
        <v>1220000</v>
      </c>
      <c r="F209" s="38"/>
      <c r="G209" s="8"/>
      <c r="H209" s="9"/>
      <c r="I209" s="23"/>
      <c r="J209" s="24"/>
    </row>
    <row r="210" spans="1:10" ht="15.75" x14ac:dyDescent="0.25">
      <c r="A210" s="47"/>
      <c r="B210" s="47"/>
      <c r="C210" s="8"/>
      <c r="D210" s="8"/>
      <c r="E210" s="51" t="str">
        <f>PROPER(IF(E209=0,"nol",IF(E209&lt;0,"minus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209),"000000000000000"),1,3)=0,"",MID(TEXT(ABS(E209),"000000000000000"),1,1)&amp;" ratus "&amp;MID(TEXT(ABS(E209),"000000000000000"),2,1)&amp;" puluh "&amp;MID(TEXT(ABS(E209),"000000000000000"),3,1)&amp;" trilyun ")&amp;IF(--MID(TEXT(ABS(E209),"000000000000000"),4,3)=0,"",MID(TEXT(ABS(E209),"000000000000000"),4,1)&amp;" ratus "&amp;MID(TEXT(ABS(E209),"000000000000000"),5,1)&amp;" puluh "&amp;MID(TEXT(ABS(E209),"000000000000000"),6,1)&amp;" milyar ")&amp;IF(--MID(TEXT(ABS(E209),"000000000000000"),7,3)=0,"",MID(TEXT(ABS(E209),"000000000000000"),7,1)&amp;" ratus "&amp;MID(TEXT(ABS(E209),"000000000000000"),8,1)&amp;" puluh "&amp;MID(TEXT(ABS(E209),"000000000000000"),9,1)&amp;" juta ")&amp;IF(--MID(TEXT(ABS(E209),"000000000000000"),10,3)=0,"",IF(--MID(TEXT(ABS(E209),"000000000000000"),10,3)=1,"*",MID(TEXT(ABS(E209),"000000000000000"),10,1)&amp;" ratus "&amp;MID(TEXT(ABS(E209),"000000000000000"),11,1)&amp;" puluh ")&amp;MID(TEXT(ABS(E209),"000000000000000"),12,1)&amp;" ribu ")&amp;IF(--MID(TEXT(ABS(E209),"000000000000000"),13,3)=0,"",MID(TEXT(ABS(E209),"000000000000000"),13,1)&amp;" ratus "&amp;MID(TEXT(ABS(E209),"000000000000000"),14,1)&amp;" puluh "&amp;MID(TEXT(ABS(E209),"000000000000000"),15,1)),1,"satu"),2,"dua"),3,"tiga"),4,"empat"),5,"lima"),6,"enam"),7,"tujuh"),8,"delapan"),9,"sembilan"),"0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Dua Ratus Dua Puluh Ribu Rupiah</v>
      </c>
      <c r="F210" s="8"/>
      <c r="G210" s="8"/>
      <c r="H210" s="8"/>
      <c r="I210" s="23"/>
      <c r="J210" s="24"/>
    </row>
    <row r="211" spans="1:10" x14ac:dyDescent="0.25">
      <c r="A211" s="26"/>
      <c r="B211" s="26"/>
      <c r="C211" s="26"/>
      <c r="D211" s="26"/>
      <c r="E211" s="26"/>
      <c r="F211" s="26"/>
      <c r="G211" s="25"/>
      <c r="H211" s="24"/>
      <c r="I211" s="23"/>
      <c r="J211" s="24"/>
    </row>
    <row r="212" spans="1:10" x14ac:dyDescent="0.25">
      <c r="A212" s="25"/>
      <c r="B212" s="25"/>
      <c r="C212" s="25"/>
      <c r="D212" s="25"/>
      <c r="E212" s="25"/>
      <c r="F212" s="25"/>
      <c r="G212" s="25"/>
      <c r="H212"/>
      <c r="I212" s="24"/>
      <c r="J212" s="24"/>
    </row>
    <row r="213" spans="1:10" x14ac:dyDescent="0.25">
      <c r="A213" s="47"/>
      <c r="B213" s="47"/>
      <c r="C213" s="8"/>
      <c r="D213" s="8"/>
      <c r="E213" s="8"/>
      <c r="F213" s="8"/>
      <c r="G213" s="8"/>
      <c r="I213" s="49" t="s">
        <v>53</v>
      </c>
      <c r="J213" s="24"/>
    </row>
    <row r="214" spans="1:10" x14ac:dyDescent="0.25">
      <c r="A214" s="9" t="s">
        <v>27</v>
      </c>
      <c r="B214" s="9"/>
      <c r="C214" s="8"/>
      <c r="D214" s="8"/>
      <c r="E214" s="8"/>
      <c r="F214" s="8"/>
      <c r="G214" s="8"/>
      <c r="I214" s="9" t="s">
        <v>26</v>
      </c>
      <c r="J214" s="24"/>
    </row>
    <row r="215" spans="1:10" x14ac:dyDescent="0.25">
      <c r="A215" s="8"/>
      <c r="B215" s="8"/>
      <c r="C215" s="8"/>
      <c r="D215" s="8"/>
      <c r="E215" s="8"/>
      <c r="F215" s="8"/>
      <c r="G215" s="8"/>
      <c r="I215" s="9"/>
      <c r="J215" s="24"/>
    </row>
    <row r="216" spans="1:10" x14ac:dyDescent="0.25">
      <c r="A216" s="8"/>
      <c r="B216" s="8"/>
      <c r="C216" s="8"/>
      <c r="D216" s="8"/>
      <c r="E216" s="8"/>
      <c r="F216" s="8"/>
      <c r="G216" s="8"/>
      <c r="I216" s="9"/>
      <c r="J216" s="24"/>
    </row>
    <row r="217" spans="1:10" x14ac:dyDescent="0.25">
      <c r="A217" s="8"/>
      <c r="B217" s="8"/>
      <c r="C217" s="8"/>
      <c r="D217" s="8"/>
      <c r="E217" s="8"/>
      <c r="F217" s="8"/>
      <c r="G217" s="8"/>
      <c r="I217" s="9"/>
      <c r="J217" s="24"/>
    </row>
    <row r="218" spans="1:10" x14ac:dyDescent="0.25">
      <c r="A218" s="8"/>
      <c r="B218" s="8"/>
      <c r="C218" s="8"/>
      <c r="D218" s="8"/>
      <c r="E218" s="8"/>
      <c r="F218" s="8"/>
      <c r="G218" s="8"/>
      <c r="I218" s="9"/>
      <c r="J218" s="24"/>
    </row>
    <row r="219" spans="1:10" x14ac:dyDescent="0.25">
      <c r="A219" s="28" t="s">
        <v>34</v>
      </c>
      <c r="B219" s="28"/>
      <c r="C219" s="27"/>
      <c r="D219" s="27"/>
      <c r="E219" s="27"/>
      <c r="F219" s="27"/>
      <c r="G219" s="8" t="s">
        <v>11</v>
      </c>
      <c r="I219" s="28" t="s">
        <v>28</v>
      </c>
      <c r="J219" s="24"/>
    </row>
  </sheetData>
  <mergeCells count="45">
    <mergeCell ref="A197:J197"/>
    <mergeCell ref="C198:E198"/>
    <mergeCell ref="A204:C204"/>
    <mergeCell ref="A209:C209"/>
    <mergeCell ref="A184:J184"/>
    <mergeCell ref="A185:J185"/>
    <mergeCell ref="A186:J186"/>
    <mergeCell ref="A187:J187"/>
    <mergeCell ref="A188:J188"/>
    <mergeCell ref="C110:E110"/>
    <mergeCell ref="A116:C116"/>
    <mergeCell ref="A121:C121"/>
    <mergeCell ref="A96:J96"/>
    <mergeCell ref="A97:J97"/>
    <mergeCell ref="A98:J98"/>
    <mergeCell ref="A99:J99"/>
    <mergeCell ref="A100:J100"/>
    <mergeCell ref="A109:J109"/>
    <mergeCell ref="A77:C77"/>
    <mergeCell ref="C22:E22"/>
    <mergeCell ref="A28:C28"/>
    <mergeCell ref="A33:C33"/>
    <mergeCell ref="A52:J52"/>
    <mergeCell ref="A53:J53"/>
    <mergeCell ref="A54:J54"/>
    <mergeCell ref="A55:J55"/>
    <mergeCell ref="A56:J56"/>
    <mergeCell ref="A65:J65"/>
    <mergeCell ref="C66:E66"/>
    <mergeCell ref="A72:C72"/>
    <mergeCell ref="A21:J21"/>
    <mergeCell ref="A8:J8"/>
    <mergeCell ref="A9:J9"/>
    <mergeCell ref="A10:J10"/>
    <mergeCell ref="A11:J11"/>
    <mergeCell ref="A12:J12"/>
    <mergeCell ref="A153:J153"/>
    <mergeCell ref="C154:E154"/>
    <mergeCell ref="A160:C160"/>
    <mergeCell ref="A165:C165"/>
    <mergeCell ref="A140:J140"/>
    <mergeCell ref="A141:J141"/>
    <mergeCell ref="A142:J142"/>
    <mergeCell ref="A143:J143"/>
    <mergeCell ref="A144:J144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4" manualBreakCount="4">
    <brk id="44" max="9" man="1"/>
    <brk id="88" max="9" man="1"/>
    <brk id="132" max="9" man="1"/>
    <brk id="17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2026-03-25T06:47:52Z</cp:lastPrinted>
  <dcterms:created xsi:type="dcterms:W3CDTF">2017-02-01T01:06:13Z</dcterms:created>
  <dcterms:modified xsi:type="dcterms:W3CDTF">2026-03-25T06:49:24Z</dcterms:modified>
</cp:coreProperties>
</file>