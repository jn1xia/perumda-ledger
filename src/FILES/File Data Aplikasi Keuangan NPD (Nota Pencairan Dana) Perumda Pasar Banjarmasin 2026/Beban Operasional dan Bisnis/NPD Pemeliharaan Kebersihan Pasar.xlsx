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E200D613-2C2D-4363-874A-CC6575978A3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FEBRUARI!$A$1:$J$88</definedName>
    <definedName name="_xlnm.Print_Area" localSheetId="0">JANUARI!$A$1:$J$177</definedName>
    <definedName name="_xlnm.Print_Area" localSheetId="2">MARET!$A$1:$J$177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7" l="1"/>
  <c r="H24" i="17"/>
  <c r="E163" i="17"/>
  <c r="I158" i="17"/>
  <c r="E160" i="17" s="1"/>
  <c r="E165" i="17" s="1"/>
  <c r="E166" i="17" s="1"/>
  <c r="G158" i="17"/>
  <c r="E149" i="17"/>
  <c r="E150" i="17" s="1"/>
  <c r="E119" i="17"/>
  <c r="I114" i="17"/>
  <c r="E116" i="17" s="1"/>
  <c r="E121" i="17" s="1"/>
  <c r="E122" i="17" s="1"/>
  <c r="G114" i="17"/>
  <c r="E105" i="17"/>
  <c r="E106" i="17" s="1"/>
  <c r="E75" i="17"/>
  <c r="I70" i="17"/>
  <c r="E72" i="17" s="1"/>
  <c r="E77" i="17" s="1"/>
  <c r="E78" i="17" s="1"/>
  <c r="G70" i="17"/>
  <c r="E62" i="17"/>
  <c r="E61" i="17"/>
  <c r="E31" i="17"/>
  <c r="I26" i="17"/>
  <c r="E28" i="17" s="1"/>
  <c r="E33" i="17" s="1"/>
  <c r="E34" i="17" s="1"/>
  <c r="G26" i="17"/>
  <c r="E17" i="17"/>
  <c r="E18" i="17" s="1"/>
  <c r="H25" i="16"/>
  <c r="H24" i="16"/>
  <c r="H26" i="16" s="1"/>
  <c r="E75" i="16"/>
  <c r="I70" i="16"/>
  <c r="G70" i="16"/>
  <c r="H68" i="16"/>
  <c r="E31" i="16"/>
  <c r="I26" i="16"/>
  <c r="E28" i="16" s="1"/>
  <c r="E33" i="16" s="1"/>
  <c r="E34" i="16" s="1"/>
  <c r="G26" i="16"/>
  <c r="E17" i="16"/>
  <c r="E18" i="16" s="1"/>
  <c r="H157" i="15"/>
  <c r="E163" i="15"/>
  <c r="I158" i="15"/>
  <c r="E149" i="15" s="1"/>
  <c r="E150" i="15" s="1"/>
  <c r="G158" i="15"/>
  <c r="J157" i="15"/>
  <c r="J156" i="15"/>
  <c r="J158" i="15" s="1"/>
  <c r="H156" i="15"/>
  <c r="H158" i="15" s="1"/>
  <c r="H113" i="15"/>
  <c r="E119" i="15"/>
  <c r="I114" i="15"/>
  <c r="E105" i="15" s="1"/>
  <c r="E106" i="15" s="1"/>
  <c r="G114" i="15"/>
  <c r="J113" i="15"/>
  <c r="H112" i="15"/>
  <c r="H114" i="15" s="1"/>
  <c r="J25" i="16" l="1"/>
  <c r="H69" i="16"/>
  <c r="J25" i="17"/>
  <c r="H69" i="17"/>
  <c r="H68" i="17"/>
  <c r="H26" i="17"/>
  <c r="J24" i="17"/>
  <c r="J26" i="17" s="1"/>
  <c r="E72" i="16"/>
  <c r="E77" i="16" s="1"/>
  <c r="E78" i="16" s="1"/>
  <c r="E61" i="16"/>
  <c r="E62" i="16" s="1"/>
  <c r="J24" i="16"/>
  <c r="J26" i="16" s="1"/>
  <c r="J68" i="16"/>
  <c r="E160" i="15"/>
  <c r="E165" i="15" s="1"/>
  <c r="E166" i="15" s="1"/>
  <c r="J112" i="15"/>
  <c r="J114" i="15" s="1"/>
  <c r="E116" i="15"/>
  <c r="E121" i="15" s="1"/>
  <c r="E122" i="15" s="1"/>
  <c r="H113" i="17" l="1"/>
  <c r="J69" i="17"/>
  <c r="J68" i="17"/>
  <c r="J70" i="17" s="1"/>
  <c r="H70" i="17"/>
  <c r="H112" i="17"/>
  <c r="H70" i="16"/>
  <c r="J69" i="16"/>
  <c r="J70" i="16"/>
  <c r="H69" i="15"/>
  <c r="H70" i="15" s="1"/>
  <c r="H68" i="15"/>
  <c r="E75" i="15"/>
  <c r="I70" i="15"/>
  <c r="E72" i="15" s="1"/>
  <c r="E77" i="15" s="1"/>
  <c r="E78" i="15" s="1"/>
  <c r="G70" i="15"/>
  <c r="J68" i="15"/>
  <c r="E61" i="15"/>
  <c r="E62" i="15" s="1"/>
  <c r="H157" i="17" l="1"/>
  <c r="J157" i="17" s="1"/>
  <c r="J113" i="17"/>
  <c r="J112" i="17"/>
  <c r="J114" i="17" s="1"/>
  <c r="H114" i="17"/>
  <c r="H156" i="17"/>
  <c r="J69" i="15"/>
  <c r="J70" i="15" s="1"/>
  <c r="E31" i="15"/>
  <c r="I26" i="15"/>
  <c r="E28" i="15" s="1"/>
  <c r="E33" i="15" s="1"/>
  <c r="E34" i="15" s="1"/>
  <c r="H26" i="15"/>
  <c r="G26" i="15"/>
  <c r="J25" i="15"/>
  <c r="J24" i="15"/>
  <c r="J156" i="17" l="1"/>
  <c r="J158" i="17" s="1"/>
  <c r="H158" i="17"/>
  <c r="E17" i="15"/>
  <c r="E18" i="15" s="1"/>
  <c r="J26" i="15"/>
</calcChain>
</file>

<file path=xl/sharedStrings.xml><?xml version="1.0" encoding="utf-8"?>
<sst xmlns="http://schemas.openxmlformats.org/spreadsheetml/2006/main" count="520" uniqueCount="50">
  <si>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</si>
  <si>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</si>
  <si>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</si>
  <si>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</si>
  <si>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</si>
  <si>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</si>
  <si>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</si>
  <si>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</si>
  <si>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</si>
  <si>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</si>
  <si>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</si>
  <si>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</si>
  <si>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</si>
  <si>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</si>
  <si>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</si>
  <si>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</si>
  <si>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</si>
  <si>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</si>
  <si>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</si>
  <si>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</si>
  <si>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</si>
  <si>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</si>
  <si>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</si>
  <si>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Alat dan Bahan Kebersihan Pasar</t>
  </si>
  <si>
    <t>1.1</t>
  </si>
  <si>
    <t>1.2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</si>
  <si>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</si>
  <si>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</si>
  <si>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</si>
  <si>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</si>
  <si>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</si>
  <si>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</si>
  <si>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</si>
  <si>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</si>
  <si>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Pemeliharaan Kebersihan Pasar</t>
  </si>
  <si>
    <t>Alat dan Bahan Penyegelan</t>
  </si>
  <si>
    <t>IRNA WAHYUNI N.</t>
  </si>
  <si>
    <t>PERUMDA PASAR BANJARMASIN</t>
  </si>
  <si>
    <r>
      <t>Nomor : 16/DIV-KEU/PPB/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</si>
  <si>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Januari 2026</t>
  </si>
  <si>
    <r>
      <t>Nomor : 17/DIV-KEU/PPB/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</si>
  <si>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19/DIV-KEU/PPB/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</si>
  <si>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80/DIV-KEU/PPB/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</si>
  <si>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Januari 2026</t>
  </si>
  <si>
    <t>Banjarmasin, 06 Februari 2026</t>
  </si>
  <si>
    <r>
      <t>Nomor : 31/DIV-KEU/PPB/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</si>
  <si>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065/DIV-KEU/PPB/I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</si>
  <si>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Februari 2026</t>
  </si>
  <si>
    <r>
      <t>Nomor : 044/DIV-KEU/PPB/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</si>
  <si>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t>Banjarmasin, 25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</si>
</sst>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71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168" fontId="4" fillId="0" borderId="7" xfId="1" applyNumberFormat="1" applyFont="1" applyBorder="1" applyAlignment="1">
      <alignment horizontal="right" vertical="center"/>
    </xf>
    <xf numFmtId="168" fontId="4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2" xfId="3" quotePrefix="1" applyNumberFormat="1" applyFont="1" applyBorder="1" applyAlignment="1">
      <alignment horizontal="center" vertical="center"/>
    </xf>
    <xf numFmtId="165" fontId="15" fillId="0" borderId="8" xfId="5" applyFont="1" applyBorder="1" applyAlignment="1" applyProtection="1">
      <alignment horizontal="center"/>
    </xf>
    <xf numFmtId="165" fontId="15" fillId="0" borderId="8" xfId="5" applyFont="1" applyBorder="1" applyAlignment="1" applyProtection="1">
      <alignment horizontal="center" vertical="center"/>
    </xf>
    <xf numFmtId="0" fontId="4" fillId="0" borderId="0" xfId="0" quotePrefix="1" applyFont="1"/>
    <xf numFmtId="0" fontId="4" fillId="0" borderId="9" xfId="3" quotePrefix="1" applyNumberFormat="1" applyFont="1" applyBorder="1" applyAlignment="1">
      <alignment horizontal="center" vertical="center"/>
    </xf>
    <xf numFmtId="0" fontId="3" fillId="0" borderId="0" xfId="0" quotePrefix="1" applyFont="1"/>
    <xf numFmtId="165" fontId="15" fillId="0" borderId="8" xfId="5" quotePrefix="1" applyFont="1" applyBorder="1" applyAlignment="1" applyProtection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3" xfId="3" applyNumberFormat="1" applyFont="1" applyBorder="1" applyAlignment="1">
      <alignment horizontal="center" vertical="center"/>
    </xf>
    <xf numFmtId="0" fontId="9" fillId="0" borderId="2" xfId="3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132</xdr:row>
      <xdr:rowOff>9525</xdr:rowOff>
    </xdr:from>
    <xdr:to>
      <xdr:col>9</xdr:col>
      <xdr:colOff>1162051</xdr:colOff>
      <xdr:row>140</xdr:row>
      <xdr:rowOff>121113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0C4B46-836D-4036-B3C7-FDFB14BC6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45092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88</xdr:row>
      <xdr:rowOff>9525</xdr:rowOff>
    </xdr:from>
    <xdr:to>
      <xdr:col>9</xdr:col>
      <xdr:colOff>1162051</xdr:colOff>
      <xdr:row>96</xdr:row>
      <xdr:rowOff>121113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98CE06-2BD9-4D4E-B1DE-7EBFA896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40300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44</xdr:row>
      <xdr:rowOff>9525</xdr:rowOff>
    </xdr:from>
    <xdr:to>
      <xdr:col>9</xdr:col>
      <xdr:colOff>1162051</xdr:colOff>
      <xdr:row>52</xdr:row>
      <xdr:rowOff>121113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2C73AE-1D83-4A9F-A479-571AB1A06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967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8</xdr:row>
      <xdr:rowOff>140164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B362D-3D1A-47E1-8185-4BF807ED4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B1AA3E-2746-439F-95E8-4E7F3B6F365B}"/>
            </a:ext>
          </a:extLst>
        </xdr:cNvPr>
        <xdr:cNvCxnSpPr/>
      </xdr:nvCxnSpPr>
      <xdr:spPr>
        <a:xfrm>
          <a:off x="19050" y="1409700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B981585-966B-4512-AAD2-AFDE455845A5}"/>
            </a:ext>
          </a:extLst>
        </xdr:cNvPr>
        <xdr:cNvCxnSpPr/>
      </xdr:nvCxnSpPr>
      <xdr:spPr>
        <a:xfrm>
          <a:off x="19050" y="12096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18273FF-CB1E-4FC7-9377-AD6C42DB70E0}"/>
            </a:ext>
          </a:extLst>
        </xdr:cNvPr>
        <xdr:cNvCxnSpPr/>
      </xdr:nvCxnSpPr>
      <xdr:spPr>
        <a:xfrm>
          <a:off x="19050" y="1002982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FC117BA-4D27-4486-8D9D-63046AEC0B9D}"/>
            </a:ext>
          </a:extLst>
        </xdr:cNvPr>
        <xdr:cNvCxnSpPr/>
      </xdr:nvCxnSpPr>
      <xdr:spPr>
        <a:xfrm>
          <a:off x="19050" y="18840450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44</xdr:row>
      <xdr:rowOff>9525</xdr:rowOff>
    </xdr:from>
    <xdr:to>
      <xdr:col>9</xdr:col>
      <xdr:colOff>1162051</xdr:colOff>
      <xdr:row>52</xdr:row>
      <xdr:rowOff>121113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1C1CDB-E64E-4BA2-BEA2-29ABC309C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967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8</xdr:row>
      <xdr:rowOff>140164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C14FA9-5DE3-4C2F-B4E3-BADBF4E3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0937919-769B-4C09-BC78-90E55038FF6F}"/>
            </a:ext>
          </a:extLst>
        </xdr:cNvPr>
        <xdr:cNvCxnSpPr/>
      </xdr:nvCxnSpPr>
      <xdr:spPr>
        <a:xfrm>
          <a:off x="19050" y="12096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EADE64-5D25-4807-961B-67E04ED3C77F}"/>
            </a:ext>
          </a:extLst>
        </xdr:cNvPr>
        <xdr:cNvCxnSpPr/>
      </xdr:nvCxnSpPr>
      <xdr:spPr>
        <a:xfrm>
          <a:off x="19050" y="1002982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132</xdr:row>
      <xdr:rowOff>9525</xdr:rowOff>
    </xdr:from>
    <xdr:to>
      <xdr:col>9</xdr:col>
      <xdr:colOff>1162051</xdr:colOff>
      <xdr:row>140</xdr:row>
      <xdr:rowOff>121113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F146A-F73C-4397-9343-5405CE486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45092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88</xdr:row>
      <xdr:rowOff>9525</xdr:rowOff>
    </xdr:from>
    <xdr:to>
      <xdr:col>9</xdr:col>
      <xdr:colOff>1162051</xdr:colOff>
      <xdr:row>96</xdr:row>
      <xdr:rowOff>121113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88D316-367F-4D98-8A50-3341FD69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40300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44</xdr:row>
      <xdr:rowOff>9525</xdr:rowOff>
    </xdr:from>
    <xdr:to>
      <xdr:col>9</xdr:col>
      <xdr:colOff>1162051</xdr:colOff>
      <xdr:row>52</xdr:row>
      <xdr:rowOff>121113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1E4209-64D1-4D27-A976-E33084C8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967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8</xdr:row>
      <xdr:rowOff>140164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2A1AE4-2E27-4753-8886-ABD8E9532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285418A-A299-41F2-8E9B-563C1BFE6824}"/>
            </a:ext>
          </a:extLst>
        </xdr:cNvPr>
        <xdr:cNvCxnSpPr/>
      </xdr:nvCxnSpPr>
      <xdr:spPr>
        <a:xfrm>
          <a:off x="19050" y="12096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FC4AC03-E697-4095-A3BF-15CF694DBBFF}"/>
            </a:ext>
          </a:extLst>
        </xdr:cNvPr>
        <xdr:cNvCxnSpPr/>
      </xdr:nvCxnSpPr>
      <xdr:spPr>
        <a:xfrm>
          <a:off x="19050" y="1002982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0B43BFD-8CA1-4E53-86E0-5FDA0FC5BC9F}"/>
            </a:ext>
          </a:extLst>
        </xdr:cNvPr>
        <xdr:cNvCxnSpPr/>
      </xdr:nvCxnSpPr>
      <xdr:spPr>
        <a:xfrm>
          <a:off x="19050" y="18840450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138</xdr:row>
      <xdr:rowOff>47625</xdr:rowOff>
    </xdr:from>
    <xdr:to>
      <xdr:col>9</xdr:col>
      <xdr:colOff>1162050</xdr:colOff>
      <xdr:row>138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1DF6889-7763-4382-96BF-550BEA1F7B8A}"/>
            </a:ext>
          </a:extLst>
        </xdr:cNvPr>
        <xdr:cNvCxnSpPr/>
      </xdr:nvCxnSpPr>
      <xdr:spPr>
        <a:xfrm>
          <a:off x="19050" y="276510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17FD-CE9E-4D4D-9587-5524F254C56C}">
  <dimension ref="A1:V175"/>
  <sheetViews>
    <sheetView view="pageBreakPreview" topLeftCell="A142" zoomScaleNormal="100" zoomScaleSheetLayoutView="100" workbookViewId="0">
      <selection activeCell="J175" sqref="A133:J175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7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2" t="s">
        <v>31</v>
      </c>
      <c r="B8" s="62"/>
      <c r="C8" s="63"/>
      <c r="D8" s="63"/>
      <c r="E8" s="63"/>
      <c r="F8" s="63"/>
      <c r="G8" s="63"/>
      <c r="H8" s="63"/>
      <c r="I8" s="63"/>
      <c r="J8" s="63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3" t="s">
        <v>38</v>
      </c>
      <c r="B9" s="63"/>
      <c r="C9" s="63"/>
      <c r="D9" s="63"/>
      <c r="E9" s="63"/>
      <c r="F9" s="63"/>
      <c r="G9" s="63"/>
      <c r="H9" s="63"/>
      <c r="I9" s="63"/>
      <c r="J9" s="63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3" t="s">
        <v>13</v>
      </c>
      <c r="B10" s="63"/>
      <c r="C10" s="63"/>
      <c r="D10" s="63"/>
      <c r="E10" s="63"/>
      <c r="F10" s="63"/>
      <c r="G10" s="63"/>
      <c r="H10" s="63"/>
      <c r="I10" s="63"/>
      <c r="J10" s="63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3" t="s">
        <v>37</v>
      </c>
      <c r="B11" s="63"/>
      <c r="C11" s="63"/>
      <c r="D11" s="63"/>
      <c r="E11" s="63"/>
      <c r="F11" s="63"/>
      <c r="G11" s="63"/>
      <c r="H11" s="63"/>
      <c r="I11" s="63"/>
      <c r="J11" s="63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3" t="s">
        <v>26</v>
      </c>
      <c r="B12" s="63"/>
      <c r="C12" s="63"/>
      <c r="D12" s="63"/>
      <c r="E12" s="63"/>
      <c r="F12" s="63"/>
      <c r="G12" s="63"/>
      <c r="H12" s="63"/>
      <c r="I12" s="63"/>
      <c r="J12" s="63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2" t="s">
        <v>18</v>
      </c>
      <c r="B14" s="52"/>
      <c r="C14" s="52"/>
      <c r="D14" s="37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2" t="s">
        <v>19</v>
      </c>
      <c r="B15" s="52"/>
      <c r="C15" s="52"/>
      <c r="D15" s="37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2" t="s">
        <v>20</v>
      </c>
      <c r="B16" s="52"/>
      <c r="C16" s="52"/>
      <c r="D16" s="37" t="s">
        <v>12</v>
      </c>
      <c r="E16" s="44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2" t="s">
        <v>21</v>
      </c>
      <c r="B17" s="52"/>
      <c r="C17" s="52"/>
      <c r="D17" s="37" t="s">
        <v>12</v>
      </c>
      <c r="E17" s="41">
        <f>I26</f>
        <v>600000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37" t="s">
        <v>12</v>
      </c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7" t="s">
        <v>4</v>
      </c>
      <c r="D22" s="68"/>
      <c r="E22" s="69"/>
      <c r="F22" s="46"/>
      <c r="G22" s="38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15" customHeight="1" x14ac:dyDescent="0.25">
      <c r="A23" s="60">
        <v>1</v>
      </c>
      <c r="B23" s="53"/>
      <c r="C23" s="64" t="s">
        <v>34</v>
      </c>
      <c r="D23" s="65"/>
      <c r="E23" s="66"/>
      <c r="F23" s="48"/>
      <c r="G23" s="55" t="s">
        <v>30</v>
      </c>
      <c r="H23" s="55" t="s">
        <v>30</v>
      </c>
      <c r="I23" s="55" t="s">
        <v>30</v>
      </c>
      <c r="J23" s="55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15" customHeight="1" x14ac:dyDescent="0.25">
      <c r="A24" s="49"/>
      <c r="B24" s="49" t="s">
        <v>24</v>
      </c>
      <c r="C24" s="57" t="s">
        <v>35</v>
      </c>
      <c r="D24" s="58"/>
      <c r="E24" s="56"/>
      <c r="F24" s="48"/>
      <c r="G24" s="51">
        <v>20000000</v>
      </c>
      <c r="H24" s="42">
        <v>0</v>
      </c>
      <c r="I24" s="42">
        <v>0</v>
      </c>
      <c r="J24" s="43">
        <f>G24-H24-I24</f>
        <v>20000000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ht="15.75" customHeight="1" x14ac:dyDescent="0.25">
      <c r="A25" s="49"/>
      <c r="B25" s="49" t="s">
        <v>25</v>
      </c>
      <c r="C25" s="57" t="s">
        <v>23</v>
      </c>
      <c r="D25" s="58"/>
      <c r="E25" s="56"/>
      <c r="F25" s="48"/>
      <c r="G25" s="50">
        <v>35500000</v>
      </c>
      <c r="H25" s="42">
        <v>0</v>
      </c>
      <c r="I25" s="42">
        <v>600000</v>
      </c>
      <c r="J25" s="43">
        <f t="shared" ref="J25" si="0">G25-H25-I25</f>
        <v>34900000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0"/>
      <c r="G26" s="39">
        <f>SUM(G23:G25)</f>
        <v>55500000</v>
      </c>
      <c r="H26" s="18">
        <f>SUM(H24:H25)</f>
        <v>0</v>
      </c>
      <c r="I26" s="18">
        <f>SUM(I24:I25)</f>
        <v>600000</v>
      </c>
      <c r="J26" s="18">
        <f>SUM(J24:J25)</f>
        <v>54900000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70" t="s">
        <v>14</v>
      </c>
      <c r="B28" s="70"/>
      <c r="C28" s="70"/>
      <c r="D28" s="33" t="s">
        <v>12</v>
      </c>
      <c r="E28" s="41">
        <f>I26</f>
        <v>600000</v>
      </c>
      <c r="F28" s="36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4"/>
      <c r="B32" s="44"/>
      <c r="C32" s="44"/>
      <c r="D32" s="33"/>
      <c r="E32" s="44"/>
      <c r="F32" s="44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70" t="s">
        <v>15</v>
      </c>
      <c r="B33" s="70"/>
      <c r="C33" s="70"/>
      <c r="D33" s="33" t="s">
        <v>12</v>
      </c>
      <c r="E33" s="36">
        <f>E28-E31</f>
        <v>600000</v>
      </c>
      <c r="F33" s="36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4"/>
      <c r="B34" s="44"/>
      <c r="C34" s="8"/>
      <c r="D34" s="8"/>
      <c r="E34" s="47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4"/>
      <c r="B37" s="44"/>
      <c r="C37" s="8"/>
      <c r="D37" s="8"/>
      <c r="E37" s="8"/>
      <c r="F37" s="8"/>
      <c r="G37" s="8"/>
      <c r="I37" s="45" t="s">
        <v>39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9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36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2" t="s">
        <v>31</v>
      </c>
      <c r="B52" s="62"/>
      <c r="C52" s="63"/>
      <c r="D52" s="63"/>
      <c r="E52" s="63"/>
      <c r="F52" s="63"/>
      <c r="G52" s="63"/>
      <c r="H52" s="63"/>
      <c r="I52" s="63"/>
      <c r="J52" s="63"/>
    </row>
    <row r="53" spans="1:10" x14ac:dyDescent="0.25">
      <c r="A53" s="63" t="s">
        <v>40</v>
      </c>
      <c r="B53" s="63"/>
      <c r="C53" s="63"/>
      <c r="D53" s="63"/>
      <c r="E53" s="63"/>
      <c r="F53" s="63"/>
      <c r="G53" s="63"/>
      <c r="H53" s="63"/>
      <c r="I53" s="63"/>
      <c r="J53" s="63"/>
    </row>
    <row r="54" spans="1:10" x14ac:dyDescent="0.25">
      <c r="A54" s="63" t="s">
        <v>13</v>
      </c>
      <c r="B54" s="63"/>
      <c r="C54" s="63"/>
      <c r="D54" s="63"/>
      <c r="E54" s="63"/>
      <c r="F54" s="63"/>
      <c r="G54" s="63"/>
      <c r="H54" s="63"/>
      <c r="I54" s="63"/>
      <c r="J54" s="63"/>
    </row>
    <row r="55" spans="1:10" x14ac:dyDescent="0.25">
      <c r="A55" s="63" t="s">
        <v>37</v>
      </c>
      <c r="B55" s="63"/>
      <c r="C55" s="63"/>
      <c r="D55" s="63"/>
      <c r="E55" s="63"/>
      <c r="F55" s="63"/>
      <c r="G55" s="63"/>
      <c r="H55" s="63"/>
      <c r="I55" s="63"/>
      <c r="J55" s="63"/>
    </row>
    <row r="56" spans="1:10" x14ac:dyDescent="0.25">
      <c r="A56" s="63" t="s">
        <v>26</v>
      </c>
      <c r="B56" s="63"/>
      <c r="C56" s="63"/>
      <c r="D56" s="63"/>
      <c r="E56" s="63"/>
      <c r="F56" s="63"/>
      <c r="G56" s="63"/>
      <c r="H56" s="63"/>
      <c r="I56" s="63"/>
      <c r="J56" s="63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2" t="s">
        <v>18</v>
      </c>
      <c r="B58" s="52"/>
      <c r="C58" s="52"/>
      <c r="D58" s="37" t="s">
        <v>12</v>
      </c>
      <c r="E58" s="8" t="s">
        <v>32</v>
      </c>
      <c r="H58" s="9"/>
      <c r="I58" s="9"/>
      <c r="J58" s="10"/>
    </row>
    <row r="59" spans="1:10" x14ac:dyDescent="0.25">
      <c r="A59" s="52" t="s">
        <v>19</v>
      </c>
      <c r="B59" s="52"/>
      <c r="C59" s="52"/>
      <c r="D59" s="37" t="s">
        <v>12</v>
      </c>
      <c r="E59" s="8" t="s">
        <v>33</v>
      </c>
      <c r="H59" s="9"/>
      <c r="I59" s="9"/>
      <c r="J59" s="10"/>
    </row>
    <row r="60" spans="1:10" x14ac:dyDescent="0.25">
      <c r="A60" s="52" t="s">
        <v>20</v>
      </c>
      <c r="B60" s="52"/>
      <c r="C60" s="52"/>
      <c r="D60" s="37" t="s">
        <v>12</v>
      </c>
      <c r="E60" s="44">
        <v>2026</v>
      </c>
      <c r="H60" s="9"/>
      <c r="I60" s="9"/>
      <c r="J60" s="10"/>
    </row>
    <row r="61" spans="1:10" x14ac:dyDescent="0.25">
      <c r="A61" s="52" t="s">
        <v>21</v>
      </c>
      <c r="B61" s="52"/>
      <c r="C61" s="52"/>
      <c r="D61" s="37" t="s">
        <v>12</v>
      </c>
      <c r="E61" s="41">
        <f>I70</f>
        <v>7245000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37" t="s">
        <v>12</v>
      </c>
      <c r="E62" s="47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Dua Ratus Empat Puluh Lima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37"/>
      <c r="G63" s="47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1" t="s">
        <v>2</v>
      </c>
      <c r="B65" s="61"/>
      <c r="C65" s="61"/>
      <c r="D65" s="61"/>
      <c r="E65" s="61"/>
      <c r="F65" s="61"/>
      <c r="G65" s="61"/>
      <c r="H65" s="61"/>
      <c r="I65" s="61"/>
      <c r="J65" s="61"/>
    </row>
    <row r="66" spans="1:10" ht="45" x14ac:dyDescent="0.25">
      <c r="A66" s="12" t="s">
        <v>3</v>
      </c>
      <c r="B66" s="59" t="s">
        <v>22</v>
      </c>
      <c r="C66" s="67" t="s">
        <v>4</v>
      </c>
      <c r="D66" s="68"/>
      <c r="E66" s="69"/>
      <c r="F66" s="46"/>
      <c r="G66" s="38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60">
        <v>1</v>
      </c>
      <c r="B67" s="53"/>
      <c r="C67" s="64" t="s">
        <v>34</v>
      </c>
      <c r="D67" s="65"/>
      <c r="E67" s="66"/>
      <c r="F67" s="48"/>
      <c r="G67" s="55" t="s">
        <v>30</v>
      </c>
      <c r="H67" s="55" t="s">
        <v>30</v>
      </c>
      <c r="I67" s="55" t="s">
        <v>30</v>
      </c>
      <c r="J67" s="55" t="s">
        <v>30</v>
      </c>
    </row>
    <row r="68" spans="1:10" x14ac:dyDescent="0.25">
      <c r="A68" s="49"/>
      <c r="B68" s="49" t="s">
        <v>24</v>
      </c>
      <c r="C68" s="57" t="s">
        <v>35</v>
      </c>
      <c r="D68" s="58"/>
      <c r="E68" s="56"/>
      <c r="F68" s="48"/>
      <c r="G68" s="51">
        <v>20000000</v>
      </c>
      <c r="H68" s="42">
        <f>H24+I24</f>
        <v>0</v>
      </c>
      <c r="I68" s="42">
        <v>0</v>
      </c>
      <c r="J68" s="43">
        <f>G68-H68-I68</f>
        <v>20000000</v>
      </c>
    </row>
    <row r="69" spans="1:10" x14ac:dyDescent="0.25">
      <c r="A69" s="49"/>
      <c r="B69" s="49" t="s">
        <v>25</v>
      </c>
      <c r="C69" s="57" t="s">
        <v>23</v>
      </c>
      <c r="D69" s="58"/>
      <c r="E69" s="56"/>
      <c r="F69" s="48"/>
      <c r="G69" s="50">
        <v>35500000</v>
      </c>
      <c r="H69" s="42">
        <f>H25+I25</f>
        <v>600000</v>
      </c>
      <c r="I69" s="42">
        <v>7245000</v>
      </c>
      <c r="J69" s="43">
        <f t="shared" ref="J69" si="1">G69-H69-I69</f>
        <v>27655000</v>
      </c>
    </row>
    <row r="70" spans="1:10" x14ac:dyDescent="0.25">
      <c r="A70" s="16"/>
      <c r="B70" s="16"/>
      <c r="C70" s="17" t="s">
        <v>8</v>
      </c>
      <c r="D70" s="17"/>
      <c r="E70" s="17"/>
      <c r="F70" s="40"/>
      <c r="G70" s="39">
        <f>SUM(G67:G69)</f>
        <v>55500000</v>
      </c>
      <c r="H70" s="18">
        <f>SUM(H68:H69)</f>
        <v>600000</v>
      </c>
      <c r="I70" s="18">
        <f>SUM(I68:I69)</f>
        <v>7245000</v>
      </c>
      <c r="J70" s="18">
        <f>SUM(J68:J69)</f>
        <v>47655000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70" t="s">
        <v>14</v>
      </c>
      <c r="B72" s="70"/>
      <c r="C72" s="70"/>
      <c r="D72" s="33" t="s">
        <v>12</v>
      </c>
      <c r="E72" s="41">
        <f>I70</f>
        <v>7245000</v>
      </c>
      <c r="F72" s="36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4"/>
      <c r="B76" s="44"/>
      <c r="C76" s="44"/>
      <c r="D76" s="33"/>
      <c r="E76" s="44"/>
      <c r="F76" s="44"/>
      <c r="G76" s="8"/>
      <c r="H76" s="9"/>
      <c r="I76" s="23"/>
      <c r="J76" s="24"/>
    </row>
    <row r="77" spans="1:10" x14ac:dyDescent="0.25">
      <c r="A77" s="70" t="s">
        <v>15</v>
      </c>
      <c r="B77" s="70"/>
      <c r="C77" s="70"/>
      <c r="D77" s="33" t="s">
        <v>12</v>
      </c>
      <c r="E77" s="36">
        <f>E72-E75</f>
        <v>7245000</v>
      </c>
      <c r="F77" s="36"/>
      <c r="G77" s="8"/>
      <c r="H77" s="9"/>
      <c r="I77" s="23"/>
      <c r="J77" s="24"/>
    </row>
    <row r="78" spans="1:10" ht="15.75" x14ac:dyDescent="0.25">
      <c r="A78" s="44"/>
      <c r="B78" s="44"/>
      <c r="C78" s="8"/>
      <c r="D78" s="8"/>
      <c r="E78" s="47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Dua Ratus Empat Puluh Lima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4"/>
      <c r="B81" s="44"/>
      <c r="C81" s="8"/>
      <c r="D81" s="8"/>
      <c r="E81" s="8"/>
      <c r="F81" s="8"/>
      <c r="G81" s="8"/>
      <c r="I81" s="45" t="s">
        <v>39</v>
      </c>
      <c r="J81" s="24"/>
    </row>
    <row r="82" spans="1:10" x14ac:dyDescent="0.25">
      <c r="A82" s="9" t="s">
        <v>28</v>
      </c>
      <c r="B82" s="9"/>
      <c r="C82" s="8"/>
      <c r="D82" s="8"/>
      <c r="E82" s="8"/>
      <c r="F82" s="8"/>
      <c r="G82" s="8"/>
      <c r="I82" s="9" t="s">
        <v>27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36</v>
      </c>
      <c r="B87" s="28"/>
      <c r="C87" s="27"/>
      <c r="D87" s="27"/>
      <c r="E87" s="27"/>
      <c r="F87" s="27"/>
      <c r="G87" s="8" t="s">
        <v>11</v>
      </c>
      <c r="I87" s="28" t="s">
        <v>29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2" t="s">
        <v>31</v>
      </c>
      <c r="B96" s="62"/>
      <c r="C96" s="63"/>
      <c r="D96" s="63"/>
      <c r="E96" s="63"/>
      <c r="F96" s="63"/>
      <c r="G96" s="63"/>
      <c r="H96" s="63"/>
      <c r="I96" s="63"/>
      <c r="J96" s="63"/>
    </row>
    <row r="97" spans="1:10" x14ac:dyDescent="0.25">
      <c r="A97" s="63" t="s">
        <v>41</v>
      </c>
      <c r="B97" s="63"/>
      <c r="C97" s="63"/>
      <c r="D97" s="63"/>
      <c r="E97" s="63"/>
      <c r="F97" s="63"/>
      <c r="G97" s="63"/>
      <c r="H97" s="63"/>
      <c r="I97" s="63"/>
      <c r="J97" s="63"/>
    </row>
    <row r="98" spans="1:10" x14ac:dyDescent="0.25">
      <c r="A98" s="63" t="s">
        <v>13</v>
      </c>
      <c r="B98" s="63"/>
      <c r="C98" s="63"/>
      <c r="D98" s="63"/>
      <c r="E98" s="63"/>
      <c r="F98" s="63"/>
      <c r="G98" s="63"/>
      <c r="H98" s="63"/>
      <c r="I98" s="63"/>
      <c r="J98" s="63"/>
    </row>
    <row r="99" spans="1:10" x14ac:dyDescent="0.25">
      <c r="A99" s="63" t="s">
        <v>37</v>
      </c>
      <c r="B99" s="63"/>
      <c r="C99" s="63"/>
      <c r="D99" s="63"/>
      <c r="E99" s="63"/>
      <c r="F99" s="63"/>
      <c r="G99" s="63"/>
      <c r="H99" s="63"/>
      <c r="I99" s="63"/>
      <c r="J99" s="63"/>
    </row>
    <row r="100" spans="1:10" x14ac:dyDescent="0.25">
      <c r="A100" s="63" t="s">
        <v>26</v>
      </c>
      <c r="B100" s="63"/>
      <c r="C100" s="63"/>
      <c r="D100" s="63"/>
      <c r="E100" s="63"/>
      <c r="F100" s="63"/>
      <c r="G100" s="63"/>
      <c r="H100" s="63"/>
      <c r="I100" s="63"/>
      <c r="J100" s="63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2" t="s">
        <v>18</v>
      </c>
      <c r="B102" s="52"/>
      <c r="C102" s="52"/>
      <c r="D102" s="37" t="s">
        <v>12</v>
      </c>
      <c r="E102" s="8" t="s">
        <v>32</v>
      </c>
      <c r="H102" s="9"/>
      <c r="I102" s="9"/>
      <c r="J102" s="10"/>
    </row>
    <row r="103" spans="1:10" x14ac:dyDescent="0.25">
      <c r="A103" s="52" t="s">
        <v>19</v>
      </c>
      <c r="B103" s="52"/>
      <c r="C103" s="52"/>
      <c r="D103" s="37" t="s">
        <v>12</v>
      </c>
      <c r="E103" s="8" t="s">
        <v>33</v>
      </c>
      <c r="H103" s="9"/>
      <c r="I103" s="9"/>
      <c r="J103" s="10"/>
    </row>
    <row r="104" spans="1:10" x14ac:dyDescent="0.25">
      <c r="A104" s="52" t="s">
        <v>20</v>
      </c>
      <c r="B104" s="52"/>
      <c r="C104" s="52"/>
      <c r="D104" s="37" t="s">
        <v>12</v>
      </c>
      <c r="E104" s="44">
        <v>2026</v>
      </c>
      <c r="H104" s="9"/>
      <c r="I104" s="9"/>
      <c r="J104" s="10"/>
    </row>
    <row r="105" spans="1:10" x14ac:dyDescent="0.25">
      <c r="A105" s="52" t="s">
        <v>21</v>
      </c>
      <c r="B105" s="52"/>
      <c r="C105" s="52"/>
      <c r="D105" s="37" t="s">
        <v>12</v>
      </c>
      <c r="E105" s="41">
        <f>I114</f>
        <v>13440000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37" t="s">
        <v>12</v>
      </c>
      <c r="E106" s="47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37"/>
      <c r="G107" s="47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1" t="s">
        <v>2</v>
      </c>
      <c r="B109" s="61"/>
      <c r="C109" s="61"/>
      <c r="D109" s="61"/>
      <c r="E109" s="61"/>
      <c r="F109" s="61"/>
      <c r="G109" s="61"/>
      <c r="H109" s="61"/>
      <c r="I109" s="61"/>
      <c r="J109" s="61"/>
    </row>
    <row r="110" spans="1:10" ht="45" x14ac:dyDescent="0.25">
      <c r="A110" s="12" t="s">
        <v>3</v>
      </c>
      <c r="B110" s="59" t="s">
        <v>22</v>
      </c>
      <c r="C110" s="67" t="s">
        <v>4</v>
      </c>
      <c r="D110" s="68"/>
      <c r="E110" s="69"/>
      <c r="F110" s="46"/>
      <c r="G110" s="38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60">
        <v>1</v>
      </c>
      <c r="B111" s="53"/>
      <c r="C111" s="64" t="s">
        <v>34</v>
      </c>
      <c r="D111" s="65"/>
      <c r="E111" s="66"/>
      <c r="F111" s="48"/>
      <c r="G111" s="55" t="s">
        <v>30</v>
      </c>
      <c r="H111" s="55" t="s">
        <v>30</v>
      </c>
      <c r="I111" s="55" t="s">
        <v>30</v>
      </c>
      <c r="J111" s="55" t="s">
        <v>30</v>
      </c>
    </row>
    <row r="112" spans="1:10" x14ac:dyDescent="0.25">
      <c r="A112" s="49"/>
      <c r="B112" s="49" t="s">
        <v>24</v>
      </c>
      <c r="C112" s="57" t="s">
        <v>35</v>
      </c>
      <c r="D112" s="58"/>
      <c r="E112" s="56"/>
      <c r="F112" s="48"/>
      <c r="G112" s="51">
        <v>20000000</v>
      </c>
      <c r="H112" s="42">
        <f>H68+I68</f>
        <v>0</v>
      </c>
      <c r="I112" s="42">
        <v>0</v>
      </c>
      <c r="J112" s="43">
        <f>G112-H112-I112</f>
        <v>20000000</v>
      </c>
    </row>
    <row r="113" spans="1:10" x14ac:dyDescent="0.25">
      <c r="A113" s="49"/>
      <c r="B113" s="49" t="s">
        <v>25</v>
      </c>
      <c r="C113" s="57" t="s">
        <v>23</v>
      </c>
      <c r="D113" s="58"/>
      <c r="E113" s="56"/>
      <c r="F113" s="48"/>
      <c r="G113" s="50">
        <v>35500000</v>
      </c>
      <c r="H113" s="42">
        <f>H69+I69</f>
        <v>7845000</v>
      </c>
      <c r="I113" s="42">
        <v>13440000</v>
      </c>
      <c r="J113" s="43">
        <f t="shared" ref="J113" si="2">G113-H113-I113</f>
        <v>14215000</v>
      </c>
    </row>
    <row r="114" spans="1:10" x14ac:dyDescent="0.25">
      <c r="A114" s="16"/>
      <c r="B114" s="16"/>
      <c r="C114" s="17" t="s">
        <v>8</v>
      </c>
      <c r="D114" s="17"/>
      <c r="E114" s="17"/>
      <c r="F114" s="40"/>
      <c r="G114" s="39">
        <f>SUM(G111:G113)</f>
        <v>55500000</v>
      </c>
      <c r="H114" s="18">
        <f>SUM(H112:H113)</f>
        <v>7845000</v>
      </c>
      <c r="I114" s="18">
        <f>SUM(I112:I113)</f>
        <v>13440000</v>
      </c>
      <c r="J114" s="18">
        <f>SUM(J112:J113)</f>
        <v>34215000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70" t="s">
        <v>14</v>
      </c>
      <c r="B116" s="70"/>
      <c r="C116" s="70"/>
      <c r="D116" s="33" t="s">
        <v>12</v>
      </c>
      <c r="E116" s="41">
        <f>I114</f>
        <v>13440000</v>
      </c>
      <c r="F116" s="36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4"/>
      <c r="B120" s="44"/>
      <c r="C120" s="44"/>
      <c r="D120" s="33"/>
      <c r="E120" s="44"/>
      <c r="F120" s="44"/>
      <c r="G120" s="8"/>
      <c r="H120" s="9"/>
      <c r="I120" s="23"/>
      <c r="J120" s="24"/>
    </row>
    <row r="121" spans="1:10" x14ac:dyDescent="0.25">
      <c r="A121" s="70" t="s">
        <v>15</v>
      </c>
      <c r="B121" s="70"/>
      <c r="C121" s="70"/>
      <c r="D121" s="33" t="s">
        <v>12</v>
      </c>
      <c r="E121" s="36">
        <f>E116-E119</f>
        <v>13440000</v>
      </c>
      <c r="F121" s="36"/>
      <c r="G121" s="8"/>
      <c r="H121" s="9"/>
      <c r="I121" s="23"/>
      <c r="J121" s="24"/>
    </row>
    <row r="122" spans="1:10" ht="15.75" x14ac:dyDescent="0.25">
      <c r="A122" s="44"/>
      <c r="B122" s="44"/>
      <c r="C122" s="8"/>
      <c r="D122" s="8"/>
      <c r="E122" s="47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4"/>
      <c r="B125" s="44"/>
      <c r="C125" s="8"/>
      <c r="D125" s="8"/>
      <c r="E125" s="8"/>
      <c r="F125" s="8"/>
      <c r="G125" s="8"/>
      <c r="I125" s="45" t="s">
        <v>39</v>
      </c>
      <c r="J125" s="24"/>
    </row>
    <row r="126" spans="1:10" x14ac:dyDescent="0.25">
      <c r="A126" s="9" t="s">
        <v>28</v>
      </c>
      <c r="B126" s="9"/>
      <c r="C126" s="8"/>
      <c r="D126" s="8"/>
      <c r="E126" s="8"/>
      <c r="F126" s="8"/>
      <c r="G126" s="8"/>
      <c r="I126" s="9" t="s">
        <v>27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36</v>
      </c>
      <c r="B131" s="28"/>
      <c r="C131" s="27"/>
      <c r="D131" s="27"/>
      <c r="E131" s="27"/>
      <c r="F131" s="27"/>
      <c r="G131" s="8" t="s">
        <v>11</v>
      </c>
      <c r="I131" s="28" t="s">
        <v>29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2" t="s">
        <v>31</v>
      </c>
      <c r="B140" s="62"/>
      <c r="C140" s="63"/>
      <c r="D140" s="63"/>
      <c r="E140" s="63"/>
      <c r="F140" s="63"/>
      <c r="G140" s="63"/>
      <c r="H140" s="63"/>
      <c r="I140" s="63"/>
      <c r="J140" s="63"/>
    </row>
    <row r="141" spans="1:10" x14ac:dyDescent="0.25">
      <c r="A141" s="63" t="s">
        <v>42</v>
      </c>
      <c r="B141" s="63"/>
      <c r="C141" s="63"/>
      <c r="D141" s="63"/>
      <c r="E141" s="63"/>
      <c r="F141" s="63"/>
      <c r="G141" s="63"/>
      <c r="H141" s="63"/>
      <c r="I141" s="63"/>
      <c r="J141" s="63"/>
    </row>
    <row r="142" spans="1:10" x14ac:dyDescent="0.25">
      <c r="A142" s="63" t="s">
        <v>13</v>
      </c>
      <c r="B142" s="63"/>
      <c r="C142" s="63"/>
      <c r="D142" s="63"/>
      <c r="E142" s="63"/>
      <c r="F142" s="63"/>
      <c r="G142" s="63"/>
      <c r="H142" s="63"/>
      <c r="I142" s="63"/>
      <c r="J142" s="63"/>
    </row>
    <row r="143" spans="1:10" x14ac:dyDescent="0.25">
      <c r="A143" s="63" t="s">
        <v>37</v>
      </c>
      <c r="B143" s="63"/>
      <c r="C143" s="63"/>
      <c r="D143" s="63"/>
      <c r="E143" s="63"/>
      <c r="F143" s="63"/>
      <c r="G143" s="63"/>
      <c r="H143" s="63"/>
      <c r="I143" s="63"/>
      <c r="J143" s="63"/>
    </row>
    <row r="144" spans="1:10" x14ac:dyDescent="0.25">
      <c r="A144" s="63" t="s">
        <v>26</v>
      </c>
      <c r="B144" s="63"/>
      <c r="C144" s="63"/>
      <c r="D144" s="63"/>
      <c r="E144" s="63"/>
      <c r="F144" s="63"/>
      <c r="G144" s="63"/>
      <c r="H144" s="63"/>
      <c r="I144" s="63"/>
      <c r="J144" s="63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2" t="s">
        <v>18</v>
      </c>
      <c r="B146" s="52"/>
      <c r="C146" s="52"/>
      <c r="D146" s="37" t="s">
        <v>12</v>
      </c>
      <c r="E146" s="8" t="s">
        <v>32</v>
      </c>
      <c r="H146" s="9"/>
      <c r="I146" s="9"/>
      <c r="J146" s="10"/>
    </row>
    <row r="147" spans="1:10" x14ac:dyDescent="0.25">
      <c r="A147" s="52" t="s">
        <v>19</v>
      </c>
      <c r="B147" s="52"/>
      <c r="C147" s="52"/>
      <c r="D147" s="37" t="s">
        <v>12</v>
      </c>
      <c r="E147" s="8" t="s">
        <v>33</v>
      </c>
      <c r="H147" s="9"/>
      <c r="I147" s="9"/>
      <c r="J147" s="10"/>
    </row>
    <row r="148" spans="1:10" x14ac:dyDescent="0.25">
      <c r="A148" s="52" t="s">
        <v>20</v>
      </c>
      <c r="B148" s="52"/>
      <c r="C148" s="52"/>
      <c r="D148" s="37" t="s">
        <v>12</v>
      </c>
      <c r="E148" s="44">
        <v>2026</v>
      </c>
      <c r="H148" s="9"/>
      <c r="I148" s="9"/>
      <c r="J148" s="10"/>
    </row>
    <row r="149" spans="1:10" x14ac:dyDescent="0.25">
      <c r="A149" s="52" t="s">
        <v>21</v>
      </c>
      <c r="B149" s="52"/>
      <c r="C149" s="52"/>
      <c r="D149" s="37" t="s">
        <v>12</v>
      </c>
      <c r="E149" s="41">
        <f>I158</f>
        <v>720000</v>
      </c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37" t="s">
        <v>12</v>
      </c>
      <c r="E150" s="47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37"/>
      <c r="G151" s="47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1" t="s">
        <v>2</v>
      </c>
      <c r="B153" s="61"/>
      <c r="C153" s="61"/>
      <c r="D153" s="61"/>
      <c r="E153" s="61"/>
      <c r="F153" s="61"/>
      <c r="G153" s="61"/>
      <c r="H153" s="61"/>
      <c r="I153" s="61"/>
      <c r="J153" s="61"/>
    </row>
    <row r="154" spans="1:10" ht="45" x14ac:dyDescent="0.25">
      <c r="A154" s="12" t="s">
        <v>3</v>
      </c>
      <c r="B154" s="59" t="s">
        <v>22</v>
      </c>
      <c r="C154" s="67" t="s">
        <v>4</v>
      </c>
      <c r="D154" s="68"/>
      <c r="E154" s="69"/>
      <c r="F154" s="46"/>
      <c r="G154" s="38" t="s">
        <v>5</v>
      </c>
      <c r="H154" s="13" t="s">
        <v>17</v>
      </c>
      <c r="I154" s="14" t="s">
        <v>6</v>
      </c>
      <c r="J154" s="15" t="s">
        <v>7</v>
      </c>
    </row>
    <row r="155" spans="1:10" x14ac:dyDescent="0.25">
      <c r="A155" s="60">
        <v>1</v>
      </c>
      <c r="B155" s="53"/>
      <c r="C155" s="64" t="s">
        <v>34</v>
      </c>
      <c r="D155" s="65"/>
      <c r="E155" s="66"/>
      <c r="F155" s="48"/>
      <c r="G155" s="55" t="s">
        <v>30</v>
      </c>
      <c r="H155" s="55" t="s">
        <v>30</v>
      </c>
      <c r="I155" s="55" t="s">
        <v>30</v>
      </c>
      <c r="J155" s="55" t="s">
        <v>30</v>
      </c>
    </row>
    <row r="156" spans="1:10" x14ac:dyDescent="0.25">
      <c r="A156" s="49"/>
      <c r="B156" s="49" t="s">
        <v>24</v>
      </c>
      <c r="C156" s="57" t="s">
        <v>35</v>
      </c>
      <c r="D156" s="58"/>
      <c r="E156" s="56"/>
      <c r="F156" s="48"/>
      <c r="G156" s="51">
        <v>20000000</v>
      </c>
      <c r="H156" s="42">
        <f>H112+I112</f>
        <v>0</v>
      </c>
      <c r="I156" s="42">
        <v>0</v>
      </c>
      <c r="J156" s="43">
        <f>G156-H156-I156</f>
        <v>20000000</v>
      </c>
    </row>
    <row r="157" spans="1:10" x14ac:dyDescent="0.25">
      <c r="A157" s="49"/>
      <c r="B157" s="49" t="s">
        <v>25</v>
      </c>
      <c r="C157" s="57" t="s">
        <v>23</v>
      </c>
      <c r="D157" s="58"/>
      <c r="E157" s="56"/>
      <c r="F157" s="48"/>
      <c r="G157" s="50">
        <v>35500000</v>
      </c>
      <c r="H157" s="42">
        <f>H113+I113</f>
        <v>21285000</v>
      </c>
      <c r="I157" s="42">
        <v>720000</v>
      </c>
      <c r="J157" s="43">
        <f t="shared" ref="J157" si="3">G157-H157-I157</f>
        <v>13495000</v>
      </c>
    </row>
    <row r="158" spans="1:10" x14ac:dyDescent="0.25">
      <c r="A158" s="16"/>
      <c r="B158" s="16"/>
      <c r="C158" s="17" t="s">
        <v>8</v>
      </c>
      <c r="D158" s="17"/>
      <c r="E158" s="17"/>
      <c r="F158" s="40"/>
      <c r="G158" s="39">
        <f>SUM(G155:G157)</f>
        <v>55500000</v>
      </c>
      <c r="H158" s="18">
        <f>SUM(H156:H157)</f>
        <v>21285000</v>
      </c>
      <c r="I158" s="18">
        <f>SUM(I156:I157)</f>
        <v>720000</v>
      </c>
      <c r="J158" s="18">
        <f>SUM(J156:J157)</f>
        <v>33495000</v>
      </c>
    </row>
    <row r="159" spans="1:10" x14ac:dyDescent="0.25">
      <c r="A159" s="19"/>
      <c r="B159" s="54"/>
      <c r="C159" s="6"/>
      <c r="D159" s="6"/>
      <c r="E159" s="6"/>
      <c r="F159" s="6"/>
      <c r="G159" s="20"/>
      <c r="H159" s="20"/>
      <c r="I159" s="20"/>
      <c r="J159" s="20"/>
    </row>
    <row r="160" spans="1:10" x14ac:dyDescent="0.25">
      <c r="A160" s="70" t="s">
        <v>14</v>
      </c>
      <c r="B160" s="70"/>
      <c r="C160" s="70"/>
      <c r="D160" s="33" t="s">
        <v>12</v>
      </c>
      <c r="E160" s="41">
        <f>I158</f>
        <v>720000</v>
      </c>
      <c r="F160" s="36"/>
      <c r="G160" s="21"/>
      <c r="H160" s="21"/>
      <c r="I160" s="10"/>
      <c r="J160" s="10"/>
    </row>
    <row r="161" spans="1:10" x14ac:dyDescent="0.25">
      <c r="A161" s="8" t="s">
        <v>9</v>
      </c>
      <c r="B161" s="8"/>
      <c r="C161" s="8"/>
      <c r="D161" s="33" t="s">
        <v>12</v>
      </c>
      <c r="E161" s="34"/>
      <c r="F161" s="34"/>
      <c r="G161" s="22"/>
      <c r="H161" s="9"/>
      <c r="I161" s="10"/>
      <c r="J161" s="10"/>
    </row>
    <row r="162" spans="1:10" x14ac:dyDescent="0.25">
      <c r="A162" s="8" t="s">
        <v>16</v>
      </c>
      <c r="B162" s="8"/>
      <c r="C162" s="8"/>
      <c r="D162" s="33" t="s">
        <v>12</v>
      </c>
      <c r="E162" s="35"/>
      <c r="F162" s="35"/>
      <c r="G162" s="22"/>
      <c r="H162" s="9"/>
      <c r="I162" s="10"/>
      <c r="J162" s="10"/>
    </row>
    <row r="163" spans="1:10" x14ac:dyDescent="0.25">
      <c r="A163" s="8" t="s">
        <v>10</v>
      </c>
      <c r="B163" s="8"/>
      <c r="C163" s="8"/>
      <c r="D163" s="33" t="s">
        <v>12</v>
      </c>
      <c r="E163" s="35">
        <f>E161+E162</f>
        <v>0</v>
      </c>
      <c r="F163" s="35"/>
      <c r="G163" s="8"/>
      <c r="H163" s="9"/>
      <c r="I163" s="23"/>
      <c r="J163" s="24"/>
    </row>
    <row r="164" spans="1:10" x14ac:dyDescent="0.25">
      <c r="A164" s="44"/>
      <c r="B164" s="44"/>
      <c r="C164" s="44"/>
      <c r="D164" s="33"/>
      <c r="E164" s="44"/>
      <c r="F164" s="44"/>
      <c r="G164" s="8"/>
      <c r="H164" s="9"/>
      <c r="I164" s="23"/>
      <c r="J164" s="24"/>
    </row>
    <row r="165" spans="1:10" x14ac:dyDescent="0.25">
      <c r="A165" s="70" t="s">
        <v>15</v>
      </c>
      <c r="B165" s="70"/>
      <c r="C165" s="70"/>
      <c r="D165" s="33" t="s">
        <v>12</v>
      </c>
      <c r="E165" s="36">
        <f>E160-E163</f>
        <v>720000</v>
      </c>
      <c r="F165" s="36"/>
      <c r="G165" s="8"/>
      <c r="H165" s="9"/>
      <c r="I165" s="23"/>
      <c r="J165" s="24"/>
    </row>
    <row r="166" spans="1:10" ht="15.75" x14ac:dyDescent="0.25">
      <c r="A166" s="44"/>
      <c r="B166" s="44"/>
      <c r="C166" s="8"/>
      <c r="D166" s="8"/>
      <c r="E166" s="47" t="str">
        <f>PROPER(IF(E165=0,"nol",IF(E165&lt;0,"minus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165),"000000000000000"),1,3)=0,"",MID(TEXT(ABS(E165),"000000000000000"),1,1)&amp;" ratus "&amp;MID(TEXT(ABS(E165),"000000000000000"),2,1)&amp;" puluh "&amp;MID(TEXT(ABS(E165),"000000000000000"),3,1)&amp;" trilyun ")&amp;IF(--MID(TEXT(ABS(E165),"000000000000000"),4,3)=0,"",MID(TEXT(ABS(E165),"000000000000000"),4,1)&amp;" ratus "&amp;MID(TEXT(ABS(E165),"000000000000000"),5,1)&amp;" puluh "&amp;MID(TEXT(ABS(E165),"000000000000000"),6,1)&amp;" milyar ")&amp;IF(--MID(TEXT(ABS(E165),"000000000000000"),7,3)=0,"",MID(TEXT(ABS(E165),"000000000000000"),7,1)&amp;" ratus "&amp;MID(TEXT(ABS(E165),"000000000000000"),8,1)&amp;" puluh "&amp;MID(TEXT(ABS(E165),"000000000000000"),9,1)&amp;" juta ")&amp;IF(--MID(TEXT(ABS(E165),"000000000000000"),10,3)=0,"",IF(--MID(TEXT(ABS(E165),"000000000000000"),10,3)=1,"*",MID(TEXT(ABS(E165),"000000000000000"),10,1)&amp;" ratus "&amp;MID(TEXT(ABS(E165),"000000000000000"),11,1)&amp;" puluh ")&amp;MID(TEXT(ABS(E165),"000000000000000"),12,1)&amp;" ribu ")&amp;IF(--MID(TEXT(ABS(E165),"000000000000000"),13,3)=0,"",MID(TEXT(ABS(E165),"000000000000000"),13,1)&amp;" ratus "&amp;MID(TEXT(ABS(E165),"000000000000000"),14,1)&amp;" puluh "&amp;MID(TEXT(ABS(E165),"000000000000000"),15,1)),1,"satu"),2,"dua"),3,"tiga"),4,"empat"),5,"lima"),6,"enam"),7,"tujuh"),8,"delapan"),9,"sembilan"),"0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F166" s="8"/>
      <c r="G166" s="8"/>
      <c r="H166" s="8"/>
      <c r="I166" s="23"/>
      <c r="J166" s="24"/>
    </row>
    <row r="167" spans="1:10" x14ac:dyDescent="0.25">
      <c r="A167" s="26"/>
      <c r="B167" s="26"/>
      <c r="C167" s="26"/>
      <c r="D167" s="26"/>
      <c r="E167" s="26"/>
      <c r="F167" s="26"/>
      <c r="G167" s="25"/>
      <c r="H167" s="24"/>
      <c r="I167" s="23"/>
      <c r="J167" s="24"/>
    </row>
    <row r="168" spans="1:10" x14ac:dyDescent="0.25">
      <c r="A168" s="25"/>
      <c r="B168" s="25"/>
      <c r="C168" s="25"/>
      <c r="D168" s="25"/>
      <c r="E168" s="25"/>
      <c r="F168" s="25"/>
      <c r="G168" s="25"/>
      <c r="H168"/>
      <c r="I168" s="24"/>
      <c r="J168" s="24"/>
    </row>
    <row r="169" spans="1:10" x14ac:dyDescent="0.25">
      <c r="A169" s="44"/>
      <c r="B169" s="44"/>
      <c r="C169" s="8"/>
      <c r="D169" s="8"/>
      <c r="E169" s="8"/>
      <c r="F169" s="8"/>
      <c r="G169" s="8"/>
      <c r="I169" s="45" t="s">
        <v>43</v>
      </c>
      <c r="J169" s="24"/>
    </row>
    <row r="170" spans="1:10" x14ac:dyDescent="0.25">
      <c r="A170" s="9" t="s">
        <v>28</v>
      </c>
      <c r="B170" s="9"/>
      <c r="C170" s="8"/>
      <c r="D170" s="8"/>
      <c r="E170" s="8"/>
      <c r="F170" s="8"/>
      <c r="G170" s="8"/>
      <c r="I170" s="9" t="s">
        <v>27</v>
      </c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8"/>
      <c r="B173" s="8"/>
      <c r="C173" s="8"/>
      <c r="D173" s="8"/>
      <c r="E173" s="8"/>
      <c r="F173" s="8"/>
      <c r="G173" s="8"/>
      <c r="I173" s="9"/>
      <c r="J173" s="24"/>
    </row>
    <row r="174" spans="1:10" x14ac:dyDescent="0.25">
      <c r="A174" s="8"/>
      <c r="B174" s="8"/>
      <c r="C174" s="8"/>
      <c r="D174" s="8"/>
      <c r="E174" s="8"/>
      <c r="F174" s="8"/>
      <c r="G174" s="8"/>
      <c r="I174" s="9"/>
      <c r="J174" s="24"/>
    </row>
    <row r="175" spans="1:10" x14ac:dyDescent="0.25">
      <c r="A175" s="28" t="s">
        <v>36</v>
      </c>
      <c r="B175" s="28"/>
      <c r="C175" s="27"/>
      <c r="D175" s="27"/>
      <c r="E175" s="27"/>
      <c r="F175" s="27"/>
      <c r="G175" s="8" t="s">
        <v>11</v>
      </c>
      <c r="I175" s="28" t="s">
        <v>29</v>
      </c>
      <c r="J175" s="24"/>
    </row>
  </sheetData>
  <mergeCells count="40">
    <mergeCell ref="A109:J109"/>
    <mergeCell ref="C110:E110"/>
    <mergeCell ref="C111:E111"/>
    <mergeCell ref="A116:C116"/>
    <mergeCell ref="A121:C121"/>
    <mergeCell ref="A96:J96"/>
    <mergeCell ref="A97:J97"/>
    <mergeCell ref="A98:J98"/>
    <mergeCell ref="A99:J99"/>
    <mergeCell ref="A100:J100"/>
    <mergeCell ref="A65:J65"/>
    <mergeCell ref="C66:E66"/>
    <mergeCell ref="C67:E67"/>
    <mergeCell ref="A72:C72"/>
    <mergeCell ref="A77:C77"/>
    <mergeCell ref="A52:J52"/>
    <mergeCell ref="A53:J53"/>
    <mergeCell ref="A54:J54"/>
    <mergeCell ref="A55:J55"/>
    <mergeCell ref="A56:J56"/>
    <mergeCell ref="C22:E22"/>
    <mergeCell ref="C23:E23"/>
    <mergeCell ref="A28:C28"/>
    <mergeCell ref="A33:C33"/>
    <mergeCell ref="A8:J8"/>
    <mergeCell ref="A9:J9"/>
    <mergeCell ref="A10:J10"/>
    <mergeCell ref="A11:J11"/>
    <mergeCell ref="A12:J12"/>
    <mergeCell ref="A21:J21"/>
    <mergeCell ref="A140:J140"/>
    <mergeCell ref="A141:J141"/>
    <mergeCell ref="A142:J142"/>
    <mergeCell ref="A143:J143"/>
    <mergeCell ref="A144:J144"/>
    <mergeCell ref="A153:J153"/>
    <mergeCell ref="C154:E154"/>
    <mergeCell ref="C155:E155"/>
    <mergeCell ref="A160:C160"/>
    <mergeCell ref="A165:C165"/>
  </mergeCells>
  <pageMargins left="0.23622047244094491" right="0.23622047244094491" top="0.15748031496062992" bottom="0.74803149606299213" header="0.31496062992125984" footer="0.31496062992125984"/>
  <pageSetup paperSize="9" scale="90" orientation="portrait" horizontalDpi="4294967293" r:id="rId1"/>
  <rowBreaks count="3" manualBreakCount="3">
    <brk id="44" max="9" man="1"/>
    <brk id="88" max="9" man="1"/>
    <brk id="132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A558-84E5-44D9-BDF4-32B2F061ED67}">
  <dimension ref="A1:V87"/>
  <sheetViews>
    <sheetView view="pageBreakPreview" topLeftCell="A59" zoomScaleNormal="100" zoomScaleSheetLayoutView="100" workbookViewId="0">
      <selection activeCell="H81" sqref="H81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7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2" t="s">
        <v>31</v>
      </c>
      <c r="B8" s="62"/>
      <c r="C8" s="63"/>
      <c r="D8" s="63"/>
      <c r="E8" s="63"/>
      <c r="F8" s="63"/>
      <c r="G8" s="63"/>
      <c r="H8" s="63"/>
      <c r="I8" s="63"/>
      <c r="J8" s="63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3" t="s">
        <v>45</v>
      </c>
      <c r="B9" s="63"/>
      <c r="C9" s="63"/>
      <c r="D9" s="63"/>
      <c r="E9" s="63"/>
      <c r="F9" s="63"/>
      <c r="G9" s="63"/>
      <c r="H9" s="63"/>
      <c r="I9" s="63"/>
      <c r="J9" s="63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3" t="s">
        <v>13</v>
      </c>
      <c r="B10" s="63"/>
      <c r="C10" s="63"/>
      <c r="D10" s="63"/>
      <c r="E10" s="63"/>
      <c r="F10" s="63"/>
      <c r="G10" s="63"/>
      <c r="H10" s="63"/>
      <c r="I10" s="63"/>
      <c r="J10" s="63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3" t="s">
        <v>37</v>
      </c>
      <c r="B11" s="63"/>
      <c r="C11" s="63"/>
      <c r="D11" s="63"/>
      <c r="E11" s="63"/>
      <c r="F11" s="63"/>
      <c r="G11" s="63"/>
      <c r="H11" s="63"/>
      <c r="I11" s="63"/>
      <c r="J11" s="63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3" t="s">
        <v>26</v>
      </c>
      <c r="B12" s="63"/>
      <c r="C12" s="63"/>
      <c r="D12" s="63"/>
      <c r="E12" s="63"/>
      <c r="F12" s="63"/>
      <c r="G12" s="63"/>
      <c r="H12" s="63"/>
      <c r="I12" s="63"/>
      <c r="J12" s="63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2" t="s">
        <v>18</v>
      </c>
      <c r="B14" s="52"/>
      <c r="C14" s="52"/>
      <c r="D14" s="37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2" t="s">
        <v>19</v>
      </c>
      <c r="B15" s="52"/>
      <c r="C15" s="52"/>
      <c r="D15" s="37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2" t="s">
        <v>20</v>
      </c>
      <c r="B16" s="52"/>
      <c r="C16" s="52"/>
      <c r="D16" s="37" t="s">
        <v>12</v>
      </c>
      <c r="E16" s="44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2" t="s">
        <v>21</v>
      </c>
      <c r="B17" s="52"/>
      <c r="C17" s="52"/>
      <c r="D17" s="37" t="s">
        <v>12</v>
      </c>
      <c r="E17" s="41">
        <f>I26</f>
        <v>15000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37" t="s">
        <v>12</v>
      </c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Limabelas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7" t="s">
        <v>4</v>
      </c>
      <c r="D22" s="68"/>
      <c r="E22" s="69"/>
      <c r="F22" s="46"/>
      <c r="G22" s="38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15" customHeight="1" x14ac:dyDescent="0.25">
      <c r="A23" s="60">
        <v>1</v>
      </c>
      <c r="B23" s="53"/>
      <c r="C23" s="64" t="s">
        <v>34</v>
      </c>
      <c r="D23" s="65"/>
      <c r="E23" s="66"/>
      <c r="F23" s="48"/>
      <c r="G23" s="55" t="s">
        <v>30</v>
      </c>
      <c r="H23" s="55" t="s">
        <v>30</v>
      </c>
      <c r="I23" s="55" t="s">
        <v>30</v>
      </c>
      <c r="J23" s="55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15" customHeight="1" x14ac:dyDescent="0.25">
      <c r="A24" s="49"/>
      <c r="B24" s="49" t="s">
        <v>24</v>
      </c>
      <c r="C24" s="57" t="s">
        <v>35</v>
      </c>
      <c r="D24" s="58"/>
      <c r="E24" s="56"/>
      <c r="F24" s="48"/>
      <c r="G24" s="51">
        <v>20000000</v>
      </c>
      <c r="H24" s="42">
        <f>JANUARI!H156+JANUARI!I156</f>
        <v>0</v>
      </c>
      <c r="I24" s="42">
        <v>0</v>
      </c>
      <c r="J24" s="43">
        <f>G24-H24-I24</f>
        <v>20000000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ht="15.75" customHeight="1" x14ac:dyDescent="0.25">
      <c r="A25" s="49"/>
      <c r="B25" s="49" t="s">
        <v>25</v>
      </c>
      <c r="C25" s="57" t="s">
        <v>23</v>
      </c>
      <c r="D25" s="58"/>
      <c r="E25" s="56"/>
      <c r="F25" s="48"/>
      <c r="G25" s="50">
        <v>35500000</v>
      </c>
      <c r="H25" s="42">
        <f>JANUARI!H157+JANUARI!I157</f>
        <v>22005000</v>
      </c>
      <c r="I25" s="42">
        <v>15000</v>
      </c>
      <c r="J25" s="43">
        <f t="shared" ref="J25" si="0">G25-H25-I25</f>
        <v>13480000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0"/>
      <c r="G26" s="39">
        <f>SUM(G23:G25)</f>
        <v>55500000</v>
      </c>
      <c r="H26" s="18">
        <f>SUM(H24:H25)</f>
        <v>22005000</v>
      </c>
      <c r="I26" s="18">
        <f>SUM(I24:I25)</f>
        <v>15000</v>
      </c>
      <c r="J26" s="18">
        <f>SUM(J24:J25)</f>
        <v>33480000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70" t="s">
        <v>14</v>
      </c>
      <c r="B28" s="70"/>
      <c r="C28" s="70"/>
      <c r="D28" s="33" t="s">
        <v>12</v>
      </c>
      <c r="E28" s="41">
        <f>I26</f>
        <v>15000</v>
      </c>
      <c r="F28" s="36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4"/>
      <c r="B32" s="44"/>
      <c r="C32" s="44"/>
      <c r="D32" s="33"/>
      <c r="E32" s="44"/>
      <c r="F32" s="44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70" t="s">
        <v>15</v>
      </c>
      <c r="B33" s="70"/>
      <c r="C33" s="70"/>
      <c r="D33" s="33" t="s">
        <v>12</v>
      </c>
      <c r="E33" s="36">
        <f>E28-E31</f>
        <v>15000</v>
      </c>
      <c r="F33" s="36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4"/>
      <c r="B34" s="44"/>
      <c r="C34" s="8"/>
      <c r="D34" s="8"/>
      <c r="E34" s="47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Limabelas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4"/>
      <c r="B37" s="44"/>
      <c r="C37" s="8"/>
      <c r="D37" s="8"/>
      <c r="E37" s="8"/>
      <c r="F37" s="8"/>
      <c r="G37" s="8"/>
      <c r="I37" s="45" t="s">
        <v>44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9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36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2" t="s">
        <v>31</v>
      </c>
      <c r="B52" s="62"/>
      <c r="C52" s="63"/>
      <c r="D52" s="63"/>
      <c r="E52" s="63"/>
      <c r="F52" s="63"/>
      <c r="G52" s="63"/>
      <c r="H52" s="63"/>
      <c r="I52" s="63"/>
      <c r="J52" s="63"/>
    </row>
    <row r="53" spans="1:10" x14ac:dyDescent="0.25">
      <c r="A53" s="63" t="s">
        <v>46</v>
      </c>
      <c r="B53" s="63"/>
      <c r="C53" s="63"/>
      <c r="D53" s="63"/>
      <c r="E53" s="63"/>
      <c r="F53" s="63"/>
      <c r="G53" s="63"/>
      <c r="H53" s="63"/>
      <c r="I53" s="63"/>
      <c r="J53" s="63"/>
    </row>
    <row r="54" spans="1:10" x14ac:dyDescent="0.25">
      <c r="A54" s="63" t="s">
        <v>13</v>
      </c>
      <c r="B54" s="63"/>
      <c r="C54" s="63"/>
      <c r="D54" s="63"/>
      <c r="E54" s="63"/>
      <c r="F54" s="63"/>
      <c r="G54" s="63"/>
      <c r="H54" s="63"/>
      <c r="I54" s="63"/>
      <c r="J54" s="63"/>
    </row>
    <row r="55" spans="1:10" x14ac:dyDescent="0.25">
      <c r="A55" s="63" t="s">
        <v>37</v>
      </c>
      <c r="B55" s="63"/>
      <c r="C55" s="63"/>
      <c r="D55" s="63"/>
      <c r="E55" s="63"/>
      <c r="F55" s="63"/>
      <c r="G55" s="63"/>
      <c r="H55" s="63"/>
      <c r="I55" s="63"/>
      <c r="J55" s="63"/>
    </row>
    <row r="56" spans="1:10" x14ac:dyDescent="0.25">
      <c r="A56" s="63" t="s">
        <v>26</v>
      </c>
      <c r="B56" s="63"/>
      <c r="C56" s="63"/>
      <c r="D56" s="63"/>
      <c r="E56" s="63"/>
      <c r="F56" s="63"/>
      <c r="G56" s="63"/>
      <c r="H56" s="63"/>
      <c r="I56" s="63"/>
      <c r="J56" s="63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2" t="s">
        <v>18</v>
      </c>
      <c r="B58" s="52"/>
      <c r="C58" s="52"/>
      <c r="D58" s="37" t="s">
        <v>12</v>
      </c>
      <c r="E58" s="8" t="s">
        <v>32</v>
      </c>
      <c r="H58" s="9"/>
      <c r="I58" s="9"/>
      <c r="J58" s="10"/>
    </row>
    <row r="59" spans="1:10" x14ac:dyDescent="0.25">
      <c r="A59" s="52" t="s">
        <v>19</v>
      </c>
      <c r="B59" s="52"/>
      <c r="C59" s="52"/>
      <c r="D59" s="37" t="s">
        <v>12</v>
      </c>
      <c r="E59" s="8" t="s">
        <v>33</v>
      </c>
      <c r="H59" s="9"/>
      <c r="I59" s="9"/>
      <c r="J59" s="10"/>
    </row>
    <row r="60" spans="1:10" x14ac:dyDescent="0.25">
      <c r="A60" s="52" t="s">
        <v>20</v>
      </c>
      <c r="B60" s="52"/>
      <c r="C60" s="52"/>
      <c r="D60" s="37" t="s">
        <v>12</v>
      </c>
      <c r="E60" s="44">
        <v>2026</v>
      </c>
      <c r="H60" s="9"/>
      <c r="I60" s="9"/>
      <c r="J60" s="10"/>
    </row>
    <row r="61" spans="1:10" x14ac:dyDescent="0.25">
      <c r="A61" s="52" t="s">
        <v>21</v>
      </c>
      <c r="B61" s="52"/>
      <c r="C61" s="52"/>
      <c r="D61" s="37" t="s">
        <v>12</v>
      </c>
      <c r="E61" s="41">
        <f>I70</f>
        <v>1750000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37" t="s">
        <v>12</v>
      </c>
      <c r="E62" s="47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37"/>
      <c r="G63" s="47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1" t="s">
        <v>2</v>
      </c>
      <c r="B65" s="61"/>
      <c r="C65" s="61"/>
      <c r="D65" s="61"/>
      <c r="E65" s="61"/>
      <c r="F65" s="61"/>
      <c r="G65" s="61"/>
      <c r="H65" s="61"/>
      <c r="I65" s="61"/>
      <c r="J65" s="61"/>
    </row>
    <row r="66" spans="1:10" ht="45" x14ac:dyDescent="0.25">
      <c r="A66" s="12" t="s">
        <v>3</v>
      </c>
      <c r="B66" s="59" t="s">
        <v>22</v>
      </c>
      <c r="C66" s="67" t="s">
        <v>4</v>
      </c>
      <c r="D66" s="68"/>
      <c r="E66" s="69"/>
      <c r="F66" s="46"/>
      <c r="G66" s="38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60">
        <v>1</v>
      </c>
      <c r="B67" s="53"/>
      <c r="C67" s="64" t="s">
        <v>34</v>
      </c>
      <c r="D67" s="65"/>
      <c r="E67" s="66"/>
      <c r="F67" s="48"/>
      <c r="G67" s="55" t="s">
        <v>30</v>
      </c>
      <c r="H67" s="55" t="s">
        <v>30</v>
      </c>
      <c r="I67" s="55" t="s">
        <v>30</v>
      </c>
      <c r="J67" s="55" t="s">
        <v>30</v>
      </c>
    </row>
    <row r="68" spans="1:10" x14ac:dyDescent="0.25">
      <c r="A68" s="49"/>
      <c r="B68" s="49" t="s">
        <v>24</v>
      </c>
      <c r="C68" s="57" t="s">
        <v>35</v>
      </c>
      <c r="D68" s="58"/>
      <c r="E68" s="56"/>
      <c r="F68" s="48"/>
      <c r="G68" s="51">
        <v>20000000</v>
      </c>
      <c r="H68" s="42">
        <f>H24+I24</f>
        <v>0</v>
      </c>
      <c r="I68" s="42">
        <v>0</v>
      </c>
      <c r="J68" s="43">
        <f>G68-H68-I68</f>
        <v>20000000</v>
      </c>
    </row>
    <row r="69" spans="1:10" x14ac:dyDescent="0.25">
      <c r="A69" s="49"/>
      <c r="B69" s="49" t="s">
        <v>25</v>
      </c>
      <c r="C69" s="57" t="s">
        <v>23</v>
      </c>
      <c r="D69" s="58"/>
      <c r="E69" s="56"/>
      <c r="F69" s="48"/>
      <c r="G69" s="50">
        <v>35500000</v>
      </c>
      <c r="H69" s="42">
        <f>H25+I25</f>
        <v>22020000</v>
      </c>
      <c r="I69" s="42">
        <v>1750000</v>
      </c>
      <c r="J69" s="43">
        <f t="shared" ref="J69" si="1">G69-H69-I69</f>
        <v>11730000</v>
      </c>
    </row>
    <row r="70" spans="1:10" x14ac:dyDescent="0.25">
      <c r="A70" s="16"/>
      <c r="B70" s="16"/>
      <c r="C70" s="17" t="s">
        <v>8</v>
      </c>
      <c r="D70" s="17"/>
      <c r="E70" s="17"/>
      <c r="F70" s="40"/>
      <c r="G70" s="39">
        <f>SUM(G67:G69)</f>
        <v>55500000</v>
      </c>
      <c r="H70" s="18">
        <f>SUM(H68:H69)</f>
        <v>22020000</v>
      </c>
      <c r="I70" s="18">
        <f>SUM(I68:I69)</f>
        <v>1750000</v>
      </c>
      <c r="J70" s="18">
        <f>SUM(J68:J69)</f>
        <v>31730000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70" t="s">
        <v>14</v>
      </c>
      <c r="B72" s="70"/>
      <c r="C72" s="70"/>
      <c r="D72" s="33" t="s">
        <v>12</v>
      </c>
      <c r="E72" s="41">
        <f>I70</f>
        <v>1750000</v>
      </c>
      <c r="F72" s="36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4"/>
      <c r="B76" s="44"/>
      <c r="C76" s="44"/>
      <c r="D76" s="33"/>
      <c r="E76" s="44"/>
      <c r="F76" s="44"/>
      <c r="G76" s="8"/>
      <c r="H76" s="9"/>
      <c r="I76" s="23"/>
      <c r="J76" s="24"/>
    </row>
    <row r="77" spans="1:10" x14ac:dyDescent="0.25">
      <c r="A77" s="70" t="s">
        <v>15</v>
      </c>
      <c r="B77" s="70"/>
      <c r="C77" s="70"/>
      <c r="D77" s="33" t="s">
        <v>12</v>
      </c>
      <c r="E77" s="36">
        <f>E72-E75</f>
        <v>1750000</v>
      </c>
      <c r="F77" s="36"/>
      <c r="G77" s="8"/>
      <c r="H77" s="9"/>
      <c r="I77" s="23"/>
      <c r="J77" s="24"/>
    </row>
    <row r="78" spans="1:10" ht="15.75" x14ac:dyDescent="0.25">
      <c r="A78" s="44"/>
      <c r="B78" s="44"/>
      <c r="C78" s="8"/>
      <c r="D78" s="8"/>
      <c r="E78" s="47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4"/>
      <c r="B81" s="44"/>
      <c r="C81" s="8"/>
      <c r="D81" s="8"/>
      <c r="E81" s="8"/>
      <c r="F81" s="8"/>
      <c r="G81" s="8"/>
      <c r="I81" s="45" t="s">
        <v>47</v>
      </c>
      <c r="J81" s="24"/>
    </row>
    <row r="82" spans="1:10" x14ac:dyDescent="0.25">
      <c r="A82" s="9" t="s">
        <v>28</v>
      </c>
      <c r="B82" s="9"/>
      <c r="C82" s="8"/>
      <c r="D82" s="8"/>
      <c r="E82" s="8"/>
      <c r="F82" s="8"/>
      <c r="G82" s="8"/>
      <c r="I82" s="9" t="s">
        <v>27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36</v>
      </c>
      <c r="B87" s="28"/>
      <c r="C87" s="27"/>
      <c r="D87" s="27"/>
      <c r="E87" s="27"/>
      <c r="F87" s="27"/>
      <c r="G87" s="8" t="s">
        <v>11</v>
      </c>
      <c r="I87" s="28" t="s">
        <v>29</v>
      </c>
      <c r="J87" s="24"/>
    </row>
  </sheetData>
  <mergeCells count="20">
    <mergeCell ref="A72:C72"/>
    <mergeCell ref="A77:C77"/>
    <mergeCell ref="C67:E67"/>
    <mergeCell ref="C22:E22"/>
    <mergeCell ref="C23:E23"/>
    <mergeCell ref="A28:C28"/>
    <mergeCell ref="A33:C33"/>
    <mergeCell ref="A52:J52"/>
    <mergeCell ref="A53:J53"/>
    <mergeCell ref="A54:J54"/>
    <mergeCell ref="A55:J55"/>
    <mergeCell ref="A56:J56"/>
    <mergeCell ref="A65:J65"/>
    <mergeCell ref="C66:E66"/>
    <mergeCell ref="A21:J21"/>
    <mergeCell ref="A8:J8"/>
    <mergeCell ref="A9:J9"/>
    <mergeCell ref="A10:J10"/>
    <mergeCell ref="A11:J11"/>
    <mergeCell ref="A12:J12"/>
  </mergeCells>
  <pageMargins left="0.23622047244094491" right="0.23622047244094491" top="0.15748031496062992" bottom="0.74803149606299213" header="0.31496062992125984" footer="0.31496062992125984"/>
  <pageSetup paperSize="9" scale="90" orientation="portrait" horizontalDpi="4294967293" r:id="rId1"/>
  <rowBreaks count="1" manualBreakCount="1">
    <brk id="44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C1DA-3DA6-450D-9FDE-467892B4C727}">
  <dimension ref="A1:V175"/>
  <sheetViews>
    <sheetView tabSelected="1" view="pageBreakPreview" zoomScaleNormal="100" zoomScaleSheetLayoutView="100" workbookViewId="0">
      <selection activeCell="J43" sqref="A1:J43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7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2" t="s">
        <v>31</v>
      </c>
      <c r="B8" s="62"/>
      <c r="C8" s="63"/>
      <c r="D8" s="63"/>
      <c r="E8" s="63"/>
      <c r="F8" s="63"/>
      <c r="G8" s="63"/>
      <c r="H8" s="63"/>
      <c r="I8" s="63"/>
      <c r="J8" s="63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3" t="s">
        <v>48</v>
      </c>
      <c r="B9" s="63"/>
      <c r="C9" s="63"/>
      <c r="D9" s="63"/>
      <c r="E9" s="63"/>
      <c r="F9" s="63"/>
      <c r="G9" s="63"/>
      <c r="H9" s="63"/>
      <c r="I9" s="63"/>
      <c r="J9" s="63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3" t="s">
        <v>13</v>
      </c>
      <c r="B10" s="63"/>
      <c r="C10" s="63"/>
      <c r="D10" s="63"/>
      <c r="E10" s="63"/>
      <c r="F10" s="63"/>
      <c r="G10" s="63"/>
      <c r="H10" s="63"/>
      <c r="I10" s="63"/>
      <c r="J10" s="63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3" t="s">
        <v>37</v>
      </c>
      <c r="B11" s="63"/>
      <c r="C11" s="63"/>
      <c r="D11" s="63"/>
      <c r="E11" s="63"/>
      <c r="F11" s="63"/>
      <c r="G11" s="63"/>
      <c r="H11" s="63"/>
      <c r="I11" s="63"/>
      <c r="J11" s="63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3" t="s">
        <v>26</v>
      </c>
      <c r="B12" s="63"/>
      <c r="C12" s="63"/>
      <c r="D12" s="63"/>
      <c r="E12" s="63"/>
      <c r="F12" s="63"/>
      <c r="G12" s="63"/>
      <c r="H12" s="63"/>
      <c r="I12" s="63"/>
      <c r="J12" s="63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2" t="s">
        <v>18</v>
      </c>
      <c r="B14" s="52"/>
      <c r="C14" s="52"/>
      <c r="D14" s="37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2" t="s">
        <v>19</v>
      </c>
      <c r="B15" s="52"/>
      <c r="C15" s="52"/>
      <c r="D15" s="37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2" t="s">
        <v>20</v>
      </c>
      <c r="B16" s="52"/>
      <c r="C16" s="52"/>
      <c r="D16" s="37" t="s">
        <v>12</v>
      </c>
      <c r="E16" s="44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2" t="s">
        <v>21</v>
      </c>
      <c r="B17" s="52"/>
      <c r="C17" s="52"/>
      <c r="D17" s="37" t="s">
        <v>12</v>
      </c>
      <c r="E17" s="41">
        <f>I26</f>
        <v>225000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37" t="s">
        <v>12</v>
      </c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Lima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7" t="s">
        <v>4</v>
      </c>
      <c r="D22" s="68"/>
      <c r="E22" s="69"/>
      <c r="F22" s="46"/>
      <c r="G22" s="38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15" customHeight="1" x14ac:dyDescent="0.25">
      <c r="A23" s="60">
        <v>1</v>
      </c>
      <c r="B23" s="53"/>
      <c r="C23" s="64" t="s">
        <v>34</v>
      </c>
      <c r="D23" s="65"/>
      <c r="E23" s="66"/>
      <c r="F23" s="48"/>
      <c r="G23" s="55" t="s">
        <v>30</v>
      </c>
      <c r="H23" s="55" t="s">
        <v>30</v>
      </c>
      <c r="I23" s="55" t="s">
        <v>30</v>
      </c>
      <c r="J23" s="55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15" customHeight="1" x14ac:dyDescent="0.25">
      <c r="A24" s="49"/>
      <c r="B24" s="49" t="s">
        <v>24</v>
      </c>
      <c r="C24" s="57" t="s">
        <v>35</v>
      </c>
      <c r="D24" s="58"/>
      <c r="E24" s="56"/>
      <c r="F24" s="48"/>
      <c r="G24" s="51">
        <v>20000000</v>
      </c>
      <c r="H24" s="42">
        <f>FEBRUARI!H68+FEBRUARI!I68</f>
        <v>0</v>
      </c>
      <c r="I24" s="42">
        <v>0</v>
      </c>
      <c r="J24" s="43">
        <f>G24-H24-I24</f>
        <v>20000000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ht="15.75" customHeight="1" x14ac:dyDescent="0.25">
      <c r="A25" s="49"/>
      <c r="B25" s="49" t="s">
        <v>25</v>
      </c>
      <c r="C25" s="57" t="s">
        <v>23</v>
      </c>
      <c r="D25" s="58"/>
      <c r="E25" s="56"/>
      <c r="F25" s="48"/>
      <c r="G25" s="50">
        <v>35500000</v>
      </c>
      <c r="H25" s="42">
        <f>FEBRUARI!H69+FEBRUARI!I69</f>
        <v>23770000</v>
      </c>
      <c r="I25" s="42">
        <v>225000</v>
      </c>
      <c r="J25" s="43">
        <f t="shared" ref="J25" si="0">G25-H25-I25</f>
        <v>11505000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0"/>
      <c r="G26" s="39">
        <f>SUM(G23:G25)</f>
        <v>55500000</v>
      </c>
      <c r="H26" s="18">
        <f>SUM(H24:H25)</f>
        <v>23770000</v>
      </c>
      <c r="I26" s="18">
        <f>SUM(I24:I25)</f>
        <v>225000</v>
      </c>
      <c r="J26" s="18">
        <f>SUM(J24:J25)</f>
        <v>31505000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4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70" t="s">
        <v>14</v>
      </c>
      <c r="B28" s="70"/>
      <c r="C28" s="70"/>
      <c r="D28" s="33" t="s">
        <v>12</v>
      </c>
      <c r="E28" s="41">
        <f>I26</f>
        <v>225000</v>
      </c>
      <c r="F28" s="36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16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4"/>
      <c r="B32" s="44"/>
      <c r="C32" s="44"/>
      <c r="D32" s="33"/>
      <c r="E32" s="44"/>
      <c r="F32" s="44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70" t="s">
        <v>15</v>
      </c>
      <c r="B33" s="70"/>
      <c r="C33" s="70"/>
      <c r="D33" s="33" t="s">
        <v>12</v>
      </c>
      <c r="E33" s="36">
        <f>E28-E31</f>
        <v>225000</v>
      </c>
      <c r="F33" s="36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4"/>
      <c r="B34" s="44"/>
      <c r="C34" s="8"/>
      <c r="D34" s="8"/>
      <c r="E34" s="47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Lima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4"/>
      <c r="B37" s="44"/>
      <c r="C37" s="8"/>
      <c r="D37" s="8"/>
      <c r="E37" s="8"/>
      <c r="F37" s="8"/>
      <c r="G37" s="8"/>
      <c r="I37" s="45" t="s">
        <v>49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9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36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2" t="s">
        <v>31</v>
      </c>
      <c r="B52" s="62"/>
      <c r="C52" s="63"/>
      <c r="D52" s="63"/>
      <c r="E52" s="63"/>
      <c r="F52" s="63"/>
      <c r="G52" s="63"/>
      <c r="H52" s="63"/>
      <c r="I52" s="63"/>
      <c r="J52" s="63"/>
    </row>
    <row r="53" spans="1:10" x14ac:dyDescent="0.25">
      <c r="A53" s="63" t="s">
        <v>46</v>
      </c>
      <c r="B53" s="63"/>
      <c r="C53" s="63"/>
      <c r="D53" s="63"/>
      <c r="E53" s="63"/>
      <c r="F53" s="63"/>
      <c r="G53" s="63"/>
      <c r="H53" s="63"/>
      <c r="I53" s="63"/>
      <c r="J53" s="63"/>
    </row>
    <row r="54" spans="1:10" x14ac:dyDescent="0.25">
      <c r="A54" s="63" t="s">
        <v>13</v>
      </c>
      <c r="B54" s="63"/>
      <c r="C54" s="63"/>
      <c r="D54" s="63"/>
      <c r="E54" s="63"/>
      <c r="F54" s="63"/>
      <c r="G54" s="63"/>
      <c r="H54" s="63"/>
      <c r="I54" s="63"/>
      <c r="J54" s="63"/>
    </row>
    <row r="55" spans="1:10" x14ac:dyDescent="0.25">
      <c r="A55" s="63" t="s">
        <v>37</v>
      </c>
      <c r="B55" s="63"/>
      <c r="C55" s="63"/>
      <c r="D55" s="63"/>
      <c r="E55" s="63"/>
      <c r="F55" s="63"/>
      <c r="G55" s="63"/>
      <c r="H55" s="63"/>
      <c r="I55" s="63"/>
      <c r="J55" s="63"/>
    </row>
    <row r="56" spans="1:10" x14ac:dyDescent="0.25">
      <c r="A56" s="63" t="s">
        <v>26</v>
      </c>
      <c r="B56" s="63"/>
      <c r="C56" s="63"/>
      <c r="D56" s="63"/>
      <c r="E56" s="63"/>
      <c r="F56" s="63"/>
      <c r="G56" s="63"/>
      <c r="H56" s="63"/>
      <c r="I56" s="63"/>
      <c r="J56" s="63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2" t="s">
        <v>18</v>
      </c>
      <c r="B58" s="52"/>
      <c r="C58" s="52"/>
      <c r="D58" s="37" t="s">
        <v>12</v>
      </c>
      <c r="E58" s="8" t="s">
        <v>32</v>
      </c>
      <c r="H58" s="9"/>
      <c r="I58" s="9"/>
      <c r="J58" s="10"/>
    </row>
    <row r="59" spans="1:10" x14ac:dyDescent="0.25">
      <c r="A59" s="52" t="s">
        <v>19</v>
      </c>
      <c r="B59" s="52"/>
      <c r="C59" s="52"/>
      <c r="D59" s="37" t="s">
        <v>12</v>
      </c>
      <c r="E59" s="8" t="s">
        <v>33</v>
      </c>
      <c r="H59" s="9"/>
      <c r="I59" s="9"/>
      <c r="J59" s="10"/>
    </row>
    <row r="60" spans="1:10" x14ac:dyDescent="0.25">
      <c r="A60" s="52" t="s">
        <v>20</v>
      </c>
      <c r="B60" s="52"/>
      <c r="C60" s="52"/>
      <c r="D60" s="37" t="s">
        <v>12</v>
      </c>
      <c r="E60" s="44">
        <v>2026</v>
      </c>
      <c r="H60" s="9"/>
      <c r="I60" s="9"/>
      <c r="J60" s="10"/>
    </row>
    <row r="61" spans="1:10" x14ac:dyDescent="0.25">
      <c r="A61" s="52" t="s">
        <v>21</v>
      </c>
      <c r="B61" s="52"/>
      <c r="C61" s="52"/>
      <c r="D61" s="37" t="s">
        <v>12</v>
      </c>
      <c r="E61" s="41">
        <f>I70</f>
        <v>1750000</v>
      </c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37" t="s">
        <v>12</v>
      </c>
      <c r="E62" s="47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37"/>
      <c r="G63" s="47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1" t="s">
        <v>2</v>
      </c>
      <c r="B65" s="61"/>
      <c r="C65" s="61"/>
      <c r="D65" s="61"/>
      <c r="E65" s="61"/>
      <c r="F65" s="61"/>
      <c r="G65" s="61"/>
      <c r="H65" s="61"/>
      <c r="I65" s="61"/>
      <c r="J65" s="61"/>
    </row>
    <row r="66" spans="1:10" ht="45" x14ac:dyDescent="0.25">
      <c r="A66" s="12" t="s">
        <v>3</v>
      </c>
      <c r="B66" s="59" t="s">
        <v>22</v>
      </c>
      <c r="C66" s="67" t="s">
        <v>4</v>
      </c>
      <c r="D66" s="68"/>
      <c r="E66" s="69"/>
      <c r="F66" s="46"/>
      <c r="G66" s="38" t="s">
        <v>5</v>
      </c>
      <c r="H66" s="13" t="s">
        <v>17</v>
      </c>
      <c r="I66" s="14" t="s">
        <v>6</v>
      </c>
      <c r="J66" s="15" t="s">
        <v>7</v>
      </c>
    </row>
    <row r="67" spans="1:10" x14ac:dyDescent="0.25">
      <c r="A67" s="60">
        <v>1</v>
      </c>
      <c r="B67" s="53"/>
      <c r="C67" s="64" t="s">
        <v>34</v>
      </c>
      <c r="D67" s="65"/>
      <c r="E67" s="66"/>
      <c r="F67" s="48"/>
      <c r="G67" s="55" t="s">
        <v>30</v>
      </c>
      <c r="H67" s="55" t="s">
        <v>30</v>
      </c>
      <c r="I67" s="55" t="s">
        <v>30</v>
      </c>
      <c r="J67" s="55" t="s">
        <v>30</v>
      </c>
    </row>
    <row r="68" spans="1:10" x14ac:dyDescent="0.25">
      <c r="A68" s="49"/>
      <c r="B68" s="49" t="s">
        <v>24</v>
      </c>
      <c r="C68" s="57" t="s">
        <v>35</v>
      </c>
      <c r="D68" s="58"/>
      <c r="E68" s="56"/>
      <c r="F68" s="48"/>
      <c r="G68" s="51">
        <v>20000000</v>
      </c>
      <c r="H68" s="42">
        <f>H24+I24</f>
        <v>0</v>
      </c>
      <c r="I68" s="42">
        <v>0</v>
      </c>
      <c r="J68" s="43">
        <f>G68-H68-I68</f>
        <v>20000000</v>
      </c>
    </row>
    <row r="69" spans="1:10" x14ac:dyDescent="0.25">
      <c r="A69" s="49"/>
      <c r="B69" s="49" t="s">
        <v>25</v>
      </c>
      <c r="C69" s="57" t="s">
        <v>23</v>
      </c>
      <c r="D69" s="58"/>
      <c r="E69" s="56"/>
      <c r="F69" s="48"/>
      <c r="G69" s="50">
        <v>35500000</v>
      </c>
      <c r="H69" s="42">
        <f>H25+I25</f>
        <v>23995000</v>
      </c>
      <c r="I69" s="42">
        <v>1750000</v>
      </c>
      <c r="J69" s="43">
        <f t="shared" ref="J69" si="1">G69-H69-I69</f>
        <v>9755000</v>
      </c>
    </row>
    <row r="70" spans="1:10" x14ac:dyDescent="0.25">
      <c r="A70" s="16"/>
      <c r="B70" s="16"/>
      <c r="C70" s="17" t="s">
        <v>8</v>
      </c>
      <c r="D70" s="17"/>
      <c r="E70" s="17"/>
      <c r="F70" s="40"/>
      <c r="G70" s="39">
        <f>SUM(G67:G69)</f>
        <v>55500000</v>
      </c>
      <c r="H70" s="18">
        <f>SUM(H68:H69)</f>
        <v>23995000</v>
      </c>
      <c r="I70" s="18">
        <f>SUM(I68:I69)</f>
        <v>1750000</v>
      </c>
      <c r="J70" s="18">
        <f>SUM(J68:J69)</f>
        <v>29755000</v>
      </c>
    </row>
    <row r="71" spans="1:10" x14ac:dyDescent="0.25">
      <c r="A71" s="19"/>
      <c r="B71" s="54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70" t="s">
        <v>14</v>
      </c>
      <c r="B72" s="70"/>
      <c r="C72" s="70"/>
      <c r="D72" s="33" t="s">
        <v>12</v>
      </c>
      <c r="E72" s="41">
        <f>I70</f>
        <v>1750000</v>
      </c>
      <c r="F72" s="36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16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4"/>
      <c r="B76" s="44"/>
      <c r="C76" s="44"/>
      <c r="D76" s="33"/>
      <c r="E76" s="44"/>
      <c r="F76" s="44"/>
      <c r="G76" s="8"/>
      <c r="H76" s="9"/>
      <c r="I76" s="23"/>
      <c r="J76" s="24"/>
    </row>
    <row r="77" spans="1:10" x14ac:dyDescent="0.25">
      <c r="A77" s="70" t="s">
        <v>15</v>
      </c>
      <c r="B77" s="70"/>
      <c r="C77" s="70"/>
      <c r="D77" s="33" t="s">
        <v>12</v>
      </c>
      <c r="E77" s="36">
        <f>E72-E75</f>
        <v>1750000</v>
      </c>
      <c r="F77" s="36"/>
      <c r="G77" s="8"/>
      <c r="H77" s="9"/>
      <c r="I77" s="23"/>
      <c r="J77" s="24"/>
    </row>
    <row r="78" spans="1:10" ht="15.75" x14ac:dyDescent="0.25">
      <c r="A78" s="44"/>
      <c r="B78" s="44"/>
      <c r="C78" s="8"/>
      <c r="D78" s="8"/>
      <c r="E78" s="47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4"/>
      <c r="B81" s="44"/>
      <c r="C81" s="8"/>
      <c r="D81" s="8"/>
      <c r="E81" s="8"/>
      <c r="F81" s="8"/>
      <c r="G81" s="8"/>
      <c r="I81" s="45" t="s">
        <v>47</v>
      </c>
      <c r="J81" s="24"/>
    </row>
    <row r="82" spans="1:10" x14ac:dyDescent="0.25">
      <c r="A82" s="9" t="s">
        <v>28</v>
      </c>
      <c r="B82" s="9"/>
      <c r="C82" s="8"/>
      <c r="D82" s="8"/>
      <c r="E82" s="8"/>
      <c r="F82" s="8"/>
      <c r="G82" s="8"/>
      <c r="I82" s="9" t="s">
        <v>27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36</v>
      </c>
      <c r="B87" s="28"/>
      <c r="C87" s="27"/>
      <c r="D87" s="27"/>
      <c r="E87" s="27"/>
      <c r="F87" s="27"/>
      <c r="G87" s="8" t="s">
        <v>11</v>
      </c>
      <c r="I87" s="28" t="s">
        <v>29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2" t="s">
        <v>31</v>
      </c>
      <c r="B96" s="62"/>
      <c r="C96" s="63"/>
      <c r="D96" s="63"/>
      <c r="E96" s="63"/>
      <c r="F96" s="63"/>
      <c r="G96" s="63"/>
      <c r="H96" s="63"/>
      <c r="I96" s="63"/>
      <c r="J96" s="63"/>
    </row>
    <row r="97" spans="1:10" x14ac:dyDescent="0.25">
      <c r="A97" s="63" t="s">
        <v>41</v>
      </c>
      <c r="B97" s="63"/>
      <c r="C97" s="63"/>
      <c r="D97" s="63"/>
      <c r="E97" s="63"/>
      <c r="F97" s="63"/>
      <c r="G97" s="63"/>
      <c r="H97" s="63"/>
      <c r="I97" s="63"/>
      <c r="J97" s="63"/>
    </row>
    <row r="98" spans="1:10" x14ac:dyDescent="0.25">
      <c r="A98" s="63" t="s">
        <v>13</v>
      </c>
      <c r="B98" s="63"/>
      <c r="C98" s="63"/>
      <c r="D98" s="63"/>
      <c r="E98" s="63"/>
      <c r="F98" s="63"/>
      <c r="G98" s="63"/>
      <c r="H98" s="63"/>
      <c r="I98" s="63"/>
      <c r="J98" s="63"/>
    </row>
    <row r="99" spans="1:10" x14ac:dyDescent="0.25">
      <c r="A99" s="63" t="s">
        <v>37</v>
      </c>
      <c r="B99" s="63"/>
      <c r="C99" s="63"/>
      <c r="D99" s="63"/>
      <c r="E99" s="63"/>
      <c r="F99" s="63"/>
      <c r="G99" s="63"/>
      <c r="H99" s="63"/>
      <c r="I99" s="63"/>
      <c r="J99" s="63"/>
    </row>
    <row r="100" spans="1:10" x14ac:dyDescent="0.25">
      <c r="A100" s="63" t="s">
        <v>26</v>
      </c>
      <c r="B100" s="63"/>
      <c r="C100" s="63"/>
      <c r="D100" s="63"/>
      <c r="E100" s="63"/>
      <c r="F100" s="63"/>
      <c r="G100" s="63"/>
      <c r="H100" s="63"/>
      <c r="I100" s="63"/>
      <c r="J100" s="63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2" t="s">
        <v>18</v>
      </c>
      <c r="B102" s="52"/>
      <c r="C102" s="52"/>
      <c r="D102" s="37" t="s">
        <v>12</v>
      </c>
      <c r="E102" s="8" t="s">
        <v>32</v>
      </c>
      <c r="H102" s="9"/>
      <c r="I102" s="9"/>
      <c r="J102" s="10"/>
    </row>
    <row r="103" spans="1:10" x14ac:dyDescent="0.25">
      <c r="A103" s="52" t="s">
        <v>19</v>
      </c>
      <c r="B103" s="52"/>
      <c r="C103" s="52"/>
      <c r="D103" s="37" t="s">
        <v>12</v>
      </c>
      <c r="E103" s="8" t="s">
        <v>33</v>
      </c>
      <c r="H103" s="9"/>
      <c r="I103" s="9"/>
      <c r="J103" s="10"/>
    </row>
    <row r="104" spans="1:10" x14ac:dyDescent="0.25">
      <c r="A104" s="52" t="s">
        <v>20</v>
      </c>
      <c r="B104" s="52"/>
      <c r="C104" s="52"/>
      <c r="D104" s="37" t="s">
        <v>12</v>
      </c>
      <c r="E104" s="44">
        <v>2026</v>
      </c>
      <c r="H104" s="9"/>
      <c r="I104" s="9"/>
      <c r="J104" s="10"/>
    </row>
    <row r="105" spans="1:10" x14ac:dyDescent="0.25">
      <c r="A105" s="52" t="s">
        <v>21</v>
      </c>
      <c r="B105" s="52"/>
      <c r="C105" s="52"/>
      <c r="D105" s="37" t="s">
        <v>12</v>
      </c>
      <c r="E105" s="41">
        <f>I114</f>
        <v>13440000</v>
      </c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37" t="s">
        <v>12</v>
      </c>
      <c r="E106" s="47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37"/>
      <c r="G107" s="47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1" t="s">
        <v>2</v>
      </c>
      <c r="B109" s="61"/>
      <c r="C109" s="61"/>
      <c r="D109" s="61"/>
      <c r="E109" s="61"/>
      <c r="F109" s="61"/>
      <c r="G109" s="61"/>
      <c r="H109" s="61"/>
      <c r="I109" s="61"/>
      <c r="J109" s="61"/>
    </row>
    <row r="110" spans="1:10" ht="45" x14ac:dyDescent="0.25">
      <c r="A110" s="12" t="s">
        <v>3</v>
      </c>
      <c r="B110" s="59" t="s">
        <v>22</v>
      </c>
      <c r="C110" s="67" t="s">
        <v>4</v>
      </c>
      <c r="D110" s="68"/>
      <c r="E110" s="69"/>
      <c r="F110" s="46"/>
      <c r="G110" s="38" t="s">
        <v>5</v>
      </c>
      <c r="H110" s="13" t="s">
        <v>17</v>
      </c>
      <c r="I110" s="14" t="s">
        <v>6</v>
      </c>
      <c r="J110" s="15" t="s">
        <v>7</v>
      </c>
    </row>
    <row r="111" spans="1:10" x14ac:dyDescent="0.25">
      <c r="A111" s="60">
        <v>1</v>
      </c>
      <c r="B111" s="53"/>
      <c r="C111" s="64" t="s">
        <v>34</v>
      </c>
      <c r="D111" s="65"/>
      <c r="E111" s="66"/>
      <c r="F111" s="48"/>
      <c r="G111" s="55" t="s">
        <v>30</v>
      </c>
      <c r="H111" s="55" t="s">
        <v>30</v>
      </c>
      <c r="I111" s="55" t="s">
        <v>30</v>
      </c>
      <c r="J111" s="55" t="s">
        <v>30</v>
      </c>
    </row>
    <row r="112" spans="1:10" x14ac:dyDescent="0.25">
      <c r="A112" s="49"/>
      <c r="B112" s="49" t="s">
        <v>24</v>
      </c>
      <c r="C112" s="57" t="s">
        <v>35</v>
      </c>
      <c r="D112" s="58"/>
      <c r="E112" s="56"/>
      <c r="F112" s="48"/>
      <c r="G112" s="51">
        <v>20000000</v>
      </c>
      <c r="H112" s="42">
        <f>H68+I68</f>
        <v>0</v>
      </c>
      <c r="I112" s="42">
        <v>0</v>
      </c>
      <c r="J112" s="43">
        <f>G112-H112-I112</f>
        <v>20000000</v>
      </c>
    </row>
    <row r="113" spans="1:10" x14ac:dyDescent="0.25">
      <c r="A113" s="49"/>
      <c r="B113" s="49" t="s">
        <v>25</v>
      </c>
      <c r="C113" s="57" t="s">
        <v>23</v>
      </c>
      <c r="D113" s="58"/>
      <c r="E113" s="56"/>
      <c r="F113" s="48"/>
      <c r="G113" s="50">
        <v>35500000</v>
      </c>
      <c r="H113" s="42">
        <f>H69+I69</f>
        <v>25745000</v>
      </c>
      <c r="I113" s="42">
        <v>13440000</v>
      </c>
      <c r="J113" s="43">
        <f t="shared" ref="J113" si="2">G113-H113-I113</f>
        <v>-3685000</v>
      </c>
    </row>
    <row r="114" spans="1:10" x14ac:dyDescent="0.25">
      <c r="A114" s="16"/>
      <c r="B114" s="16"/>
      <c r="C114" s="17" t="s">
        <v>8</v>
      </c>
      <c r="D114" s="17"/>
      <c r="E114" s="17"/>
      <c r="F114" s="40"/>
      <c r="G114" s="39">
        <f>SUM(G111:G113)</f>
        <v>55500000</v>
      </c>
      <c r="H114" s="18">
        <f>SUM(H112:H113)</f>
        <v>25745000</v>
      </c>
      <c r="I114" s="18">
        <f>SUM(I112:I113)</f>
        <v>13440000</v>
      </c>
      <c r="J114" s="18">
        <f>SUM(J112:J113)</f>
        <v>16315000</v>
      </c>
    </row>
    <row r="115" spans="1:10" x14ac:dyDescent="0.25">
      <c r="A115" s="19"/>
      <c r="B115" s="54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70" t="s">
        <v>14</v>
      </c>
      <c r="B116" s="70"/>
      <c r="C116" s="70"/>
      <c r="D116" s="33" t="s">
        <v>12</v>
      </c>
      <c r="E116" s="41">
        <f>I114</f>
        <v>13440000</v>
      </c>
      <c r="F116" s="36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16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4"/>
      <c r="B120" s="44"/>
      <c r="C120" s="44"/>
      <c r="D120" s="33"/>
      <c r="E120" s="44"/>
      <c r="F120" s="44"/>
      <c r="G120" s="8"/>
      <c r="H120" s="9"/>
      <c r="I120" s="23"/>
      <c r="J120" s="24"/>
    </row>
    <row r="121" spans="1:10" x14ac:dyDescent="0.25">
      <c r="A121" s="70" t="s">
        <v>15</v>
      </c>
      <c r="B121" s="70"/>
      <c r="C121" s="70"/>
      <c r="D121" s="33" t="s">
        <v>12</v>
      </c>
      <c r="E121" s="36">
        <f>E116-E119</f>
        <v>13440000</v>
      </c>
      <c r="F121" s="36"/>
      <c r="G121" s="8"/>
      <c r="H121" s="9"/>
      <c r="I121" s="23"/>
      <c r="J121" s="24"/>
    </row>
    <row r="122" spans="1:10" ht="15.75" x14ac:dyDescent="0.25">
      <c r="A122" s="44"/>
      <c r="B122" s="44"/>
      <c r="C122" s="8"/>
      <c r="D122" s="8"/>
      <c r="E122" s="47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4"/>
      <c r="B125" s="44"/>
      <c r="C125" s="8"/>
      <c r="D125" s="8"/>
      <c r="E125" s="8"/>
      <c r="F125" s="8"/>
      <c r="G125" s="8"/>
      <c r="I125" s="45" t="s">
        <v>39</v>
      </c>
      <c r="J125" s="24"/>
    </row>
    <row r="126" spans="1:10" x14ac:dyDescent="0.25">
      <c r="A126" s="9" t="s">
        <v>28</v>
      </c>
      <c r="B126" s="9"/>
      <c r="C126" s="8"/>
      <c r="D126" s="8"/>
      <c r="E126" s="8"/>
      <c r="F126" s="8"/>
      <c r="G126" s="8"/>
      <c r="I126" s="9" t="s">
        <v>27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36</v>
      </c>
      <c r="B131" s="28"/>
      <c r="C131" s="27"/>
      <c r="D131" s="27"/>
      <c r="E131" s="27"/>
      <c r="F131" s="27"/>
      <c r="G131" s="8" t="s">
        <v>11</v>
      </c>
      <c r="I131" s="28" t="s">
        <v>29</v>
      </c>
      <c r="J131" s="24"/>
    </row>
    <row r="136" spans="1:10" ht="15.75" x14ac:dyDescent="0.25">
      <c r="C136" s="3"/>
      <c r="D136" s="3"/>
      <c r="E136" s="3"/>
      <c r="F136" s="3"/>
    </row>
    <row r="137" spans="1:10" ht="15.75" x14ac:dyDescent="0.25">
      <c r="A137" s="2"/>
      <c r="B137" s="2"/>
      <c r="C137" s="3"/>
      <c r="D137" s="3"/>
      <c r="E137" s="3"/>
      <c r="F137" s="3"/>
      <c r="G137" s="2"/>
      <c r="H137" s="4"/>
      <c r="I137" s="4"/>
      <c r="J137" s="5"/>
    </row>
    <row r="138" spans="1:10" x14ac:dyDescent="0.25">
      <c r="H138" s="5"/>
      <c r="I138" s="5"/>
      <c r="J138" s="5"/>
    </row>
    <row r="139" spans="1:10" x14ac:dyDescent="0.25">
      <c r="H139" s="5"/>
      <c r="I139" s="5"/>
      <c r="J139" s="5"/>
    </row>
    <row r="140" spans="1:10" x14ac:dyDescent="0.25">
      <c r="A140" s="62" t="s">
        <v>31</v>
      </c>
      <c r="B140" s="62"/>
      <c r="C140" s="63"/>
      <c r="D140" s="63"/>
      <c r="E140" s="63"/>
      <c r="F140" s="63"/>
      <c r="G140" s="63"/>
      <c r="H140" s="63"/>
      <c r="I140" s="63"/>
      <c r="J140" s="63"/>
    </row>
    <row r="141" spans="1:10" x14ac:dyDescent="0.25">
      <c r="A141" s="63" t="s">
        <v>42</v>
      </c>
      <c r="B141" s="63"/>
      <c r="C141" s="63"/>
      <c r="D141" s="63"/>
      <c r="E141" s="63"/>
      <c r="F141" s="63"/>
      <c r="G141" s="63"/>
      <c r="H141" s="63"/>
      <c r="I141" s="63"/>
      <c r="J141" s="63"/>
    </row>
    <row r="142" spans="1:10" x14ac:dyDescent="0.25">
      <c r="A142" s="63" t="s">
        <v>13</v>
      </c>
      <c r="B142" s="63"/>
      <c r="C142" s="63"/>
      <c r="D142" s="63"/>
      <c r="E142" s="63"/>
      <c r="F142" s="63"/>
      <c r="G142" s="63"/>
      <c r="H142" s="63"/>
      <c r="I142" s="63"/>
      <c r="J142" s="63"/>
    </row>
    <row r="143" spans="1:10" x14ac:dyDescent="0.25">
      <c r="A143" s="63" t="s">
        <v>37</v>
      </c>
      <c r="B143" s="63"/>
      <c r="C143" s="63"/>
      <c r="D143" s="63"/>
      <c r="E143" s="63"/>
      <c r="F143" s="63"/>
      <c r="G143" s="63"/>
      <c r="H143" s="63"/>
      <c r="I143" s="63"/>
      <c r="J143" s="63"/>
    </row>
    <row r="144" spans="1:10" x14ac:dyDescent="0.25">
      <c r="A144" s="63" t="s">
        <v>26</v>
      </c>
      <c r="B144" s="63"/>
      <c r="C144" s="63"/>
      <c r="D144" s="63"/>
      <c r="E144" s="63"/>
      <c r="F144" s="63"/>
      <c r="G144" s="63"/>
      <c r="H144" s="63"/>
      <c r="I144" s="63"/>
      <c r="J144" s="63"/>
    </row>
    <row r="145" spans="1:10" x14ac:dyDescent="0.25">
      <c r="A145" s="32"/>
      <c r="B145" s="32"/>
      <c r="C145" s="7"/>
      <c r="D145" s="7"/>
      <c r="E145" s="7"/>
      <c r="F145" s="7"/>
      <c r="G145" s="6"/>
      <c r="H145" s="10"/>
      <c r="I145" s="10"/>
      <c r="J145" s="10"/>
    </row>
    <row r="146" spans="1:10" x14ac:dyDescent="0.25">
      <c r="A146" s="52" t="s">
        <v>18</v>
      </c>
      <c r="B146" s="52"/>
      <c r="C146" s="52"/>
      <c r="D146" s="37" t="s">
        <v>12</v>
      </c>
      <c r="E146" s="8" t="s">
        <v>32</v>
      </c>
      <c r="H146" s="9"/>
      <c r="I146" s="9"/>
      <c r="J146" s="10"/>
    </row>
    <row r="147" spans="1:10" x14ac:dyDescent="0.25">
      <c r="A147" s="52" t="s">
        <v>19</v>
      </c>
      <c r="B147" s="52"/>
      <c r="C147" s="52"/>
      <c r="D147" s="37" t="s">
        <v>12</v>
      </c>
      <c r="E147" s="8" t="s">
        <v>33</v>
      </c>
      <c r="H147" s="9"/>
      <c r="I147" s="9"/>
      <c r="J147" s="10"/>
    </row>
    <row r="148" spans="1:10" x14ac:dyDescent="0.25">
      <c r="A148" s="52" t="s">
        <v>20</v>
      </c>
      <c r="B148" s="52"/>
      <c r="C148" s="52"/>
      <c r="D148" s="37" t="s">
        <v>12</v>
      </c>
      <c r="E148" s="44">
        <v>2026</v>
      </c>
      <c r="H148" s="9"/>
      <c r="I148" s="9"/>
      <c r="J148" s="10"/>
    </row>
    <row r="149" spans="1:10" x14ac:dyDescent="0.25">
      <c r="A149" s="52" t="s">
        <v>21</v>
      </c>
      <c r="B149" s="52"/>
      <c r="C149" s="52"/>
      <c r="D149" s="37" t="s">
        <v>12</v>
      </c>
      <c r="E149" s="41">
        <f>I158</f>
        <v>720000</v>
      </c>
      <c r="H149" s="9"/>
      <c r="I149" s="9"/>
      <c r="J149" s="10"/>
    </row>
    <row r="150" spans="1:10" ht="15.75" x14ac:dyDescent="0.25">
      <c r="A150" s="8"/>
      <c r="B150" s="8"/>
      <c r="C150" s="11" t="s">
        <v>0</v>
      </c>
      <c r="D150" s="37" t="s">
        <v>12</v>
      </c>
      <c r="E150" s="47" t="str">
        <f>PROPER(IF(E149=0,"nol",IF(E149&lt;0,"minus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149),"000000000000000"),1,3)=0,"",MID(TEXT(ABS(E149),"000000000000000"),1,1)&amp;" ratus "&amp;MID(TEXT(ABS(E149),"000000000000000"),2,1)&amp;" puluh "&amp;MID(TEXT(ABS(E149),"000000000000000"),3,1)&amp;" trilyun ")&amp;IF(--MID(TEXT(ABS(E149),"000000000000000"),4,3)=0,"",MID(TEXT(ABS(E149),"000000000000000"),4,1)&amp;" ratus "&amp;MID(TEXT(ABS(E149),"000000000000000"),5,1)&amp;" puluh "&amp;MID(TEXT(ABS(E149),"000000000000000"),6,1)&amp;" milyar ")&amp;IF(--MID(TEXT(ABS(E149),"000000000000000"),7,3)=0,"",MID(TEXT(ABS(E149),"000000000000000"),7,1)&amp;" ratus "&amp;MID(TEXT(ABS(E149),"000000000000000"),8,1)&amp;" puluh "&amp;MID(TEXT(ABS(E149),"000000000000000"),9,1)&amp;" juta ")&amp;IF(--MID(TEXT(ABS(E149),"000000000000000"),10,3)=0,"",IF(--MID(TEXT(ABS(E149),"000000000000000"),10,3)=1,"*",MID(TEXT(ABS(E149),"000000000000000"),10,1)&amp;" ratus "&amp;MID(TEXT(ABS(E149),"000000000000000"),11,1)&amp;" puluh ")&amp;MID(TEXT(ABS(E149),"000000000000000"),12,1)&amp;" ribu ")&amp;IF(--MID(TEXT(ABS(E149),"000000000000000"),13,3)=0,"",MID(TEXT(ABS(E149),"000000000000000"),13,1)&amp;" ratus "&amp;MID(TEXT(ABS(E149),"000000000000000"),14,1)&amp;" puluh "&amp;MID(TEXT(ABS(E149),"000000000000000"),15,1)),1,"satu"),2,"dua"),3,"tiga"),4,"empat"),5,"lima"),6,"enam"),7,"tujuh"),8,"delapan"),9,"sembilan"),"0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H150" s="9"/>
      <c r="I150" s="9"/>
      <c r="J150" s="10"/>
    </row>
    <row r="151" spans="1:10" ht="15.75" x14ac:dyDescent="0.25">
      <c r="A151" s="8"/>
      <c r="B151" s="8"/>
      <c r="C151" s="11"/>
      <c r="D151" s="11"/>
      <c r="E151" s="11"/>
      <c r="F151" s="37"/>
      <c r="G151" s="47"/>
      <c r="H151" s="9"/>
      <c r="I151" s="9"/>
      <c r="J151" s="10"/>
    </row>
    <row r="152" spans="1:10" x14ac:dyDescent="0.25">
      <c r="A152" s="8" t="s">
        <v>1</v>
      </c>
      <c r="B152" s="8"/>
      <c r="C152" s="8"/>
      <c r="D152" s="8"/>
      <c r="E152" s="8"/>
      <c r="F152" s="8"/>
      <c r="G152" s="8"/>
      <c r="H152" s="9"/>
      <c r="I152" s="9"/>
      <c r="J152" s="10"/>
    </row>
    <row r="153" spans="1:10" x14ac:dyDescent="0.25">
      <c r="A153" s="61" t="s">
        <v>2</v>
      </c>
      <c r="B153" s="61"/>
      <c r="C153" s="61"/>
      <c r="D153" s="61"/>
      <c r="E153" s="61"/>
      <c r="F153" s="61"/>
      <c r="G153" s="61"/>
      <c r="H153" s="61"/>
      <c r="I153" s="61"/>
      <c r="J153" s="61"/>
    </row>
    <row r="154" spans="1:10" ht="45" x14ac:dyDescent="0.25">
      <c r="A154" s="12" t="s">
        <v>3</v>
      </c>
      <c r="B154" s="59" t="s">
        <v>22</v>
      </c>
      <c r="C154" s="67" t="s">
        <v>4</v>
      </c>
      <c r="D154" s="68"/>
      <c r="E154" s="69"/>
      <c r="F154" s="46"/>
      <c r="G154" s="38" t="s">
        <v>5</v>
      </c>
      <c r="H154" s="13" t="s">
        <v>17</v>
      </c>
      <c r="I154" s="14" t="s">
        <v>6</v>
      </c>
      <c r="J154" s="15" t="s">
        <v>7</v>
      </c>
    </row>
    <row r="155" spans="1:10" x14ac:dyDescent="0.25">
      <c r="A155" s="60">
        <v>1</v>
      </c>
      <c r="B155" s="53"/>
      <c r="C155" s="64" t="s">
        <v>34</v>
      </c>
      <c r="D155" s="65"/>
      <c r="E155" s="66"/>
      <c r="F155" s="48"/>
      <c r="G155" s="55" t="s">
        <v>30</v>
      </c>
      <c r="H155" s="55" t="s">
        <v>30</v>
      </c>
      <c r="I155" s="55" t="s">
        <v>30</v>
      </c>
      <c r="J155" s="55" t="s">
        <v>30</v>
      </c>
    </row>
    <row r="156" spans="1:10" x14ac:dyDescent="0.25">
      <c r="A156" s="49"/>
      <c r="B156" s="49" t="s">
        <v>24</v>
      </c>
      <c r="C156" s="57" t="s">
        <v>35</v>
      </c>
      <c r="D156" s="58"/>
      <c r="E156" s="56"/>
      <c r="F156" s="48"/>
      <c r="G156" s="51">
        <v>20000000</v>
      </c>
      <c r="H156" s="42">
        <f>H112+I112</f>
        <v>0</v>
      </c>
      <c r="I156" s="42">
        <v>0</v>
      </c>
      <c r="J156" s="43">
        <f>G156-H156-I156</f>
        <v>20000000</v>
      </c>
    </row>
    <row r="157" spans="1:10" x14ac:dyDescent="0.25">
      <c r="A157" s="49"/>
      <c r="B157" s="49" t="s">
        <v>25</v>
      </c>
      <c r="C157" s="57" t="s">
        <v>23</v>
      </c>
      <c r="D157" s="58"/>
      <c r="E157" s="56"/>
      <c r="F157" s="48"/>
      <c r="G157" s="50">
        <v>35500000</v>
      </c>
      <c r="H157" s="42">
        <f>H113+I113</f>
        <v>39185000</v>
      </c>
      <c r="I157" s="42">
        <v>720000</v>
      </c>
      <c r="J157" s="43">
        <f t="shared" ref="J157" si="3">G157-H157-I157</f>
        <v>-4405000</v>
      </c>
    </row>
    <row r="158" spans="1:10" x14ac:dyDescent="0.25">
      <c r="A158" s="16"/>
      <c r="B158" s="16"/>
      <c r="C158" s="17" t="s">
        <v>8</v>
      </c>
      <c r="D158" s="17"/>
      <c r="E158" s="17"/>
      <c r="F158" s="40"/>
      <c r="G158" s="39">
        <f>SUM(G155:G157)</f>
        <v>55500000</v>
      </c>
      <c r="H158" s="18">
        <f>SUM(H156:H157)</f>
        <v>39185000</v>
      </c>
      <c r="I158" s="18">
        <f>SUM(I156:I157)</f>
        <v>720000</v>
      </c>
      <c r="J158" s="18">
        <f>SUM(J156:J157)</f>
        <v>15595000</v>
      </c>
    </row>
    <row r="159" spans="1:10" x14ac:dyDescent="0.25">
      <c r="A159" s="19"/>
      <c r="B159" s="54"/>
      <c r="C159" s="6"/>
      <c r="D159" s="6"/>
      <c r="E159" s="6"/>
      <c r="F159" s="6"/>
      <c r="G159" s="20"/>
      <c r="H159" s="20"/>
      <c r="I159" s="20"/>
      <c r="J159" s="20"/>
    </row>
    <row r="160" spans="1:10" x14ac:dyDescent="0.25">
      <c r="A160" s="70" t="s">
        <v>14</v>
      </c>
      <c r="B160" s="70"/>
      <c r="C160" s="70"/>
      <c r="D160" s="33" t="s">
        <v>12</v>
      </c>
      <c r="E160" s="41">
        <f>I158</f>
        <v>720000</v>
      </c>
      <c r="F160" s="36"/>
      <c r="G160" s="21"/>
      <c r="H160" s="21"/>
      <c r="I160" s="10"/>
      <c r="J160" s="10"/>
    </row>
    <row r="161" spans="1:10" x14ac:dyDescent="0.25">
      <c r="A161" s="8" t="s">
        <v>9</v>
      </c>
      <c r="B161" s="8"/>
      <c r="C161" s="8"/>
      <c r="D161" s="33" t="s">
        <v>12</v>
      </c>
      <c r="E161" s="34"/>
      <c r="F161" s="34"/>
      <c r="G161" s="22"/>
      <c r="H161" s="9"/>
      <c r="I161" s="10"/>
      <c r="J161" s="10"/>
    </row>
    <row r="162" spans="1:10" x14ac:dyDescent="0.25">
      <c r="A162" s="8" t="s">
        <v>16</v>
      </c>
      <c r="B162" s="8"/>
      <c r="C162" s="8"/>
      <c r="D162" s="33" t="s">
        <v>12</v>
      </c>
      <c r="E162" s="35"/>
      <c r="F162" s="35"/>
      <c r="G162" s="22"/>
      <c r="H162" s="9"/>
      <c r="I162" s="10"/>
      <c r="J162" s="10"/>
    </row>
    <row r="163" spans="1:10" x14ac:dyDescent="0.25">
      <c r="A163" s="8" t="s">
        <v>10</v>
      </c>
      <c r="B163" s="8"/>
      <c r="C163" s="8"/>
      <c r="D163" s="33" t="s">
        <v>12</v>
      </c>
      <c r="E163" s="35">
        <f>E161+E162</f>
        <v>0</v>
      </c>
      <c r="F163" s="35"/>
      <c r="G163" s="8"/>
      <c r="H163" s="9"/>
      <c r="I163" s="23"/>
      <c r="J163" s="24"/>
    </row>
    <row r="164" spans="1:10" x14ac:dyDescent="0.25">
      <c r="A164" s="44"/>
      <c r="B164" s="44"/>
      <c r="C164" s="44"/>
      <c r="D164" s="33"/>
      <c r="E164" s="44"/>
      <c r="F164" s="44"/>
      <c r="G164" s="8"/>
      <c r="H164" s="9"/>
      <c r="I164" s="23"/>
      <c r="J164" s="24"/>
    </row>
    <row r="165" spans="1:10" x14ac:dyDescent="0.25">
      <c r="A165" s="70" t="s">
        <v>15</v>
      </c>
      <c r="B165" s="70"/>
      <c r="C165" s="70"/>
      <c r="D165" s="33" t="s">
        <v>12</v>
      </c>
      <c r="E165" s="36">
        <f>E160-E163</f>
        <v>720000</v>
      </c>
      <c r="F165" s="36"/>
      <c r="G165" s="8"/>
      <c r="H165" s="9"/>
      <c r="I165" s="23"/>
      <c r="J165" s="24"/>
    </row>
    <row r="166" spans="1:10" ht="15.75" x14ac:dyDescent="0.25">
      <c r="A166" s="44"/>
      <c r="B166" s="44"/>
      <c r="C166" s="8"/>
      <c r="D166" s="8"/>
      <c r="E166" s="47" t="str">
        <f>PROPER(IF(E165=0,"nol",IF(E165&lt;0,"minus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165),"000000000000000"),1,3)=0,"",MID(TEXT(ABS(E165),"000000000000000"),1,1)&amp;" ratus "&amp;MID(TEXT(ABS(E165),"000000000000000"),2,1)&amp;" puluh "&amp;MID(TEXT(ABS(E165),"000000000000000"),3,1)&amp;" trilyun ")&amp;IF(--MID(TEXT(ABS(E165),"000000000000000"),4,3)=0,"",MID(TEXT(ABS(E165),"000000000000000"),4,1)&amp;" ratus "&amp;MID(TEXT(ABS(E165),"000000000000000"),5,1)&amp;" puluh "&amp;MID(TEXT(ABS(E165),"000000000000000"),6,1)&amp;" milyar ")&amp;IF(--MID(TEXT(ABS(E165),"000000000000000"),7,3)=0,"",MID(TEXT(ABS(E165),"000000000000000"),7,1)&amp;" ratus "&amp;MID(TEXT(ABS(E165),"000000000000000"),8,1)&amp;" puluh "&amp;MID(TEXT(ABS(E165),"000000000000000"),9,1)&amp;" juta ")&amp;IF(--MID(TEXT(ABS(E165),"000000000000000"),10,3)=0,"",IF(--MID(TEXT(ABS(E165),"000000000000000"),10,3)=1,"*",MID(TEXT(ABS(E165),"000000000000000"),10,1)&amp;" ratus "&amp;MID(TEXT(ABS(E165),"000000000000000"),11,1)&amp;" puluh ")&amp;MID(TEXT(ABS(E165),"000000000000000"),12,1)&amp;" ribu ")&amp;IF(--MID(TEXT(ABS(E165),"000000000000000"),13,3)=0,"",MID(TEXT(ABS(E165),"000000000000000"),13,1)&amp;" ratus "&amp;MID(TEXT(ABS(E165),"000000000000000"),14,1)&amp;" puluh "&amp;MID(TEXT(ABS(E165),"000000000000000"),15,1)),1,"satu"),2,"dua"),3,"tiga"),4,"empat"),5,"lima"),6,"enam"),7,"tujuh"),8,"delapan"),9,"sembilan"),"0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F166" s="8"/>
      <c r="G166" s="8"/>
      <c r="H166" s="8"/>
      <c r="I166" s="23"/>
      <c r="J166" s="24"/>
    </row>
    <row r="167" spans="1:10" x14ac:dyDescent="0.25">
      <c r="A167" s="26"/>
      <c r="B167" s="26"/>
      <c r="C167" s="26"/>
      <c r="D167" s="26"/>
      <c r="E167" s="26"/>
      <c r="F167" s="26"/>
      <c r="G167" s="25"/>
      <c r="H167" s="24"/>
      <c r="I167" s="23"/>
      <c r="J167" s="24"/>
    </row>
    <row r="168" spans="1:10" x14ac:dyDescent="0.25">
      <c r="A168" s="25"/>
      <c r="B168" s="25"/>
      <c r="C168" s="25"/>
      <c r="D168" s="25"/>
      <c r="E168" s="25"/>
      <c r="F168" s="25"/>
      <c r="G168" s="25"/>
      <c r="H168"/>
      <c r="I168" s="24"/>
      <c r="J168" s="24"/>
    </row>
    <row r="169" spans="1:10" x14ac:dyDescent="0.25">
      <c r="A169" s="44"/>
      <c r="B169" s="44"/>
      <c r="C169" s="8"/>
      <c r="D169" s="8"/>
      <c r="E169" s="8"/>
      <c r="F169" s="8"/>
      <c r="G169" s="8"/>
      <c r="I169" s="45" t="s">
        <v>43</v>
      </c>
      <c r="J169" s="24"/>
    </row>
    <row r="170" spans="1:10" x14ac:dyDescent="0.25">
      <c r="A170" s="9" t="s">
        <v>28</v>
      </c>
      <c r="B170" s="9"/>
      <c r="C170" s="8"/>
      <c r="D170" s="8"/>
      <c r="E170" s="8"/>
      <c r="F170" s="8"/>
      <c r="G170" s="8"/>
      <c r="I170" s="9" t="s">
        <v>27</v>
      </c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8"/>
      <c r="B173" s="8"/>
      <c r="C173" s="8"/>
      <c r="D173" s="8"/>
      <c r="E173" s="8"/>
      <c r="F173" s="8"/>
      <c r="G173" s="8"/>
      <c r="I173" s="9"/>
      <c r="J173" s="24"/>
    </row>
    <row r="174" spans="1:10" x14ac:dyDescent="0.25">
      <c r="A174" s="8"/>
      <c r="B174" s="8"/>
      <c r="C174" s="8"/>
      <c r="D174" s="8"/>
      <c r="E174" s="8"/>
      <c r="F174" s="8"/>
      <c r="G174" s="8"/>
      <c r="I174" s="9"/>
      <c r="J174" s="24"/>
    </row>
    <row r="175" spans="1:10" x14ac:dyDescent="0.25">
      <c r="A175" s="28" t="s">
        <v>36</v>
      </c>
      <c r="B175" s="28"/>
      <c r="C175" s="27"/>
      <c r="D175" s="27"/>
      <c r="E175" s="27"/>
      <c r="F175" s="27"/>
      <c r="G175" s="8" t="s">
        <v>11</v>
      </c>
      <c r="I175" s="28" t="s">
        <v>29</v>
      </c>
      <c r="J175" s="24"/>
    </row>
  </sheetData>
  <mergeCells count="40">
    <mergeCell ref="C154:E154"/>
    <mergeCell ref="C155:E155"/>
    <mergeCell ref="A160:C160"/>
    <mergeCell ref="A165:C165"/>
    <mergeCell ref="A140:J140"/>
    <mergeCell ref="A141:J141"/>
    <mergeCell ref="A142:J142"/>
    <mergeCell ref="A143:J143"/>
    <mergeCell ref="A144:J144"/>
    <mergeCell ref="A153:J153"/>
    <mergeCell ref="A100:J100"/>
    <mergeCell ref="A109:J109"/>
    <mergeCell ref="C110:E110"/>
    <mergeCell ref="C111:E111"/>
    <mergeCell ref="A116:C116"/>
    <mergeCell ref="A121:C121"/>
    <mergeCell ref="A72:C72"/>
    <mergeCell ref="A77:C77"/>
    <mergeCell ref="A96:J96"/>
    <mergeCell ref="A97:J97"/>
    <mergeCell ref="A98:J98"/>
    <mergeCell ref="A99:J99"/>
    <mergeCell ref="A54:J54"/>
    <mergeCell ref="A55:J55"/>
    <mergeCell ref="A56:J56"/>
    <mergeCell ref="A65:J65"/>
    <mergeCell ref="C66:E66"/>
    <mergeCell ref="C67:E67"/>
    <mergeCell ref="C22:E22"/>
    <mergeCell ref="C23:E23"/>
    <mergeCell ref="A28:C28"/>
    <mergeCell ref="A33:C33"/>
    <mergeCell ref="A52:J52"/>
    <mergeCell ref="A53:J53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90" orientation="portrait" horizontalDpi="4294967293" r:id="rId1"/>
  <rowBreaks count="3" manualBreakCount="3">
    <brk id="44" max="9" man="1"/>
    <brk id="88" max="9" man="1"/>
    <brk id="132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2026-03-25T07:25:12Z</cp:lastPrinted>
  <dcterms:created xsi:type="dcterms:W3CDTF">2017-02-01T01:06:13Z</dcterms:created>
  <dcterms:modified xsi:type="dcterms:W3CDTF">2026-03-25T07:28:40Z</dcterms:modified>
</cp:coreProperties>
</file>