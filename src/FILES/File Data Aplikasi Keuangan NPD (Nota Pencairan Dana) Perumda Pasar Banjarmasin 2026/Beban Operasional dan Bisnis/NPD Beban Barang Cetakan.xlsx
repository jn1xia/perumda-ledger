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PD 2026\Beban Operasional dan Bisnis\"/>
    </mc:Choice>
  </mc:AlternateContent>
  <xr:revisionPtr revIDLastSave="0" documentId="13_ncr:1_{D583C1C7-EDA8-455F-808F-DF3A1C26147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JANUARI" sheetId="15" r:id="rId1"/>
    <sheet name="FEBRUARI" sheetId="16" r:id="rId2"/>
    <sheet name="MARET" sheetId="17" r:id="rId3"/>
  </sheets>
  <definedNames>
    <definedName name="_xlnm.Print_Area" localSheetId="1">FEBRUARI!$A$1:$J$141</definedName>
    <definedName name="_xlnm.Print_Area" localSheetId="0">JANUARI!$A$1:$J$43</definedName>
    <definedName name="_xlnm.Print_Area" localSheetId="2">MARET!$A$1:$J$141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17" l="1"/>
  <c r="E73" i="17"/>
  <c r="I68" i="17"/>
  <c r="E70" i="17" s="1"/>
  <c r="E75" i="17" s="1"/>
  <c r="E76" i="17" s="1"/>
  <c r="G68" i="17"/>
  <c r="E60" i="17"/>
  <c r="E61" i="17" s="1"/>
  <c r="E30" i="17"/>
  <c r="I25" i="17"/>
  <c r="E27" i="17" s="1"/>
  <c r="E32" i="17" s="1"/>
  <c r="E33" i="17" s="1"/>
  <c r="G25" i="17"/>
  <c r="E17" i="17"/>
  <c r="E18" i="17" s="1"/>
  <c r="H67" i="16"/>
  <c r="E73" i="16"/>
  <c r="I68" i="16"/>
  <c r="E70" i="16" s="1"/>
  <c r="E75" i="16" s="1"/>
  <c r="E76" i="16" s="1"/>
  <c r="G68" i="16"/>
  <c r="E60" i="16"/>
  <c r="E61" i="16" s="1"/>
  <c r="H24" i="16"/>
  <c r="E30" i="16"/>
  <c r="I25" i="16"/>
  <c r="E27" i="16" s="1"/>
  <c r="E32" i="16" s="1"/>
  <c r="E33" i="16" s="1"/>
  <c r="H25" i="16"/>
  <c r="G25" i="16"/>
  <c r="J24" i="16"/>
  <c r="J25" i="16" s="1"/>
  <c r="E17" i="16"/>
  <c r="E18" i="16" s="1"/>
  <c r="J24" i="15"/>
  <c r="J25" i="15" s="1"/>
  <c r="E30" i="15"/>
  <c r="I25" i="15"/>
  <c r="E27" i="15" s="1"/>
  <c r="E32" i="15" s="1"/>
  <c r="E33" i="15" s="1"/>
  <c r="G25" i="15"/>
  <c r="H67" i="17" l="1"/>
  <c r="H25" i="17"/>
  <c r="J24" i="17"/>
  <c r="J25" i="17" s="1"/>
  <c r="H68" i="16"/>
  <c r="J67" i="16"/>
  <c r="J68" i="16" s="1"/>
  <c r="E17" i="15"/>
  <c r="E18" i="15" s="1"/>
  <c r="H25" i="15"/>
  <c r="J67" i="17" l="1"/>
  <c r="J68" i="17" s="1"/>
  <c r="H68" i="17"/>
</calcChain>
</file>

<file path=xl/sharedStrings.xml><?xml version="1.0" encoding="utf-8"?>
<sst xmlns="http://schemas.openxmlformats.org/spreadsheetml/2006/main" count="250" uniqueCount="44">
  <si>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</si>
  <si>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</si>
  <si>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</si>
  <si>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</si>
  <si>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Uraian</t>
  </si>
  <si>
    <t>Anggaran</t>
  </si>
  <si>
    <t>Pencairan Saat ini</t>
  </si>
  <si>
    <t>Sisa Anggaran</t>
  </si>
  <si>
    <t>JUMLAH</t>
  </si>
  <si>
    <t xml:space="preserve">PPN                                                </t>
  </si>
  <si>
    <t xml:space="preserve">Jumlah Potongan                 </t>
  </si>
  <si>
    <t xml:space="preserve">                                  </t>
  </si>
  <si>
    <t>:</t>
  </si>
  <si>
    <t>BENDAHARA PENGELUARAN</t>
  </si>
  <si>
    <t xml:space="preserve">Jumlah  Yang Diminta          </t>
  </si>
  <si>
    <t xml:space="preserve">Jumlah yang dibayarkan        </t>
  </si>
  <si>
    <t xml:space="preserve">PPh Psl 21/22/23/4(2)                    </t>
  </si>
  <si>
    <t>Akumulasi Pencairan dana Bulan Lalu</t>
  </si>
  <si>
    <t xml:space="preserve">1. Sub Kegiatan                                                       </t>
  </si>
  <si>
    <t xml:space="preserve">2. Nomor                                                          </t>
  </si>
  <si>
    <t xml:space="preserve">3. Tahun Anggaran                                           </t>
  </si>
  <si>
    <t xml:space="preserve">4. Jumlah Yang Diminta                                    </t>
  </si>
  <si>
    <t>1.1</t>
  </si>
  <si>
    <t>Supaya Mencairkan Dana</t>
  </si>
  <si>
    <t>YANG MEMBUAT</t>
  </si>
  <si>
    <t>MENGETAHUI</t>
  </si>
  <si>
    <t>M. ZULKIFLI</t>
  </si>
  <si>
    <t>---------------</t>
  </si>
  <si>
    <t>NOTA PENCAIRAN DANA (NPD)</t>
  </si>
  <si>
    <t>Beban Operasional dan Bisnis</t>
  </si>
  <si>
    <t>2.1.3</t>
  </si>
  <si>
    <t>Beban Barang Cetakan</t>
  </si>
  <si>
    <t>Cetak Spanduk</t>
  </si>
  <si>
    <t>IRNA WAHYUNI N.</t>
  </si>
  <si>
    <t>Kode</t>
  </si>
  <si>
    <t>PERUMDA PASAR BANJARMASIN</t>
  </si>
  <si>
    <r>
      <t>Nomor : 61/DIV-KEU/PPB/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</si>
  <si>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19 Januari 2026</t>
  </si>
  <si>
    <t>Banjarmasin, 20 Februari 2026</t>
  </si>
  <si>
    <r>
      <t>Nomor : 081/DIV-KEU/PPB/I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</si>
  <si>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100/DIV-KEU/PPB/I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</si>
  <si>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26 Februari 2026</t>
  </si>
  <si>
    <r>
      <t>Nomor : 015/DIV-KEU/PPB/II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</si>
  <si>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06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</si>
</sst>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_(* #,##0.00_);_(* \(#,##0.00\);_(* &quot;-&quot;??_);_(@_)"/>
    <numFmt numFmtId="167" formatCode="_-[$Rp-421]* #,##0_-;\-[$Rp-421]* #,##0_-;_-[$Rp-421]* &quot;-&quot;_-;_-@_-"/>
    <numFmt numFmtId="168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  <xf numFmtId="165" fontId="14" fillId="0" borderId="0">
      <alignment vertical="top"/>
      <protection locked="0"/>
    </xf>
  </cellStyleXfs>
  <cellXfs count="67">
    <xf numFmtId="0" fontId="0" fillId="0" borderId="0" xfId="0"/>
    <xf numFmtId="166" fontId="1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166" fontId="1" fillId="0" borderId="0" xfId="1" applyFont="1" applyBorder="1" applyAlignment="1">
      <alignment horizontal="center"/>
    </xf>
    <xf numFmtId="166" fontId="1" fillId="0" borderId="0" xfId="1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166" fontId="4" fillId="0" borderId="0" xfId="1" applyFont="1" applyBorder="1"/>
    <xf numFmtId="166" fontId="3" fillId="0" borderId="0" xfId="1" applyFont="1" applyBorder="1"/>
    <xf numFmtId="0" fontId="7" fillId="0" borderId="0" xfId="0" applyFont="1"/>
    <xf numFmtId="0" fontId="4" fillId="0" borderId="2" xfId="3" applyNumberFormat="1" applyFont="1" applyBorder="1" applyAlignment="1">
      <alignment horizontal="left" vertical="center"/>
    </xf>
    <xf numFmtId="166" fontId="4" fillId="0" borderId="2" xfId="1" applyFont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0" fontId="4" fillId="0" borderId="2" xfId="0" quotePrefix="1" applyFont="1" applyBorder="1"/>
    <xf numFmtId="0" fontId="4" fillId="0" borderId="2" xfId="0" applyFont="1" applyBorder="1"/>
    <xf numFmtId="167" fontId="4" fillId="0" borderId="2" xfId="2" applyNumberFormat="1" applyFont="1" applyBorder="1"/>
    <xf numFmtId="0" fontId="3" fillId="0" borderId="6" xfId="0" quotePrefix="1" applyFont="1" applyBorder="1"/>
    <xf numFmtId="167" fontId="3" fillId="0" borderId="6" xfId="2" applyNumberFormat="1" applyFont="1" applyBorder="1"/>
    <xf numFmtId="166" fontId="4" fillId="0" borderId="0" xfId="1" applyFont="1" applyBorder="1" applyAlignment="1"/>
    <xf numFmtId="166" fontId="4" fillId="0" borderId="0" xfId="0" applyNumberFormat="1" applyFont="1"/>
    <xf numFmtId="166" fontId="8" fillId="0" borderId="0" xfId="1" quotePrefix="1" applyFont="1" applyBorder="1"/>
    <xf numFmtId="166" fontId="8" fillId="0" borderId="0" xfId="1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6" fillId="0" borderId="0" xfId="0" applyFont="1"/>
    <xf numFmtId="166" fontId="6" fillId="0" borderId="0" xfId="1" applyFont="1" applyBorder="1" applyAlignment="1">
      <alignment horizontal="left"/>
    </xf>
    <xf numFmtId="0" fontId="9" fillId="0" borderId="0" xfId="0" applyFont="1"/>
    <xf numFmtId="166" fontId="9" fillId="0" borderId="0" xfId="1" applyFont="1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/>
    <xf numFmtId="164" fontId="4" fillId="0" borderId="0" xfId="0" applyNumberFormat="1" applyFont="1"/>
    <xf numFmtId="168" fontId="4" fillId="0" borderId="7" xfId="1" applyNumberFormat="1" applyFont="1" applyBorder="1" applyAlignment="1">
      <alignment horizontal="right"/>
    </xf>
    <xf numFmtId="168" fontId="4" fillId="0" borderId="7" xfId="1" applyNumberFormat="1" applyFont="1" applyBorder="1"/>
    <xf numFmtId="167" fontId="4" fillId="0" borderId="0" xfId="0" applyNumberFormat="1" applyFont="1" applyAlignment="1">
      <alignment horizontal="left"/>
    </xf>
    <xf numFmtId="0" fontId="4" fillId="0" borderId="5" xfId="0" applyFont="1" applyBorder="1"/>
    <xf numFmtId="0" fontId="4" fillId="0" borderId="0" xfId="0" quotePrefix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4" fillId="0" borderId="4" xfId="2" applyNumberFormat="1" applyFont="1" applyBorder="1"/>
    <xf numFmtId="0" fontId="4" fillId="0" borderId="3" xfId="0" applyFont="1" applyBorder="1"/>
    <xf numFmtId="42" fontId="4" fillId="0" borderId="0" xfId="0" applyNumberFormat="1" applyFont="1" applyAlignment="1">
      <alignment horizontal="left"/>
    </xf>
    <xf numFmtId="0" fontId="4" fillId="0" borderId="8" xfId="0" applyFont="1" applyBorder="1"/>
    <xf numFmtId="168" fontId="4" fillId="0" borderId="7" xfId="1" applyNumberFormat="1" applyFont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4" fillId="0" borderId="2" xfId="0" quotePrefix="1" applyFont="1" applyBorder="1" applyAlignment="1">
      <alignment horizontal="center" vertical="center"/>
    </xf>
    <xf numFmtId="0" fontId="4" fillId="0" borderId="0" xfId="1" applyNumberFormat="1" applyFont="1" applyBorder="1"/>
    <xf numFmtId="0" fontId="4" fillId="0" borderId="3" xfId="0" applyFont="1" applyBorder="1" applyAlignment="1">
      <alignment horizontal="center" vertical="center" wrapText="1"/>
    </xf>
    <xf numFmtId="0" fontId="13" fillId="0" borderId="0" xfId="0" applyFont="1"/>
    <xf numFmtId="165" fontId="15" fillId="0" borderId="8" xfId="5" applyFont="1" applyBorder="1" applyAlignment="1" applyProtection="1">
      <alignment horizontal="center"/>
    </xf>
    <xf numFmtId="0" fontId="4" fillId="0" borderId="0" xfId="0" quotePrefix="1" applyFont="1"/>
    <xf numFmtId="0" fontId="3" fillId="0" borderId="0" xfId="0" quotePrefix="1" applyFont="1"/>
    <xf numFmtId="0" fontId="9" fillId="0" borderId="5" xfId="0" applyFont="1" applyBorder="1"/>
    <xf numFmtId="165" fontId="15" fillId="0" borderId="8" xfId="5" quotePrefix="1" applyFont="1" applyBorder="1" applyAlignment="1" applyProtection="1">
      <alignment horizontal="center"/>
    </xf>
    <xf numFmtId="0" fontId="4" fillId="0" borderId="6" xfId="0" applyFont="1" applyBorder="1"/>
    <xf numFmtId="0" fontId="4" fillId="0" borderId="9" xfId="3" applyNumberFormat="1" applyFont="1" applyBorder="1" applyAlignment="1">
      <alignment horizontal="center" vertical="center"/>
    </xf>
    <xf numFmtId="0" fontId="9" fillId="0" borderId="2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6">
    <cellStyle name="Comma" xfId="1" builtinId="3"/>
    <cellStyle name="Comma [0]" xfId="2" builtinId="6"/>
    <cellStyle name="Comma [0] 2 2" xfId="5" xr:uid="{724FC97D-2618-4674-A8AC-0D5F3952EF3E}"/>
    <cellStyle name="Currency [0] 7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9525</xdr:rowOff>
    </xdr:from>
    <xdr:to>
      <xdr:col>9</xdr:col>
      <xdr:colOff>1171575</xdr:colOff>
      <xdr:row>9</xdr:row>
      <xdr:rowOff>69768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579B5F-BFB1-4B51-8BEB-0BF9DEF52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" y="9525"/>
          <a:ext cx="7858126" cy="179379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0794F32-1AA4-4C2C-AFC1-A1F0FD56F43C}"/>
            </a:ext>
          </a:extLst>
        </xdr:cNvPr>
        <xdr:cNvCxnSpPr/>
      </xdr:nvCxnSpPr>
      <xdr:spPr>
        <a:xfrm>
          <a:off x="19050" y="1209675"/>
          <a:ext cx="78581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43</xdr:row>
      <xdr:rowOff>9525</xdr:rowOff>
    </xdr:from>
    <xdr:to>
      <xdr:col>9</xdr:col>
      <xdr:colOff>1162051</xdr:colOff>
      <xdr:row>52</xdr:row>
      <xdr:rowOff>69768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5D6F4B-F577-4327-8459-F2206C0DC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8629650"/>
          <a:ext cx="7858126" cy="17937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28574</xdr:colOff>
      <xdr:row>0</xdr:row>
      <xdr:rowOff>9525</xdr:rowOff>
    </xdr:from>
    <xdr:to>
      <xdr:col>9</xdr:col>
      <xdr:colOff>1171575</xdr:colOff>
      <xdr:row>9</xdr:row>
      <xdr:rowOff>69768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ED935-0A51-4787-AEC7-E4CBC31A1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" y="9525"/>
          <a:ext cx="7858126" cy="179379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C6AB118-05CF-41FA-B1B1-B022BA3A2801}"/>
            </a:ext>
          </a:extLst>
        </xdr:cNvPr>
        <xdr:cNvCxnSpPr/>
      </xdr:nvCxnSpPr>
      <xdr:spPr>
        <a:xfrm>
          <a:off x="19050" y="1209675"/>
          <a:ext cx="78581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49</xdr:row>
      <xdr:rowOff>47625</xdr:rowOff>
    </xdr:from>
    <xdr:to>
      <xdr:col>9</xdr:col>
      <xdr:colOff>1162050</xdr:colOff>
      <xdr:row>49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3FCC3FA-BEC6-4B78-AAED-DCBE637AA0ED}"/>
            </a:ext>
          </a:extLst>
        </xdr:cNvPr>
        <xdr:cNvCxnSpPr/>
      </xdr:nvCxnSpPr>
      <xdr:spPr>
        <a:xfrm>
          <a:off x="19050" y="1209675"/>
          <a:ext cx="78581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43</xdr:row>
      <xdr:rowOff>9525</xdr:rowOff>
    </xdr:from>
    <xdr:to>
      <xdr:col>9</xdr:col>
      <xdr:colOff>1162051</xdr:colOff>
      <xdr:row>52</xdr:row>
      <xdr:rowOff>69768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07DA1A-962F-4D85-AA5E-766CF6A06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8629650"/>
          <a:ext cx="7858126" cy="17937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28574</xdr:colOff>
      <xdr:row>0</xdr:row>
      <xdr:rowOff>9525</xdr:rowOff>
    </xdr:from>
    <xdr:to>
      <xdr:col>9</xdr:col>
      <xdr:colOff>1171575</xdr:colOff>
      <xdr:row>9</xdr:row>
      <xdr:rowOff>69768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CCA1DD-A9E1-4E64-83B1-271E4CAB2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" y="9525"/>
          <a:ext cx="7858126" cy="179379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CB938DA-D4AF-4C35-9056-73FDF535149C}"/>
            </a:ext>
          </a:extLst>
        </xdr:cNvPr>
        <xdr:cNvCxnSpPr/>
      </xdr:nvCxnSpPr>
      <xdr:spPr>
        <a:xfrm>
          <a:off x="19050" y="1209675"/>
          <a:ext cx="78581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49</xdr:row>
      <xdr:rowOff>47625</xdr:rowOff>
    </xdr:from>
    <xdr:to>
      <xdr:col>9</xdr:col>
      <xdr:colOff>1162050</xdr:colOff>
      <xdr:row>49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B11F06A-0C98-4EA9-9E31-3728FF6ACC5C}"/>
            </a:ext>
          </a:extLst>
        </xdr:cNvPr>
        <xdr:cNvCxnSpPr/>
      </xdr:nvCxnSpPr>
      <xdr:spPr>
        <a:xfrm>
          <a:off x="19050" y="9829800"/>
          <a:ext cx="78581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E6E1D-7016-45E1-8184-DA74B789A87F}">
  <dimension ref="A1:V43"/>
  <sheetViews>
    <sheetView view="pageBreakPreview" zoomScaleNormal="100" zoomScaleSheetLayoutView="100" workbookViewId="0">
      <selection activeCell="J42" sqref="A1:J42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26.14062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5" t="s">
        <v>28</v>
      </c>
      <c r="B8" s="65"/>
      <c r="C8" s="66"/>
      <c r="D8" s="66"/>
      <c r="E8" s="66"/>
      <c r="F8" s="66"/>
      <c r="G8" s="66"/>
      <c r="H8" s="66"/>
      <c r="I8" s="66"/>
      <c r="J8" s="66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6" t="s">
        <v>36</v>
      </c>
      <c r="B9" s="66"/>
      <c r="C9" s="66"/>
      <c r="D9" s="66"/>
      <c r="E9" s="66"/>
      <c r="F9" s="66"/>
      <c r="G9" s="66"/>
      <c r="H9" s="66"/>
      <c r="I9" s="66"/>
      <c r="J9" s="66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6" t="s">
        <v>13</v>
      </c>
      <c r="B10" s="66"/>
      <c r="C10" s="66"/>
      <c r="D10" s="66"/>
      <c r="E10" s="66"/>
      <c r="F10" s="66"/>
      <c r="G10" s="66"/>
      <c r="H10" s="66"/>
      <c r="I10" s="66"/>
      <c r="J10" s="66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6" t="s">
        <v>35</v>
      </c>
      <c r="B11" s="66"/>
      <c r="C11" s="66"/>
      <c r="D11" s="66"/>
      <c r="E11" s="66"/>
      <c r="F11" s="66"/>
      <c r="G11" s="66"/>
      <c r="H11" s="66"/>
      <c r="I11" s="66"/>
      <c r="J11" s="66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6" t="s">
        <v>23</v>
      </c>
      <c r="B12" s="66"/>
      <c r="C12" s="66"/>
      <c r="D12" s="66"/>
      <c r="E12" s="66"/>
      <c r="F12" s="66"/>
      <c r="G12" s="66"/>
      <c r="H12" s="66"/>
      <c r="I12" s="66"/>
      <c r="J12" s="66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3" t="s">
        <v>18</v>
      </c>
      <c r="B14" s="53"/>
      <c r="C14" s="53"/>
      <c r="D14" s="40" t="s">
        <v>12</v>
      </c>
      <c r="E14" s="8" t="s">
        <v>29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3" t="s">
        <v>19</v>
      </c>
      <c r="B15" s="53"/>
      <c r="C15" s="53"/>
      <c r="D15" s="40" t="s">
        <v>12</v>
      </c>
      <c r="E15" s="8" t="s">
        <v>30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3" t="s">
        <v>20</v>
      </c>
      <c r="B16" s="53"/>
      <c r="C16" s="53"/>
      <c r="D16" s="40" t="s">
        <v>12</v>
      </c>
      <c r="E16" s="47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3" t="s">
        <v>21</v>
      </c>
      <c r="B17" s="53"/>
      <c r="C17" s="53"/>
      <c r="D17" s="40" t="s">
        <v>12</v>
      </c>
      <c r="E17" s="44">
        <f>I25</f>
        <v>108000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40" t="s">
        <v>12</v>
      </c>
      <c r="E18" s="51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Delapan Ribu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1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4" t="s">
        <v>2</v>
      </c>
      <c r="B21" s="64"/>
      <c r="C21" s="64"/>
      <c r="D21" s="64"/>
      <c r="E21" s="64"/>
      <c r="F21" s="64"/>
      <c r="G21" s="64"/>
      <c r="H21" s="64"/>
      <c r="I21" s="64"/>
      <c r="J21" s="64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8" t="s">
        <v>34</v>
      </c>
      <c r="C22" s="60" t="s">
        <v>4</v>
      </c>
      <c r="D22" s="61"/>
      <c r="E22" s="62"/>
      <c r="F22" s="50"/>
      <c r="G22" s="41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59">
        <v>1</v>
      </c>
      <c r="B23" s="48"/>
      <c r="C23" s="55" t="s">
        <v>31</v>
      </c>
      <c r="D23" s="57"/>
      <c r="E23" s="45"/>
      <c r="F23" s="39"/>
      <c r="G23" s="56" t="s">
        <v>27</v>
      </c>
      <c r="H23" s="56" t="s">
        <v>27</v>
      </c>
      <c r="I23" s="56" t="s">
        <v>27</v>
      </c>
      <c r="J23" s="56" t="s">
        <v>27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48"/>
      <c r="B24" s="48" t="s">
        <v>22</v>
      </c>
      <c r="C24" s="39" t="s">
        <v>32</v>
      </c>
      <c r="D24" s="8"/>
      <c r="E24" s="45"/>
      <c r="F24" s="39"/>
      <c r="G24" s="52">
        <v>25500000</v>
      </c>
      <c r="H24" s="46">
        <v>0</v>
      </c>
      <c r="I24" s="36">
        <v>108000</v>
      </c>
      <c r="J24" s="37">
        <f t="shared" ref="J24" si="0">G24-H24-I24</f>
        <v>25392000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16"/>
      <c r="B25" s="16"/>
      <c r="C25" s="17" t="s">
        <v>8</v>
      </c>
      <c r="D25" s="17"/>
      <c r="E25" s="17"/>
      <c r="F25" s="43"/>
      <c r="G25" s="42">
        <f>SUM(G23:G24)</f>
        <v>25500000</v>
      </c>
      <c r="H25" s="18">
        <f>SUM(H23:H24)</f>
        <v>0</v>
      </c>
      <c r="I25" s="18">
        <f>SUM(I23:I24)</f>
        <v>108000</v>
      </c>
      <c r="J25" s="18">
        <f>SUM(J23:J24)</f>
        <v>25392000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19"/>
      <c r="B26" s="54"/>
      <c r="C26" s="6"/>
      <c r="D26" s="6"/>
      <c r="E26" s="6"/>
      <c r="F26" s="6"/>
      <c r="G26" s="20"/>
      <c r="H26" s="20"/>
      <c r="I26" s="20"/>
      <c r="J26" s="20"/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63" t="s">
        <v>14</v>
      </c>
      <c r="B27" s="63"/>
      <c r="C27" s="63"/>
      <c r="D27" s="33" t="s">
        <v>12</v>
      </c>
      <c r="E27" s="44">
        <f>I25</f>
        <v>108000</v>
      </c>
      <c r="F27" s="38"/>
      <c r="G27" s="21"/>
      <c r="H27" s="21"/>
      <c r="I27" s="10"/>
      <c r="J27" s="10"/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8" t="s">
        <v>9</v>
      </c>
      <c r="B28" s="8"/>
      <c r="C28" s="8"/>
      <c r="D28" s="33" t="s">
        <v>12</v>
      </c>
      <c r="E28" s="34"/>
      <c r="F28" s="34"/>
      <c r="G28" s="22"/>
      <c r="H28" s="9"/>
      <c r="I28" s="10"/>
      <c r="J28" s="1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8" t="s">
        <v>16</v>
      </c>
      <c r="B29" s="8"/>
      <c r="C29" s="8"/>
      <c r="D29" s="33" t="s">
        <v>12</v>
      </c>
      <c r="E29" s="35"/>
      <c r="F29" s="35"/>
      <c r="G29" s="22"/>
      <c r="H29" s="9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10</v>
      </c>
      <c r="B30" s="8"/>
      <c r="C30" s="8"/>
      <c r="D30" s="33" t="s">
        <v>12</v>
      </c>
      <c r="E30" s="35">
        <f>E28+E29</f>
        <v>0</v>
      </c>
      <c r="F30" s="35"/>
      <c r="G30" s="8"/>
      <c r="H30" s="9"/>
      <c r="I30" s="23"/>
      <c r="J30" s="24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47"/>
      <c r="B31" s="47"/>
      <c r="C31" s="47"/>
      <c r="D31" s="33"/>
      <c r="E31" s="47"/>
      <c r="F31" s="47"/>
      <c r="G31" s="8"/>
      <c r="H31" s="9"/>
      <c r="I31" s="23"/>
      <c r="J31" s="24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63" t="s">
        <v>15</v>
      </c>
      <c r="B32" s="63"/>
      <c r="C32" s="63"/>
      <c r="D32" s="33" t="s">
        <v>12</v>
      </c>
      <c r="E32" s="38">
        <f>E27-E30</f>
        <v>108000</v>
      </c>
      <c r="F32" s="38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ht="15.75" x14ac:dyDescent="0.25">
      <c r="A33" s="47"/>
      <c r="B33" s="47"/>
      <c r="C33" s="8"/>
      <c r="D33" s="8"/>
      <c r="E33" s="51" t="str">
        <f>PROPER(IF(E32=0,"nol",IF(E32&lt;0,"minus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32),"000000000000000"),1,3)=0,"",MID(TEXT(ABS(E32),"000000000000000"),1,1)&amp;" ratus "&amp;MID(TEXT(ABS(E32),"000000000000000"),2,1)&amp;" puluh "&amp;MID(TEXT(ABS(E32),"000000000000000"),3,1)&amp;" trilyun ")&amp;IF(--MID(TEXT(ABS(E32),"000000000000000"),4,3)=0,"",MID(TEXT(ABS(E32),"000000000000000"),4,1)&amp;" ratus "&amp;MID(TEXT(ABS(E32),"000000000000000"),5,1)&amp;" puluh "&amp;MID(TEXT(ABS(E32),"000000000000000"),6,1)&amp;" milyar ")&amp;IF(--MID(TEXT(ABS(E32),"000000000000000"),7,3)=0,"",MID(TEXT(ABS(E32),"000000000000000"),7,1)&amp;" ratus "&amp;MID(TEXT(ABS(E32),"000000000000000"),8,1)&amp;" puluh "&amp;MID(TEXT(ABS(E32),"000000000000000"),9,1)&amp;" juta ")&amp;IF(--MID(TEXT(ABS(E32),"000000000000000"),10,3)=0,"",IF(--MID(TEXT(ABS(E32),"000000000000000"),10,3)=1,"*",MID(TEXT(ABS(E32),"000000000000000"),10,1)&amp;" ratus "&amp;MID(TEXT(ABS(E32),"000000000000000"),11,1)&amp;" puluh ")&amp;MID(TEXT(ABS(E32),"000000000000000"),12,1)&amp;" ribu ")&amp;IF(--MID(TEXT(ABS(E32),"000000000000000"),13,3)=0,"",MID(TEXT(ABS(E32),"000000000000000"),13,1)&amp;" ratus "&amp;MID(TEXT(ABS(E32),"000000000000000"),14,1)&amp;" puluh "&amp;MID(TEXT(ABS(E32),"000000000000000"),15,1)),1,"satu"),2,"dua"),3,"tiga"),4,"empat"),5,"lima"),6,"enam"),7,"tujuh"),8,"delapan"),9,"sembilan"),"0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Delapan Ribu Rupiah</v>
      </c>
      <c r="F33" s="8"/>
      <c r="G33" s="8"/>
      <c r="H33" s="8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x14ac:dyDescent="0.25">
      <c r="A34" s="26"/>
      <c r="B34" s="26"/>
      <c r="C34" s="26"/>
      <c r="D34" s="26"/>
      <c r="E34" s="26"/>
      <c r="F34" s="26"/>
      <c r="G34" s="25"/>
      <c r="H34" s="24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25"/>
      <c r="B35" s="25"/>
      <c r="C35" s="25"/>
      <c r="D35" s="25"/>
      <c r="E35" s="25"/>
      <c r="F35" s="25"/>
      <c r="G35" s="25"/>
      <c r="H35"/>
      <c r="I35" s="24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47"/>
      <c r="B36" s="47"/>
      <c r="C36" s="8"/>
      <c r="D36" s="8"/>
      <c r="E36" s="8"/>
      <c r="F36" s="8"/>
      <c r="G36" s="8"/>
      <c r="I36" s="49" t="s">
        <v>37</v>
      </c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9" t="s">
        <v>25</v>
      </c>
      <c r="B37" s="9"/>
      <c r="C37" s="8"/>
      <c r="D37" s="8"/>
      <c r="E37" s="8"/>
      <c r="F37" s="8"/>
      <c r="G37" s="8"/>
      <c r="I37" s="9" t="s">
        <v>24</v>
      </c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8"/>
      <c r="B38" s="8"/>
      <c r="C38" s="8"/>
      <c r="D38" s="8"/>
      <c r="E38" s="8"/>
      <c r="F38" s="8"/>
      <c r="G38" s="8"/>
      <c r="I38" s="9"/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8"/>
      <c r="B39" s="8"/>
      <c r="C39" s="8"/>
      <c r="D39" s="8"/>
      <c r="E39" s="8"/>
      <c r="F39" s="8"/>
      <c r="G39" s="8"/>
      <c r="I39" s="9"/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28" t="s">
        <v>33</v>
      </c>
      <c r="B42" s="28"/>
      <c r="C42" s="27"/>
      <c r="D42" s="27"/>
      <c r="E42" s="27"/>
      <c r="F42" s="27"/>
      <c r="G42" s="8" t="s">
        <v>11</v>
      </c>
      <c r="I42" s="28" t="s">
        <v>26</v>
      </c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30"/>
      <c r="B43" s="30"/>
      <c r="C43" s="29"/>
      <c r="D43" s="29"/>
      <c r="E43" s="29"/>
      <c r="F43" s="29"/>
      <c r="G43" s="29"/>
      <c r="H43" s="30"/>
      <c r="I43" s="30"/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</sheetData>
  <mergeCells count="9">
    <mergeCell ref="C22:E22"/>
    <mergeCell ref="A27:C27"/>
    <mergeCell ref="A32:C32"/>
    <mergeCell ref="A21:J21"/>
    <mergeCell ref="A8:J8"/>
    <mergeCell ref="A9:J9"/>
    <mergeCell ref="A10:J10"/>
    <mergeCell ref="A11:J11"/>
    <mergeCell ref="A12:J12"/>
  </mergeCells>
  <pageMargins left="0.23622047244094491" right="0.23622047244094491" top="0.74803149606299213" bottom="0.74803149606299213" header="0.31496062992125984" footer="0.31496062992125984"/>
  <pageSetup paperSize="9" scale="83" orientation="portrait" horizontalDpi="4294967293" r:id="rId1"/>
  <rowBreaks count="1" manualBreakCount="1">
    <brk id="43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005E-31B8-4F82-B98D-FD5F6158A457}">
  <dimension ref="A1:V85"/>
  <sheetViews>
    <sheetView view="pageBreakPreview" topLeftCell="A61" zoomScaleNormal="100" zoomScaleSheetLayoutView="100" workbookViewId="0">
      <selection activeCell="J85" sqref="A44:J85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26.14062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5" t="s">
        <v>28</v>
      </c>
      <c r="B8" s="65"/>
      <c r="C8" s="66"/>
      <c r="D8" s="66"/>
      <c r="E8" s="66"/>
      <c r="F8" s="66"/>
      <c r="G8" s="66"/>
      <c r="H8" s="66"/>
      <c r="I8" s="66"/>
      <c r="J8" s="66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6" t="s">
        <v>39</v>
      </c>
      <c r="B9" s="66"/>
      <c r="C9" s="66"/>
      <c r="D9" s="66"/>
      <c r="E9" s="66"/>
      <c r="F9" s="66"/>
      <c r="G9" s="66"/>
      <c r="H9" s="66"/>
      <c r="I9" s="66"/>
      <c r="J9" s="66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6" t="s">
        <v>13</v>
      </c>
      <c r="B10" s="66"/>
      <c r="C10" s="66"/>
      <c r="D10" s="66"/>
      <c r="E10" s="66"/>
      <c r="F10" s="66"/>
      <c r="G10" s="66"/>
      <c r="H10" s="66"/>
      <c r="I10" s="66"/>
      <c r="J10" s="66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6" t="s">
        <v>35</v>
      </c>
      <c r="B11" s="66"/>
      <c r="C11" s="66"/>
      <c r="D11" s="66"/>
      <c r="E11" s="66"/>
      <c r="F11" s="66"/>
      <c r="G11" s="66"/>
      <c r="H11" s="66"/>
      <c r="I11" s="66"/>
      <c r="J11" s="66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6" t="s">
        <v>23</v>
      </c>
      <c r="B12" s="66"/>
      <c r="C12" s="66"/>
      <c r="D12" s="66"/>
      <c r="E12" s="66"/>
      <c r="F12" s="66"/>
      <c r="G12" s="66"/>
      <c r="H12" s="66"/>
      <c r="I12" s="66"/>
      <c r="J12" s="66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3" t="s">
        <v>18</v>
      </c>
      <c r="B14" s="53"/>
      <c r="C14" s="53"/>
      <c r="D14" s="40" t="s">
        <v>12</v>
      </c>
      <c r="E14" s="8" t="s">
        <v>29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3" t="s">
        <v>19</v>
      </c>
      <c r="B15" s="53"/>
      <c r="C15" s="53"/>
      <c r="D15" s="40" t="s">
        <v>12</v>
      </c>
      <c r="E15" s="8" t="s">
        <v>30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3" t="s">
        <v>20</v>
      </c>
      <c r="B16" s="53"/>
      <c r="C16" s="53"/>
      <c r="D16" s="40" t="s">
        <v>12</v>
      </c>
      <c r="E16" s="47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3" t="s">
        <v>21</v>
      </c>
      <c r="B17" s="53"/>
      <c r="C17" s="53"/>
      <c r="D17" s="40" t="s">
        <v>12</v>
      </c>
      <c r="E17" s="44">
        <f>I25</f>
        <v>333000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40" t="s">
        <v>12</v>
      </c>
      <c r="E18" s="51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Tiga Puluh Tiga Ribu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1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4" t="s">
        <v>2</v>
      </c>
      <c r="B21" s="64"/>
      <c r="C21" s="64"/>
      <c r="D21" s="64"/>
      <c r="E21" s="64"/>
      <c r="F21" s="64"/>
      <c r="G21" s="64"/>
      <c r="H21" s="64"/>
      <c r="I21" s="64"/>
      <c r="J21" s="64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8" t="s">
        <v>34</v>
      </c>
      <c r="C22" s="60" t="s">
        <v>4</v>
      </c>
      <c r="D22" s="61"/>
      <c r="E22" s="62"/>
      <c r="F22" s="50"/>
      <c r="G22" s="41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59">
        <v>1</v>
      </c>
      <c r="B23" s="48"/>
      <c r="C23" s="55" t="s">
        <v>31</v>
      </c>
      <c r="D23" s="57"/>
      <c r="E23" s="45"/>
      <c r="F23" s="39"/>
      <c r="G23" s="56" t="s">
        <v>27</v>
      </c>
      <c r="H23" s="56" t="s">
        <v>27</v>
      </c>
      <c r="I23" s="56" t="s">
        <v>27</v>
      </c>
      <c r="J23" s="56" t="s">
        <v>27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48"/>
      <c r="B24" s="48" t="s">
        <v>22</v>
      </c>
      <c r="C24" s="39" t="s">
        <v>32</v>
      </c>
      <c r="D24" s="8"/>
      <c r="E24" s="45"/>
      <c r="F24" s="39"/>
      <c r="G24" s="52">
        <v>25500000</v>
      </c>
      <c r="H24" s="46">
        <f>JANUARI!H24+JANUARI!I24</f>
        <v>108000</v>
      </c>
      <c r="I24" s="36">
        <v>333000</v>
      </c>
      <c r="J24" s="37">
        <f t="shared" ref="J24" si="0">G24-H24-I24</f>
        <v>25059000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16"/>
      <c r="B25" s="16"/>
      <c r="C25" s="17" t="s">
        <v>8</v>
      </c>
      <c r="D25" s="17"/>
      <c r="E25" s="17"/>
      <c r="F25" s="43"/>
      <c r="G25" s="42">
        <f>SUM(G23:G24)</f>
        <v>25500000</v>
      </c>
      <c r="H25" s="18">
        <f>SUM(H23:H24)</f>
        <v>108000</v>
      </c>
      <c r="I25" s="18">
        <f>SUM(I23:I24)</f>
        <v>333000</v>
      </c>
      <c r="J25" s="18">
        <f>SUM(J23:J24)</f>
        <v>25059000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19"/>
      <c r="B26" s="54"/>
      <c r="C26" s="6"/>
      <c r="D26" s="6"/>
      <c r="E26" s="6"/>
      <c r="F26" s="6"/>
      <c r="G26" s="20"/>
      <c r="H26" s="20"/>
      <c r="I26" s="20"/>
      <c r="J26" s="20"/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63" t="s">
        <v>14</v>
      </c>
      <c r="B27" s="63"/>
      <c r="C27" s="63"/>
      <c r="D27" s="33" t="s">
        <v>12</v>
      </c>
      <c r="E27" s="44">
        <f>I25</f>
        <v>333000</v>
      </c>
      <c r="F27" s="38"/>
      <c r="G27" s="21"/>
      <c r="H27" s="21"/>
      <c r="I27" s="10"/>
      <c r="J27" s="10"/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8" t="s">
        <v>9</v>
      </c>
      <c r="B28" s="8"/>
      <c r="C28" s="8"/>
      <c r="D28" s="33" t="s">
        <v>12</v>
      </c>
      <c r="E28" s="34"/>
      <c r="F28" s="34"/>
      <c r="G28" s="22"/>
      <c r="H28" s="9"/>
      <c r="I28" s="10"/>
      <c r="J28" s="1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8" t="s">
        <v>16</v>
      </c>
      <c r="B29" s="8"/>
      <c r="C29" s="8"/>
      <c r="D29" s="33" t="s">
        <v>12</v>
      </c>
      <c r="E29" s="35"/>
      <c r="F29" s="35"/>
      <c r="G29" s="22"/>
      <c r="H29" s="9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10</v>
      </c>
      <c r="B30" s="8"/>
      <c r="C30" s="8"/>
      <c r="D30" s="33" t="s">
        <v>12</v>
      </c>
      <c r="E30" s="35">
        <f>E28+E29</f>
        <v>0</v>
      </c>
      <c r="F30" s="35"/>
      <c r="G30" s="8"/>
      <c r="H30" s="9"/>
      <c r="I30" s="23"/>
      <c r="J30" s="24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47"/>
      <c r="B31" s="47"/>
      <c r="C31" s="47"/>
      <c r="D31" s="33"/>
      <c r="E31" s="47"/>
      <c r="F31" s="47"/>
      <c r="G31" s="8"/>
      <c r="H31" s="9"/>
      <c r="I31" s="23"/>
      <c r="J31" s="24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63" t="s">
        <v>15</v>
      </c>
      <c r="B32" s="63"/>
      <c r="C32" s="63"/>
      <c r="D32" s="33" t="s">
        <v>12</v>
      </c>
      <c r="E32" s="38">
        <f>E27-E30</f>
        <v>333000</v>
      </c>
      <c r="F32" s="38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ht="15.75" x14ac:dyDescent="0.25">
      <c r="A33" s="47"/>
      <c r="B33" s="47"/>
      <c r="C33" s="8"/>
      <c r="D33" s="8"/>
      <c r="E33" s="51" t="str">
        <f>PROPER(IF(E32=0,"nol",IF(E32&lt;0,"minus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32),"000000000000000"),1,3)=0,"",MID(TEXT(ABS(E32),"000000000000000"),1,1)&amp;" ratus "&amp;MID(TEXT(ABS(E32),"000000000000000"),2,1)&amp;" puluh "&amp;MID(TEXT(ABS(E32),"000000000000000"),3,1)&amp;" trilyun ")&amp;IF(--MID(TEXT(ABS(E32),"000000000000000"),4,3)=0,"",MID(TEXT(ABS(E32),"000000000000000"),4,1)&amp;" ratus "&amp;MID(TEXT(ABS(E32),"000000000000000"),5,1)&amp;" puluh "&amp;MID(TEXT(ABS(E32),"000000000000000"),6,1)&amp;" milyar ")&amp;IF(--MID(TEXT(ABS(E32),"000000000000000"),7,3)=0,"",MID(TEXT(ABS(E32),"000000000000000"),7,1)&amp;" ratus "&amp;MID(TEXT(ABS(E32),"000000000000000"),8,1)&amp;" puluh "&amp;MID(TEXT(ABS(E32),"000000000000000"),9,1)&amp;" juta ")&amp;IF(--MID(TEXT(ABS(E32),"000000000000000"),10,3)=0,"",IF(--MID(TEXT(ABS(E32),"000000000000000"),10,3)=1,"*",MID(TEXT(ABS(E32),"000000000000000"),10,1)&amp;" ratus "&amp;MID(TEXT(ABS(E32),"000000000000000"),11,1)&amp;" puluh ")&amp;MID(TEXT(ABS(E32),"000000000000000"),12,1)&amp;" ribu ")&amp;IF(--MID(TEXT(ABS(E32),"000000000000000"),13,3)=0,"",MID(TEXT(ABS(E32),"000000000000000"),13,1)&amp;" ratus "&amp;MID(TEXT(ABS(E32),"000000000000000"),14,1)&amp;" puluh "&amp;MID(TEXT(ABS(E32),"000000000000000"),15,1)),1,"satu"),2,"dua"),3,"tiga"),4,"empat"),5,"lima"),6,"enam"),7,"tujuh"),8,"delapan"),9,"sembilan"),"0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Tiga Puluh Tiga Ribu Rupiah</v>
      </c>
      <c r="F33" s="8"/>
      <c r="G33" s="8"/>
      <c r="H33" s="8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x14ac:dyDescent="0.25">
      <c r="A34" s="26"/>
      <c r="B34" s="26"/>
      <c r="C34" s="26"/>
      <c r="D34" s="26"/>
      <c r="E34" s="26"/>
      <c r="F34" s="26"/>
      <c r="G34" s="25"/>
      <c r="H34" s="24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25"/>
      <c r="B35" s="25"/>
      <c r="C35" s="25"/>
      <c r="D35" s="25"/>
      <c r="E35" s="25"/>
      <c r="F35" s="25"/>
      <c r="G35" s="25"/>
      <c r="H35"/>
      <c r="I35" s="24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47"/>
      <c r="B36" s="47"/>
      <c r="C36" s="8"/>
      <c r="D36" s="8"/>
      <c r="E36" s="8"/>
      <c r="F36" s="8"/>
      <c r="G36" s="8"/>
      <c r="I36" s="49" t="s">
        <v>38</v>
      </c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9" t="s">
        <v>25</v>
      </c>
      <c r="B37" s="9"/>
      <c r="C37" s="8"/>
      <c r="D37" s="8"/>
      <c r="E37" s="8"/>
      <c r="F37" s="8"/>
      <c r="G37" s="8"/>
      <c r="I37" s="9" t="s">
        <v>24</v>
      </c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8"/>
      <c r="B38" s="8"/>
      <c r="C38" s="8"/>
      <c r="D38" s="8"/>
      <c r="E38" s="8"/>
      <c r="F38" s="8"/>
      <c r="G38" s="8"/>
      <c r="I38" s="9"/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8"/>
      <c r="B39" s="8"/>
      <c r="C39" s="8"/>
      <c r="D39" s="8"/>
      <c r="E39" s="8"/>
      <c r="F39" s="8"/>
      <c r="G39" s="8"/>
      <c r="I39" s="9"/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28" t="s">
        <v>33</v>
      </c>
      <c r="B42" s="28"/>
      <c r="C42" s="27"/>
      <c r="D42" s="27"/>
      <c r="E42" s="27"/>
      <c r="F42" s="27"/>
      <c r="G42" s="8" t="s">
        <v>11</v>
      </c>
      <c r="I42" s="28" t="s">
        <v>26</v>
      </c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30"/>
      <c r="B43" s="30"/>
      <c r="C43" s="29"/>
      <c r="D43" s="29"/>
      <c r="E43" s="29"/>
      <c r="F43" s="29"/>
      <c r="G43" s="29"/>
      <c r="H43" s="30"/>
      <c r="I43" s="30"/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7" spans="1:22" ht="15.75" x14ac:dyDescent="0.25">
      <c r="C47" s="3"/>
      <c r="D47" s="3"/>
      <c r="E47" s="3"/>
      <c r="F47" s="3"/>
    </row>
    <row r="48" spans="1:22" ht="15.75" x14ac:dyDescent="0.25">
      <c r="A48" s="2"/>
      <c r="B48" s="2"/>
      <c r="C48" s="3"/>
      <c r="D48" s="3"/>
      <c r="E48" s="3"/>
      <c r="F48" s="3"/>
      <c r="G48" s="2"/>
      <c r="H48" s="4"/>
      <c r="I48" s="4"/>
      <c r="J48" s="5"/>
    </row>
    <row r="49" spans="1:10" x14ac:dyDescent="0.25">
      <c r="H49" s="5"/>
      <c r="I49" s="5"/>
      <c r="J49" s="5"/>
    </row>
    <row r="50" spans="1:10" x14ac:dyDescent="0.25">
      <c r="H50" s="5"/>
      <c r="I50" s="5"/>
      <c r="J50" s="5"/>
    </row>
    <row r="51" spans="1:10" x14ac:dyDescent="0.25">
      <c r="A51" s="65" t="s">
        <v>28</v>
      </c>
      <c r="B51" s="65"/>
      <c r="C51" s="66"/>
      <c r="D51" s="66"/>
      <c r="E51" s="66"/>
      <c r="F51" s="66"/>
      <c r="G51" s="66"/>
      <c r="H51" s="66"/>
      <c r="I51" s="66"/>
      <c r="J51" s="66"/>
    </row>
    <row r="52" spans="1:10" x14ac:dyDescent="0.25">
      <c r="A52" s="66" t="s">
        <v>40</v>
      </c>
      <c r="B52" s="66"/>
      <c r="C52" s="66"/>
      <c r="D52" s="66"/>
      <c r="E52" s="66"/>
      <c r="F52" s="66"/>
      <c r="G52" s="66"/>
      <c r="H52" s="66"/>
      <c r="I52" s="66"/>
      <c r="J52" s="66"/>
    </row>
    <row r="53" spans="1:10" x14ac:dyDescent="0.25">
      <c r="A53" s="66" t="s">
        <v>13</v>
      </c>
      <c r="B53" s="66"/>
      <c r="C53" s="66"/>
      <c r="D53" s="66"/>
      <c r="E53" s="66"/>
      <c r="F53" s="66"/>
      <c r="G53" s="66"/>
      <c r="H53" s="66"/>
      <c r="I53" s="66"/>
      <c r="J53" s="66"/>
    </row>
    <row r="54" spans="1:10" x14ac:dyDescent="0.25">
      <c r="A54" s="66" t="s">
        <v>35</v>
      </c>
      <c r="B54" s="66"/>
      <c r="C54" s="66"/>
      <c r="D54" s="66"/>
      <c r="E54" s="66"/>
      <c r="F54" s="66"/>
      <c r="G54" s="66"/>
      <c r="H54" s="66"/>
      <c r="I54" s="66"/>
      <c r="J54" s="66"/>
    </row>
    <row r="55" spans="1:10" x14ac:dyDescent="0.25">
      <c r="A55" s="66" t="s">
        <v>23</v>
      </c>
      <c r="B55" s="66"/>
      <c r="C55" s="66"/>
      <c r="D55" s="66"/>
      <c r="E55" s="66"/>
      <c r="F55" s="66"/>
      <c r="G55" s="66"/>
      <c r="H55" s="66"/>
      <c r="I55" s="66"/>
      <c r="J55" s="66"/>
    </row>
    <row r="56" spans="1:10" x14ac:dyDescent="0.25">
      <c r="A56" s="32"/>
      <c r="B56" s="32"/>
      <c r="C56" s="7"/>
      <c r="D56" s="7"/>
      <c r="E56" s="7"/>
      <c r="F56" s="7"/>
      <c r="G56" s="6"/>
      <c r="H56" s="10"/>
      <c r="I56" s="10"/>
      <c r="J56" s="10"/>
    </row>
    <row r="57" spans="1:10" x14ac:dyDescent="0.25">
      <c r="A57" s="53" t="s">
        <v>18</v>
      </c>
      <c r="B57" s="53"/>
      <c r="C57" s="53"/>
      <c r="D57" s="40" t="s">
        <v>12</v>
      </c>
      <c r="E57" s="8" t="s">
        <v>29</v>
      </c>
      <c r="H57" s="9"/>
      <c r="I57" s="9"/>
      <c r="J57" s="10"/>
    </row>
    <row r="58" spans="1:10" x14ac:dyDescent="0.25">
      <c r="A58" s="53" t="s">
        <v>19</v>
      </c>
      <c r="B58" s="53"/>
      <c r="C58" s="53"/>
      <c r="D58" s="40" t="s">
        <v>12</v>
      </c>
      <c r="E58" s="8" t="s">
        <v>30</v>
      </c>
      <c r="H58" s="9"/>
      <c r="I58" s="9"/>
      <c r="J58" s="10"/>
    </row>
    <row r="59" spans="1:10" x14ac:dyDescent="0.25">
      <c r="A59" s="53" t="s">
        <v>20</v>
      </c>
      <c r="B59" s="53"/>
      <c r="C59" s="53"/>
      <c r="D59" s="40" t="s">
        <v>12</v>
      </c>
      <c r="E59" s="47">
        <v>2026</v>
      </c>
      <c r="H59" s="9"/>
      <c r="I59" s="9"/>
      <c r="J59" s="10"/>
    </row>
    <row r="60" spans="1:10" x14ac:dyDescent="0.25">
      <c r="A60" s="53" t="s">
        <v>21</v>
      </c>
      <c r="B60" s="53"/>
      <c r="C60" s="53"/>
      <c r="D60" s="40" t="s">
        <v>12</v>
      </c>
      <c r="E60" s="44">
        <f>I68</f>
        <v>938000</v>
      </c>
      <c r="H60" s="9"/>
      <c r="I60" s="9"/>
      <c r="J60" s="10"/>
    </row>
    <row r="61" spans="1:10" ht="15.75" x14ac:dyDescent="0.25">
      <c r="A61" s="8"/>
      <c r="B61" s="8"/>
      <c r="C61" s="11" t="s">
        <v>0</v>
      </c>
      <c r="D61" s="40" t="s">
        <v>12</v>
      </c>
      <c r="E61" s="51" t="str">
        <f>PROPER(IF(E60=0,"nol",IF(E60&lt;0,"minus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60),"000000000000000"),1,3)=0,"",MID(TEXT(ABS(E60),"000000000000000"),1,1)&amp;" ratus "&amp;MID(TEXT(ABS(E60),"000000000000000"),2,1)&amp;" puluh "&amp;MID(TEXT(ABS(E60),"000000000000000"),3,1)&amp;" trilyun ")&amp;IF(--MID(TEXT(ABS(E60),"000000000000000"),4,3)=0,"",MID(TEXT(ABS(E60),"000000000000000"),4,1)&amp;" ratus "&amp;MID(TEXT(ABS(E60),"000000000000000"),5,1)&amp;" puluh "&amp;MID(TEXT(ABS(E60),"000000000000000"),6,1)&amp;" milyar ")&amp;IF(--MID(TEXT(ABS(E60),"000000000000000"),7,3)=0,"",MID(TEXT(ABS(E60),"000000000000000"),7,1)&amp;" ratus "&amp;MID(TEXT(ABS(E60),"000000000000000"),8,1)&amp;" puluh "&amp;MID(TEXT(ABS(E60),"000000000000000"),9,1)&amp;" juta ")&amp;IF(--MID(TEXT(ABS(E60),"000000000000000"),10,3)=0,"",IF(--MID(TEXT(ABS(E60),"000000000000000"),10,3)=1,"*",MID(TEXT(ABS(E60),"000000000000000"),10,1)&amp;" ratus "&amp;MID(TEXT(ABS(E60),"000000000000000"),11,1)&amp;" puluh ")&amp;MID(TEXT(ABS(E60),"000000000000000"),12,1)&amp;" ribu ")&amp;IF(--MID(TEXT(ABS(E60),"000000000000000"),13,3)=0,"",MID(TEXT(ABS(E60),"000000000000000"),13,1)&amp;" ratus "&amp;MID(TEXT(ABS(E60),"000000000000000"),14,1)&amp;" puluh "&amp;MID(TEXT(ABS(E60),"000000000000000"),15,1)),1,"satu"),2,"dua"),3,"tiga"),4,"empat"),5,"lima"),6,"enam"),7,"tujuh"),8,"delapan"),9,"sembilan"),"0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Tiga Puluh Delapan Ribu Rupiah</v>
      </c>
      <c r="H61" s="9"/>
      <c r="I61" s="9"/>
      <c r="J61" s="10"/>
    </row>
    <row r="62" spans="1:10" ht="15.75" x14ac:dyDescent="0.25">
      <c r="A62" s="8"/>
      <c r="B62" s="8"/>
      <c r="C62" s="11"/>
      <c r="D62" s="11"/>
      <c r="E62" s="11"/>
      <c r="F62" s="40"/>
      <c r="G62" s="51"/>
      <c r="H62" s="9"/>
      <c r="I62" s="9"/>
      <c r="J62" s="10"/>
    </row>
    <row r="63" spans="1:10" x14ac:dyDescent="0.25">
      <c r="A63" s="8" t="s">
        <v>1</v>
      </c>
      <c r="B63" s="8"/>
      <c r="C63" s="8"/>
      <c r="D63" s="8"/>
      <c r="E63" s="8"/>
      <c r="F63" s="8"/>
      <c r="G63" s="8"/>
      <c r="H63" s="9"/>
      <c r="I63" s="9"/>
      <c r="J63" s="10"/>
    </row>
    <row r="64" spans="1:10" x14ac:dyDescent="0.25">
      <c r="A64" s="64" t="s">
        <v>2</v>
      </c>
      <c r="B64" s="64"/>
      <c r="C64" s="64"/>
      <c r="D64" s="64"/>
      <c r="E64" s="64"/>
      <c r="F64" s="64"/>
      <c r="G64" s="64"/>
      <c r="H64" s="64"/>
      <c r="I64" s="64"/>
      <c r="J64" s="64"/>
    </row>
    <row r="65" spans="1:10" ht="45" x14ac:dyDescent="0.25">
      <c r="A65" s="12" t="s">
        <v>3</v>
      </c>
      <c r="B65" s="58" t="s">
        <v>34</v>
      </c>
      <c r="C65" s="60" t="s">
        <v>4</v>
      </c>
      <c r="D65" s="61"/>
      <c r="E65" s="62"/>
      <c r="F65" s="50"/>
      <c r="G65" s="41" t="s">
        <v>5</v>
      </c>
      <c r="H65" s="13" t="s">
        <v>17</v>
      </c>
      <c r="I65" s="14" t="s">
        <v>6</v>
      </c>
      <c r="J65" s="15" t="s">
        <v>7</v>
      </c>
    </row>
    <row r="66" spans="1:10" x14ac:dyDescent="0.25">
      <c r="A66" s="59">
        <v>1</v>
      </c>
      <c r="B66" s="48"/>
      <c r="C66" s="55" t="s">
        <v>31</v>
      </c>
      <c r="D66" s="57"/>
      <c r="E66" s="45"/>
      <c r="F66" s="39"/>
      <c r="G66" s="56" t="s">
        <v>27</v>
      </c>
      <c r="H66" s="56" t="s">
        <v>27</v>
      </c>
      <c r="I66" s="56" t="s">
        <v>27</v>
      </c>
      <c r="J66" s="56" t="s">
        <v>27</v>
      </c>
    </row>
    <row r="67" spans="1:10" x14ac:dyDescent="0.25">
      <c r="A67" s="48"/>
      <c r="B67" s="48" t="s">
        <v>22</v>
      </c>
      <c r="C67" s="39" t="s">
        <v>32</v>
      </c>
      <c r="D67" s="8"/>
      <c r="E67" s="45"/>
      <c r="F67" s="39"/>
      <c r="G67" s="52">
        <v>25500000</v>
      </c>
      <c r="H67" s="46">
        <f>H24+I24</f>
        <v>441000</v>
      </c>
      <c r="I67" s="36">
        <v>938000</v>
      </c>
      <c r="J67" s="37">
        <f t="shared" ref="J67" si="1">G67-H67-I67</f>
        <v>24121000</v>
      </c>
    </row>
    <row r="68" spans="1:10" x14ac:dyDescent="0.25">
      <c r="A68" s="16"/>
      <c r="B68" s="16"/>
      <c r="C68" s="17" t="s">
        <v>8</v>
      </c>
      <c r="D68" s="17"/>
      <c r="E68" s="17"/>
      <c r="F68" s="43"/>
      <c r="G68" s="42">
        <f>SUM(G66:G67)</f>
        <v>25500000</v>
      </c>
      <c r="H68" s="18">
        <f>SUM(H66:H67)</f>
        <v>441000</v>
      </c>
      <c r="I68" s="18">
        <f>SUM(I66:I67)</f>
        <v>938000</v>
      </c>
      <c r="J68" s="18">
        <f>SUM(J66:J67)</f>
        <v>24121000</v>
      </c>
    </row>
    <row r="69" spans="1:10" x14ac:dyDescent="0.25">
      <c r="A69" s="19"/>
      <c r="B69" s="54"/>
      <c r="C69" s="6"/>
      <c r="D69" s="6"/>
      <c r="E69" s="6"/>
      <c r="F69" s="6"/>
      <c r="G69" s="20"/>
      <c r="H69" s="20"/>
      <c r="I69" s="20"/>
      <c r="J69" s="20"/>
    </row>
    <row r="70" spans="1:10" x14ac:dyDescent="0.25">
      <c r="A70" s="63" t="s">
        <v>14</v>
      </c>
      <c r="B70" s="63"/>
      <c r="C70" s="63"/>
      <c r="D70" s="33" t="s">
        <v>12</v>
      </c>
      <c r="E70" s="44">
        <f>I68</f>
        <v>938000</v>
      </c>
      <c r="F70" s="38"/>
      <c r="G70" s="21"/>
      <c r="H70" s="21"/>
      <c r="I70" s="10"/>
      <c r="J70" s="10"/>
    </row>
    <row r="71" spans="1:10" x14ac:dyDescent="0.25">
      <c r="A71" s="8" t="s">
        <v>9</v>
      </c>
      <c r="B71" s="8"/>
      <c r="C71" s="8"/>
      <c r="D71" s="33" t="s">
        <v>12</v>
      </c>
      <c r="E71" s="34"/>
      <c r="F71" s="34"/>
      <c r="G71" s="22"/>
      <c r="H71" s="9"/>
      <c r="I71" s="10"/>
      <c r="J71" s="10"/>
    </row>
    <row r="72" spans="1:10" x14ac:dyDescent="0.25">
      <c r="A72" s="8" t="s">
        <v>16</v>
      </c>
      <c r="B72" s="8"/>
      <c r="C72" s="8"/>
      <c r="D72" s="33" t="s">
        <v>12</v>
      </c>
      <c r="E72" s="35"/>
      <c r="F72" s="35"/>
      <c r="G72" s="22"/>
      <c r="H72" s="9"/>
      <c r="I72" s="10"/>
      <c r="J72" s="10"/>
    </row>
    <row r="73" spans="1:10" x14ac:dyDescent="0.25">
      <c r="A73" s="8" t="s">
        <v>10</v>
      </c>
      <c r="B73" s="8"/>
      <c r="C73" s="8"/>
      <c r="D73" s="33" t="s">
        <v>12</v>
      </c>
      <c r="E73" s="35">
        <f>E71+E72</f>
        <v>0</v>
      </c>
      <c r="F73" s="35"/>
      <c r="G73" s="8"/>
      <c r="H73" s="9"/>
      <c r="I73" s="23"/>
      <c r="J73" s="24"/>
    </row>
    <row r="74" spans="1:10" x14ac:dyDescent="0.25">
      <c r="A74" s="47"/>
      <c r="B74" s="47"/>
      <c r="C74" s="47"/>
      <c r="D74" s="33"/>
      <c r="E74" s="47"/>
      <c r="F74" s="47"/>
      <c r="G74" s="8"/>
      <c r="H74" s="9"/>
      <c r="I74" s="23"/>
      <c r="J74" s="24"/>
    </row>
    <row r="75" spans="1:10" x14ac:dyDescent="0.25">
      <c r="A75" s="63" t="s">
        <v>15</v>
      </c>
      <c r="B75" s="63"/>
      <c r="C75" s="63"/>
      <c r="D75" s="33" t="s">
        <v>12</v>
      </c>
      <c r="E75" s="38">
        <f>E70-E73</f>
        <v>938000</v>
      </c>
      <c r="F75" s="38"/>
      <c r="G75" s="8"/>
      <c r="H75" s="9"/>
      <c r="I75" s="23"/>
      <c r="J75" s="24"/>
    </row>
    <row r="76" spans="1:10" ht="15.75" x14ac:dyDescent="0.25">
      <c r="A76" s="47"/>
      <c r="B76" s="47"/>
      <c r="C76" s="8"/>
      <c r="D76" s="8"/>
      <c r="E76" s="51" t="str">
        <f>PROPER(IF(E75=0,"nol",IF(E75&lt;0,"minus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75),"000000000000000"),1,3)=0,"",MID(TEXT(ABS(E75),"000000000000000"),1,1)&amp;" ratus "&amp;MID(TEXT(ABS(E75),"000000000000000"),2,1)&amp;" puluh "&amp;MID(TEXT(ABS(E75),"000000000000000"),3,1)&amp;" trilyun ")&amp;IF(--MID(TEXT(ABS(E75),"000000000000000"),4,3)=0,"",MID(TEXT(ABS(E75),"000000000000000"),4,1)&amp;" ratus "&amp;MID(TEXT(ABS(E75),"000000000000000"),5,1)&amp;" puluh "&amp;MID(TEXT(ABS(E75),"000000000000000"),6,1)&amp;" milyar ")&amp;IF(--MID(TEXT(ABS(E75),"000000000000000"),7,3)=0,"",MID(TEXT(ABS(E75),"000000000000000"),7,1)&amp;" ratus "&amp;MID(TEXT(ABS(E75),"000000000000000"),8,1)&amp;" puluh "&amp;MID(TEXT(ABS(E75),"000000000000000"),9,1)&amp;" juta ")&amp;IF(--MID(TEXT(ABS(E75),"000000000000000"),10,3)=0,"",IF(--MID(TEXT(ABS(E75),"000000000000000"),10,3)=1,"*",MID(TEXT(ABS(E75),"000000000000000"),10,1)&amp;" ratus "&amp;MID(TEXT(ABS(E75),"000000000000000"),11,1)&amp;" puluh ")&amp;MID(TEXT(ABS(E75),"000000000000000"),12,1)&amp;" ribu ")&amp;IF(--MID(TEXT(ABS(E75),"000000000000000"),13,3)=0,"",MID(TEXT(ABS(E75),"000000000000000"),13,1)&amp;" ratus "&amp;MID(TEXT(ABS(E75),"000000000000000"),14,1)&amp;" puluh "&amp;MID(TEXT(ABS(E75),"000000000000000"),15,1)),1,"satu"),2,"dua"),3,"tiga"),4,"empat"),5,"lima"),6,"enam"),7,"tujuh"),8,"delapan"),9,"sembilan"),"0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Tiga Puluh Delapan Ribu Rupiah</v>
      </c>
      <c r="F76" s="8"/>
      <c r="G76" s="8"/>
      <c r="H76" s="8"/>
      <c r="I76" s="23"/>
      <c r="J76" s="24"/>
    </row>
    <row r="77" spans="1:10" x14ac:dyDescent="0.25">
      <c r="A77" s="26"/>
      <c r="B77" s="26"/>
      <c r="C77" s="26"/>
      <c r="D77" s="26"/>
      <c r="E77" s="26"/>
      <c r="F77" s="26"/>
      <c r="G77" s="25"/>
      <c r="H77" s="24"/>
      <c r="I77" s="23"/>
      <c r="J77" s="24"/>
    </row>
    <row r="78" spans="1:10" x14ac:dyDescent="0.25">
      <c r="A78" s="25"/>
      <c r="B78" s="25"/>
      <c r="C78" s="25"/>
      <c r="D78" s="25"/>
      <c r="E78" s="25"/>
      <c r="F78" s="25"/>
      <c r="G78" s="25"/>
      <c r="H78"/>
      <c r="I78" s="24"/>
      <c r="J78" s="24"/>
    </row>
    <row r="79" spans="1:10" x14ac:dyDescent="0.25">
      <c r="A79" s="47"/>
      <c r="B79" s="47"/>
      <c r="C79" s="8"/>
      <c r="D79" s="8"/>
      <c r="E79" s="8"/>
      <c r="F79" s="8"/>
      <c r="G79" s="8"/>
      <c r="I79" s="49" t="s">
        <v>41</v>
      </c>
      <c r="J79" s="24"/>
    </row>
    <row r="80" spans="1:10" x14ac:dyDescent="0.25">
      <c r="A80" s="9" t="s">
        <v>25</v>
      </c>
      <c r="B80" s="9"/>
      <c r="C80" s="8"/>
      <c r="D80" s="8"/>
      <c r="E80" s="8"/>
      <c r="F80" s="8"/>
      <c r="G80" s="8"/>
      <c r="I80" s="9" t="s">
        <v>24</v>
      </c>
      <c r="J80" s="24"/>
    </row>
    <row r="81" spans="1:10" x14ac:dyDescent="0.25">
      <c r="A81" s="8"/>
      <c r="B81" s="8"/>
      <c r="C81" s="8"/>
      <c r="D81" s="8"/>
      <c r="E81" s="8"/>
      <c r="F81" s="8"/>
      <c r="G81" s="8"/>
      <c r="I81" s="9"/>
      <c r="J81" s="24"/>
    </row>
    <row r="82" spans="1:10" x14ac:dyDescent="0.25">
      <c r="A82" s="8"/>
      <c r="B82" s="8"/>
      <c r="C82" s="8"/>
      <c r="D82" s="8"/>
      <c r="E82" s="8"/>
      <c r="F82" s="8"/>
      <c r="G82" s="8"/>
      <c r="I82" s="9"/>
      <c r="J82" s="24"/>
    </row>
    <row r="83" spans="1:10" x14ac:dyDescent="0.25">
      <c r="A83" s="8"/>
      <c r="B83" s="8"/>
      <c r="C83" s="8"/>
      <c r="D83" s="8"/>
      <c r="E83" s="8"/>
      <c r="F83" s="8"/>
      <c r="G83" s="8"/>
      <c r="I83" s="9"/>
      <c r="J83" s="24"/>
    </row>
    <row r="84" spans="1:10" x14ac:dyDescent="0.25">
      <c r="A84" s="8"/>
      <c r="B84" s="8"/>
      <c r="C84" s="8"/>
      <c r="D84" s="8"/>
      <c r="E84" s="8"/>
      <c r="F84" s="8"/>
      <c r="G84" s="8"/>
      <c r="I84" s="9"/>
      <c r="J84" s="24"/>
    </row>
    <row r="85" spans="1:10" x14ac:dyDescent="0.25">
      <c r="A85" s="28" t="s">
        <v>33</v>
      </c>
      <c r="B85" s="28"/>
      <c r="C85" s="27"/>
      <c r="D85" s="27"/>
      <c r="E85" s="27"/>
      <c r="F85" s="27"/>
      <c r="G85" s="8" t="s">
        <v>11</v>
      </c>
      <c r="I85" s="28" t="s">
        <v>26</v>
      </c>
      <c r="J85" s="24"/>
    </row>
  </sheetData>
  <mergeCells count="18">
    <mergeCell ref="C22:E22"/>
    <mergeCell ref="A27:C27"/>
    <mergeCell ref="A32:C32"/>
    <mergeCell ref="A8:J8"/>
    <mergeCell ref="A9:J9"/>
    <mergeCell ref="A10:J10"/>
    <mergeCell ref="A11:J11"/>
    <mergeCell ref="A12:J12"/>
    <mergeCell ref="A21:J21"/>
    <mergeCell ref="A64:J64"/>
    <mergeCell ref="C65:E65"/>
    <mergeCell ref="A70:C70"/>
    <mergeCell ref="A75:C75"/>
    <mergeCell ref="A51:J51"/>
    <mergeCell ref="A52:J52"/>
    <mergeCell ref="A53:J53"/>
    <mergeCell ref="A54:J54"/>
    <mergeCell ref="A55:J55"/>
  </mergeCells>
  <pageMargins left="0.23622047244094491" right="0.23622047244094491" top="0.15748031496062992" bottom="0.74803149606299213" header="0.31496062992125984" footer="0.31496062992125984"/>
  <pageSetup paperSize="9" scale="83" orientation="portrait" horizontalDpi="4294967293" r:id="rId1"/>
  <rowBreaks count="2" manualBreakCount="2">
    <brk id="43" max="9" man="1"/>
    <brk id="86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70F6-0D4D-448A-AF90-AFEAB4429D66}">
  <dimension ref="A1:V85"/>
  <sheetViews>
    <sheetView tabSelected="1" view="pageBreakPreview" topLeftCell="A46" zoomScaleNormal="100" zoomScaleSheetLayoutView="100" workbookViewId="0">
      <selection activeCell="J42" sqref="A1:J42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26.14062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5" t="s">
        <v>28</v>
      </c>
      <c r="B8" s="65"/>
      <c r="C8" s="66"/>
      <c r="D8" s="66"/>
      <c r="E8" s="66"/>
      <c r="F8" s="66"/>
      <c r="G8" s="66"/>
      <c r="H8" s="66"/>
      <c r="I8" s="66"/>
      <c r="J8" s="66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6" t="s">
        <v>42</v>
      </c>
      <c r="B9" s="66"/>
      <c r="C9" s="66"/>
      <c r="D9" s="66"/>
      <c r="E9" s="66"/>
      <c r="F9" s="66"/>
      <c r="G9" s="66"/>
      <c r="H9" s="66"/>
      <c r="I9" s="66"/>
      <c r="J9" s="66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6" t="s">
        <v>13</v>
      </c>
      <c r="B10" s="66"/>
      <c r="C10" s="66"/>
      <c r="D10" s="66"/>
      <c r="E10" s="66"/>
      <c r="F10" s="66"/>
      <c r="G10" s="66"/>
      <c r="H10" s="66"/>
      <c r="I10" s="66"/>
      <c r="J10" s="66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6" t="s">
        <v>35</v>
      </c>
      <c r="B11" s="66"/>
      <c r="C11" s="66"/>
      <c r="D11" s="66"/>
      <c r="E11" s="66"/>
      <c r="F11" s="66"/>
      <c r="G11" s="66"/>
      <c r="H11" s="66"/>
      <c r="I11" s="66"/>
      <c r="J11" s="66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6" t="s">
        <v>23</v>
      </c>
      <c r="B12" s="66"/>
      <c r="C12" s="66"/>
      <c r="D12" s="66"/>
      <c r="E12" s="66"/>
      <c r="F12" s="66"/>
      <c r="G12" s="66"/>
      <c r="H12" s="66"/>
      <c r="I12" s="66"/>
      <c r="J12" s="66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3" t="s">
        <v>18</v>
      </c>
      <c r="B14" s="53"/>
      <c r="C14" s="53"/>
      <c r="D14" s="40" t="s">
        <v>12</v>
      </c>
      <c r="E14" s="8" t="s">
        <v>29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3" t="s">
        <v>19</v>
      </c>
      <c r="B15" s="53"/>
      <c r="C15" s="53"/>
      <c r="D15" s="40" t="s">
        <v>12</v>
      </c>
      <c r="E15" s="8" t="s">
        <v>30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3" t="s">
        <v>20</v>
      </c>
      <c r="B16" s="53"/>
      <c r="C16" s="53"/>
      <c r="D16" s="40" t="s">
        <v>12</v>
      </c>
      <c r="E16" s="47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3" t="s">
        <v>21</v>
      </c>
      <c r="B17" s="53"/>
      <c r="C17" s="53"/>
      <c r="D17" s="40" t="s">
        <v>12</v>
      </c>
      <c r="E17" s="44">
        <f>I25</f>
        <v>324000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40" t="s">
        <v>12</v>
      </c>
      <c r="E18" s="51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Dua Puluh Empat Ribu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1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4" t="s">
        <v>2</v>
      </c>
      <c r="B21" s="64"/>
      <c r="C21" s="64"/>
      <c r="D21" s="64"/>
      <c r="E21" s="64"/>
      <c r="F21" s="64"/>
      <c r="G21" s="64"/>
      <c r="H21" s="64"/>
      <c r="I21" s="64"/>
      <c r="J21" s="64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8" t="s">
        <v>34</v>
      </c>
      <c r="C22" s="60" t="s">
        <v>4</v>
      </c>
      <c r="D22" s="61"/>
      <c r="E22" s="62"/>
      <c r="F22" s="50"/>
      <c r="G22" s="41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59">
        <v>1</v>
      </c>
      <c r="B23" s="48"/>
      <c r="C23" s="55" t="s">
        <v>31</v>
      </c>
      <c r="D23" s="57"/>
      <c r="E23" s="45"/>
      <c r="F23" s="39"/>
      <c r="G23" s="56" t="s">
        <v>27</v>
      </c>
      <c r="H23" s="56" t="s">
        <v>27</v>
      </c>
      <c r="I23" s="56" t="s">
        <v>27</v>
      </c>
      <c r="J23" s="56" t="s">
        <v>27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48"/>
      <c r="B24" s="48" t="s">
        <v>22</v>
      </c>
      <c r="C24" s="39" t="s">
        <v>32</v>
      </c>
      <c r="D24" s="8"/>
      <c r="E24" s="45"/>
      <c r="F24" s="39"/>
      <c r="G24" s="52">
        <v>25500000</v>
      </c>
      <c r="H24" s="46">
        <f>FEBRUARI!H67+FEBRUARI!I67</f>
        <v>1379000</v>
      </c>
      <c r="I24" s="36">
        <v>324000</v>
      </c>
      <c r="J24" s="37">
        <f t="shared" ref="J24" si="0">G24-H24-I24</f>
        <v>23797000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16"/>
      <c r="B25" s="16"/>
      <c r="C25" s="17" t="s">
        <v>8</v>
      </c>
      <c r="D25" s="17"/>
      <c r="E25" s="17"/>
      <c r="F25" s="43"/>
      <c r="G25" s="42">
        <f>SUM(G23:G24)</f>
        <v>25500000</v>
      </c>
      <c r="H25" s="18">
        <f>SUM(H23:H24)</f>
        <v>1379000</v>
      </c>
      <c r="I25" s="18">
        <f>SUM(I23:I24)</f>
        <v>324000</v>
      </c>
      <c r="J25" s="18">
        <f>SUM(J23:J24)</f>
        <v>23797000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19"/>
      <c r="B26" s="54"/>
      <c r="C26" s="6"/>
      <c r="D26" s="6"/>
      <c r="E26" s="6"/>
      <c r="F26" s="6"/>
      <c r="G26" s="20"/>
      <c r="H26" s="20"/>
      <c r="I26" s="20"/>
      <c r="J26" s="20"/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63" t="s">
        <v>14</v>
      </c>
      <c r="B27" s="63"/>
      <c r="C27" s="63"/>
      <c r="D27" s="33" t="s">
        <v>12</v>
      </c>
      <c r="E27" s="44">
        <f>I25</f>
        <v>324000</v>
      </c>
      <c r="F27" s="38"/>
      <c r="G27" s="21"/>
      <c r="H27" s="21"/>
      <c r="I27" s="10"/>
      <c r="J27" s="10"/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8" t="s">
        <v>9</v>
      </c>
      <c r="B28" s="8"/>
      <c r="C28" s="8"/>
      <c r="D28" s="33" t="s">
        <v>12</v>
      </c>
      <c r="E28" s="34"/>
      <c r="F28" s="34"/>
      <c r="G28" s="22"/>
      <c r="H28" s="9"/>
      <c r="I28" s="10"/>
      <c r="J28" s="1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8" t="s">
        <v>16</v>
      </c>
      <c r="B29" s="8"/>
      <c r="C29" s="8"/>
      <c r="D29" s="33" t="s">
        <v>12</v>
      </c>
      <c r="E29" s="35"/>
      <c r="F29" s="35"/>
      <c r="G29" s="22"/>
      <c r="H29" s="9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10</v>
      </c>
      <c r="B30" s="8"/>
      <c r="C30" s="8"/>
      <c r="D30" s="33" t="s">
        <v>12</v>
      </c>
      <c r="E30" s="35">
        <f>E28+E29</f>
        <v>0</v>
      </c>
      <c r="F30" s="35"/>
      <c r="G30" s="8"/>
      <c r="H30" s="9"/>
      <c r="I30" s="23"/>
      <c r="J30" s="24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47"/>
      <c r="B31" s="47"/>
      <c r="C31" s="47"/>
      <c r="D31" s="33"/>
      <c r="E31" s="47"/>
      <c r="F31" s="47"/>
      <c r="G31" s="8"/>
      <c r="H31" s="9"/>
      <c r="I31" s="23"/>
      <c r="J31" s="24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63" t="s">
        <v>15</v>
      </c>
      <c r="B32" s="63"/>
      <c r="C32" s="63"/>
      <c r="D32" s="33" t="s">
        <v>12</v>
      </c>
      <c r="E32" s="38">
        <f>E27-E30</f>
        <v>324000</v>
      </c>
      <c r="F32" s="38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ht="15.75" x14ac:dyDescent="0.25">
      <c r="A33" s="47"/>
      <c r="B33" s="47"/>
      <c r="C33" s="8"/>
      <c r="D33" s="8"/>
      <c r="E33" s="51" t="str">
        <f>PROPER(IF(E32=0,"nol",IF(E32&lt;0,"minus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32),"000000000000000"),1,3)=0,"",MID(TEXT(ABS(E32),"000000000000000"),1,1)&amp;" ratus "&amp;MID(TEXT(ABS(E32),"000000000000000"),2,1)&amp;" puluh "&amp;MID(TEXT(ABS(E32),"000000000000000"),3,1)&amp;" trilyun ")&amp;IF(--MID(TEXT(ABS(E32),"000000000000000"),4,3)=0,"",MID(TEXT(ABS(E32),"000000000000000"),4,1)&amp;" ratus "&amp;MID(TEXT(ABS(E32),"000000000000000"),5,1)&amp;" puluh "&amp;MID(TEXT(ABS(E32),"000000000000000"),6,1)&amp;" milyar ")&amp;IF(--MID(TEXT(ABS(E32),"000000000000000"),7,3)=0,"",MID(TEXT(ABS(E32),"000000000000000"),7,1)&amp;" ratus "&amp;MID(TEXT(ABS(E32),"000000000000000"),8,1)&amp;" puluh "&amp;MID(TEXT(ABS(E32),"000000000000000"),9,1)&amp;" juta ")&amp;IF(--MID(TEXT(ABS(E32),"000000000000000"),10,3)=0,"",IF(--MID(TEXT(ABS(E32),"000000000000000"),10,3)=1,"*",MID(TEXT(ABS(E32),"000000000000000"),10,1)&amp;" ratus "&amp;MID(TEXT(ABS(E32),"000000000000000"),11,1)&amp;" puluh ")&amp;MID(TEXT(ABS(E32),"000000000000000"),12,1)&amp;" ribu ")&amp;IF(--MID(TEXT(ABS(E32),"000000000000000"),13,3)=0,"",MID(TEXT(ABS(E32),"000000000000000"),13,1)&amp;" ratus "&amp;MID(TEXT(ABS(E32),"000000000000000"),14,1)&amp;" puluh "&amp;MID(TEXT(ABS(E32),"000000000000000"),15,1)),1,"satu"),2,"dua"),3,"tiga"),4,"empat"),5,"lima"),6,"enam"),7,"tujuh"),8,"delapan"),9,"sembilan"),"0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Dua Puluh Empat Ribu Rupiah</v>
      </c>
      <c r="F33" s="8"/>
      <c r="G33" s="8"/>
      <c r="H33" s="8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x14ac:dyDescent="0.25">
      <c r="A34" s="26"/>
      <c r="B34" s="26"/>
      <c r="C34" s="26"/>
      <c r="D34" s="26"/>
      <c r="E34" s="26"/>
      <c r="F34" s="26"/>
      <c r="G34" s="25"/>
      <c r="H34" s="24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25"/>
      <c r="B35" s="25"/>
      <c r="C35" s="25"/>
      <c r="D35" s="25"/>
      <c r="E35" s="25"/>
      <c r="F35" s="25"/>
      <c r="G35" s="25"/>
      <c r="H35"/>
      <c r="I35" s="24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47"/>
      <c r="B36" s="47"/>
      <c r="C36" s="8"/>
      <c r="D36" s="8"/>
      <c r="E36" s="8"/>
      <c r="F36" s="8"/>
      <c r="G36" s="8"/>
      <c r="I36" s="49" t="s">
        <v>43</v>
      </c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9" t="s">
        <v>25</v>
      </c>
      <c r="B37" s="9"/>
      <c r="C37" s="8"/>
      <c r="D37" s="8"/>
      <c r="E37" s="8"/>
      <c r="F37" s="8"/>
      <c r="G37" s="8"/>
      <c r="I37" s="9" t="s">
        <v>24</v>
      </c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8"/>
      <c r="B38" s="8"/>
      <c r="C38" s="8"/>
      <c r="D38" s="8"/>
      <c r="E38" s="8"/>
      <c r="F38" s="8"/>
      <c r="G38" s="8"/>
      <c r="I38" s="9"/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8"/>
      <c r="B39" s="8"/>
      <c r="C39" s="8"/>
      <c r="D39" s="8"/>
      <c r="E39" s="8"/>
      <c r="F39" s="8"/>
      <c r="G39" s="8"/>
      <c r="I39" s="9"/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28" t="s">
        <v>33</v>
      </c>
      <c r="B42" s="28"/>
      <c r="C42" s="27"/>
      <c r="D42" s="27"/>
      <c r="E42" s="27"/>
      <c r="F42" s="27"/>
      <c r="G42" s="8" t="s">
        <v>11</v>
      </c>
      <c r="I42" s="28" t="s">
        <v>26</v>
      </c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30"/>
      <c r="B43" s="30"/>
      <c r="C43" s="29"/>
      <c r="D43" s="29"/>
      <c r="E43" s="29"/>
      <c r="F43" s="29"/>
      <c r="G43" s="29"/>
      <c r="H43" s="30"/>
      <c r="I43" s="30"/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7" spans="1:22" ht="15.75" x14ac:dyDescent="0.25">
      <c r="C47" s="3"/>
      <c r="D47" s="3"/>
      <c r="E47" s="3"/>
      <c r="F47" s="3"/>
    </row>
    <row r="48" spans="1:22" ht="15.75" x14ac:dyDescent="0.25">
      <c r="A48" s="2"/>
      <c r="B48" s="2"/>
      <c r="C48" s="3"/>
      <c r="D48" s="3"/>
      <c r="E48" s="3"/>
      <c r="F48" s="3"/>
      <c r="G48" s="2"/>
      <c r="H48" s="4"/>
      <c r="I48" s="4"/>
      <c r="J48" s="5"/>
    </row>
    <row r="49" spans="1:10" x14ac:dyDescent="0.25">
      <c r="H49" s="5"/>
      <c r="I49" s="5"/>
      <c r="J49" s="5"/>
    </row>
    <row r="50" spans="1:10" x14ac:dyDescent="0.25">
      <c r="H50" s="5"/>
      <c r="I50" s="5"/>
      <c r="J50" s="5"/>
    </row>
    <row r="51" spans="1:10" x14ac:dyDescent="0.25">
      <c r="A51" s="65" t="s">
        <v>28</v>
      </c>
      <c r="B51" s="65"/>
      <c r="C51" s="66"/>
      <c r="D51" s="66"/>
      <c r="E51" s="66"/>
      <c r="F51" s="66"/>
      <c r="G51" s="66"/>
      <c r="H51" s="66"/>
      <c r="I51" s="66"/>
      <c r="J51" s="66"/>
    </row>
    <row r="52" spans="1:10" x14ac:dyDescent="0.25">
      <c r="A52" s="66" t="s">
        <v>40</v>
      </c>
      <c r="B52" s="66"/>
      <c r="C52" s="66"/>
      <c r="D52" s="66"/>
      <c r="E52" s="66"/>
      <c r="F52" s="66"/>
      <c r="G52" s="66"/>
      <c r="H52" s="66"/>
      <c r="I52" s="66"/>
      <c r="J52" s="66"/>
    </row>
    <row r="53" spans="1:10" x14ac:dyDescent="0.25">
      <c r="A53" s="66" t="s">
        <v>13</v>
      </c>
      <c r="B53" s="66"/>
      <c r="C53" s="66"/>
      <c r="D53" s="66"/>
      <c r="E53" s="66"/>
      <c r="F53" s="66"/>
      <c r="G53" s="66"/>
      <c r="H53" s="66"/>
      <c r="I53" s="66"/>
      <c r="J53" s="66"/>
    </row>
    <row r="54" spans="1:10" x14ac:dyDescent="0.25">
      <c r="A54" s="66" t="s">
        <v>35</v>
      </c>
      <c r="B54" s="66"/>
      <c r="C54" s="66"/>
      <c r="D54" s="66"/>
      <c r="E54" s="66"/>
      <c r="F54" s="66"/>
      <c r="G54" s="66"/>
      <c r="H54" s="66"/>
      <c r="I54" s="66"/>
      <c r="J54" s="66"/>
    </row>
    <row r="55" spans="1:10" x14ac:dyDescent="0.25">
      <c r="A55" s="66" t="s">
        <v>23</v>
      </c>
      <c r="B55" s="66"/>
      <c r="C55" s="66"/>
      <c r="D55" s="66"/>
      <c r="E55" s="66"/>
      <c r="F55" s="66"/>
      <c r="G55" s="66"/>
      <c r="H55" s="66"/>
      <c r="I55" s="66"/>
      <c r="J55" s="66"/>
    </row>
    <row r="56" spans="1:10" x14ac:dyDescent="0.25">
      <c r="A56" s="32"/>
      <c r="B56" s="32"/>
      <c r="C56" s="7"/>
      <c r="D56" s="7"/>
      <c r="E56" s="7"/>
      <c r="F56" s="7"/>
      <c r="G56" s="6"/>
      <c r="H56" s="10"/>
      <c r="I56" s="10"/>
      <c r="J56" s="10"/>
    </row>
    <row r="57" spans="1:10" x14ac:dyDescent="0.25">
      <c r="A57" s="53" t="s">
        <v>18</v>
      </c>
      <c r="B57" s="53"/>
      <c r="C57" s="53"/>
      <c r="D57" s="40" t="s">
        <v>12</v>
      </c>
      <c r="E57" s="8" t="s">
        <v>29</v>
      </c>
      <c r="H57" s="9"/>
      <c r="I57" s="9"/>
      <c r="J57" s="10"/>
    </row>
    <row r="58" spans="1:10" x14ac:dyDescent="0.25">
      <c r="A58" s="53" t="s">
        <v>19</v>
      </c>
      <c r="B58" s="53"/>
      <c r="C58" s="53"/>
      <c r="D58" s="40" t="s">
        <v>12</v>
      </c>
      <c r="E58" s="8" t="s">
        <v>30</v>
      </c>
      <c r="H58" s="9"/>
      <c r="I58" s="9"/>
      <c r="J58" s="10"/>
    </row>
    <row r="59" spans="1:10" x14ac:dyDescent="0.25">
      <c r="A59" s="53" t="s">
        <v>20</v>
      </c>
      <c r="B59" s="53"/>
      <c r="C59" s="53"/>
      <c r="D59" s="40" t="s">
        <v>12</v>
      </c>
      <c r="E59" s="47">
        <v>2026</v>
      </c>
      <c r="H59" s="9"/>
      <c r="I59" s="9"/>
      <c r="J59" s="10"/>
    </row>
    <row r="60" spans="1:10" x14ac:dyDescent="0.25">
      <c r="A60" s="53" t="s">
        <v>21</v>
      </c>
      <c r="B60" s="53"/>
      <c r="C60" s="53"/>
      <c r="D60" s="40" t="s">
        <v>12</v>
      </c>
      <c r="E60" s="44">
        <f>I68</f>
        <v>938000</v>
      </c>
      <c r="H60" s="9"/>
      <c r="I60" s="9"/>
      <c r="J60" s="10"/>
    </row>
    <row r="61" spans="1:10" ht="15.75" x14ac:dyDescent="0.25">
      <c r="A61" s="8"/>
      <c r="B61" s="8"/>
      <c r="C61" s="11" t="s">
        <v>0</v>
      </c>
      <c r="D61" s="40" t="s">
        <v>12</v>
      </c>
      <c r="E61" s="51" t="str">
        <f>PROPER(IF(E60=0,"nol",IF(E60&lt;0,"minus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60),"000000000000000"),1,3)=0,"",MID(TEXT(ABS(E60),"000000000000000"),1,1)&amp;" ratus "&amp;MID(TEXT(ABS(E60),"000000000000000"),2,1)&amp;" puluh "&amp;MID(TEXT(ABS(E60),"000000000000000"),3,1)&amp;" trilyun ")&amp;IF(--MID(TEXT(ABS(E60),"000000000000000"),4,3)=0,"",MID(TEXT(ABS(E60),"000000000000000"),4,1)&amp;" ratus "&amp;MID(TEXT(ABS(E60),"000000000000000"),5,1)&amp;" puluh "&amp;MID(TEXT(ABS(E60),"000000000000000"),6,1)&amp;" milyar ")&amp;IF(--MID(TEXT(ABS(E60),"000000000000000"),7,3)=0,"",MID(TEXT(ABS(E60),"000000000000000"),7,1)&amp;" ratus "&amp;MID(TEXT(ABS(E60),"000000000000000"),8,1)&amp;" puluh "&amp;MID(TEXT(ABS(E60),"000000000000000"),9,1)&amp;" juta ")&amp;IF(--MID(TEXT(ABS(E60),"000000000000000"),10,3)=0,"",IF(--MID(TEXT(ABS(E60),"000000000000000"),10,3)=1,"*",MID(TEXT(ABS(E60),"000000000000000"),10,1)&amp;" ratus "&amp;MID(TEXT(ABS(E60),"000000000000000"),11,1)&amp;" puluh ")&amp;MID(TEXT(ABS(E60),"000000000000000"),12,1)&amp;" ribu ")&amp;IF(--MID(TEXT(ABS(E60),"000000000000000"),13,3)=0,"",MID(TEXT(ABS(E60),"000000000000000"),13,1)&amp;" ratus "&amp;MID(TEXT(ABS(E60),"000000000000000"),14,1)&amp;" puluh "&amp;MID(TEXT(ABS(E60),"000000000000000"),15,1)),1,"satu"),2,"dua"),3,"tiga"),4,"empat"),5,"lima"),6,"enam"),7,"tujuh"),8,"delapan"),9,"sembilan"),"0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Tiga Puluh Delapan Ribu Rupiah</v>
      </c>
      <c r="H61" s="9"/>
      <c r="I61" s="9"/>
      <c r="J61" s="10"/>
    </row>
    <row r="62" spans="1:10" ht="15.75" x14ac:dyDescent="0.25">
      <c r="A62" s="8"/>
      <c r="B62" s="8"/>
      <c r="C62" s="11"/>
      <c r="D62" s="11"/>
      <c r="E62" s="11"/>
      <c r="F62" s="40"/>
      <c r="G62" s="51"/>
      <c r="H62" s="9"/>
      <c r="I62" s="9"/>
      <c r="J62" s="10"/>
    </row>
    <row r="63" spans="1:10" x14ac:dyDescent="0.25">
      <c r="A63" s="8" t="s">
        <v>1</v>
      </c>
      <c r="B63" s="8"/>
      <c r="C63" s="8"/>
      <c r="D63" s="8"/>
      <c r="E63" s="8"/>
      <c r="F63" s="8"/>
      <c r="G63" s="8"/>
      <c r="H63" s="9"/>
      <c r="I63" s="9"/>
      <c r="J63" s="10"/>
    </row>
    <row r="64" spans="1:10" x14ac:dyDescent="0.25">
      <c r="A64" s="64" t="s">
        <v>2</v>
      </c>
      <c r="B64" s="64"/>
      <c r="C64" s="64"/>
      <c r="D64" s="64"/>
      <c r="E64" s="64"/>
      <c r="F64" s="64"/>
      <c r="G64" s="64"/>
      <c r="H64" s="64"/>
      <c r="I64" s="64"/>
      <c r="J64" s="64"/>
    </row>
    <row r="65" spans="1:10" ht="45" x14ac:dyDescent="0.25">
      <c r="A65" s="12" t="s">
        <v>3</v>
      </c>
      <c r="B65" s="58" t="s">
        <v>34</v>
      </c>
      <c r="C65" s="60" t="s">
        <v>4</v>
      </c>
      <c r="D65" s="61"/>
      <c r="E65" s="62"/>
      <c r="F65" s="50"/>
      <c r="G65" s="41" t="s">
        <v>5</v>
      </c>
      <c r="H65" s="13" t="s">
        <v>17</v>
      </c>
      <c r="I65" s="14" t="s">
        <v>6</v>
      </c>
      <c r="J65" s="15" t="s">
        <v>7</v>
      </c>
    </row>
    <row r="66" spans="1:10" x14ac:dyDescent="0.25">
      <c r="A66" s="59">
        <v>1</v>
      </c>
      <c r="B66" s="48"/>
      <c r="C66" s="55" t="s">
        <v>31</v>
      </c>
      <c r="D66" s="57"/>
      <c r="E66" s="45"/>
      <c r="F66" s="39"/>
      <c r="G66" s="56" t="s">
        <v>27</v>
      </c>
      <c r="H66" s="56" t="s">
        <v>27</v>
      </c>
      <c r="I66" s="56" t="s">
        <v>27</v>
      </c>
      <c r="J66" s="56" t="s">
        <v>27</v>
      </c>
    </row>
    <row r="67" spans="1:10" x14ac:dyDescent="0.25">
      <c r="A67" s="48"/>
      <c r="B67" s="48" t="s">
        <v>22</v>
      </c>
      <c r="C67" s="39" t="s">
        <v>32</v>
      </c>
      <c r="D67" s="8"/>
      <c r="E67" s="45"/>
      <c r="F67" s="39"/>
      <c r="G67" s="52">
        <v>25500000</v>
      </c>
      <c r="H67" s="46">
        <f>H24+I24</f>
        <v>1703000</v>
      </c>
      <c r="I67" s="36">
        <v>938000</v>
      </c>
      <c r="J67" s="37">
        <f t="shared" ref="J67" si="1">G67-H67-I67</f>
        <v>22859000</v>
      </c>
    </row>
    <row r="68" spans="1:10" x14ac:dyDescent="0.25">
      <c r="A68" s="16"/>
      <c r="B68" s="16"/>
      <c r="C68" s="17" t="s">
        <v>8</v>
      </c>
      <c r="D68" s="17"/>
      <c r="E68" s="17"/>
      <c r="F68" s="43"/>
      <c r="G68" s="42">
        <f>SUM(G66:G67)</f>
        <v>25500000</v>
      </c>
      <c r="H68" s="18">
        <f>SUM(H66:H67)</f>
        <v>1703000</v>
      </c>
      <c r="I68" s="18">
        <f>SUM(I66:I67)</f>
        <v>938000</v>
      </c>
      <c r="J68" s="18">
        <f>SUM(J66:J67)</f>
        <v>22859000</v>
      </c>
    </row>
    <row r="69" spans="1:10" x14ac:dyDescent="0.25">
      <c r="A69" s="19"/>
      <c r="B69" s="54"/>
      <c r="C69" s="6"/>
      <c r="D69" s="6"/>
      <c r="E69" s="6"/>
      <c r="F69" s="6"/>
      <c r="G69" s="20"/>
      <c r="H69" s="20"/>
      <c r="I69" s="20"/>
      <c r="J69" s="20"/>
    </row>
    <row r="70" spans="1:10" x14ac:dyDescent="0.25">
      <c r="A70" s="63" t="s">
        <v>14</v>
      </c>
      <c r="B70" s="63"/>
      <c r="C70" s="63"/>
      <c r="D70" s="33" t="s">
        <v>12</v>
      </c>
      <c r="E70" s="44">
        <f>I68</f>
        <v>938000</v>
      </c>
      <c r="F70" s="38"/>
      <c r="G70" s="21"/>
      <c r="H70" s="21"/>
      <c r="I70" s="10"/>
      <c r="J70" s="10"/>
    </row>
    <row r="71" spans="1:10" x14ac:dyDescent="0.25">
      <c r="A71" s="8" t="s">
        <v>9</v>
      </c>
      <c r="B71" s="8"/>
      <c r="C71" s="8"/>
      <c r="D71" s="33" t="s">
        <v>12</v>
      </c>
      <c r="E71" s="34"/>
      <c r="F71" s="34"/>
      <c r="G71" s="22"/>
      <c r="H71" s="9"/>
      <c r="I71" s="10"/>
      <c r="J71" s="10"/>
    </row>
    <row r="72" spans="1:10" x14ac:dyDescent="0.25">
      <c r="A72" s="8" t="s">
        <v>16</v>
      </c>
      <c r="B72" s="8"/>
      <c r="C72" s="8"/>
      <c r="D72" s="33" t="s">
        <v>12</v>
      </c>
      <c r="E72" s="35"/>
      <c r="F72" s="35"/>
      <c r="G72" s="22"/>
      <c r="H72" s="9"/>
      <c r="I72" s="10"/>
      <c r="J72" s="10"/>
    </row>
    <row r="73" spans="1:10" x14ac:dyDescent="0.25">
      <c r="A73" s="8" t="s">
        <v>10</v>
      </c>
      <c r="B73" s="8"/>
      <c r="C73" s="8"/>
      <c r="D73" s="33" t="s">
        <v>12</v>
      </c>
      <c r="E73" s="35">
        <f>E71+E72</f>
        <v>0</v>
      </c>
      <c r="F73" s="35"/>
      <c r="G73" s="8"/>
      <c r="H73" s="9"/>
      <c r="I73" s="23"/>
      <c r="J73" s="24"/>
    </row>
    <row r="74" spans="1:10" x14ac:dyDescent="0.25">
      <c r="A74" s="47"/>
      <c r="B74" s="47"/>
      <c r="C74" s="47"/>
      <c r="D74" s="33"/>
      <c r="E74" s="47"/>
      <c r="F74" s="47"/>
      <c r="G74" s="8"/>
      <c r="H74" s="9"/>
      <c r="I74" s="23"/>
      <c r="J74" s="24"/>
    </row>
    <row r="75" spans="1:10" x14ac:dyDescent="0.25">
      <c r="A75" s="63" t="s">
        <v>15</v>
      </c>
      <c r="B75" s="63"/>
      <c r="C75" s="63"/>
      <c r="D75" s="33" t="s">
        <v>12</v>
      </c>
      <c r="E75" s="38">
        <f>E70-E73</f>
        <v>938000</v>
      </c>
      <c r="F75" s="38"/>
      <c r="G75" s="8"/>
      <c r="H75" s="9"/>
      <c r="I75" s="23"/>
      <c r="J75" s="24"/>
    </row>
    <row r="76" spans="1:10" ht="15.75" x14ac:dyDescent="0.25">
      <c r="A76" s="47"/>
      <c r="B76" s="47"/>
      <c r="C76" s="8"/>
      <c r="D76" s="8"/>
      <c r="E76" s="51" t="str">
        <f>PROPER(IF(E75=0,"nol",IF(E75&lt;0,"minus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75),"000000000000000"),1,3)=0,"",MID(TEXT(ABS(E75),"000000000000000"),1,1)&amp;" ratus "&amp;MID(TEXT(ABS(E75),"000000000000000"),2,1)&amp;" puluh "&amp;MID(TEXT(ABS(E75),"000000000000000"),3,1)&amp;" trilyun ")&amp;IF(--MID(TEXT(ABS(E75),"000000000000000"),4,3)=0,"",MID(TEXT(ABS(E75),"000000000000000"),4,1)&amp;" ratus "&amp;MID(TEXT(ABS(E75),"000000000000000"),5,1)&amp;" puluh "&amp;MID(TEXT(ABS(E75),"000000000000000"),6,1)&amp;" milyar ")&amp;IF(--MID(TEXT(ABS(E75),"000000000000000"),7,3)=0,"",MID(TEXT(ABS(E75),"000000000000000"),7,1)&amp;" ratus "&amp;MID(TEXT(ABS(E75),"000000000000000"),8,1)&amp;" puluh "&amp;MID(TEXT(ABS(E75),"000000000000000"),9,1)&amp;" juta ")&amp;IF(--MID(TEXT(ABS(E75),"000000000000000"),10,3)=0,"",IF(--MID(TEXT(ABS(E75),"000000000000000"),10,3)=1,"*",MID(TEXT(ABS(E75),"000000000000000"),10,1)&amp;" ratus "&amp;MID(TEXT(ABS(E75),"000000000000000"),11,1)&amp;" puluh ")&amp;MID(TEXT(ABS(E75),"000000000000000"),12,1)&amp;" ribu ")&amp;IF(--MID(TEXT(ABS(E75),"000000000000000"),13,3)=0,"",MID(TEXT(ABS(E75),"000000000000000"),13,1)&amp;" ratus "&amp;MID(TEXT(ABS(E75),"000000000000000"),14,1)&amp;" puluh "&amp;MID(TEXT(ABS(E75),"000000000000000"),15,1)),1,"satu"),2,"dua"),3,"tiga"),4,"empat"),5,"lima"),6,"enam"),7,"tujuh"),8,"delapan"),9,"sembilan"),"0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Tiga Puluh Delapan Ribu Rupiah</v>
      </c>
      <c r="F76" s="8"/>
      <c r="G76" s="8"/>
      <c r="H76" s="8"/>
      <c r="I76" s="23"/>
      <c r="J76" s="24"/>
    </row>
    <row r="77" spans="1:10" x14ac:dyDescent="0.25">
      <c r="A77" s="26"/>
      <c r="B77" s="26"/>
      <c r="C77" s="26"/>
      <c r="D77" s="26"/>
      <c r="E77" s="26"/>
      <c r="F77" s="26"/>
      <c r="G77" s="25"/>
      <c r="H77" s="24"/>
      <c r="I77" s="23"/>
      <c r="J77" s="24"/>
    </row>
    <row r="78" spans="1:10" x14ac:dyDescent="0.25">
      <c r="A78" s="25"/>
      <c r="B78" s="25"/>
      <c r="C78" s="25"/>
      <c r="D78" s="25"/>
      <c r="E78" s="25"/>
      <c r="F78" s="25"/>
      <c r="G78" s="25"/>
      <c r="H78"/>
      <c r="I78" s="24"/>
      <c r="J78" s="24"/>
    </row>
    <row r="79" spans="1:10" x14ac:dyDescent="0.25">
      <c r="A79" s="47"/>
      <c r="B79" s="47"/>
      <c r="C79" s="8"/>
      <c r="D79" s="8"/>
      <c r="E79" s="8"/>
      <c r="F79" s="8"/>
      <c r="G79" s="8"/>
      <c r="I79" s="49" t="s">
        <v>41</v>
      </c>
      <c r="J79" s="24"/>
    </row>
    <row r="80" spans="1:10" x14ac:dyDescent="0.25">
      <c r="A80" s="9" t="s">
        <v>25</v>
      </c>
      <c r="B80" s="9"/>
      <c r="C80" s="8"/>
      <c r="D80" s="8"/>
      <c r="E80" s="8"/>
      <c r="F80" s="8"/>
      <c r="G80" s="8"/>
      <c r="I80" s="9" t="s">
        <v>24</v>
      </c>
      <c r="J80" s="24"/>
    </row>
    <row r="81" spans="1:10" x14ac:dyDescent="0.25">
      <c r="A81" s="8"/>
      <c r="B81" s="8"/>
      <c r="C81" s="8"/>
      <c r="D81" s="8"/>
      <c r="E81" s="8"/>
      <c r="F81" s="8"/>
      <c r="G81" s="8"/>
      <c r="I81" s="9"/>
      <c r="J81" s="24"/>
    </row>
    <row r="82" spans="1:10" x14ac:dyDescent="0.25">
      <c r="A82" s="8"/>
      <c r="B82" s="8"/>
      <c r="C82" s="8"/>
      <c r="D82" s="8"/>
      <c r="E82" s="8"/>
      <c r="F82" s="8"/>
      <c r="G82" s="8"/>
      <c r="I82" s="9"/>
      <c r="J82" s="24"/>
    </row>
    <row r="83" spans="1:10" x14ac:dyDescent="0.25">
      <c r="A83" s="8"/>
      <c r="B83" s="8"/>
      <c r="C83" s="8"/>
      <c r="D83" s="8"/>
      <c r="E83" s="8"/>
      <c r="F83" s="8"/>
      <c r="G83" s="8"/>
      <c r="I83" s="9"/>
      <c r="J83" s="24"/>
    </row>
    <row r="84" spans="1:10" x14ac:dyDescent="0.25">
      <c r="A84" s="8"/>
      <c r="B84" s="8"/>
      <c r="C84" s="8"/>
      <c r="D84" s="8"/>
      <c r="E84" s="8"/>
      <c r="F84" s="8"/>
      <c r="G84" s="8"/>
      <c r="I84" s="9"/>
      <c r="J84" s="24"/>
    </row>
    <row r="85" spans="1:10" x14ac:dyDescent="0.25">
      <c r="A85" s="28" t="s">
        <v>33</v>
      </c>
      <c r="B85" s="28"/>
      <c r="C85" s="27"/>
      <c r="D85" s="27"/>
      <c r="E85" s="27"/>
      <c r="F85" s="27"/>
      <c r="G85" s="8" t="s">
        <v>11</v>
      </c>
      <c r="I85" s="28" t="s">
        <v>26</v>
      </c>
      <c r="J85" s="24"/>
    </row>
  </sheetData>
  <mergeCells count="18">
    <mergeCell ref="A54:J54"/>
    <mergeCell ref="A55:J55"/>
    <mergeCell ref="A64:J64"/>
    <mergeCell ref="C65:E65"/>
    <mergeCell ref="A70:C70"/>
    <mergeCell ref="A75:C75"/>
    <mergeCell ref="C22:E22"/>
    <mergeCell ref="A27:C27"/>
    <mergeCell ref="A32:C32"/>
    <mergeCell ref="A51:J51"/>
    <mergeCell ref="A52:J52"/>
    <mergeCell ref="A53:J53"/>
    <mergeCell ref="A8:J8"/>
    <mergeCell ref="A9:J9"/>
    <mergeCell ref="A10:J10"/>
    <mergeCell ref="A11:J11"/>
    <mergeCell ref="A12:J12"/>
    <mergeCell ref="A21:J21"/>
  </mergeCells>
  <pageMargins left="0.23622047244094491" right="0.23622047244094491" top="0.15748031496062992" bottom="0.74803149606299213" header="0.31496062992125984" footer="0.31496062992125984"/>
  <pageSetup paperSize="9" scale="83" orientation="portrait" horizontalDpi="4294967293" r:id="rId1"/>
  <rowBreaks count="2" manualBreakCount="2">
    <brk id="43" max="9" man="1"/>
    <brk id="86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JANUARI</vt:lpstr>
      <vt:lpstr>FEBRUARI</vt:lpstr>
      <vt:lpstr>MARET</vt:lpstr>
      <vt:lpstr>FEBRUARI!Print_Area</vt:lpstr>
      <vt:lpstr>JANUARI!Print_Area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2026-03-06T07:53:21Z</cp:lastPrinted>
  <dcterms:created xsi:type="dcterms:W3CDTF">2017-02-01T01:06:13Z</dcterms:created>
  <dcterms:modified xsi:type="dcterms:W3CDTF">2026-03-06T08:04:03Z</dcterms:modified>
</cp:coreProperties>
</file>