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EF8EEE9F-FDF7-4F6E-AA0D-CE2D6E7EF2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NUARI" sheetId="14" r:id="rId1"/>
    <sheet name="FEBRUARI" sheetId="15" r:id="rId2"/>
  </sheets>
  <definedNames>
    <definedName name="_xlnm.Print_Area" localSheetId="1">FEBRUARI!$A$1:$J$220</definedName>
    <definedName name="_xlnm.Print_Area" localSheetId="0">JANUARI!$A$1:$J$220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5" l="1"/>
  <c r="H26" i="15"/>
  <c r="H27" i="15"/>
  <c r="H28" i="15"/>
  <c r="H29" i="15"/>
  <c r="H24" i="15"/>
  <c r="E131" i="15"/>
  <c r="I126" i="15"/>
  <c r="E128" i="15" s="1"/>
  <c r="E133" i="15" s="1"/>
  <c r="E134" i="15" s="1"/>
  <c r="G126" i="15"/>
  <c r="E113" i="15"/>
  <c r="E114" i="15" s="1"/>
  <c r="E83" i="15"/>
  <c r="I78" i="15"/>
  <c r="G78" i="15"/>
  <c r="H77" i="15"/>
  <c r="H76" i="15"/>
  <c r="H75" i="15"/>
  <c r="H74" i="15"/>
  <c r="H73" i="15"/>
  <c r="E35" i="15"/>
  <c r="I30" i="15"/>
  <c r="G30" i="15"/>
  <c r="J29" i="15"/>
  <c r="J28" i="15"/>
  <c r="J27" i="15"/>
  <c r="J26" i="15"/>
  <c r="J25" i="15"/>
  <c r="H122" i="14"/>
  <c r="E131" i="14"/>
  <c r="I126" i="14"/>
  <c r="E128" i="14" s="1"/>
  <c r="E133" i="14" s="1"/>
  <c r="E134" i="14" s="1"/>
  <c r="G126" i="14"/>
  <c r="H125" i="14"/>
  <c r="J125" i="14" s="1"/>
  <c r="H124" i="14"/>
  <c r="J124" i="14" s="1"/>
  <c r="H123" i="14"/>
  <c r="J123" i="14" s="1"/>
  <c r="J122" i="14"/>
  <c r="H121" i="14"/>
  <c r="J121" i="14" s="1"/>
  <c r="H120" i="14"/>
  <c r="H126" i="14" s="1"/>
  <c r="H73" i="14"/>
  <c r="H78" i="14" s="1"/>
  <c r="H74" i="14"/>
  <c r="H75" i="14"/>
  <c r="J75" i="14" s="1"/>
  <c r="H76" i="14"/>
  <c r="J76" i="14" s="1"/>
  <c r="H77" i="14"/>
  <c r="H72" i="14"/>
  <c r="E83" i="14"/>
  <c r="I78" i="14"/>
  <c r="E80" i="14" s="1"/>
  <c r="E85" i="14" s="1"/>
  <c r="E86" i="14" s="1"/>
  <c r="G78" i="14"/>
  <c r="J77" i="14"/>
  <c r="J74" i="14"/>
  <c r="J73" i="14"/>
  <c r="J72" i="14"/>
  <c r="J25" i="14"/>
  <c r="J26" i="14"/>
  <c r="J30" i="14" s="1"/>
  <c r="J27" i="14"/>
  <c r="J28" i="14"/>
  <c r="J29" i="14"/>
  <c r="G30" i="14"/>
  <c r="E80" i="15" l="1"/>
  <c r="E85" i="15" s="1"/>
  <c r="E86" i="15" s="1"/>
  <c r="E65" i="15"/>
  <c r="E66" i="15" s="1"/>
  <c r="E32" i="15"/>
  <c r="E37" i="15" s="1"/>
  <c r="E38" i="15" s="1"/>
  <c r="E17" i="15"/>
  <c r="E18" i="15" s="1"/>
  <c r="J24" i="15"/>
  <c r="J30" i="15" s="1"/>
  <c r="H30" i="15"/>
  <c r="H72" i="15"/>
  <c r="H125" i="15"/>
  <c r="J125" i="15" s="1"/>
  <c r="J77" i="15"/>
  <c r="H124" i="15"/>
  <c r="J124" i="15" s="1"/>
  <c r="J76" i="15"/>
  <c r="H123" i="15"/>
  <c r="J123" i="15" s="1"/>
  <c r="J75" i="15"/>
  <c r="H122" i="15"/>
  <c r="J122" i="15" s="1"/>
  <c r="J74" i="15"/>
  <c r="H121" i="15"/>
  <c r="J121" i="15" s="1"/>
  <c r="J73" i="15"/>
  <c r="H120" i="15"/>
  <c r="E113" i="14"/>
  <c r="E114" i="14" s="1"/>
  <c r="J120" i="14"/>
  <c r="J126" i="14" s="1"/>
  <c r="J78" i="14"/>
  <c r="E65" i="14"/>
  <c r="E66" i="14" s="1"/>
  <c r="E35" i="14"/>
  <c r="I30" i="14"/>
  <c r="E17" i="14" s="1"/>
  <c r="E18" i="14" s="1"/>
  <c r="H30" i="14"/>
  <c r="J24" i="14"/>
  <c r="H78" i="15" l="1"/>
  <c r="J72" i="15"/>
  <c r="J78" i="15" s="1"/>
  <c r="J120" i="15"/>
  <c r="J126" i="15" s="1"/>
  <c r="H126" i="15"/>
  <c r="E32" i="14"/>
  <c r="E37" i="14" s="1"/>
  <c r="E38" i="14" s="1"/>
</calcChain>
</file>

<file path=xl/sharedStrings.xml><?xml version="1.0" encoding="utf-8"?>
<sst xmlns="http://schemas.openxmlformats.org/spreadsheetml/2006/main" count="354" uniqueCount="55">
  <si>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</si>
  <si>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</si>
  <si>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</si>
  <si>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</si>
  <si>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</si>
  <si>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</si>
  <si>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</si>
  <si>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</si>
  <si>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</si>
  <si>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</si>
  <si>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</si>
  <si>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</si>
  <si>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</si>
  <si>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</si>
  <si>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</si>
  <si>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</si>
  <si>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</si>
  <si>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</si>
  <si>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</si>
  <si>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</si>
  <si>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</si>
  <si>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</si>
  <si>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1.1</t>
  </si>
  <si>
    <t>1.2</t>
  </si>
  <si>
    <t>1.3</t>
  </si>
  <si>
    <t>1.4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</si>
  <si>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</si>
  <si>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</si>
  <si>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</si>
  <si>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</si>
  <si>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</si>
  <si>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</si>
  <si>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</si>
  <si>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</si>
  <si>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Kelengkapan Pegawai</t>
  </si>
  <si>
    <t>Atribut Petugas Kebersihan (Sepatu Booth + Jas Hujan + Rompi Scotlight)</t>
  </si>
  <si>
    <t>Baju Petugas Kebersihan</t>
  </si>
  <si>
    <t>IRNA WAHYUNI N.</t>
  </si>
  <si>
    <t>PERUMDA PASAR BANJARMASIN</t>
  </si>
  <si>
    <t>Atribut Petugas Penagihan (Rompi + Tas)</t>
  </si>
  <si>
    <t>Cetak ID Card + Pin Perumda</t>
  </si>
  <si>
    <t>Atribut Petugas Parkir (Baju + Topi)</t>
  </si>
  <si>
    <t>Atribut Petugas Keamanan (29)</t>
  </si>
  <si>
    <t>1.5</t>
  </si>
  <si>
    <t>1.6</t>
  </si>
  <si>
    <r>
      <t>Nomor : 10/DIV-KEU/PPB/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</si>
  <si>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06 Januari 2026</t>
  </si>
  <si>
    <r>
      <t>Nomor : 15/DIV-KEU/PPB/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</si>
  <si>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08 Januari 2026</t>
  </si>
  <si>
    <r>
      <t>Nomor : 32/DIV-KEU/PPB/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</si>
  <si>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</si>
  <si>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071/DIV-KEU/PPB/I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</si>
  <si>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18 Februari 2026</t>
  </si>
  <si>
    <r>
      <t>Nomor : 084/DIV-KEU/PPB/I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</si>
  <si>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20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</si>
</sst>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72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9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165" fontId="15" fillId="0" borderId="8" xfId="5" applyFont="1" applyBorder="1" applyAlignment="1" applyProtection="1">
      <alignment horizontal="center" vertical="center"/>
    </xf>
    <xf numFmtId="168" fontId="4" fillId="0" borderId="7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96</xdr:row>
      <xdr:rowOff>9525</xdr:rowOff>
    </xdr:from>
    <xdr:to>
      <xdr:col>9</xdr:col>
      <xdr:colOff>1162050</xdr:colOff>
      <xdr:row>105</xdr:row>
      <xdr:rowOff>15410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B25FB3-74FE-4AFC-8B6C-295FFAD16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535775"/>
          <a:ext cx="7620000" cy="173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48</xdr:row>
      <xdr:rowOff>9525</xdr:rowOff>
    </xdr:from>
    <xdr:to>
      <xdr:col>9</xdr:col>
      <xdr:colOff>1162050</xdr:colOff>
      <xdr:row>57</xdr:row>
      <xdr:rowOff>15410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ECCE4C-2A10-4400-8FCD-16EDDBCA5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782175"/>
          <a:ext cx="7620000" cy="173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28576</xdr:colOff>
      <xdr:row>0</xdr:row>
      <xdr:rowOff>9526</xdr:rowOff>
    </xdr:from>
    <xdr:to>
      <xdr:col>9</xdr:col>
      <xdr:colOff>1171576</xdr:colOff>
      <xdr:row>9</xdr:row>
      <xdr:rowOff>15411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AB6FB1-7A17-4558-8422-E77701724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9526"/>
          <a:ext cx="7620000" cy="17394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C09713D-B881-406C-BDED-2FD973109775}"/>
            </a:ext>
          </a:extLst>
        </xdr:cNvPr>
        <xdr:cNvCxnSpPr/>
      </xdr:nvCxnSpPr>
      <xdr:spPr>
        <a:xfrm>
          <a:off x="19050" y="1409700"/>
          <a:ext cx="93916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9</xdr:col>
      <xdr:colOff>1162050</xdr:colOff>
      <xdr:row>54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7486FDB-E1D8-451B-B1C5-CCC25B98514F}"/>
            </a:ext>
          </a:extLst>
        </xdr:cNvPr>
        <xdr:cNvCxnSpPr/>
      </xdr:nvCxnSpPr>
      <xdr:spPr>
        <a:xfrm>
          <a:off x="19050" y="1209675"/>
          <a:ext cx="7620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9</xdr:col>
      <xdr:colOff>1162050</xdr:colOff>
      <xdr:row>102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54A84F8-B5EA-44B8-9C51-78F05636F84C}"/>
            </a:ext>
          </a:extLst>
        </xdr:cNvPr>
        <xdr:cNvCxnSpPr/>
      </xdr:nvCxnSpPr>
      <xdr:spPr>
        <a:xfrm>
          <a:off x="19050" y="10982325"/>
          <a:ext cx="7620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96</xdr:row>
      <xdr:rowOff>9525</xdr:rowOff>
    </xdr:from>
    <xdr:to>
      <xdr:col>9</xdr:col>
      <xdr:colOff>1162050</xdr:colOff>
      <xdr:row>105</xdr:row>
      <xdr:rowOff>15410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C09E7-B8E7-4652-A7F2-D09FD8B9B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535775"/>
          <a:ext cx="7620000" cy="173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48</xdr:row>
      <xdr:rowOff>9525</xdr:rowOff>
    </xdr:from>
    <xdr:to>
      <xdr:col>9</xdr:col>
      <xdr:colOff>1162050</xdr:colOff>
      <xdr:row>57</xdr:row>
      <xdr:rowOff>15410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F1B12B-ED58-4551-80EA-ECF58A89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782175"/>
          <a:ext cx="7620000" cy="173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28576</xdr:colOff>
      <xdr:row>0</xdr:row>
      <xdr:rowOff>9526</xdr:rowOff>
    </xdr:from>
    <xdr:to>
      <xdr:col>9</xdr:col>
      <xdr:colOff>1171576</xdr:colOff>
      <xdr:row>9</xdr:row>
      <xdr:rowOff>15411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F9859E-040F-42C5-8E12-94E5D26B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9526"/>
          <a:ext cx="7620000" cy="17394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B873DF3-68C7-4317-8008-F387441FD1F3}"/>
            </a:ext>
          </a:extLst>
        </xdr:cNvPr>
        <xdr:cNvCxnSpPr/>
      </xdr:nvCxnSpPr>
      <xdr:spPr>
        <a:xfrm>
          <a:off x="19050" y="1209675"/>
          <a:ext cx="7620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9</xdr:col>
      <xdr:colOff>1162050</xdr:colOff>
      <xdr:row>54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026D20E-DAE4-4426-9C8B-F4B9998DFCA9}"/>
            </a:ext>
          </a:extLst>
        </xdr:cNvPr>
        <xdr:cNvCxnSpPr/>
      </xdr:nvCxnSpPr>
      <xdr:spPr>
        <a:xfrm>
          <a:off x="19050" y="10982325"/>
          <a:ext cx="7620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102</xdr:row>
      <xdr:rowOff>47625</xdr:rowOff>
    </xdr:from>
    <xdr:to>
      <xdr:col>9</xdr:col>
      <xdr:colOff>1162050</xdr:colOff>
      <xdr:row>102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516B378-76CC-4A2D-9FB3-B3BAE1FC2567}"/>
            </a:ext>
          </a:extLst>
        </xdr:cNvPr>
        <xdr:cNvCxnSpPr/>
      </xdr:nvCxnSpPr>
      <xdr:spPr>
        <a:xfrm>
          <a:off x="19050" y="20735925"/>
          <a:ext cx="7620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4013-3E82-4C1E-8426-64B8892F2DDE}">
  <dimension ref="A1:V143"/>
  <sheetViews>
    <sheetView view="pageBreakPreview" topLeftCell="A104" zoomScaleNormal="100" zoomScaleSheetLayoutView="100" workbookViewId="0">
      <selection activeCell="D129" sqref="D129"/>
    </sheetView>
  </sheetViews>
  <sheetFormatPr defaultRowHeight="15" x14ac:dyDescent="0.25"/>
  <cols>
    <col min="1" max="1" width="3.5703125" customWidth="1"/>
    <col min="2" max="2" width="5.140625" bestFit="1" customWidth="1"/>
    <col min="3" max="3" width="12.28515625" customWidth="1"/>
    <col min="4" max="4" width="1.85546875" customWidth="1"/>
    <col min="5" max="5" width="23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70" t="s">
        <v>31</v>
      </c>
      <c r="B8" s="70"/>
      <c r="C8" s="71"/>
      <c r="D8" s="71"/>
      <c r="E8" s="71"/>
      <c r="F8" s="71"/>
      <c r="G8" s="71"/>
      <c r="H8" s="71"/>
      <c r="I8" s="71"/>
      <c r="J8" s="71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1" t="s">
        <v>45</v>
      </c>
      <c r="B9" s="71"/>
      <c r="C9" s="71"/>
      <c r="D9" s="71"/>
      <c r="E9" s="71"/>
      <c r="F9" s="71"/>
      <c r="G9" s="71"/>
      <c r="H9" s="71"/>
      <c r="I9" s="71"/>
      <c r="J9" s="71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1" t="s">
        <v>13</v>
      </c>
      <c r="B10" s="71"/>
      <c r="C10" s="71"/>
      <c r="D10" s="71"/>
      <c r="E10" s="71"/>
      <c r="F10" s="71"/>
      <c r="G10" s="71"/>
      <c r="H10" s="71"/>
      <c r="I10" s="71"/>
      <c r="J10" s="71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1" t="s">
        <v>38</v>
      </c>
      <c r="B11" s="71"/>
      <c r="C11" s="71"/>
      <c r="D11" s="71"/>
      <c r="E11" s="71"/>
      <c r="F11" s="71"/>
      <c r="G11" s="71"/>
      <c r="H11" s="71"/>
      <c r="I11" s="71"/>
      <c r="J11" s="71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1" t="s">
        <v>26</v>
      </c>
      <c r="B12" s="71"/>
      <c r="C12" s="71"/>
      <c r="D12" s="71"/>
      <c r="E12" s="71"/>
      <c r="F12" s="71"/>
      <c r="G12" s="71"/>
      <c r="H12" s="71"/>
      <c r="I12" s="71"/>
      <c r="J12" s="71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I30</f>
        <v>850000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2" t="s">
        <v>2</v>
      </c>
      <c r="B21" s="62"/>
      <c r="C21" s="62"/>
      <c r="D21" s="62"/>
      <c r="E21" s="62"/>
      <c r="F21" s="62"/>
      <c r="G21" s="62"/>
      <c r="H21" s="62"/>
      <c r="I21" s="62"/>
      <c r="J21" s="62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/>
      <c r="C22" s="63" t="s">
        <v>4</v>
      </c>
      <c r="D22" s="64"/>
      <c r="E22" s="65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34</v>
      </c>
      <c r="D23" s="57"/>
      <c r="E23" s="45"/>
      <c r="F23" s="39"/>
      <c r="G23" s="56" t="s">
        <v>30</v>
      </c>
      <c r="H23" s="56" t="s">
        <v>30</v>
      </c>
      <c r="I23" s="56" t="s">
        <v>30</v>
      </c>
      <c r="J23" s="56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22</v>
      </c>
      <c r="C24" s="39" t="s">
        <v>39</v>
      </c>
      <c r="D24" s="8"/>
      <c r="E24" s="45"/>
      <c r="F24" s="39"/>
      <c r="G24" s="52">
        <v>10000000</v>
      </c>
      <c r="H24" s="46">
        <v>0</v>
      </c>
      <c r="I24" s="36">
        <v>0</v>
      </c>
      <c r="J24" s="37">
        <f t="shared" ref="J24:J29" si="0">G24-H24-I24</f>
        <v>10000000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23</v>
      </c>
      <c r="C25" s="39" t="s">
        <v>36</v>
      </c>
      <c r="D25" s="8"/>
      <c r="E25" s="45"/>
      <c r="F25" s="39"/>
      <c r="G25" s="52">
        <v>28600000</v>
      </c>
      <c r="H25" s="46">
        <v>0</v>
      </c>
      <c r="I25" s="36">
        <v>0</v>
      </c>
      <c r="J25" s="37">
        <f t="shared" si="0"/>
        <v>28600000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ht="30.75" customHeight="1" x14ac:dyDescent="0.25">
      <c r="A26" s="48"/>
      <c r="B26" s="48" t="s">
        <v>24</v>
      </c>
      <c r="C26" s="66" t="s">
        <v>35</v>
      </c>
      <c r="D26" s="67"/>
      <c r="E26" s="68"/>
      <c r="F26" s="39"/>
      <c r="G26" s="60">
        <v>20000000</v>
      </c>
      <c r="H26" s="46">
        <v>0</v>
      </c>
      <c r="I26" s="46">
        <v>850000</v>
      </c>
      <c r="J26" s="61">
        <f t="shared" si="0"/>
        <v>19150000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48"/>
      <c r="B27" s="48" t="s">
        <v>25</v>
      </c>
      <c r="C27" s="39" t="s">
        <v>40</v>
      </c>
      <c r="D27" s="8"/>
      <c r="E27" s="45"/>
      <c r="F27" s="39"/>
      <c r="G27" s="52">
        <v>3000000</v>
      </c>
      <c r="H27" s="46">
        <v>0</v>
      </c>
      <c r="I27" s="36">
        <v>0</v>
      </c>
      <c r="J27" s="37">
        <f t="shared" si="0"/>
        <v>3000000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48"/>
      <c r="B28" s="48" t="s">
        <v>43</v>
      </c>
      <c r="C28" s="39" t="s">
        <v>41</v>
      </c>
      <c r="D28" s="8"/>
      <c r="E28" s="45"/>
      <c r="F28" s="39"/>
      <c r="G28" s="52">
        <v>15000000</v>
      </c>
      <c r="H28" s="46">
        <v>0</v>
      </c>
      <c r="I28" s="36">
        <v>0</v>
      </c>
      <c r="J28" s="37">
        <f t="shared" si="0"/>
        <v>15000000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48"/>
      <c r="B29" s="48" t="s">
        <v>44</v>
      </c>
      <c r="C29" s="39" t="s">
        <v>42</v>
      </c>
      <c r="D29" s="8"/>
      <c r="E29" s="45"/>
      <c r="F29" s="39"/>
      <c r="G29" s="52">
        <v>28175000</v>
      </c>
      <c r="H29" s="46">
        <v>0</v>
      </c>
      <c r="I29" s="36">
        <v>0</v>
      </c>
      <c r="J29" s="37">
        <f t="shared" si="0"/>
        <v>28175000</v>
      </c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16"/>
      <c r="B30" s="16"/>
      <c r="C30" s="17" t="s">
        <v>8</v>
      </c>
      <c r="D30" s="17"/>
      <c r="E30" s="17"/>
      <c r="F30" s="43"/>
      <c r="G30" s="42">
        <f>SUM(G23:G29)</f>
        <v>104775000</v>
      </c>
      <c r="H30" s="18">
        <f>SUM(H23:H27)</f>
        <v>0</v>
      </c>
      <c r="I30" s="18">
        <f>SUM(I23:I27)</f>
        <v>850000</v>
      </c>
      <c r="J30" s="18">
        <f>SUM(J23:K29)</f>
        <v>103925000</v>
      </c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19"/>
      <c r="B31" s="54"/>
      <c r="C31" s="6"/>
      <c r="D31" s="6"/>
      <c r="E31" s="6"/>
      <c r="F31" s="6"/>
      <c r="G31" s="20"/>
      <c r="H31" s="20"/>
      <c r="I31" s="20"/>
      <c r="J31" s="2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9" t="s">
        <v>14</v>
      </c>
      <c r="B32" s="69"/>
      <c r="C32" s="69"/>
      <c r="D32" s="33" t="s">
        <v>12</v>
      </c>
      <c r="E32" s="44">
        <f>I30</f>
        <v>850000</v>
      </c>
      <c r="F32" s="38"/>
      <c r="G32" s="21"/>
      <c r="H32" s="21"/>
      <c r="I32" s="10"/>
      <c r="J32" s="10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8" t="s">
        <v>9</v>
      </c>
      <c r="B33" s="8"/>
      <c r="C33" s="8"/>
      <c r="D33" s="33" t="s">
        <v>12</v>
      </c>
      <c r="E33" s="34"/>
      <c r="F33" s="34"/>
      <c r="G33" s="22"/>
      <c r="H33" s="9"/>
      <c r="I33" s="10"/>
      <c r="J33" s="10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8" t="s">
        <v>16</v>
      </c>
      <c r="B34" s="8"/>
      <c r="C34" s="8"/>
      <c r="D34" s="33" t="s">
        <v>12</v>
      </c>
      <c r="E34" s="35"/>
      <c r="F34" s="35"/>
      <c r="G34" s="22"/>
      <c r="H34" s="9"/>
      <c r="I34" s="10"/>
      <c r="J34" s="10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8" t="s">
        <v>10</v>
      </c>
      <c r="B35" s="8"/>
      <c r="C35" s="8"/>
      <c r="D35" s="33" t="s">
        <v>12</v>
      </c>
      <c r="E35" s="35">
        <f>E33+E34</f>
        <v>0</v>
      </c>
      <c r="F35" s="35"/>
      <c r="G35" s="8"/>
      <c r="H35" s="9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7"/>
      <c r="B36" s="47"/>
      <c r="C36" s="47"/>
      <c r="D36" s="33"/>
      <c r="E36" s="47"/>
      <c r="F36" s="47"/>
      <c r="G36" s="8"/>
      <c r="H36" s="9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69" t="s">
        <v>15</v>
      </c>
      <c r="B37" s="69"/>
      <c r="C37" s="69"/>
      <c r="D37" s="33" t="s">
        <v>12</v>
      </c>
      <c r="E37" s="38">
        <f>E32-E35</f>
        <v>850000</v>
      </c>
      <c r="F37" s="38"/>
      <c r="G37" s="8"/>
      <c r="H37" s="9"/>
      <c r="I37" s="23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ht="15.75" x14ac:dyDescent="0.25">
      <c r="A38" s="47"/>
      <c r="B38" s="47"/>
      <c r="C38" s="8"/>
      <c r="D38" s="8"/>
      <c r="E38" s="51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Ratus Lima Puluh Ribu Rupiah</v>
      </c>
      <c r="F38" s="8"/>
      <c r="G38" s="8"/>
      <c r="H38" s="8"/>
      <c r="I38" s="23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26"/>
      <c r="B39" s="26"/>
      <c r="C39" s="26"/>
      <c r="D39" s="26"/>
      <c r="E39" s="26"/>
      <c r="F39" s="26"/>
      <c r="G39" s="25"/>
      <c r="H39" s="24"/>
      <c r="I39" s="23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25"/>
      <c r="B40" s="25"/>
      <c r="C40" s="25"/>
      <c r="D40" s="25"/>
      <c r="E40" s="25"/>
      <c r="F40" s="25"/>
      <c r="G40" s="25"/>
      <c r="H40"/>
      <c r="I40" s="24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47"/>
      <c r="B41" s="47"/>
      <c r="C41" s="8"/>
      <c r="D41" s="8"/>
      <c r="E41" s="8"/>
      <c r="F41" s="8"/>
      <c r="G41" s="8"/>
      <c r="I41" s="49" t="s">
        <v>46</v>
      </c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9" t="s">
        <v>28</v>
      </c>
      <c r="B42" s="9"/>
      <c r="C42" s="8"/>
      <c r="D42" s="8"/>
      <c r="E42" s="8"/>
      <c r="F42" s="8"/>
      <c r="G42" s="8"/>
      <c r="I42" s="9" t="s">
        <v>27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8"/>
      <c r="B44" s="8"/>
      <c r="C44" s="8"/>
      <c r="D44" s="8"/>
      <c r="E44" s="8"/>
      <c r="F44" s="8"/>
      <c r="G44" s="8"/>
      <c r="I44" s="9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8"/>
      <c r="B45" s="8"/>
      <c r="C45" s="8"/>
      <c r="D45" s="8"/>
      <c r="E45" s="8"/>
      <c r="F45" s="8"/>
      <c r="G45" s="8"/>
      <c r="I45" s="9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x14ac:dyDescent="0.25">
      <c r="A46" s="8"/>
      <c r="B46" s="8"/>
      <c r="C46" s="8"/>
      <c r="D46" s="8"/>
      <c r="E46" s="8"/>
      <c r="F46" s="8"/>
      <c r="G46" s="8"/>
      <c r="I46" s="9"/>
      <c r="J46" s="24"/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  <row r="47" spans="1:22" x14ac:dyDescent="0.25">
      <c r="A47" s="28" t="s">
        <v>37</v>
      </c>
      <c r="B47" s="28"/>
      <c r="C47" s="27"/>
      <c r="D47" s="27"/>
      <c r="E47" s="27"/>
      <c r="F47" s="27"/>
      <c r="G47" s="8" t="s">
        <v>11</v>
      </c>
      <c r="I47" s="28" t="s">
        <v>29</v>
      </c>
      <c r="J47" s="24"/>
      <c r="K47" s="2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25"/>
    </row>
    <row r="48" spans="1:22" x14ac:dyDescent="0.25">
      <c r="A48" s="30"/>
      <c r="B48" s="30"/>
      <c r="C48" s="29"/>
      <c r="D48" s="29"/>
      <c r="E48" s="29"/>
      <c r="F48" s="29"/>
      <c r="G48" s="29"/>
      <c r="H48" s="30"/>
      <c r="I48" s="30"/>
      <c r="J48" s="24"/>
      <c r="K48" s="25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25"/>
    </row>
    <row r="52" spans="1:10" ht="15.75" x14ac:dyDescent="0.25">
      <c r="C52" s="3"/>
      <c r="D52" s="3"/>
      <c r="E52" s="3"/>
      <c r="F52" s="3"/>
    </row>
    <row r="53" spans="1:10" ht="15.75" x14ac:dyDescent="0.25">
      <c r="A53" s="2"/>
      <c r="B53" s="2"/>
      <c r="C53" s="3"/>
      <c r="D53" s="3"/>
      <c r="E53" s="3"/>
      <c r="F53" s="3"/>
      <c r="G53" s="2"/>
      <c r="H53" s="4"/>
      <c r="I53" s="4"/>
      <c r="J53" s="5"/>
    </row>
    <row r="54" spans="1:10" x14ac:dyDescent="0.25">
      <c r="H54" s="5"/>
      <c r="I54" s="5"/>
      <c r="J54" s="5"/>
    </row>
    <row r="55" spans="1:10" x14ac:dyDescent="0.25">
      <c r="H55" s="5"/>
      <c r="I55" s="5"/>
      <c r="J55" s="5"/>
    </row>
    <row r="56" spans="1:10" x14ac:dyDescent="0.25">
      <c r="A56" s="70" t="s">
        <v>31</v>
      </c>
      <c r="B56" s="70"/>
      <c r="C56" s="71"/>
      <c r="D56" s="71"/>
      <c r="E56" s="71"/>
      <c r="F56" s="71"/>
      <c r="G56" s="71"/>
      <c r="H56" s="71"/>
      <c r="I56" s="71"/>
      <c r="J56" s="71"/>
    </row>
    <row r="57" spans="1:10" x14ac:dyDescent="0.25">
      <c r="A57" s="71" t="s">
        <v>47</v>
      </c>
      <c r="B57" s="71"/>
      <c r="C57" s="71"/>
      <c r="D57" s="71"/>
      <c r="E57" s="71"/>
      <c r="F57" s="71"/>
      <c r="G57" s="71"/>
      <c r="H57" s="71"/>
      <c r="I57" s="71"/>
      <c r="J57" s="71"/>
    </row>
    <row r="58" spans="1:10" x14ac:dyDescent="0.25">
      <c r="A58" s="71" t="s">
        <v>13</v>
      </c>
      <c r="B58" s="71"/>
      <c r="C58" s="71"/>
      <c r="D58" s="71"/>
      <c r="E58" s="71"/>
      <c r="F58" s="71"/>
      <c r="G58" s="71"/>
      <c r="H58" s="71"/>
      <c r="I58" s="71"/>
      <c r="J58" s="71"/>
    </row>
    <row r="59" spans="1:10" x14ac:dyDescent="0.25">
      <c r="A59" s="71" t="s">
        <v>38</v>
      </c>
      <c r="B59" s="71"/>
      <c r="C59" s="71"/>
      <c r="D59" s="71"/>
      <c r="E59" s="71"/>
      <c r="F59" s="71"/>
      <c r="G59" s="71"/>
      <c r="H59" s="71"/>
      <c r="I59" s="71"/>
      <c r="J59" s="71"/>
    </row>
    <row r="60" spans="1:10" x14ac:dyDescent="0.25">
      <c r="A60" s="71" t="s">
        <v>26</v>
      </c>
      <c r="B60" s="71"/>
      <c r="C60" s="71"/>
      <c r="D60" s="71"/>
      <c r="E60" s="71"/>
      <c r="F60" s="71"/>
      <c r="G60" s="71"/>
      <c r="H60" s="71"/>
      <c r="I60" s="71"/>
      <c r="J60" s="71"/>
    </row>
    <row r="61" spans="1:10" x14ac:dyDescent="0.25">
      <c r="A61" s="32"/>
      <c r="B61" s="32"/>
      <c r="C61" s="7"/>
      <c r="D61" s="7"/>
      <c r="E61" s="7"/>
      <c r="F61" s="7"/>
      <c r="G61" s="6"/>
      <c r="H61" s="10"/>
      <c r="I61" s="10"/>
      <c r="J61" s="10"/>
    </row>
    <row r="62" spans="1:10" x14ac:dyDescent="0.25">
      <c r="A62" s="53" t="s">
        <v>18</v>
      </c>
      <c r="B62" s="53"/>
      <c r="C62" s="53"/>
      <c r="D62" s="40" t="s">
        <v>12</v>
      </c>
      <c r="E62" s="8" t="s">
        <v>32</v>
      </c>
      <c r="H62" s="9"/>
      <c r="I62" s="9"/>
      <c r="J62" s="10"/>
    </row>
    <row r="63" spans="1:10" x14ac:dyDescent="0.25">
      <c r="A63" s="53" t="s">
        <v>19</v>
      </c>
      <c r="B63" s="53"/>
      <c r="C63" s="53"/>
      <c r="D63" s="40" t="s">
        <v>12</v>
      </c>
      <c r="E63" s="8" t="s">
        <v>33</v>
      </c>
      <c r="H63" s="9"/>
      <c r="I63" s="9"/>
      <c r="J63" s="10"/>
    </row>
    <row r="64" spans="1:10" x14ac:dyDescent="0.25">
      <c r="A64" s="53" t="s">
        <v>20</v>
      </c>
      <c r="B64" s="53"/>
      <c r="C64" s="53"/>
      <c r="D64" s="40" t="s">
        <v>12</v>
      </c>
      <c r="E64" s="47">
        <v>2026</v>
      </c>
      <c r="H64" s="9"/>
      <c r="I64" s="9"/>
      <c r="J64" s="10"/>
    </row>
    <row r="65" spans="1:10" x14ac:dyDescent="0.25">
      <c r="A65" s="53" t="s">
        <v>21</v>
      </c>
      <c r="B65" s="53"/>
      <c r="C65" s="53"/>
      <c r="D65" s="40" t="s">
        <v>12</v>
      </c>
      <c r="E65" s="44">
        <f>I78</f>
        <v>935000</v>
      </c>
      <c r="H65" s="9"/>
      <c r="I65" s="9"/>
      <c r="J65" s="10"/>
    </row>
    <row r="66" spans="1:10" ht="15.75" x14ac:dyDescent="0.25">
      <c r="A66" s="8"/>
      <c r="B66" s="8"/>
      <c r="C66" s="11" t="s">
        <v>0</v>
      </c>
      <c r="D66" s="40" t="s">
        <v>12</v>
      </c>
      <c r="E66" s="51" t="str">
        <f>PROPER(IF(E65=0,"nol",IF(E65&lt;0,"minus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65),"000000000000000"),1,3)=0,"",MID(TEXT(ABS(E65),"000000000000000"),1,1)&amp;" ratus "&amp;MID(TEXT(ABS(E65),"000000000000000"),2,1)&amp;" puluh "&amp;MID(TEXT(ABS(E65),"000000000000000"),3,1)&amp;" trilyun ")&amp;IF(--MID(TEXT(ABS(E65),"000000000000000"),4,3)=0,"",MID(TEXT(ABS(E65),"000000000000000"),4,1)&amp;" ratus "&amp;MID(TEXT(ABS(E65),"000000000000000"),5,1)&amp;" puluh "&amp;MID(TEXT(ABS(E65),"000000000000000"),6,1)&amp;" milyar ")&amp;IF(--MID(TEXT(ABS(E65),"000000000000000"),7,3)=0,"",MID(TEXT(ABS(E65),"000000000000000"),7,1)&amp;" ratus "&amp;MID(TEXT(ABS(E65),"000000000000000"),8,1)&amp;" puluh "&amp;MID(TEXT(ABS(E65),"000000000000000"),9,1)&amp;" juta ")&amp;IF(--MID(TEXT(ABS(E65),"000000000000000"),10,3)=0,"",IF(--MID(TEXT(ABS(E65),"000000000000000"),10,3)=1,"*",MID(TEXT(ABS(E65),"000000000000000"),10,1)&amp;" ratus "&amp;MID(TEXT(ABS(E65),"000000000000000"),11,1)&amp;" puluh ")&amp;MID(TEXT(ABS(E65),"000000000000000"),12,1)&amp;" ribu ")&amp;IF(--MID(TEXT(ABS(E65),"000000000000000"),13,3)=0,"",MID(TEXT(ABS(E65),"000000000000000"),13,1)&amp;" ratus "&amp;MID(TEXT(ABS(E65),"000000000000000"),14,1)&amp;" puluh "&amp;MID(TEXT(ABS(E65),"000000000000000"),15,1)),1,"satu"),2,"dua"),3,"tiga"),4,"empat"),5,"lima"),6,"enam"),7,"tujuh"),8,"delapan"),9,"sembilan"),"0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Lima Ribu Rupiah</v>
      </c>
      <c r="H66" s="9"/>
      <c r="I66" s="9"/>
      <c r="J66" s="10"/>
    </row>
    <row r="67" spans="1:10" ht="15.75" x14ac:dyDescent="0.25">
      <c r="A67" s="8"/>
      <c r="B67" s="8"/>
      <c r="C67" s="11"/>
      <c r="D67" s="11"/>
      <c r="E67" s="11"/>
      <c r="F67" s="40"/>
      <c r="G67" s="51"/>
      <c r="H67" s="9"/>
      <c r="I67" s="9"/>
      <c r="J67" s="10"/>
    </row>
    <row r="68" spans="1:10" x14ac:dyDescent="0.25">
      <c r="A68" s="8" t="s">
        <v>1</v>
      </c>
      <c r="B68" s="8"/>
      <c r="C68" s="8"/>
      <c r="D68" s="8"/>
      <c r="E68" s="8"/>
      <c r="F68" s="8"/>
      <c r="G68" s="8"/>
      <c r="H68" s="9"/>
      <c r="I68" s="9"/>
      <c r="J68" s="10"/>
    </row>
    <row r="69" spans="1:10" x14ac:dyDescent="0.25">
      <c r="A69" s="62" t="s">
        <v>2</v>
      </c>
      <c r="B69" s="62"/>
      <c r="C69" s="62"/>
      <c r="D69" s="62"/>
      <c r="E69" s="62"/>
      <c r="F69" s="62"/>
      <c r="G69" s="62"/>
      <c r="H69" s="62"/>
      <c r="I69" s="62"/>
      <c r="J69" s="62"/>
    </row>
    <row r="70" spans="1:10" ht="45" x14ac:dyDescent="0.25">
      <c r="A70" s="12" t="s">
        <v>3</v>
      </c>
      <c r="B70" s="58"/>
      <c r="C70" s="63" t="s">
        <v>4</v>
      </c>
      <c r="D70" s="64"/>
      <c r="E70" s="65"/>
      <c r="F70" s="50"/>
      <c r="G70" s="41" t="s">
        <v>5</v>
      </c>
      <c r="H70" s="13" t="s">
        <v>17</v>
      </c>
      <c r="I70" s="14" t="s">
        <v>6</v>
      </c>
      <c r="J70" s="15" t="s">
        <v>7</v>
      </c>
    </row>
    <row r="71" spans="1:10" x14ac:dyDescent="0.25">
      <c r="A71" s="59">
        <v>1</v>
      </c>
      <c r="B71" s="48"/>
      <c r="C71" s="55" t="s">
        <v>34</v>
      </c>
      <c r="D71" s="57"/>
      <c r="E71" s="45"/>
      <c r="F71" s="39"/>
      <c r="G71" s="56" t="s">
        <v>30</v>
      </c>
      <c r="H71" s="56" t="s">
        <v>30</v>
      </c>
      <c r="I71" s="56" t="s">
        <v>30</v>
      </c>
      <c r="J71" s="56" t="s">
        <v>30</v>
      </c>
    </row>
    <row r="72" spans="1:10" x14ac:dyDescent="0.25">
      <c r="A72" s="48"/>
      <c r="B72" s="48" t="s">
        <v>22</v>
      </c>
      <c r="C72" s="39" t="s">
        <v>39</v>
      </c>
      <c r="D72" s="8"/>
      <c r="E72" s="45"/>
      <c r="F72" s="39"/>
      <c r="G72" s="52">
        <v>10000000</v>
      </c>
      <c r="H72" s="46">
        <f>H24+I24</f>
        <v>0</v>
      </c>
      <c r="I72" s="36">
        <v>0</v>
      </c>
      <c r="J72" s="37">
        <f t="shared" ref="J72:J77" si="1">G72-H72-I72</f>
        <v>10000000</v>
      </c>
    </row>
    <row r="73" spans="1:10" x14ac:dyDescent="0.25">
      <c r="A73" s="48"/>
      <c r="B73" s="48" t="s">
        <v>23</v>
      </c>
      <c r="C73" s="39" t="s">
        <v>36</v>
      </c>
      <c r="D73" s="8"/>
      <c r="E73" s="45"/>
      <c r="F73" s="39"/>
      <c r="G73" s="52">
        <v>28600000</v>
      </c>
      <c r="H73" s="46">
        <f t="shared" ref="H73:H77" si="2">H25+I25</f>
        <v>0</v>
      </c>
      <c r="I73" s="36">
        <v>0</v>
      </c>
      <c r="J73" s="37">
        <f t="shared" si="1"/>
        <v>28600000</v>
      </c>
    </row>
    <row r="74" spans="1:10" ht="29.25" customHeight="1" x14ac:dyDescent="0.25">
      <c r="A74" s="48"/>
      <c r="B74" s="48" t="s">
        <v>24</v>
      </c>
      <c r="C74" s="66" t="s">
        <v>35</v>
      </c>
      <c r="D74" s="67"/>
      <c r="E74" s="68"/>
      <c r="F74" s="39"/>
      <c r="G74" s="60">
        <v>20000000</v>
      </c>
      <c r="H74" s="46">
        <f t="shared" si="2"/>
        <v>850000</v>
      </c>
      <c r="I74" s="46">
        <v>935000</v>
      </c>
      <c r="J74" s="61">
        <f t="shared" si="1"/>
        <v>18215000</v>
      </c>
    </row>
    <row r="75" spans="1:10" x14ac:dyDescent="0.25">
      <c r="A75" s="48"/>
      <c r="B75" s="48" t="s">
        <v>25</v>
      </c>
      <c r="C75" s="39" t="s">
        <v>40</v>
      </c>
      <c r="D75" s="8"/>
      <c r="E75" s="45"/>
      <c r="F75" s="39"/>
      <c r="G75" s="52">
        <v>3000000</v>
      </c>
      <c r="H75" s="46">
        <f t="shared" si="2"/>
        <v>0</v>
      </c>
      <c r="I75" s="36">
        <v>0</v>
      </c>
      <c r="J75" s="37">
        <f t="shared" si="1"/>
        <v>3000000</v>
      </c>
    </row>
    <row r="76" spans="1:10" x14ac:dyDescent="0.25">
      <c r="A76" s="48"/>
      <c r="B76" s="48" t="s">
        <v>43</v>
      </c>
      <c r="C76" s="39" t="s">
        <v>41</v>
      </c>
      <c r="D76" s="8"/>
      <c r="E76" s="45"/>
      <c r="F76" s="39"/>
      <c r="G76" s="52">
        <v>15000000</v>
      </c>
      <c r="H76" s="46">
        <f t="shared" si="2"/>
        <v>0</v>
      </c>
      <c r="I76" s="36">
        <v>0</v>
      </c>
      <c r="J76" s="37">
        <f t="shared" si="1"/>
        <v>15000000</v>
      </c>
    </row>
    <row r="77" spans="1:10" x14ac:dyDescent="0.25">
      <c r="A77" s="48"/>
      <c r="B77" s="48" t="s">
        <v>44</v>
      </c>
      <c r="C77" s="39" t="s">
        <v>42</v>
      </c>
      <c r="D77" s="8"/>
      <c r="E77" s="45"/>
      <c r="F77" s="39"/>
      <c r="G77" s="52">
        <v>28175000</v>
      </c>
      <c r="H77" s="46">
        <f t="shared" si="2"/>
        <v>0</v>
      </c>
      <c r="I77" s="36">
        <v>0</v>
      </c>
      <c r="J77" s="37">
        <f t="shared" si="1"/>
        <v>28175000</v>
      </c>
    </row>
    <row r="78" spans="1:10" x14ac:dyDescent="0.25">
      <c r="A78" s="16"/>
      <c r="B78" s="16"/>
      <c r="C78" s="17" t="s">
        <v>8</v>
      </c>
      <c r="D78" s="17"/>
      <c r="E78" s="17"/>
      <c r="F78" s="43"/>
      <c r="G78" s="42">
        <f>SUM(G71:G77)</f>
        <v>104775000</v>
      </c>
      <c r="H78" s="18">
        <f>SUM(H71:H75)</f>
        <v>850000</v>
      </c>
      <c r="I78" s="18">
        <f>SUM(I71:I75)</f>
        <v>935000</v>
      </c>
      <c r="J78" s="18">
        <f>SUM(J71:K77)</f>
        <v>102990000</v>
      </c>
    </row>
    <row r="79" spans="1:10" x14ac:dyDescent="0.25">
      <c r="A79" s="19"/>
      <c r="B79" s="54"/>
      <c r="C79" s="6"/>
      <c r="D79" s="6"/>
      <c r="E79" s="6"/>
      <c r="F79" s="6"/>
      <c r="G79" s="20"/>
      <c r="H79" s="20"/>
      <c r="I79" s="20"/>
      <c r="J79" s="20"/>
    </row>
    <row r="80" spans="1:10" x14ac:dyDescent="0.25">
      <c r="A80" s="69" t="s">
        <v>14</v>
      </c>
      <c r="B80" s="69"/>
      <c r="C80" s="69"/>
      <c r="D80" s="33" t="s">
        <v>12</v>
      </c>
      <c r="E80" s="44">
        <f>I78</f>
        <v>935000</v>
      </c>
      <c r="F80" s="38"/>
      <c r="G80" s="21"/>
      <c r="H80" s="21"/>
      <c r="I80" s="10"/>
      <c r="J80" s="10"/>
    </row>
    <row r="81" spans="1:10" x14ac:dyDescent="0.25">
      <c r="A81" s="8" t="s">
        <v>9</v>
      </c>
      <c r="B81" s="8"/>
      <c r="C81" s="8"/>
      <c r="D81" s="33" t="s">
        <v>12</v>
      </c>
      <c r="E81" s="34"/>
      <c r="F81" s="34"/>
      <c r="G81" s="22"/>
      <c r="H81" s="9"/>
      <c r="I81" s="10"/>
      <c r="J81" s="10"/>
    </row>
    <row r="82" spans="1:10" x14ac:dyDescent="0.25">
      <c r="A82" s="8" t="s">
        <v>16</v>
      </c>
      <c r="B82" s="8"/>
      <c r="C82" s="8"/>
      <c r="D82" s="33" t="s">
        <v>12</v>
      </c>
      <c r="E82" s="35"/>
      <c r="F82" s="35"/>
      <c r="G82" s="22"/>
      <c r="H82" s="9"/>
      <c r="I82" s="10"/>
      <c r="J82" s="10"/>
    </row>
    <row r="83" spans="1:10" x14ac:dyDescent="0.25">
      <c r="A83" s="8" t="s">
        <v>10</v>
      </c>
      <c r="B83" s="8"/>
      <c r="C83" s="8"/>
      <c r="D83" s="33" t="s">
        <v>12</v>
      </c>
      <c r="E83" s="35">
        <f>E81+E82</f>
        <v>0</v>
      </c>
      <c r="F83" s="35"/>
      <c r="G83" s="8"/>
      <c r="H83" s="9"/>
      <c r="I83" s="23"/>
      <c r="J83" s="24"/>
    </row>
    <row r="84" spans="1:10" x14ac:dyDescent="0.25">
      <c r="A84" s="47"/>
      <c r="B84" s="47"/>
      <c r="C84" s="47"/>
      <c r="D84" s="33"/>
      <c r="E84" s="47"/>
      <c r="F84" s="47"/>
      <c r="G84" s="8"/>
      <c r="H84" s="9"/>
      <c r="I84" s="23"/>
      <c r="J84" s="24"/>
    </row>
    <row r="85" spans="1:10" x14ac:dyDescent="0.25">
      <c r="A85" s="69" t="s">
        <v>15</v>
      </c>
      <c r="B85" s="69"/>
      <c r="C85" s="69"/>
      <c r="D85" s="33" t="s">
        <v>12</v>
      </c>
      <c r="E85" s="38">
        <f>E80-E83</f>
        <v>935000</v>
      </c>
      <c r="F85" s="38"/>
      <c r="G85" s="8"/>
      <c r="H85" s="9"/>
      <c r="I85" s="23"/>
      <c r="J85" s="24"/>
    </row>
    <row r="86" spans="1:10" ht="15.75" x14ac:dyDescent="0.25">
      <c r="A86" s="47"/>
      <c r="B86" s="47"/>
      <c r="C86" s="8"/>
      <c r="D86" s="8"/>
      <c r="E86" s="51" t="str">
        <f>PROPER(IF(E85=0,"nol",IF(E85&lt;0,"minus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85),"000000000000000"),1,3)=0,"",MID(TEXT(ABS(E85),"000000000000000"),1,1)&amp;" ratus "&amp;MID(TEXT(ABS(E85),"000000000000000"),2,1)&amp;" puluh "&amp;MID(TEXT(ABS(E85),"000000000000000"),3,1)&amp;" trilyun ")&amp;IF(--MID(TEXT(ABS(E85),"000000000000000"),4,3)=0,"",MID(TEXT(ABS(E85),"000000000000000"),4,1)&amp;" ratus "&amp;MID(TEXT(ABS(E85),"000000000000000"),5,1)&amp;" puluh "&amp;MID(TEXT(ABS(E85),"000000000000000"),6,1)&amp;" milyar ")&amp;IF(--MID(TEXT(ABS(E85),"000000000000000"),7,3)=0,"",MID(TEXT(ABS(E85),"000000000000000"),7,1)&amp;" ratus "&amp;MID(TEXT(ABS(E85),"000000000000000"),8,1)&amp;" puluh "&amp;MID(TEXT(ABS(E85),"000000000000000"),9,1)&amp;" juta ")&amp;IF(--MID(TEXT(ABS(E85),"000000000000000"),10,3)=0,"",IF(--MID(TEXT(ABS(E85),"000000000000000"),10,3)=1,"*",MID(TEXT(ABS(E85),"000000000000000"),10,1)&amp;" ratus "&amp;MID(TEXT(ABS(E85),"000000000000000"),11,1)&amp;" puluh ")&amp;MID(TEXT(ABS(E85),"000000000000000"),12,1)&amp;" ribu ")&amp;IF(--MID(TEXT(ABS(E85),"000000000000000"),13,3)=0,"",MID(TEXT(ABS(E85),"000000000000000"),13,1)&amp;" ratus "&amp;MID(TEXT(ABS(E85),"000000000000000"),14,1)&amp;" puluh "&amp;MID(TEXT(ABS(E85),"000000000000000"),15,1)),1,"satu"),2,"dua"),3,"tiga"),4,"empat"),5,"lima"),6,"enam"),7,"tujuh"),8,"delapan"),9,"sembilan"),"0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Tiga Puluh Lima Ribu Rupiah</v>
      </c>
      <c r="F86" s="8"/>
      <c r="G86" s="8"/>
      <c r="H86" s="8"/>
      <c r="I86" s="23"/>
      <c r="J86" s="24"/>
    </row>
    <row r="87" spans="1:10" x14ac:dyDescent="0.25">
      <c r="A87" s="26"/>
      <c r="B87" s="26"/>
      <c r="C87" s="26"/>
      <c r="D87" s="26"/>
      <c r="E87" s="26"/>
      <c r="F87" s="26"/>
      <c r="G87" s="25"/>
      <c r="H87" s="24"/>
      <c r="I87" s="23"/>
      <c r="J87" s="24"/>
    </row>
    <row r="88" spans="1:10" x14ac:dyDescent="0.25">
      <c r="A88" s="25"/>
      <c r="B88" s="25"/>
      <c r="C88" s="25"/>
      <c r="D88" s="25"/>
      <c r="E88" s="25"/>
      <c r="F88" s="25"/>
      <c r="G88" s="25"/>
      <c r="H88"/>
      <c r="I88" s="24"/>
      <c r="J88" s="24"/>
    </row>
    <row r="89" spans="1:10" x14ac:dyDescent="0.25">
      <c r="A89" s="47"/>
      <c r="B89" s="47"/>
      <c r="C89" s="8"/>
      <c r="D89" s="8"/>
      <c r="E89" s="8"/>
      <c r="F89" s="8"/>
      <c r="G89" s="8"/>
      <c r="I89" s="49" t="s">
        <v>48</v>
      </c>
      <c r="J89" s="24"/>
    </row>
    <row r="90" spans="1:10" x14ac:dyDescent="0.25">
      <c r="A90" s="9" t="s">
        <v>28</v>
      </c>
      <c r="B90" s="9"/>
      <c r="C90" s="8"/>
      <c r="D90" s="8"/>
      <c r="E90" s="8"/>
      <c r="F90" s="8"/>
      <c r="G90" s="8"/>
      <c r="I90" s="9" t="s">
        <v>27</v>
      </c>
      <c r="J90" s="24"/>
    </row>
    <row r="91" spans="1:10" x14ac:dyDescent="0.25">
      <c r="A91" s="8"/>
      <c r="B91" s="8"/>
      <c r="C91" s="8"/>
      <c r="D91" s="8"/>
      <c r="E91" s="8"/>
      <c r="F91" s="8"/>
      <c r="G91" s="8"/>
      <c r="I91" s="9"/>
      <c r="J91" s="24"/>
    </row>
    <row r="92" spans="1:10" x14ac:dyDescent="0.25">
      <c r="A92" s="8"/>
      <c r="B92" s="8"/>
      <c r="C92" s="8"/>
      <c r="D92" s="8"/>
      <c r="E92" s="8"/>
      <c r="F92" s="8"/>
      <c r="G92" s="8"/>
      <c r="I92" s="9"/>
      <c r="J92" s="24"/>
    </row>
    <row r="93" spans="1:10" x14ac:dyDescent="0.25">
      <c r="A93" s="8"/>
      <c r="B93" s="8"/>
      <c r="C93" s="8"/>
      <c r="D93" s="8"/>
      <c r="E93" s="8"/>
      <c r="F93" s="8"/>
      <c r="G93" s="8"/>
      <c r="I93" s="9"/>
      <c r="J93" s="24"/>
    </row>
    <row r="94" spans="1:10" x14ac:dyDescent="0.25">
      <c r="A94" s="8"/>
      <c r="B94" s="8"/>
      <c r="C94" s="8"/>
      <c r="D94" s="8"/>
      <c r="E94" s="8"/>
      <c r="F94" s="8"/>
      <c r="G94" s="8"/>
      <c r="I94" s="9"/>
      <c r="J94" s="24"/>
    </row>
    <row r="95" spans="1:10" x14ac:dyDescent="0.25">
      <c r="A95" s="28" t="s">
        <v>37</v>
      </c>
      <c r="B95" s="28"/>
      <c r="C95" s="27"/>
      <c r="D95" s="27"/>
      <c r="E95" s="27"/>
      <c r="F95" s="27"/>
      <c r="G95" s="8" t="s">
        <v>11</v>
      </c>
      <c r="I95" s="28" t="s">
        <v>29</v>
      </c>
      <c r="J95" s="24"/>
    </row>
    <row r="100" spans="1:10" ht="15.75" x14ac:dyDescent="0.25">
      <c r="C100" s="3"/>
      <c r="D100" s="3"/>
      <c r="E100" s="3"/>
      <c r="F100" s="3"/>
    </row>
    <row r="101" spans="1:10" ht="15.75" x14ac:dyDescent="0.25">
      <c r="A101" s="2"/>
      <c r="B101" s="2"/>
      <c r="C101" s="3"/>
      <c r="D101" s="3"/>
      <c r="E101" s="3"/>
      <c r="F101" s="3"/>
      <c r="G101" s="2"/>
      <c r="H101" s="4"/>
      <c r="I101" s="4"/>
      <c r="J101" s="5"/>
    </row>
    <row r="102" spans="1:10" x14ac:dyDescent="0.25">
      <c r="H102" s="5"/>
      <c r="I102" s="5"/>
      <c r="J102" s="5"/>
    </row>
    <row r="103" spans="1:10" x14ac:dyDescent="0.25">
      <c r="H103" s="5"/>
      <c r="I103" s="5"/>
      <c r="J103" s="5"/>
    </row>
    <row r="104" spans="1:10" x14ac:dyDescent="0.25">
      <c r="A104" s="70" t="s">
        <v>31</v>
      </c>
      <c r="B104" s="70"/>
      <c r="C104" s="71"/>
      <c r="D104" s="71"/>
      <c r="E104" s="71"/>
      <c r="F104" s="71"/>
      <c r="G104" s="71"/>
      <c r="H104" s="71"/>
      <c r="I104" s="71"/>
      <c r="J104" s="71"/>
    </row>
    <row r="105" spans="1:10" x14ac:dyDescent="0.25">
      <c r="A105" s="71" t="s">
        <v>49</v>
      </c>
      <c r="B105" s="71"/>
      <c r="C105" s="71"/>
      <c r="D105" s="71"/>
      <c r="E105" s="71"/>
      <c r="F105" s="71"/>
      <c r="G105" s="71"/>
      <c r="H105" s="71"/>
      <c r="I105" s="71"/>
      <c r="J105" s="71"/>
    </row>
    <row r="106" spans="1:10" x14ac:dyDescent="0.25">
      <c r="A106" s="71" t="s">
        <v>13</v>
      </c>
      <c r="B106" s="71"/>
      <c r="C106" s="71"/>
      <c r="D106" s="71"/>
      <c r="E106" s="71"/>
      <c r="F106" s="71"/>
      <c r="G106" s="71"/>
      <c r="H106" s="71"/>
      <c r="I106" s="71"/>
      <c r="J106" s="71"/>
    </row>
    <row r="107" spans="1:10" x14ac:dyDescent="0.25">
      <c r="A107" s="71" t="s">
        <v>38</v>
      </c>
      <c r="B107" s="71"/>
      <c r="C107" s="71"/>
      <c r="D107" s="71"/>
      <c r="E107" s="71"/>
      <c r="F107" s="71"/>
      <c r="G107" s="71"/>
      <c r="H107" s="71"/>
      <c r="I107" s="71"/>
      <c r="J107" s="71"/>
    </row>
    <row r="108" spans="1:10" x14ac:dyDescent="0.25">
      <c r="A108" s="71" t="s">
        <v>26</v>
      </c>
      <c r="B108" s="71"/>
      <c r="C108" s="71"/>
      <c r="D108" s="71"/>
      <c r="E108" s="71"/>
      <c r="F108" s="71"/>
      <c r="G108" s="71"/>
      <c r="H108" s="71"/>
      <c r="I108" s="71"/>
      <c r="J108" s="71"/>
    </row>
    <row r="109" spans="1:10" x14ac:dyDescent="0.25">
      <c r="A109" s="32"/>
      <c r="B109" s="32"/>
      <c r="C109" s="7"/>
      <c r="D109" s="7"/>
      <c r="E109" s="7"/>
      <c r="F109" s="7"/>
      <c r="G109" s="6"/>
      <c r="H109" s="10"/>
      <c r="I109" s="10"/>
      <c r="J109" s="10"/>
    </row>
    <row r="110" spans="1:10" x14ac:dyDescent="0.25">
      <c r="A110" s="53" t="s">
        <v>18</v>
      </c>
      <c r="B110" s="53"/>
      <c r="C110" s="53"/>
      <c r="D110" s="40" t="s">
        <v>12</v>
      </c>
      <c r="E110" s="8" t="s">
        <v>32</v>
      </c>
      <c r="H110" s="9"/>
      <c r="I110" s="9"/>
      <c r="J110" s="10"/>
    </row>
    <row r="111" spans="1:10" x14ac:dyDescent="0.25">
      <c r="A111" s="53" t="s">
        <v>19</v>
      </c>
      <c r="B111" s="53"/>
      <c r="C111" s="53"/>
      <c r="D111" s="40" t="s">
        <v>12</v>
      </c>
      <c r="E111" s="8" t="s">
        <v>33</v>
      </c>
      <c r="H111" s="9"/>
      <c r="I111" s="9"/>
      <c r="J111" s="10"/>
    </row>
    <row r="112" spans="1:10" x14ac:dyDescent="0.25">
      <c r="A112" s="53" t="s">
        <v>20</v>
      </c>
      <c r="B112" s="53"/>
      <c r="C112" s="53"/>
      <c r="D112" s="40" t="s">
        <v>12</v>
      </c>
      <c r="E112" s="47">
        <v>2026</v>
      </c>
      <c r="H112" s="9"/>
      <c r="I112" s="9"/>
      <c r="J112" s="10"/>
    </row>
    <row r="113" spans="1:10" x14ac:dyDescent="0.25">
      <c r="A113" s="53" t="s">
        <v>21</v>
      </c>
      <c r="B113" s="53"/>
      <c r="C113" s="53"/>
      <c r="D113" s="40" t="s">
        <v>12</v>
      </c>
      <c r="E113" s="44">
        <f>I126</f>
        <v>30000</v>
      </c>
      <c r="H113" s="9"/>
      <c r="I113" s="9"/>
      <c r="J113" s="10"/>
    </row>
    <row r="114" spans="1:10" ht="15.75" x14ac:dyDescent="0.25">
      <c r="A114" s="8"/>
      <c r="B114" s="8"/>
      <c r="C114" s="11" t="s">
        <v>0</v>
      </c>
      <c r="D114" s="40" t="s">
        <v>12</v>
      </c>
      <c r="E114" s="51" t="str">
        <f>PROPER(IF(E113=0,"nol",IF(E113&lt;0,"minus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113),"000000000000000"),1,3)=0,"",MID(TEXT(ABS(E113),"000000000000000"),1,1)&amp;" ratus "&amp;MID(TEXT(ABS(E113),"000000000000000"),2,1)&amp;" puluh "&amp;MID(TEXT(ABS(E113),"000000000000000"),3,1)&amp;" trilyun ")&amp;IF(--MID(TEXT(ABS(E113),"000000000000000"),4,3)=0,"",MID(TEXT(ABS(E113),"000000000000000"),4,1)&amp;" ratus "&amp;MID(TEXT(ABS(E113),"000000000000000"),5,1)&amp;" puluh "&amp;MID(TEXT(ABS(E113),"000000000000000"),6,1)&amp;" milyar ")&amp;IF(--MID(TEXT(ABS(E113),"000000000000000"),7,3)=0,"",MID(TEXT(ABS(E113),"000000000000000"),7,1)&amp;" ratus "&amp;MID(TEXT(ABS(E113),"000000000000000"),8,1)&amp;" puluh "&amp;MID(TEXT(ABS(E113),"000000000000000"),9,1)&amp;" juta ")&amp;IF(--MID(TEXT(ABS(E113),"000000000000000"),10,3)=0,"",IF(--MID(TEXT(ABS(E113),"000000000000000"),10,3)=1,"*",MID(TEXT(ABS(E113),"000000000000000"),10,1)&amp;" ratus "&amp;MID(TEXT(ABS(E113),"000000000000000"),11,1)&amp;" puluh ")&amp;MID(TEXT(ABS(E113),"000000000000000"),12,1)&amp;" ribu ")&amp;IF(--MID(TEXT(ABS(E113),"000000000000000"),13,3)=0,"",MID(TEXT(ABS(E113),"000000000000000"),13,1)&amp;" ratus "&amp;MID(TEXT(ABS(E113),"000000000000000"),14,1)&amp;" puluh "&amp;MID(TEXT(ABS(E113),"000000000000000"),15,1)),1,"satu"),2,"dua"),3,"tiga"),4,"empat"),5,"lima"),6,"enam"),7,"tujuh"),8,"delapan"),9,"sembilan"),"0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Ribu Rupiah</v>
      </c>
      <c r="H114" s="9"/>
      <c r="I114" s="9"/>
      <c r="J114" s="10"/>
    </row>
    <row r="115" spans="1:10" ht="15.75" x14ac:dyDescent="0.25">
      <c r="A115" s="8"/>
      <c r="B115" s="8"/>
      <c r="C115" s="11"/>
      <c r="D115" s="11"/>
      <c r="E115" s="11"/>
      <c r="F115" s="40"/>
      <c r="G115" s="51"/>
      <c r="H115" s="9"/>
      <c r="I115" s="9"/>
      <c r="J115" s="10"/>
    </row>
    <row r="116" spans="1:10" x14ac:dyDescent="0.25">
      <c r="A116" s="8" t="s">
        <v>1</v>
      </c>
      <c r="B116" s="8"/>
      <c r="C116" s="8"/>
      <c r="D116" s="8"/>
      <c r="E116" s="8"/>
      <c r="F116" s="8"/>
      <c r="G116" s="8"/>
      <c r="H116" s="9"/>
      <c r="I116" s="9"/>
      <c r="J116" s="10"/>
    </row>
    <row r="117" spans="1:10" x14ac:dyDescent="0.25">
      <c r="A117" s="62" t="s">
        <v>2</v>
      </c>
      <c r="B117" s="62"/>
      <c r="C117" s="62"/>
      <c r="D117" s="62"/>
      <c r="E117" s="62"/>
      <c r="F117" s="62"/>
      <c r="G117" s="62"/>
      <c r="H117" s="62"/>
      <c r="I117" s="62"/>
      <c r="J117" s="62"/>
    </row>
    <row r="118" spans="1:10" ht="45" x14ac:dyDescent="0.25">
      <c r="A118" s="12" t="s">
        <v>3</v>
      </c>
      <c r="B118" s="58"/>
      <c r="C118" s="63" t="s">
        <v>4</v>
      </c>
      <c r="D118" s="64"/>
      <c r="E118" s="65"/>
      <c r="F118" s="50"/>
      <c r="G118" s="41" t="s">
        <v>5</v>
      </c>
      <c r="H118" s="13" t="s">
        <v>17</v>
      </c>
      <c r="I118" s="14" t="s">
        <v>6</v>
      </c>
      <c r="J118" s="15" t="s">
        <v>7</v>
      </c>
    </row>
    <row r="119" spans="1:10" x14ac:dyDescent="0.25">
      <c r="A119" s="59">
        <v>1</v>
      </c>
      <c r="B119" s="48"/>
      <c r="C119" s="55" t="s">
        <v>34</v>
      </c>
      <c r="D119" s="57"/>
      <c r="E119" s="45"/>
      <c r="F119" s="39"/>
      <c r="G119" s="56" t="s">
        <v>30</v>
      </c>
      <c r="H119" s="56" t="s">
        <v>30</v>
      </c>
      <c r="I119" s="56" t="s">
        <v>30</v>
      </c>
      <c r="J119" s="56" t="s">
        <v>30</v>
      </c>
    </row>
    <row r="120" spans="1:10" x14ac:dyDescent="0.25">
      <c r="A120" s="48"/>
      <c r="B120" s="48" t="s">
        <v>22</v>
      </c>
      <c r="C120" s="39" t="s">
        <v>39</v>
      </c>
      <c r="D120" s="8"/>
      <c r="E120" s="45"/>
      <c r="F120" s="39"/>
      <c r="G120" s="52">
        <v>10000000</v>
      </c>
      <c r="H120" s="46">
        <f>H72+I72</f>
        <v>0</v>
      </c>
      <c r="I120" s="36">
        <v>0</v>
      </c>
      <c r="J120" s="37">
        <f t="shared" ref="J120:J125" si="3">G120-H120-I120</f>
        <v>10000000</v>
      </c>
    </row>
    <row r="121" spans="1:10" x14ac:dyDescent="0.25">
      <c r="A121" s="48"/>
      <c r="B121" s="48" t="s">
        <v>23</v>
      </c>
      <c r="C121" s="39" t="s">
        <v>36</v>
      </c>
      <c r="D121" s="8"/>
      <c r="E121" s="45"/>
      <c r="F121" s="39"/>
      <c r="G121" s="52">
        <v>28600000</v>
      </c>
      <c r="H121" s="46">
        <f t="shared" ref="H121:H125" si="4">H73+I73</f>
        <v>0</v>
      </c>
      <c r="I121" s="36">
        <v>0</v>
      </c>
      <c r="J121" s="37">
        <f t="shared" si="3"/>
        <v>28600000</v>
      </c>
    </row>
    <row r="122" spans="1:10" x14ac:dyDescent="0.25">
      <c r="A122" s="48"/>
      <c r="B122" s="48" t="s">
        <v>24</v>
      </c>
      <c r="C122" s="66" t="s">
        <v>35</v>
      </c>
      <c r="D122" s="67"/>
      <c r="E122" s="68"/>
      <c r="F122" s="39"/>
      <c r="G122" s="60">
        <v>20000000</v>
      </c>
      <c r="H122" s="46">
        <f>H74+I74</f>
        <v>1785000</v>
      </c>
      <c r="I122" s="46">
        <v>0</v>
      </c>
      <c r="J122" s="61">
        <f t="shared" si="3"/>
        <v>18215000</v>
      </c>
    </row>
    <row r="123" spans="1:10" x14ac:dyDescent="0.25">
      <c r="A123" s="48"/>
      <c r="B123" s="48" t="s">
        <v>25</v>
      </c>
      <c r="C123" s="39" t="s">
        <v>40</v>
      </c>
      <c r="D123" s="8"/>
      <c r="E123" s="45"/>
      <c r="F123" s="39"/>
      <c r="G123" s="52">
        <v>3000000</v>
      </c>
      <c r="H123" s="46">
        <f t="shared" si="4"/>
        <v>0</v>
      </c>
      <c r="I123" s="36">
        <v>30000</v>
      </c>
      <c r="J123" s="37">
        <f t="shared" si="3"/>
        <v>2970000</v>
      </c>
    </row>
    <row r="124" spans="1:10" x14ac:dyDescent="0.25">
      <c r="A124" s="48"/>
      <c r="B124" s="48" t="s">
        <v>43</v>
      </c>
      <c r="C124" s="39" t="s">
        <v>41</v>
      </c>
      <c r="D124" s="8"/>
      <c r="E124" s="45"/>
      <c r="F124" s="39"/>
      <c r="G124" s="52">
        <v>15000000</v>
      </c>
      <c r="H124" s="46">
        <f t="shared" si="4"/>
        <v>0</v>
      </c>
      <c r="I124" s="36">
        <v>0</v>
      </c>
      <c r="J124" s="37">
        <f t="shared" si="3"/>
        <v>15000000</v>
      </c>
    </row>
    <row r="125" spans="1:10" x14ac:dyDescent="0.25">
      <c r="A125" s="48"/>
      <c r="B125" s="48" t="s">
        <v>44</v>
      </c>
      <c r="C125" s="39" t="s">
        <v>42</v>
      </c>
      <c r="D125" s="8"/>
      <c r="E125" s="45"/>
      <c r="F125" s="39"/>
      <c r="G125" s="52">
        <v>28175000</v>
      </c>
      <c r="H125" s="46">
        <f t="shared" si="4"/>
        <v>0</v>
      </c>
      <c r="I125" s="36">
        <v>0</v>
      </c>
      <c r="J125" s="37">
        <f t="shared" si="3"/>
        <v>28175000</v>
      </c>
    </row>
    <row r="126" spans="1:10" x14ac:dyDescent="0.25">
      <c r="A126" s="16"/>
      <c r="B126" s="16"/>
      <c r="C126" s="17" t="s">
        <v>8</v>
      </c>
      <c r="D126" s="17"/>
      <c r="E126" s="17"/>
      <c r="F126" s="43"/>
      <c r="G126" s="42">
        <f>SUM(G119:G125)</f>
        <v>104775000</v>
      </c>
      <c r="H126" s="18">
        <f>SUM(H119:H123)</f>
        <v>1785000</v>
      </c>
      <c r="I126" s="18">
        <f>SUM(I119:I123)</f>
        <v>30000</v>
      </c>
      <c r="J126" s="18">
        <f>SUM(J119:K125)</f>
        <v>102960000</v>
      </c>
    </row>
    <row r="127" spans="1:10" x14ac:dyDescent="0.25">
      <c r="A127" s="19"/>
      <c r="B127" s="54"/>
      <c r="C127" s="6"/>
      <c r="D127" s="6"/>
      <c r="E127" s="6"/>
      <c r="F127" s="6"/>
      <c r="G127" s="20"/>
      <c r="H127" s="20"/>
      <c r="I127" s="20"/>
      <c r="J127" s="20"/>
    </row>
    <row r="128" spans="1:10" x14ac:dyDescent="0.25">
      <c r="A128" s="69" t="s">
        <v>14</v>
      </c>
      <c r="B128" s="69"/>
      <c r="C128" s="69"/>
      <c r="D128" s="33" t="s">
        <v>12</v>
      </c>
      <c r="E128" s="44">
        <f>I126</f>
        <v>30000</v>
      </c>
      <c r="F128" s="38"/>
      <c r="G128" s="21"/>
      <c r="H128" s="21"/>
      <c r="I128" s="10"/>
      <c r="J128" s="10"/>
    </row>
    <row r="129" spans="1:10" x14ac:dyDescent="0.25">
      <c r="A129" s="8" t="s">
        <v>9</v>
      </c>
      <c r="B129" s="8"/>
      <c r="C129" s="8"/>
      <c r="D129" s="33" t="s">
        <v>12</v>
      </c>
      <c r="E129" s="34"/>
      <c r="F129" s="34"/>
      <c r="G129" s="22"/>
      <c r="H129" s="9"/>
      <c r="I129" s="10"/>
      <c r="J129" s="10"/>
    </row>
    <row r="130" spans="1:10" x14ac:dyDescent="0.25">
      <c r="A130" s="8" t="s">
        <v>16</v>
      </c>
      <c r="B130" s="8"/>
      <c r="C130" s="8"/>
      <c r="D130" s="33" t="s">
        <v>12</v>
      </c>
      <c r="E130" s="35"/>
      <c r="F130" s="35"/>
      <c r="G130" s="22"/>
      <c r="H130" s="9"/>
      <c r="I130" s="10"/>
      <c r="J130" s="10"/>
    </row>
    <row r="131" spans="1:10" x14ac:dyDescent="0.25">
      <c r="A131" s="8" t="s">
        <v>10</v>
      </c>
      <c r="B131" s="8"/>
      <c r="C131" s="8"/>
      <c r="D131" s="33" t="s">
        <v>12</v>
      </c>
      <c r="E131" s="35">
        <f>E129+E130</f>
        <v>0</v>
      </c>
      <c r="F131" s="35"/>
      <c r="G131" s="8"/>
      <c r="H131" s="9"/>
      <c r="I131" s="23"/>
      <c r="J131" s="24"/>
    </row>
    <row r="132" spans="1:10" x14ac:dyDescent="0.25">
      <c r="A132" s="47"/>
      <c r="B132" s="47"/>
      <c r="C132" s="47"/>
      <c r="D132" s="33"/>
      <c r="E132" s="47"/>
      <c r="F132" s="47"/>
      <c r="G132" s="8"/>
      <c r="H132" s="9"/>
      <c r="I132" s="23"/>
      <c r="J132" s="24"/>
    </row>
    <row r="133" spans="1:10" x14ac:dyDescent="0.25">
      <c r="A133" s="69" t="s">
        <v>15</v>
      </c>
      <c r="B133" s="69"/>
      <c r="C133" s="69"/>
      <c r="D133" s="33" t="s">
        <v>12</v>
      </c>
      <c r="E133" s="38">
        <f>E128-E131</f>
        <v>30000</v>
      </c>
      <c r="F133" s="38"/>
      <c r="G133" s="8"/>
      <c r="H133" s="9"/>
      <c r="I133" s="23"/>
      <c r="J133" s="24"/>
    </row>
    <row r="134" spans="1:10" ht="15.75" x14ac:dyDescent="0.25">
      <c r="A134" s="47"/>
      <c r="B134" s="47"/>
      <c r="C134" s="8"/>
      <c r="D134" s="8"/>
      <c r="E134" s="51" t="str">
        <f>PROPER(IF(E133=0,"nol",IF(E133&lt;0,"minus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133),"000000000000000"),1,3)=0,"",MID(TEXT(ABS(E133),"000000000000000"),1,1)&amp;" ratus "&amp;MID(TEXT(ABS(E133),"000000000000000"),2,1)&amp;" puluh "&amp;MID(TEXT(ABS(E133),"000000000000000"),3,1)&amp;" trilyun ")&amp;IF(--MID(TEXT(ABS(E133),"000000000000000"),4,3)=0,"",MID(TEXT(ABS(E133),"000000000000000"),4,1)&amp;" ratus "&amp;MID(TEXT(ABS(E133),"000000000000000"),5,1)&amp;" puluh "&amp;MID(TEXT(ABS(E133),"000000000000000"),6,1)&amp;" milyar ")&amp;IF(--MID(TEXT(ABS(E133),"000000000000000"),7,3)=0,"",MID(TEXT(ABS(E133),"000000000000000"),7,1)&amp;" ratus "&amp;MID(TEXT(ABS(E133),"000000000000000"),8,1)&amp;" puluh "&amp;MID(TEXT(ABS(E133),"000000000000000"),9,1)&amp;" juta ")&amp;IF(--MID(TEXT(ABS(E133),"000000000000000"),10,3)=0,"",IF(--MID(TEXT(ABS(E133),"000000000000000"),10,3)=1,"*",MID(TEXT(ABS(E133),"000000000000000"),10,1)&amp;" ratus "&amp;MID(TEXT(ABS(E133),"000000000000000"),11,1)&amp;" puluh ")&amp;MID(TEXT(ABS(E133),"000000000000000"),12,1)&amp;" ribu ")&amp;IF(--MID(TEXT(ABS(E133),"000000000000000"),13,3)=0,"",MID(TEXT(ABS(E133),"000000000000000"),13,1)&amp;" ratus "&amp;MID(TEXT(ABS(E133),"000000000000000"),14,1)&amp;" puluh "&amp;MID(TEXT(ABS(E133),"000000000000000"),15,1)),1,"satu"),2,"dua"),3,"tiga"),4,"empat"),5,"lima"),6,"enam"),7,"tujuh"),8,"delapan"),9,"sembilan"),"0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Ribu Rupiah</v>
      </c>
      <c r="F134" s="8"/>
      <c r="G134" s="8"/>
      <c r="H134" s="8"/>
      <c r="I134" s="23"/>
      <c r="J134" s="24"/>
    </row>
    <row r="135" spans="1:10" x14ac:dyDescent="0.25">
      <c r="A135" s="26"/>
      <c r="B135" s="26"/>
      <c r="C135" s="26"/>
      <c r="D135" s="26"/>
      <c r="E135" s="26"/>
      <c r="F135" s="26"/>
      <c r="G135" s="25"/>
      <c r="H135" s="24"/>
      <c r="I135" s="23"/>
      <c r="J135" s="24"/>
    </row>
    <row r="136" spans="1:10" x14ac:dyDescent="0.25">
      <c r="A136" s="25"/>
      <c r="B136" s="25"/>
      <c r="C136" s="25"/>
      <c r="D136" s="25"/>
      <c r="E136" s="25"/>
      <c r="F136" s="25"/>
      <c r="G136" s="25"/>
      <c r="H136"/>
      <c r="I136" s="24"/>
      <c r="J136" s="24"/>
    </row>
    <row r="137" spans="1:10" x14ac:dyDescent="0.25">
      <c r="A137" s="47"/>
      <c r="B137" s="47"/>
      <c r="C137" s="8"/>
      <c r="D137" s="8"/>
      <c r="E137" s="8"/>
      <c r="F137" s="8"/>
      <c r="G137" s="8"/>
      <c r="I137" s="49" t="s">
        <v>50</v>
      </c>
      <c r="J137" s="24"/>
    </row>
    <row r="138" spans="1:10" x14ac:dyDescent="0.25">
      <c r="A138" s="9" t="s">
        <v>28</v>
      </c>
      <c r="B138" s="9"/>
      <c r="C138" s="8"/>
      <c r="D138" s="8"/>
      <c r="E138" s="8"/>
      <c r="F138" s="8"/>
      <c r="G138" s="8"/>
      <c r="I138" s="9" t="s">
        <v>27</v>
      </c>
      <c r="J138" s="24"/>
    </row>
    <row r="139" spans="1:10" x14ac:dyDescent="0.25">
      <c r="A139" s="8"/>
      <c r="B139" s="8"/>
      <c r="C139" s="8"/>
      <c r="D139" s="8"/>
      <c r="E139" s="8"/>
      <c r="F139" s="8"/>
      <c r="G139" s="8"/>
      <c r="I139" s="9"/>
      <c r="J139" s="24"/>
    </row>
    <row r="140" spans="1:10" x14ac:dyDescent="0.25">
      <c r="A140" s="8"/>
      <c r="B140" s="8"/>
      <c r="C140" s="8"/>
      <c r="D140" s="8"/>
      <c r="E140" s="8"/>
      <c r="F140" s="8"/>
      <c r="G140" s="8"/>
      <c r="I140" s="9"/>
      <c r="J140" s="24"/>
    </row>
    <row r="141" spans="1:10" x14ac:dyDescent="0.25">
      <c r="A141" s="8"/>
      <c r="B141" s="8"/>
      <c r="C141" s="8"/>
      <c r="D141" s="8"/>
      <c r="E141" s="8"/>
      <c r="F141" s="8"/>
      <c r="G141" s="8"/>
      <c r="I141" s="9"/>
      <c r="J141" s="24"/>
    </row>
    <row r="142" spans="1:10" x14ac:dyDescent="0.25">
      <c r="A142" s="8"/>
      <c r="B142" s="8"/>
      <c r="C142" s="8"/>
      <c r="D142" s="8"/>
      <c r="E142" s="8"/>
      <c r="F142" s="8"/>
      <c r="G142" s="8"/>
      <c r="I142" s="9"/>
      <c r="J142" s="24"/>
    </row>
    <row r="143" spans="1:10" x14ac:dyDescent="0.25">
      <c r="A143" s="28" t="s">
        <v>37</v>
      </c>
      <c r="B143" s="28"/>
      <c r="C143" s="27"/>
      <c r="D143" s="27"/>
      <c r="E143" s="27"/>
      <c r="F143" s="27"/>
      <c r="G143" s="8" t="s">
        <v>11</v>
      </c>
      <c r="I143" s="28" t="s">
        <v>29</v>
      </c>
      <c r="J143" s="24"/>
    </row>
  </sheetData>
  <mergeCells count="30">
    <mergeCell ref="A117:J117"/>
    <mergeCell ref="C118:E118"/>
    <mergeCell ref="C122:E122"/>
    <mergeCell ref="A128:C128"/>
    <mergeCell ref="A133:C133"/>
    <mergeCell ref="A104:J104"/>
    <mergeCell ref="A105:J105"/>
    <mergeCell ref="A106:J106"/>
    <mergeCell ref="A107:J107"/>
    <mergeCell ref="A108:J108"/>
    <mergeCell ref="C22:E22"/>
    <mergeCell ref="A32:C32"/>
    <mergeCell ref="A37:C37"/>
    <mergeCell ref="A8:J8"/>
    <mergeCell ref="A9:J9"/>
    <mergeCell ref="A10:J10"/>
    <mergeCell ref="A11:J11"/>
    <mergeCell ref="A12:J12"/>
    <mergeCell ref="A21:J21"/>
    <mergeCell ref="C26:E26"/>
    <mergeCell ref="A56:J56"/>
    <mergeCell ref="A57:J57"/>
    <mergeCell ref="A58:J58"/>
    <mergeCell ref="A59:J59"/>
    <mergeCell ref="A60:J60"/>
    <mergeCell ref="A69:J69"/>
    <mergeCell ref="C70:E70"/>
    <mergeCell ref="C74:E74"/>
    <mergeCell ref="A80:C80"/>
    <mergeCell ref="A85:C85"/>
  </mergeCells>
  <phoneticPr fontId="16" type="noConversion"/>
  <pageMargins left="0.23622047244094491" right="0.23622047244094491" top="0.74803149606299213" bottom="0.74803149606299213" header="0.31496062992125984" footer="0.31496062992125984"/>
  <pageSetup paperSize="9" scale="86" orientation="portrait" horizontalDpi="4294967293" r:id="rId1"/>
  <rowBreaks count="2" manualBreakCount="2">
    <brk id="48" max="9" man="1"/>
    <brk id="96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5007-85F4-48FE-824B-858187BB143B}">
  <dimension ref="A1:V143"/>
  <sheetViews>
    <sheetView tabSelected="1" view="pageBreakPreview" topLeftCell="A53" zoomScaleNormal="100" zoomScaleSheetLayoutView="100" workbookViewId="0">
      <selection activeCell="J95" sqref="A49:J95"/>
    </sheetView>
  </sheetViews>
  <sheetFormatPr defaultRowHeight="15" x14ac:dyDescent="0.25"/>
  <cols>
    <col min="1" max="1" width="3.5703125" customWidth="1"/>
    <col min="2" max="2" width="5.140625" bestFit="1" customWidth="1"/>
    <col min="3" max="3" width="12.28515625" customWidth="1"/>
    <col min="4" max="4" width="1.85546875" customWidth="1"/>
    <col min="5" max="5" width="23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70" t="s">
        <v>31</v>
      </c>
      <c r="B8" s="70"/>
      <c r="C8" s="71"/>
      <c r="D8" s="71"/>
      <c r="E8" s="71"/>
      <c r="F8" s="71"/>
      <c r="G8" s="71"/>
      <c r="H8" s="71"/>
      <c r="I8" s="71"/>
      <c r="J8" s="71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1" t="s">
        <v>51</v>
      </c>
      <c r="B9" s="71"/>
      <c r="C9" s="71"/>
      <c r="D9" s="71"/>
      <c r="E9" s="71"/>
      <c r="F9" s="71"/>
      <c r="G9" s="71"/>
      <c r="H9" s="71"/>
      <c r="I9" s="71"/>
      <c r="J9" s="71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1" t="s">
        <v>13</v>
      </c>
      <c r="B10" s="71"/>
      <c r="C10" s="71"/>
      <c r="D10" s="71"/>
      <c r="E10" s="71"/>
      <c r="F10" s="71"/>
      <c r="G10" s="71"/>
      <c r="H10" s="71"/>
      <c r="I10" s="71"/>
      <c r="J10" s="71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1" t="s">
        <v>38</v>
      </c>
      <c r="B11" s="71"/>
      <c r="C11" s="71"/>
      <c r="D11" s="71"/>
      <c r="E11" s="71"/>
      <c r="F11" s="71"/>
      <c r="G11" s="71"/>
      <c r="H11" s="71"/>
      <c r="I11" s="71"/>
      <c r="J11" s="71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1" t="s">
        <v>26</v>
      </c>
      <c r="B12" s="71"/>
      <c r="C12" s="71"/>
      <c r="D12" s="71"/>
      <c r="E12" s="71"/>
      <c r="F12" s="71"/>
      <c r="G12" s="71"/>
      <c r="H12" s="71"/>
      <c r="I12" s="71"/>
      <c r="J12" s="71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I30</f>
        <v>860000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Ratus Enam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2" t="s">
        <v>2</v>
      </c>
      <c r="B21" s="62"/>
      <c r="C21" s="62"/>
      <c r="D21" s="62"/>
      <c r="E21" s="62"/>
      <c r="F21" s="62"/>
      <c r="G21" s="62"/>
      <c r="H21" s="62"/>
      <c r="I21" s="62"/>
      <c r="J21" s="62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/>
      <c r="C22" s="63" t="s">
        <v>4</v>
      </c>
      <c r="D22" s="64"/>
      <c r="E22" s="65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34</v>
      </c>
      <c r="D23" s="57"/>
      <c r="E23" s="45"/>
      <c r="F23" s="39"/>
      <c r="G23" s="56" t="s">
        <v>30</v>
      </c>
      <c r="H23" s="56" t="s">
        <v>30</v>
      </c>
      <c r="I23" s="56" t="s">
        <v>30</v>
      </c>
      <c r="J23" s="56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22</v>
      </c>
      <c r="C24" s="39" t="s">
        <v>39</v>
      </c>
      <c r="D24" s="8"/>
      <c r="E24" s="45"/>
      <c r="F24" s="39"/>
      <c r="G24" s="52">
        <v>10000000</v>
      </c>
      <c r="H24" s="46">
        <f>JANUARI!H120+JANUARI!I120</f>
        <v>0</v>
      </c>
      <c r="I24" s="36">
        <v>0</v>
      </c>
      <c r="J24" s="37">
        <f t="shared" ref="J24:J29" si="0">G24-H24-I24</f>
        <v>10000000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23</v>
      </c>
      <c r="C25" s="39" t="s">
        <v>36</v>
      </c>
      <c r="D25" s="8"/>
      <c r="E25" s="45"/>
      <c r="F25" s="39"/>
      <c r="G25" s="52">
        <v>28600000</v>
      </c>
      <c r="H25" s="46">
        <f>JANUARI!H121+JANUARI!I121</f>
        <v>0</v>
      </c>
      <c r="I25" s="36">
        <v>860000</v>
      </c>
      <c r="J25" s="37">
        <f t="shared" si="0"/>
        <v>27740000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ht="30.75" customHeight="1" x14ac:dyDescent="0.25">
      <c r="A26" s="48"/>
      <c r="B26" s="48" t="s">
        <v>24</v>
      </c>
      <c r="C26" s="66" t="s">
        <v>35</v>
      </c>
      <c r="D26" s="67"/>
      <c r="E26" s="68"/>
      <c r="F26" s="39"/>
      <c r="G26" s="60">
        <v>20000000</v>
      </c>
      <c r="H26" s="46">
        <f>JANUARI!H122+JANUARI!I122</f>
        <v>1785000</v>
      </c>
      <c r="I26" s="46">
        <v>0</v>
      </c>
      <c r="J26" s="61">
        <f t="shared" si="0"/>
        <v>18215000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48"/>
      <c r="B27" s="48" t="s">
        <v>25</v>
      </c>
      <c r="C27" s="39" t="s">
        <v>40</v>
      </c>
      <c r="D27" s="8"/>
      <c r="E27" s="45"/>
      <c r="F27" s="39"/>
      <c r="G27" s="52">
        <v>3000000</v>
      </c>
      <c r="H27" s="46">
        <f>JANUARI!H123+JANUARI!I123</f>
        <v>30000</v>
      </c>
      <c r="I27" s="36">
        <v>0</v>
      </c>
      <c r="J27" s="37">
        <f t="shared" si="0"/>
        <v>2970000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48"/>
      <c r="B28" s="48" t="s">
        <v>43</v>
      </c>
      <c r="C28" s="39" t="s">
        <v>41</v>
      </c>
      <c r="D28" s="8"/>
      <c r="E28" s="45"/>
      <c r="F28" s="39"/>
      <c r="G28" s="52">
        <v>15000000</v>
      </c>
      <c r="H28" s="46">
        <f>JANUARI!H124+JANUARI!I124</f>
        <v>0</v>
      </c>
      <c r="I28" s="36">
        <v>0</v>
      </c>
      <c r="J28" s="37">
        <f t="shared" si="0"/>
        <v>15000000</v>
      </c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48"/>
      <c r="B29" s="48" t="s">
        <v>44</v>
      </c>
      <c r="C29" s="39" t="s">
        <v>42</v>
      </c>
      <c r="D29" s="8"/>
      <c r="E29" s="45"/>
      <c r="F29" s="39"/>
      <c r="G29" s="52">
        <v>28175000</v>
      </c>
      <c r="H29" s="46">
        <f>JANUARI!H125+JANUARI!I125</f>
        <v>0</v>
      </c>
      <c r="I29" s="36">
        <v>0</v>
      </c>
      <c r="J29" s="37">
        <f t="shared" si="0"/>
        <v>28175000</v>
      </c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16"/>
      <c r="B30" s="16"/>
      <c r="C30" s="17" t="s">
        <v>8</v>
      </c>
      <c r="D30" s="17"/>
      <c r="E30" s="17"/>
      <c r="F30" s="43"/>
      <c r="G30" s="42">
        <f>SUM(G23:G29)</f>
        <v>104775000</v>
      </c>
      <c r="H30" s="18">
        <f>SUM(H23:H27)</f>
        <v>1815000</v>
      </c>
      <c r="I30" s="18">
        <f>SUM(I23:I27)</f>
        <v>860000</v>
      </c>
      <c r="J30" s="18">
        <f>SUM(J23:K29)</f>
        <v>102100000</v>
      </c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19"/>
      <c r="B31" s="54"/>
      <c r="C31" s="6"/>
      <c r="D31" s="6"/>
      <c r="E31" s="6"/>
      <c r="F31" s="6"/>
      <c r="G31" s="20"/>
      <c r="H31" s="20"/>
      <c r="I31" s="20"/>
      <c r="J31" s="2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9" t="s">
        <v>14</v>
      </c>
      <c r="B32" s="69"/>
      <c r="C32" s="69"/>
      <c r="D32" s="33" t="s">
        <v>12</v>
      </c>
      <c r="E32" s="44">
        <f>I30</f>
        <v>860000</v>
      </c>
      <c r="F32" s="38"/>
      <c r="G32" s="21"/>
      <c r="H32" s="21"/>
      <c r="I32" s="10"/>
      <c r="J32" s="10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8" t="s">
        <v>9</v>
      </c>
      <c r="B33" s="8"/>
      <c r="C33" s="8"/>
      <c r="D33" s="33" t="s">
        <v>12</v>
      </c>
      <c r="E33" s="34"/>
      <c r="F33" s="34"/>
      <c r="G33" s="22"/>
      <c r="H33" s="9"/>
      <c r="I33" s="10"/>
      <c r="J33" s="10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8" t="s">
        <v>16</v>
      </c>
      <c r="B34" s="8"/>
      <c r="C34" s="8"/>
      <c r="D34" s="33" t="s">
        <v>12</v>
      </c>
      <c r="E34" s="35"/>
      <c r="F34" s="35"/>
      <c r="G34" s="22"/>
      <c r="H34" s="9"/>
      <c r="I34" s="10"/>
      <c r="J34" s="10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8" t="s">
        <v>10</v>
      </c>
      <c r="B35" s="8"/>
      <c r="C35" s="8"/>
      <c r="D35" s="33" t="s">
        <v>12</v>
      </c>
      <c r="E35" s="35">
        <f>E33+E34</f>
        <v>0</v>
      </c>
      <c r="F35" s="35"/>
      <c r="G35" s="8"/>
      <c r="H35" s="9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7"/>
      <c r="B36" s="47"/>
      <c r="C36" s="47"/>
      <c r="D36" s="33"/>
      <c r="E36" s="47"/>
      <c r="F36" s="47"/>
      <c r="G36" s="8"/>
      <c r="H36" s="9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69" t="s">
        <v>15</v>
      </c>
      <c r="B37" s="69"/>
      <c r="C37" s="69"/>
      <c r="D37" s="33" t="s">
        <v>12</v>
      </c>
      <c r="E37" s="38">
        <f>E32-E35</f>
        <v>860000</v>
      </c>
      <c r="F37" s="38"/>
      <c r="G37" s="8"/>
      <c r="H37" s="9"/>
      <c r="I37" s="23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ht="15.75" x14ac:dyDescent="0.25">
      <c r="A38" s="47"/>
      <c r="B38" s="47"/>
      <c r="C38" s="8"/>
      <c r="D38" s="8"/>
      <c r="E38" s="51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Ratus Enam Puluh Ribu Rupiah</v>
      </c>
      <c r="F38" s="8"/>
      <c r="G38" s="8"/>
      <c r="H38" s="8"/>
      <c r="I38" s="23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26"/>
      <c r="B39" s="26"/>
      <c r="C39" s="26"/>
      <c r="D39" s="26"/>
      <c r="E39" s="26"/>
      <c r="F39" s="26"/>
      <c r="G39" s="25"/>
      <c r="H39" s="24"/>
      <c r="I39" s="23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25"/>
      <c r="B40" s="25"/>
      <c r="C40" s="25"/>
      <c r="D40" s="25"/>
      <c r="E40" s="25"/>
      <c r="F40" s="25"/>
      <c r="G40" s="25"/>
      <c r="H40"/>
      <c r="I40" s="24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47"/>
      <c r="B41" s="47"/>
      <c r="C41" s="8"/>
      <c r="D41" s="8"/>
      <c r="E41" s="8"/>
      <c r="F41" s="8"/>
      <c r="G41" s="8"/>
      <c r="I41" s="49" t="s">
        <v>52</v>
      </c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9" t="s">
        <v>28</v>
      </c>
      <c r="B42" s="9"/>
      <c r="C42" s="8"/>
      <c r="D42" s="8"/>
      <c r="E42" s="8"/>
      <c r="F42" s="8"/>
      <c r="G42" s="8"/>
      <c r="I42" s="9" t="s">
        <v>27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8"/>
      <c r="B44" s="8"/>
      <c r="C44" s="8"/>
      <c r="D44" s="8"/>
      <c r="E44" s="8"/>
      <c r="F44" s="8"/>
      <c r="G44" s="8"/>
      <c r="I44" s="9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8"/>
      <c r="B45" s="8"/>
      <c r="C45" s="8"/>
      <c r="D45" s="8"/>
      <c r="E45" s="8"/>
      <c r="F45" s="8"/>
      <c r="G45" s="8"/>
      <c r="I45" s="9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6" spans="1:22" x14ac:dyDescent="0.25">
      <c r="A46" s="8"/>
      <c r="B46" s="8"/>
      <c r="C46" s="8"/>
      <c r="D46" s="8"/>
      <c r="E46" s="8"/>
      <c r="F46" s="8"/>
      <c r="G46" s="8"/>
      <c r="I46" s="9"/>
      <c r="J46" s="24"/>
      <c r="K46" s="25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25"/>
    </row>
    <row r="47" spans="1:22" x14ac:dyDescent="0.25">
      <c r="A47" s="28" t="s">
        <v>37</v>
      </c>
      <c r="B47" s="28"/>
      <c r="C47" s="27"/>
      <c r="D47" s="27"/>
      <c r="E47" s="27"/>
      <c r="F47" s="27"/>
      <c r="G47" s="8" t="s">
        <v>11</v>
      </c>
      <c r="I47" s="28" t="s">
        <v>29</v>
      </c>
      <c r="J47" s="24"/>
      <c r="K47" s="25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25"/>
    </row>
    <row r="48" spans="1:22" x14ac:dyDescent="0.25">
      <c r="A48" s="30"/>
      <c r="B48" s="30"/>
      <c r="C48" s="29"/>
      <c r="D48" s="29"/>
      <c r="E48" s="29"/>
      <c r="F48" s="29"/>
      <c r="G48" s="29"/>
      <c r="H48" s="30"/>
      <c r="I48" s="30"/>
      <c r="J48" s="24"/>
      <c r="K48" s="25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25"/>
    </row>
    <row r="52" spans="1:10" ht="15.75" x14ac:dyDescent="0.25">
      <c r="C52" s="3"/>
      <c r="D52" s="3"/>
      <c r="E52" s="3"/>
      <c r="F52" s="3"/>
    </row>
    <row r="53" spans="1:10" ht="15.75" x14ac:dyDescent="0.25">
      <c r="A53" s="2"/>
      <c r="B53" s="2"/>
      <c r="C53" s="3"/>
      <c r="D53" s="3"/>
      <c r="E53" s="3"/>
      <c r="F53" s="3"/>
      <c r="G53" s="2"/>
      <c r="H53" s="4"/>
      <c r="I53" s="4"/>
      <c r="J53" s="5"/>
    </row>
    <row r="54" spans="1:10" x14ac:dyDescent="0.25">
      <c r="H54" s="5"/>
      <c r="I54" s="5"/>
      <c r="J54" s="5"/>
    </row>
    <row r="55" spans="1:10" x14ac:dyDescent="0.25">
      <c r="H55" s="5"/>
      <c r="I55" s="5"/>
      <c r="J55" s="5"/>
    </row>
    <row r="56" spans="1:10" x14ac:dyDescent="0.25">
      <c r="A56" s="70" t="s">
        <v>31</v>
      </c>
      <c r="B56" s="70"/>
      <c r="C56" s="71"/>
      <c r="D56" s="71"/>
      <c r="E56" s="71"/>
      <c r="F56" s="71"/>
      <c r="G56" s="71"/>
      <c r="H56" s="71"/>
      <c r="I56" s="71"/>
      <c r="J56" s="71"/>
    </row>
    <row r="57" spans="1:10" x14ac:dyDescent="0.25">
      <c r="A57" s="71" t="s">
        <v>53</v>
      </c>
      <c r="B57" s="71"/>
      <c r="C57" s="71"/>
      <c r="D57" s="71"/>
      <c r="E57" s="71"/>
      <c r="F57" s="71"/>
      <c r="G57" s="71"/>
      <c r="H57" s="71"/>
      <c r="I57" s="71"/>
      <c r="J57" s="71"/>
    </row>
    <row r="58" spans="1:10" x14ac:dyDescent="0.25">
      <c r="A58" s="71" t="s">
        <v>13</v>
      </c>
      <c r="B58" s="71"/>
      <c r="C58" s="71"/>
      <c r="D58" s="71"/>
      <c r="E58" s="71"/>
      <c r="F58" s="71"/>
      <c r="G58" s="71"/>
      <c r="H58" s="71"/>
      <c r="I58" s="71"/>
      <c r="J58" s="71"/>
    </row>
    <row r="59" spans="1:10" x14ac:dyDescent="0.25">
      <c r="A59" s="71" t="s">
        <v>38</v>
      </c>
      <c r="B59" s="71"/>
      <c r="C59" s="71"/>
      <c r="D59" s="71"/>
      <c r="E59" s="71"/>
      <c r="F59" s="71"/>
      <c r="G59" s="71"/>
      <c r="H59" s="71"/>
      <c r="I59" s="71"/>
      <c r="J59" s="71"/>
    </row>
    <row r="60" spans="1:10" x14ac:dyDescent="0.25">
      <c r="A60" s="71" t="s">
        <v>26</v>
      </c>
      <c r="B60" s="71"/>
      <c r="C60" s="71"/>
      <c r="D60" s="71"/>
      <c r="E60" s="71"/>
      <c r="F60" s="71"/>
      <c r="G60" s="71"/>
      <c r="H60" s="71"/>
      <c r="I60" s="71"/>
      <c r="J60" s="71"/>
    </row>
    <row r="61" spans="1:10" x14ac:dyDescent="0.25">
      <c r="A61" s="32"/>
      <c r="B61" s="32"/>
      <c r="C61" s="7"/>
      <c r="D61" s="7"/>
      <c r="E61" s="7"/>
      <c r="F61" s="7"/>
      <c r="G61" s="6"/>
      <c r="H61" s="10"/>
      <c r="I61" s="10"/>
      <c r="J61" s="10"/>
    </row>
    <row r="62" spans="1:10" x14ac:dyDescent="0.25">
      <c r="A62" s="53" t="s">
        <v>18</v>
      </c>
      <c r="B62" s="53"/>
      <c r="C62" s="53"/>
      <c r="D62" s="40" t="s">
        <v>12</v>
      </c>
      <c r="E62" s="8" t="s">
        <v>32</v>
      </c>
      <c r="H62" s="9"/>
      <c r="I62" s="9"/>
      <c r="J62" s="10"/>
    </row>
    <row r="63" spans="1:10" x14ac:dyDescent="0.25">
      <c r="A63" s="53" t="s">
        <v>19</v>
      </c>
      <c r="B63" s="53"/>
      <c r="C63" s="53"/>
      <c r="D63" s="40" t="s">
        <v>12</v>
      </c>
      <c r="E63" s="8" t="s">
        <v>33</v>
      </c>
      <c r="H63" s="9"/>
      <c r="I63" s="9"/>
      <c r="J63" s="10"/>
    </row>
    <row r="64" spans="1:10" x14ac:dyDescent="0.25">
      <c r="A64" s="53" t="s">
        <v>20</v>
      </c>
      <c r="B64" s="53"/>
      <c r="C64" s="53"/>
      <c r="D64" s="40" t="s">
        <v>12</v>
      </c>
      <c r="E64" s="47">
        <v>2026</v>
      </c>
      <c r="H64" s="9"/>
      <c r="I64" s="9"/>
      <c r="J64" s="10"/>
    </row>
    <row r="65" spans="1:10" x14ac:dyDescent="0.25">
      <c r="A65" s="53" t="s">
        <v>21</v>
      </c>
      <c r="B65" s="53"/>
      <c r="C65" s="53"/>
      <c r="D65" s="40" t="s">
        <v>12</v>
      </c>
      <c r="E65" s="44">
        <f>I78</f>
        <v>2200000</v>
      </c>
      <c r="H65" s="9"/>
      <c r="I65" s="9"/>
      <c r="J65" s="10"/>
    </row>
    <row r="66" spans="1:10" ht="15.75" x14ac:dyDescent="0.25">
      <c r="A66" s="8"/>
      <c r="B66" s="8"/>
      <c r="C66" s="11" t="s">
        <v>0</v>
      </c>
      <c r="D66" s="40" t="s">
        <v>12</v>
      </c>
      <c r="E66" s="51" t="str">
        <f>PROPER(IF(E65=0,"nol",IF(E65&lt;0,"minus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65),"000000000000000"),1,3)=0,"",MID(TEXT(ABS(E65),"000000000000000"),1,1)&amp;" ratus "&amp;MID(TEXT(ABS(E65),"000000000000000"),2,1)&amp;" puluh "&amp;MID(TEXT(ABS(E65),"000000000000000"),3,1)&amp;" trilyun ")&amp;IF(--MID(TEXT(ABS(E65),"000000000000000"),4,3)=0,"",MID(TEXT(ABS(E65),"000000000000000"),4,1)&amp;" ratus "&amp;MID(TEXT(ABS(E65),"000000000000000"),5,1)&amp;" puluh "&amp;MID(TEXT(ABS(E65),"000000000000000"),6,1)&amp;" milyar ")&amp;IF(--MID(TEXT(ABS(E65),"000000000000000"),7,3)=0,"",MID(TEXT(ABS(E65),"000000000000000"),7,1)&amp;" ratus "&amp;MID(TEXT(ABS(E65),"000000000000000"),8,1)&amp;" puluh "&amp;MID(TEXT(ABS(E65),"000000000000000"),9,1)&amp;" juta ")&amp;IF(--MID(TEXT(ABS(E65),"000000000000000"),10,3)=0,"",IF(--MID(TEXT(ABS(E65),"000000000000000"),10,3)=1,"*",MID(TEXT(ABS(E65),"000000000000000"),10,1)&amp;" ratus "&amp;MID(TEXT(ABS(E65),"000000000000000"),11,1)&amp;" puluh ")&amp;MID(TEXT(ABS(E65),"000000000000000"),12,1)&amp;" ribu ")&amp;IF(--MID(TEXT(ABS(E65),"000000000000000"),13,3)=0,"",MID(TEXT(ABS(E65),"000000000000000"),13,1)&amp;" ratus "&amp;MID(TEXT(ABS(E65),"000000000000000"),14,1)&amp;" puluh "&amp;MID(TEXT(ABS(E65),"000000000000000"),15,1)),1,"satu"),2,"dua"),3,"tiga"),4,"empat"),5,"lima"),6,"enam"),7,"tujuh"),8,"delapan"),9,"sembilan"),"0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Dua Ratus Ribu Rupiah</v>
      </c>
      <c r="H66" s="9"/>
      <c r="I66" s="9"/>
      <c r="J66" s="10"/>
    </row>
    <row r="67" spans="1:10" ht="15.75" x14ac:dyDescent="0.25">
      <c r="A67" s="8"/>
      <c r="B67" s="8"/>
      <c r="C67" s="11"/>
      <c r="D67" s="11"/>
      <c r="E67" s="11"/>
      <c r="F67" s="40"/>
      <c r="G67" s="51"/>
      <c r="H67" s="9"/>
      <c r="I67" s="9"/>
      <c r="J67" s="10"/>
    </row>
    <row r="68" spans="1:10" x14ac:dyDescent="0.25">
      <c r="A68" s="8" t="s">
        <v>1</v>
      </c>
      <c r="B68" s="8"/>
      <c r="C68" s="8"/>
      <c r="D68" s="8"/>
      <c r="E68" s="8"/>
      <c r="F68" s="8"/>
      <c r="G68" s="8"/>
      <c r="H68" s="9"/>
      <c r="I68" s="9"/>
      <c r="J68" s="10"/>
    </row>
    <row r="69" spans="1:10" x14ac:dyDescent="0.25">
      <c r="A69" s="62" t="s">
        <v>2</v>
      </c>
      <c r="B69" s="62"/>
      <c r="C69" s="62"/>
      <c r="D69" s="62"/>
      <c r="E69" s="62"/>
      <c r="F69" s="62"/>
      <c r="G69" s="62"/>
      <c r="H69" s="62"/>
      <c r="I69" s="62"/>
      <c r="J69" s="62"/>
    </row>
    <row r="70" spans="1:10" ht="45" x14ac:dyDescent="0.25">
      <c r="A70" s="12" t="s">
        <v>3</v>
      </c>
      <c r="B70" s="58"/>
      <c r="C70" s="63" t="s">
        <v>4</v>
      </c>
      <c r="D70" s="64"/>
      <c r="E70" s="65"/>
      <c r="F70" s="50"/>
      <c r="G70" s="41" t="s">
        <v>5</v>
      </c>
      <c r="H70" s="13" t="s">
        <v>17</v>
      </c>
      <c r="I70" s="14" t="s">
        <v>6</v>
      </c>
      <c r="J70" s="15" t="s">
        <v>7</v>
      </c>
    </row>
    <row r="71" spans="1:10" x14ac:dyDescent="0.25">
      <c r="A71" s="59">
        <v>1</v>
      </c>
      <c r="B71" s="48"/>
      <c r="C71" s="55" t="s">
        <v>34</v>
      </c>
      <c r="D71" s="57"/>
      <c r="E71" s="45"/>
      <c r="F71" s="39"/>
      <c r="G71" s="56" t="s">
        <v>30</v>
      </c>
      <c r="H71" s="56" t="s">
        <v>30</v>
      </c>
      <c r="I71" s="56" t="s">
        <v>30</v>
      </c>
      <c r="J71" s="56" t="s">
        <v>30</v>
      </c>
    </row>
    <row r="72" spans="1:10" x14ac:dyDescent="0.25">
      <c r="A72" s="48"/>
      <c r="B72" s="48" t="s">
        <v>22</v>
      </c>
      <c r="C72" s="39" t="s">
        <v>39</v>
      </c>
      <c r="D72" s="8"/>
      <c r="E72" s="45"/>
      <c r="F72" s="39"/>
      <c r="G72" s="52">
        <v>10000000</v>
      </c>
      <c r="H72" s="46">
        <f>H24+I24</f>
        <v>0</v>
      </c>
      <c r="I72" s="36">
        <v>0</v>
      </c>
      <c r="J72" s="37">
        <f t="shared" ref="J72:J77" si="1">G72-H72-I72</f>
        <v>10000000</v>
      </c>
    </row>
    <row r="73" spans="1:10" x14ac:dyDescent="0.25">
      <c r="A73" s="48"/>
      <c r="B73" s="48" t="s">
        <v>23</v>
      </c>
      <c r="C73" s="39" t="s">
        <v>36</v>
      </c>
      <c r="D73" s="8"/>
      <c r="E73" s="45"/>
      <c r="F73" s="39"/>
      <c r="G73" s="52">
        <v>28600000</v>
      </c>
      <c r="H73" s="46">
        <f t="shared" ref="H73:H77" si="2">H25+I25</f>
        <v>860000</v>
      </c>
      <c r="I73" s="36">
        <v>0</v>
      </c>
      <c r="J73" s="37">
        <f t="shared" si="1"/>
        <v>27740000</v>
      </c>
    </row>
    <row r="74" spans="1:10" ht="29.25" customHeight="1" x14ac:dyDescent="0.25">
      <c r="A74" s="48"/>
      <c r="B74" s="48" t="s">
        <v>24</v>
      </c>
      <c r="C74" s="66" t="s">
        <v>35</v>
      </c>
      <c r="D74" s="67"/>
      <c r="E74" s="68"/>
      <c r="F74" s="39"/>
      <c r="G74" s="60">
        <v>20000000</v>
      </c>
      <c r="H74" s="46">
        <f t="shared" si="2"/>
        <v>1785000</v>
      </c>
      <c r="I74" s="46">
        <v>0</v>
      </c>
      <c r="J74" s="61">
        <f t="shared" si="1"/>
        <v>18215000</v>
      </c>
    </row>
    <row r="75" spans="1:10" x14ac:dyDescent="0.25">
      <c r="A75" s="48"/>
      <c r="B75" s="48" t="s">
        <v>25</v>
      </c>
      <c r="C75" s="39" t="s">
        <v>40</v>
      </c>
      <c r="D75" s="8"/>
      <c r="E75" s="45"/>
      <c r="F75" s="39"/>
      <c r="G75" s="52">
        <v>3000000</v>
      </c>
      <c r="H75" s="46">
        <f t="shared" si="2"/>
        <v>30000</v>
      </c>
      <c r="I75" s="36">
        <v>2200000</v>
      </c>
      <c r="J75" s="37">
        <f t="shared" si="1"/>
        <v>770000</v>
      </c>
    </row>
    <row r="76" spans="1:10" x14ac:dyDescent="0.25">
      <c r="A76" s="48"/>
      <c r="B76" s="48" t="s">
        <v>43</v>
      </c>
      <c r="C76" s="39" t="s">
        <v>41</v>
      </c>
      <c r="D76" s="8"/>
      <c r="E76" s="45"/>
      <c r="F76" s="39"/>
      <c r="G76" s="52">
        <v>15000000</v>
      </c>
      <c r="H76" s="46">
        <f t="shared" si="2"/>
        <v>0</v>
      </c>
      <c r="I76" s="36">
        <v>0</v>
      </c>
      <c r="J76" s="37">
        <f t="shared" si="1"/>
        <v>15000000</v>
      </c>
    </row>
    <row r="77" spans="1:10" x14ac:dyDescent="0.25">
      <c r="A77" s="48"/>
      <c r="B77" s="48" t="s">
        <v>44</v>
      </c>
      <c r="C77" s="39" t="s">
        <v>42</v>
      </c>
      <c r="D77" s="8"/>
      <c r="E77" s="45"/>
      <c r="F77" s="39"/>
      <c r="G77" s="52">
        <v>28175000</v>
      </c>
      <c r="H77" s="46">
        <f t="shared" si="2"/>
        <v>0</v>
      </c>
      <c r="I77" s="36">
        <v>0</v>
      </c>
      <c r="J77" s="37">
        <f t="shared" si="1"/>
        <v>28175000</v>
      </c>
    </row>
    <row r="78" spans="1:10" x14ac:dyDescent="0.25">
      <c r="A78" s="16"/>
      <c r="B78" s="16"/>
      <c r="C78" s="17" t="s">
        <v>8</v>
      </c>
      <c r="D78" s="17"/>
      <c r="E78" s="17"/>
      <c r="F78" s="43"/>
      <c r="G78" s="42">
        <f>SUM(G71:G77)</f>
        <v>104775000</v>
      </c>
      <c r="H78" s="18">
        <f>SUM(H71:H75)</f>
        <v>2675000</v>
      </c>
      <c r="I78" s="18">
        <f>SUM(I71:I75)</f>
        <v>2200000</v>
      </c>
      <c r="J78" s="18">
        <f>SUM(J71:K77)</f>
        <v>99900000</v>
      </c>
    </row>
    <row r="79" spans="1:10" x14ac:dyDescent="0.25">
      <c r="A79" s="19"/>
      <c r="B79" s="54"/>
      <c r="C79" s="6"/>
      <c r="D79" s="6"/>
      <c r="E79" s="6"/>
      <c r="F79" s="6"/>
      <c r="G79" s="20"/>
      <c r="H79" s="20"/>
      <c r="I79" s="20"/>
      <c r="J79" s="20"/>
    </row>
    <row r="80" spans="1:10" x14ac:dyDescent="0.25">
      <c r="A80" s="69" t="s">
        <v>14</v>
      </c>
      <c r="B80" s="69"/>
      <c r="C80" s="69"/>
      <c r="D80" s="33" t="s">
        <v>12</v>
      </c>
      <c r="E80" s="44">
        <f>I78</f>
        <v>2200000</v>
      </c>
      <c r="F80" s="38"/>
      <c r="G80" s="21"/>
      <c r="H80" s="21"/>
      <c r="I80" s="10"/>
      <c r="J80" s="10"/>
    </row>
    <row r="81" spans="1:10" x14ac:dyDescent="0.25">
      <c r="A81" s="8" t="s">
        <v>9</v>
      </c>
      <c r="B81" s="8"/>
      <c r="C81" s="8"/>
      <c r="D81" s="33" t="s">
        <v>12</v>
      </c>
      <c r="E81" s="34"/>
      <c r="F81" s="34"/>
      <c r="G81" s="22"/>
      <c r="H81" s="9"/>
      <c r="I81" s="10"/>
      <c r="J81" s="10"/>
    </row>
    <row r="82" spans="1:10" x14ac:dyDescent="0.25">
      <c r="A82" s="8" t="s">
        <v>16</v>
      </c>
      <c r="B82" s="8"/>
      <c r="C82" s="8"/>
      <c r="D82" s="33" t="s">
        <v>12</v>
      </c>
      <c r="E82" s="35"/>
      <c r="F82" s="35"/>
      <c r="G82" s="22"/>
      <c r="H82" s="9"/>
      <c r="I82" s="10"/>
      <c r="J82" s="10"/>
    </row>
    <row r="83" spans="1:10" x14ac:dyDescent="0.25">
      <c r="A83" s="8" t="s">
        <v>10</v>
      </c>
      <c r="B83" s="8"/>
      <c r="C83" s="8"/>
      <c r="D83" s="33" t="s">
        <v>12</v>
      </c>
      <c r="E83" s="35">
        <f>E81+E82</f>
        <v>0</v>
      </c>
      <c r="F83" s="35"/>
      <c r="G83" s="8"/>
      <c r="H83" s="9"/>
      <c r="I83" s="23"/>
      <c r="J83" s="24"/>
    </row>
    <row r="84" spans="1:10" x14ac:dyDescent="0.25">
      <c r="A84" s="47"/>
      <c r="B84" s="47"/>
      <c r="C84" s="47"/>
      <c r="D84" s="33"/>
      <c r="E84" s="47"/>
      <c r="F84" s="47"/>
      <c r="G84" s="8"/>
      <c r="H84" s="9"/>
      <c r="I84" s="23"/>
      <c r="J84" s="24"/>
    </row>
    <row r="85" spans="1:10" x14ac:dyDescent="0.25">
      <c r="A85" s="69" t="s">
        <v>15</v>
      </c>
      <c r="B85" s="69"/>
      <c r="C85" s="69"/>
      <c r="D85" s="33" t="s">
        <v>12</v>
      </c>
      <c r="E85" s="38">
        <f>E80-E83</f>
        <v>2200000</v>
      </c>
      <c r="F85" s="38"/>
      <c r="G85" s="8"/>
      <c r="H85" s="9"/>
      <c r="I85" s="23"/>
      <c r="J85" s="24"/>
    </row>
    <row r="86" spans="1:10" ht="15.75" x14ac:dyDescent="0.25">
      <c r="A86" s="47"/>
      <c r="B86" s="47"/>
      <c r="C86" s="8"/>
      <c r="D86" s="8"/>
      <c r="E86" s="51" t="str">
        <f>PROPER(IF(E85=0,"nol",IF(E85&lt;0,"minus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85),"000000000000000"),1,3)=0,"",MID(TEXT(ABS(E85),"000000000000000"),1,1)&amp;" ratus "&amp;MID(TEXT(ABS(E85),"000000000000000"),2,1)&amp;" puluh "&amp;MID(TEXT(ABS(E85),"000000000000000"),3,1)&amp;" trilyun ")&amp;IF(--MID(TEXT(ABS(E85),"000000000000000"),4,3)=0,"",MID(TEXT(ABS(E85),"000000000000000"),4,1)&amp;" ratus "&amp;MID(TEXT(ABS(E85),"000000000000000"),5,1)&amp;" puluh "&amp;MID(TEXT(ABS(E85),"000000000000000"),6,1)&amp;" milyar ")&amp;IF(--MID(TEXT(ABS(E85),"000000000000000"),7,3)=0,"",MID(TEXT(ABS(E85),"000000000000000"),7,1)&amp;" ratus "&amp;MID(TEXT(ABS(E85),"000000000000000"),8,1)&amp;" puluh "&amp;MID(TEXT(ABS(E85),"000000000000000"),9,1)&amp;" juta ")&amp;IF(--MID(TEXT(ABS(E85),"000000000000000"),10,3)=0,"",IF(--MID(TEXT(ABS(E85),"000000000000000"),10,3)=1,"*",MID(TEXT(ABS(E85),"000000000000000"),10,1)&amp;" ratus "&amp;MID(TEXT(ABS(E85),"000000000000000"),11,1)&amp;" puluh ")&amp;MID(TEXT(ABS(E85),"000000000000000"),12,1)&amp;" ribu ")&amp;IF(--MID(TEXT(ABS(E85),"000000000000000"),13,3)=0,"",MID(TEXT(ABS(E85),"000000000000000"),13,1)&amp;" ratus "&amp;MID(TEXT(ABS(E85),"000000000000000"),14,1)&amp;" puluh "&amp;MID(TEXT(ABS(E85),"000000000000000"),15,1)),1,"satu"),2,"dua"),3,"tiga"),4,"empat"),5,"lima"),6,"enam"),7,"tujuh"),8,"delapan"),9,"sembilan"),"0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Dua Ratus Ribu Rupiah</v>
      </c>
      <c r="F86" s="8"/>
      <c r="G86" s="8"/>
      <c r="H86" s="8"/>
      <c r="I86" s="23"/>
      <c r="J86" s="24"/>
    </row>
    <row r="87" spans="1:10" x14ac:dyDescent="0.25">
      <c r="A87" s="26"/>
      <c r="B87" s="26"/>
      <c r="C87" s="26"/>
      <c r="D87" s="26"/>
      <c r="E87" s="26"/>
      <c r="F87" s="26"/>
      <c r="G87" s="25"/>
      <c r="H87" s="24"/>
      <c r="I87" s="23"/>
      <c r="J87" s="24"/>
    </row>
    <row r="88" spans="1:10" x14ac:dyDescent="0.25">
      <c r="A88" s="25"/>
      <c r="B88" s="25"/>
      <c r="C88" s="25"/>
      <c r="D88" s="25"/>
      <c r="E88" s="25"/>
      <c r="F88" s="25"/>
      <c r="G88" s="25"/>
      <c r="H88"/>
      <c r="I88" s="24"/>
      <c r="J88" s="24"/>
    </row>
    <row r="89" spans="1:10" x14ac:dyDescent="0.25">
      <c r="A89" s="47"/>
      <c r="B89" s="47"/>
      <c r="C89" s="8"/>
      <c r="D89" s="8"/>
      <c r="E89" s="8"/>
      <c r="F89" s="8"/>
      <c r="G89" s="8"/>
      <c r="I89" s="49" t="s">
        <v>54</v>
      </c>
      <c r="J89" s="24"/>
    </row>
    <row r="90" spans="1:10" x14ac:dyDescent="0.25">
      <c r="A90" s="9" t="s">
        <v>28</v>
      </c>
      <c r="B90" s="9"/>
      <c r="C90" s="8"/>
      <c r="D90" s="8"/>
      <c r="E90" s="8"/>
      <c r="F90" s="8"/>
      <c r="G90" s="8"/>
      <c r="I90" s="9" t="s">
        <v>27</v>
      </c>
      <c r="J90" s="24"/>
    </row>
    <row r="91" spans="1:10" x14ac:dyDescent="0.25">
      <c r="A91" s="8"/>
      <c r="B91" s="8"/>
      <c r="C91" s="8"/>
      <c r="D91" s="8"/>
      <c r="E91" s="8"/>
      <c r="F91" s="8"/>
      <c r="G91" s="8"/>
      <c r="I91" s="9"/>
      <c r="J91" s="24"/>
    </row>
    <row r="92" spans="1:10" x14ac:dyDescent="0.25">
      <c r="A92" s="8"/>
      <c r="B92" s="8"/>
      <c r="C92" s="8"/>
      <c r="D92" s="8"/>
      <c r="E92" s="8"/>
      <c r="F92" s="8"/>
      <c r="G92" s="8"/>
      <c r="I92" s="9"/>
      <c r="J92" s="24"/>
    </row>
    <row r="93" spans="1:10" x14ac:dyDescent="0.25">
      <c r="A93" s="8"/>
      <c r="B93" s="8"/>
      <c r="C93" s="8"/>
      <c r="D93" s="8"/>
      <c r="E93" s="8"/>
      <c r="F93" s="8"/>
      <c r="G93" s="8"/>
      <c r="I93" s="9"/>
      <c r="J93" s="24"/>
    </row>
    <row r="94" spans="1:10" x14ac:dyDescent="0.25">
      <c r="A94" s="8"/>
      <c r="B94" s="8"/>
      <c r="C94" s="8"/>
      <c r="D94" s="8"/>
      <c r="E94" s="8"/>
      <c r="F94" s="8"/>
      <c r="G94" s="8"/>
      <c r="I94" s="9"/>
      <c r="J94" s="24"/>
    </row>
    <row r="95" spans="1:10" x14ac:dyDescent="0.25">
      <c r="A95" s="28" t="s">
        <v>37</v>
      </c>
      <c r="B95" s="28"/>
      <c r="C95" s="27"/>
      <c r="D95" s="27"/>
      <c r="E95" s="27"/>
      <c r="F95" s="27"/>
      <c r="G95" s="8" t="s">
        <v>11</v>
      </c>
      <c r="I95" s="28" t="s">
        <v>29</v>
      </c>
      <c r="J95" s="24"/>
    </row>
    <row r="100" spans="1:10" ht="15.75" x14ac:dyDescent="0.25">
      <c r="C100" s="3"/>
      <c r="D100" s="3"/>
      <c r="E100" s="3"/>
      <c r="F100" s="3"/>
    </row>
    <row r="101" spans="1:10" ht="15.75" x14ac:dyDescent="0.25">
      <c r="A101" s="2"/>
      <c r="B101" s="2"/>
      <c r="C101" s="3"/>
      <c r="D101" s="3"/>
      <c r="E101" s="3"/>
      <c r="F101" s="3"/>
      <c r="G101" s="2"/>
      <c r="H101" s="4"/>
      <c r="I101" s="4"/>
      <c r="J101" s="5"/>
    </row>
    <row r="102" spans="1:10" x14ac:dyDescent="0.25">
      <c r="H102" s="5"/>
      <c r="I102" s="5"/>
      <c r="J102" s="5"/>
    </row>
    <row r="103" spans="1:10" x14ac:dyDescent="0.25">
      <c r="H103" s="5"/>
      <c r="I103" s="5"/>
      <c r="J103" s="5"/>
    </row>
    <row r="104" spans="1:10" x14ac:dyDescent="0.25">
      <c r="A104" s="70" t="s">
        <v>31</v>
      </c>
      <c r="B104" s="70"/>
      <c r="C104" s="71"/>
      <c r="D104" s="71"/>
      <c r="E104" s="71"/>
      <c r="F104" s="71"/>
      <c r="G104" s="71"/>
      <c r="H104" s="71"/>
      <c r="I104" s="71"/>
      <c r="J104" s="71"/>
    </row>
    <row r="105" spans="1:10" x14ac:dyDescent="0.25">
      <c r="A105" s="71" t="s">
        <v>49</v>
      </c>
      <c r="B105" s="71"/>
      <c r="C105" s="71"/>
      <c r="D105" s="71"/>
      <c r="E105" s="71"/>
      <c r="F105" s="71"/>
      <c r="G105" s="71"/>
      <c r="H105" s="71"/>
      <c r="I105" s="71"/>
      <c r="J105" s="71"/>
    </row>
    <row r="106" spans="1:10" x14ac:dyDescent="0.25">
      <c r="A106" s="71" t="s">
        <v>13</v>
      </c>
      <c r="B106" s="71"/>
      <c r="C106" s="71"/>
      <c r="D106" s="71"/>
      <c r="E106" s="71"/>
      <c r="F106" s="71"/>
      <c r="G106" s="71"/>
      <c r="H106" s="71"/>
      <c r="I106" s="71"/>
      <c r="J106" s="71"/>
    </row>
    <row r="107" spans="1:10" x14ac:dyDescent="0.25">
      <c r="A107" s="71" t="s">
        <v>38</v>
      </c>
      <c r="B107" s="71"/>
      <c r="C107" s="71"/>
      <c r="D107" s="71"/>
      <c r="E107" s="71"/>
      <c r="F107" s="71"/>
      <c r="G107" s="71"/>
      <c r="H107" s="71"/>
      <c r="I107" s="71"/>
      <c r="J107" s="71"/>
    </row>
    <row r="108" spans="1:10" x14ac:dyDescent="0.25">
      <c r="A108" s="71" t="s">
        <v>26</v>
      </c>
      <c r="B108" s="71"/>
      <c r="C108" s="71"/>
      <c r="D108" s="71"/>
      <c r="E108" s="71"/>
      <c r="F108" s="71"/>
      <c r="G108" s="71"/>
      <c r="H108" s="71"/>
      <c r="I108" s="71"/>
      <c r="J108" s="71"/>
    </row>
    <row r="109" spans="1:10" x14ac:dyDescent="0.25">
      <c r="A109" s="32"/>
      <c r="B109" s="32"/>
      <c r="C109" s="7"/>
      <c r="D109" s="7"/>
      <c r="E109" s="7"/>
      <c r="F109" s="7"/>
      <c r="G109" s="6"/>
      <c r="H109" s="10"/>
      <c r="I109" s="10"/>
      <c r="J109" s="10"/>
    </row>
    <row r="110" spans="1:10" x14ac:dyDescent="0.25">
      <c r="A110" s="53" t="s">
        <v>18</v>
      </c>
      <c r="B110" s="53"/>
      <c r="C110" s="53"/>
      <c r="D110" s="40" t="s">
        <v>12</v>
      </c>
      <c r="E110" s="8" t="s">
        <v>32</v>
      </c>
      <c r="H110" s="9"/>
      <c r="I110" s="9"/>
      <c r="J110" s="10"/>
    </row>
    <row r="111" spans="1:10" x14ac:dyDescent="0.25">
      <c r="A111" s="53" t="s">
        <v>19</v>
      </c>
      <c r="B111" s="53"/>
      <c r="C111" s="53"/>
      <c r="D111" s="40" t="s">
        <v>12</v>
      </c>
      <c r="E111" s="8" t="s">
        <v>33</v>
      </c>
      <c r="H111" s="9"/>
      <c r="I111" s="9"/>
      <c r="J111" s="10"/>
    </row>
    <row r="112" spans="1:10" x14ac:dyDescent="0.25">
      <c r="A112" s="53" t="s">
        <v>20</v>
      </c>
      <c r="B112" s="53"/>
      <c r="C112" s="53"/>
      <c r="D112" s="40" t="s">
        <v>12</v>
      </c>
      <c r="E112" s="47">
        <v>2026</v>
      </c>
      <c r="H112" s="9"/>
      <c r="I112" s="9"/>
      <c r="J112" s="10"/>
    </row>
    <row r="113" spans="1:10" x14ac:dyDescent="0.25">
      <c r="A113" s="53" t="s">
        <v>21</v>
      </c>
      <c r="B113" s="53"/>
      <c r="C113" s="53"/>
      <c r="D113" s="40" t="s">
        <v>12</v>
      </c>
      <c r="E113" s="44">
        <f>I126</f>
        <v>30000</v>
      </c>
      <c r="H113" s="9"/>
      <c r="I113" s="9"/>
      <c r="J113" s="10"/>
    </row>
    <row r="114" spans="1:10" ht="15.75" x14ac:dyDescent="0.25">
      <c r="A114" s="8"/>
      <c r="B114" s="8"/>
      <c r="C114" s="11" t="s">
        <v>0</v>
      </c>
      <c r="D114" s="40" t="s">
        <v>12</v>
      </c>
      <c r="E114" s="51" t="str">
        <f>PROPER(IF(E113=0,"nol",IF(E113&lt;0,"minus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113),"000000000000000"),1,3)=0,"",MID(TEXT(ABS(E113),"000000000000000"),1,1)&amp;" ratus "&amp;MID(TEXT(ABS(E113),"000000000000000"),2,1)&amp;" puluh "&amp;MID(TEXT(ABS(E113),"000000000000000"),3,1)&amp;" trilyun ")&amp;IF(--MID(TEXT(ABS(E113),"000000000000000"),4,3)=0,"",MID(TEXT(ABS(E113),"000000000000000"),4,1)&amp;" ratus "&amp;MID(TEXT(ABS(E113),"000000000000000"),5,1)&amp;" puluh "&amp;MID(TEXT(ABS(E113),"000000000000000"),6,1)&amp;" milyar ")&amp;IF(--MID(TEXT(ABS(E113),"000000000000000"),7,3)=0,"",MID(TEXT(ABS(E113),"000000000000000"),7,1)&amp;" ratus "&amp;MID(TEXT(ABS(E113),"000000000000000"),8,1)&amp;" puluh "&amp;MID(TEXT(ABS(E113),"000000000000000"),9,1)&amp;" juta ")&amp;IF(--MID(TEXT(ABS(E113),"000000000000000"),10,3)=0,"",IF(--MID(TEXT(ABS(E113),"000000000000000"),10,3)=1,"*",MID(TEXT(ABS(E113),"000000000000000"),10,1)&amp;" ratus "&amp;MID(TEXT(ABS(E113),"000000000000000"),11,1)&amp;" puluh ")&amp;MID(TEXT(ABS(E113),"000000000000000"),12,1)&amp;" ribu ")&amp;IF(--MID(TEXT(ABS(E113),"000000000000000"),13,3)=0,"",MID(TEXT(ABS(E113),"000000000000000"),13,1)&amp;" ratus "&amp;MID(TEXT(ABS(E113),"000000000000000"),14,1)&amp;" puluh "&amp;MID(TEXT(ABS(E113),"000000000000000"),15,1)),1,"satu"),2,"dua"),3,"tiga"),4,"empat"),5,"lima"),6,"enam"),7,"tujuh"),8,"delapan"),9,"sembilan"),"0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Ribu Rupiah</v>
      </c>
      <c r="H114" s="9"/>
      <c r="I114" s="9"/>
      <c r="J114" s="10"/>
    </row>
    <row r="115" spans="1:10" ht="15.75" x14ac:dyDescent="0.25">
      <c r="A115" s="8"/>
      <c r="B115" s="8"/>
      <c r="C115" s="11"/>
      <c r="D115" s="11"/>
      <c r="E115" s="11"/>
      <c r="F115" s="40"/>
      <c r="G115" s="51"/>
      <c r="H115" s="9"/>
      <c r="I115" s="9"/>
      <c r="J115" s="10"/>
    </row>
    <row r="116" spans="1:10" x14ac:dyDescent="0.25">
      <c r="A116" s="8" t="s">
        <v>1</v>
      </c>
      <c r="B116" s="8"/>
      <c r="C116" s="8"/>
      <c r="D116" s="8"/>
      <c r="E116" s="8"/>
      <c r="F116" s="8"/>
      <c r="G116" s="8"/>
      <c r="H116" s="9"/>
      <c r="I116" s="9"/>
      <c r="J116" s="10"/>
    </row>
    <row r="117" spans="1:10" x14ac:dyDescent="0.25">
      <c r="A117" s="62" t="s">
        <v>2</v>
      </c>
      <c r="B117" s="62"/>
      <c r="C117" s="62"/>
      <c r="D117" s="62"/>
      <c r="E117" s="62"/>
      <c r="F117" s="62"/>
      <c r="G117" s="62"/>
      <c r="H117" s="62"/>
      <c r="I117" s="62"/>
      <c r="J117" s="62"/>
    </row>
    <row r="118" spans="1:10" ht="45" x14ac:dyDescent="0.25">
      <c r="A118" s="12" t="s">
        <v>3</v>
      </c>
      <c r="B118" s="58"/>
      <c r="C118" s="63" t="s">
        <v>4</v>
      </c>
      <c r="D118" s="64"/>
      <c r="E118" s="65"/>
      <c r="F118" s="50"/>
      <c r="G118" s="41" t="s">
        <v>5</v>
      </c>
      <c r="H118" s="13" t="s">
        <v>17</v>
      </c>
      <c r="I118" s="14" t="s">
        <v>6</v>
      </c>
      <c r="J118" s="15" t="s">
        <v>7</v>
      </c>
    </row>
    <row r="119" spans="1:10" x14ac:dyDescent="0.25">
      <c r="A119" s="59">
        <v>1</v>
      </c>
      <c r="B119" s="48"/>
      <c r="C119" s="55" t="s">
        <v>34</v>
      </c>
      <c r="D119" s="57"/>
      <c r="E119" s="45"/>
      <c r="F119" s="39"/>
      <c r="G119" s="56" t="s">
        <v>30</v>
      </c>
      <c r="H119" s="56" t="s">
        <v>30</v>
      </c>
      <c r="I119" s="56" t="s">
        <v>30</v>
      </c>
      <c r="J119" s="56" t="s">
        <v>30</v>
      </c>
    </row>
    <row r="120" spans="1:10" x14ac:dyDescent="0.25">
      <c r="A120" s="48"/>
      <c r="B120" s="48" t="s">
        <v>22</v>
      </c>
      <c r="C120" s="39" t="s">
        <v>39</v>
      </c>
      <c r="D120" s="8"/>
      <c r="E120" s="45"/>
      <c r="F120" s="39"/>
      <c r="G120" s="52">
        <v>10000000</v>
      </c>
      <c r="H120" s="46">
        <f>H72+I72</f>
        <v>0</v>
      </c>
      <c r="I120" s="36">
        <v>0</v>
      </c>
      <c r="J120" s="37">
        <f t="shared" ref="J120:J125" si="3">G120-H120-I120</f>
        <v>10000000</v>
      </c>
    </row>
    <row r="121" spans="1:10" x14ac:dyDescent="0.25">
      <c r="A121" s="48"/>
      <c r="B121" s="48" t="s">
        <v>23</v>
      </c>
      <c r="C121" s="39" t="s">
        <v>36</v>
      </c>
      <c r="D121" s="8"/>
      <c r="E121" s="45"/>
      <c r="F121" s="39"/>
      <c r="G121" s="52">
        <v>28600000</v>
      </c>
      <c r="H121" s="46">
        <f t="shared" ref="H121:H125" si="4">H73+I73</f>
        <v>860000</v>
      </c>
      <c r="I121" s="36">
        <v>0</v>
      </c>
      <c r="J121" s="37">
        <f t="shared" si="3"/>
        <v>27740000</v>
      </c>
    </row>
    <row r="122" spans="1:10" x14ac:dyDescent="0.25">
      <c r="A122" s="48"/>
      <c r="B122" s="48" t="s">
        <v>24</v>
      </c>
      <c r="C122" s="66" t="s">
        <v>35</v>
      </c>
      <c r="D122" s="67"/>
      <c r="E122" s="68"/>
      <c r="F122" s="39"/>
      <c r="G122" s="60">
        <v>20000000</v>
      </c>
      <c r="H122" s="46">
        <f>H74+I74</f>
        <v>1785000</v>
      </c>
      <c r="I122" s="46">
        <v>0</v>
      </c>
      <c r="J122" s="61">
        <f t="shared" si="3"/>
        <v>18215000</v>
      </c>
    </row>
    <row r="123" spans="1:10" x14ac:dyDescent="0.25">
      <c r="A123" s="48"/>
      <c r="B123" s="48" t="s">
        <v>25</v>
      </c>
      <c r="C123" s="39" t="s">
        <v>40</v>
      </c>
      <c r="D123" s="8"/>
      <c r="E123" s="45"/>
      <c r="F123" s="39"/>
      <c r="G123" s="52">
        <v>3000000</v>
      </c>
      <c r="H123" s="46">
        <f t="shared" si="4"/>
        <v>2230000</v>
      </c>
      <c r="I123" s="36">
        <v>30000</v>
      </c>
      <c r="J123" s="37">
        <f t="shared" si="3"/>
        <v>740000</v>
      </c>
    </row>
    <row r="124" spans="1:10" x14ac:dyDescent="0.25">
      <c r="A124" s="48"/>
      <c r="B124" s="48" t="s">
        <v>43</v>
      </c>
      <c r="C124" s="39" t="s">
        <v>41</v>
      </c>
      <c r="D124" s="8"/>
      <c r="E124" s="45"/>
      <c r="F124" s="39"/>
      <c r="G124" s="52">
        <v>15000000</v>
      </c>
      <c r="H124" s="46">
        <f t="shared" si="4"/>
        <v>0</v>
      </c>
      <c r="I124" s="36">
        <v>0</v>
      </c>
      <c r="J124" s="37">
        <f t="shared" si="3"/>
        <v>15000000</v>
      </c>
    </row>
    <row r="125" spans="1:10" x14ac:dyDescent="0.25">
      <c r="A125" s="48"/>
      <c r="B125" s="48" t="s">
        <v>44</v>
      </c>
      <c r="C125" s="39" t="s">
        <v>42</v>
      </c>
      <c r="D125" s="8"/>
      <c r="E125" s="45"/>
      <c r="F125" s="39"/>
      <c r="G125" s="52">
        <v>28175000</v>
      </c>
      <c r="H125" s="46">
        <f t="shared" si="4"/>
        <v>0</v>
      </c>
      <c r="I125" s="36">
        <v>0</v>
      </c>
      <c r="J125" s="37">
        <f t="shared" si="3"/>
        <v>28175000</v>
      </c>
    </row>
    <row r="126" spans="1:10" x14ac:dyDescent="0.25">
      <c r="A126" s="16"/>
      <c r="B126" s="16"/>
      <c r="C126" s="17" t="s">
        <v>8</v>
      </c>
      <c r="D126" s="17"/>
      <c r="E126" s="17"/>
      <c r="F126" s="43"/>
      <c r="G126" s="42">
        <f>SUM(G119:G125)</f>
        <v>104775000</v>
      </c>
      <c r="H126" s="18">
        <f>SUM(H119:H123)</f>
        <v>4875000</v>
      </c>
      <c r="I126" s="18">
        <f>SUM(I119:I123)</f>
        <v>30000</v>
      </c>
      <c r="J126" s="18">
        <f>SUM(J119:K125)</f>
        <v>99870000</v>
      </c>
    </row>
    <row r="127" spans="1:10" x14ac:dyDescent="0.25">
      <c r="A127" s="19"/>
      <c r="B127" s="54"/>
      <c r="C127" s="6"/>
      <c r="D127" s="6"/>
      <c r="E127" s="6"/>
      <c r="F127" s="6"/>
      <c r="G127" s="20"/>
      <c r="H127" s="20"/>
      <c r="I127" s="20"/>
      <c r="J127" s="20"/>
    </row>
    <row r="128" spans="1:10" x14ac:dyDescent="0.25">
      <c r="A128" s="69" t="s">
        <v>14</v>
      </c>
      <c r="B128" s="69"/>
      <c r="C128" s="69"/>
      <c r="D128" s="33" t="s">
        <v>12</v>
      </c>
      <c r="E128" s="44">
        <f>I126</f>
        <v>30000</v>
      </c>
      <c r="F128" s="38"/>
      <c r="G128" s="21"/>
      <c r="H128" s="21"/>
      <c r="I128" s="10"/>
      <c r="J128" s="10"/>
    </row>
    <row r="129" spans="1:10" x14ac:dyDescent="0.25">
      <c r="A129" s="8" t="s">
        <v>9</v>
      </c>
      <c r="B129" s="8"/>
      <c r="C129" s="8"/>
      <c r="D129" s="33" t="s">
        <v>12</v>
      </c>
      <c r="E129" s="34"/>
      <c r="F129" s="34"/>
      <c r="G129" s="22"/>
      <c r="H129" s="9"/>
      <c r="I129" s="10"/>
      <c r="J129" s="10"/>
    </row>
    <row r="130" spans="1:10" x14ac:dyDescent="0.25">
      <c r="A130" s="8" t="s">
        <v>16</v>
      </c>
      <c r="B130" s="8"/>
      <c r="C130" s="8"/>
      <c r="D130" s="33" t="s">
        <v>12</v>
      </c>
      <c r="E130" s="35"/>
      <c r="F130" s="35"/>
      <c r="G130" s="22"/>
      <c r="H130" s="9"/>
      <c r="I130" s="10"/>
      <c r="J130" s="10"/>
    </row>
    <row r="131" spans="1:10" x14ac:dyDescent="0.25">
      <c r="A131" s="8" t="s">
        <v>10</v>
      </c>
      <c r="B131" s="8"/>
      <c r="C131" s="8"/>
      <c r="D131" s="33" t="s">
        <v>12</v>
      </c>
      <c r="E131" s="35">
        <f>E129+E130</f>
        <v>0</v>
      </c>
      <c r="F131" s="35"/>
      <c r="G131" s="8"/>
      <c r="H131" s="9"/>
      <c r="I131" s="23"/>
      <c r="J131" s="24"/>
    </row>
    <row r="132" spans="1:10" x14ac:dyDescent="0.25">
      <c r="A132" s="47"/>
      <c r="B132" s="47"/>
      <c r="C132" s="47"/>
      <c r="D132" s="33"/>
      <c r="E132" s="47"/>
      <c r="F132" s="47"/>
      <c r="G132" s="8"/>
      <c r="H132" s="9"/>
      <c r="I132" s="23"/>
      <c r="J132" s="24"/>
    </row>
    <row r="133" spans="1:10" x14ac:dyDescent="0.25">
      <c r="A133" s="69" t="s">
        <v>15</v>
      </c>
      <c r="B133" s="69"/>
      <c r="C133" s="69"/>
      <c r="D133" s="33" t="s">
        <v>12</v>
      </c>
      <c r="E133" s="38">
        <f>E128-E131</f>
        <v>30000</v>
      </c>
      <c r="F133" s="38"/>
      <c r="G133" s="8"/>
      <c r="H133" s="9"/>
      <c r="I133" s="23"/>
      <c r="J133" s="24"/>
    </row>
    <row r="134" spans="1:10" ht="15.75" x14ac:dyDescent="0.25">
      <c r="A134" s="47"/>
      <c r="B134" s="47"/>
      <c r="C134" s="8"/>
      <c r="D134" s="8"/>
      <c r="E134" s="51" t="str">
        <f>PROPER(IF(E133=0,"nol",IF(E133&lt;0,"minus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133),"000000000000000"),1,3)=0,"",MID(TEXT(ABS(E133),"000000000000000"),1,1)&amp;" ratus "&amp;MID(TEXT(ABS(E133),"000000000000000"),2,1)&amp;" puluh "&amp;MID(TEXT(ABS(E133),"000000000000000"),3,1)&amp;" trilyun ")&amp;IF(--MID(TEXT(ABS(E133),"000000000000000"),4,3)=0,"",MID(TEXT(ABS(E133),"000000000000000"),4,1)&amp;" ratus "&amp;MID(TEXT(ABS(E133),"000000000000000"),5,1)&amp;" puluh "&amp;MID(TEXT(ABS(E133),"000000000000000"),6,1)&amp;" milyar ")&amp;IF(--MID(TEXT(ABS(E133),"000000000000000"),7,3)=0,"",MID(TEXT(ABS(E133),"000000000000000"),7,1)&amp;" ratus "&amp;MID(TEXT(ABS(E133),"000000000000000"),8,1)&amp;" puluh "&amp;MID(TEXT(ABS(E133),"000000000000000"),9,1)&amp;" juta ")&amp;IF(--MID(TEXT(ABS(E133),"000000000000000"),10,3)=0,"",IF(--MID(TEXT(ABS(E133),"000000000000000"),10,3)=1,"*",MID(TEXT(ABS(E133),"000000000000000"),10,1)&amp;" ratus "&amp;MID(TEXT(ABS(E133),"000000000000000"),11,1)&amp;" puluh ")&amp;MID(TEXT(ABS(E133),"000000000000000"),12,1)&amp;" ribu ")&amp;IF(--MID(TEXT(ABS(E133),"000000000000000"),13,3)=0,"",MID(TEXT(ABS(E133),"000000000000000"),13,1)&amp;" ratus "&amp;MID(TEXT(ABS(E133),"000000000000000"),14,1)&amp;" puluh "&amp;MID(TEXT(ABS(E133),"000000000000000"),15,1)),1,"satu"),2,"dua"),3,"tiga"),4,"empat"),5,"lima"),6,"enam"),7,"tujuh"),8,"delapan"),9,"sembilan"),"0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Puluh Ribu Rupiah</v>
      </c>
      <c r="F134" s="8"/>
      <c r="G134" s="8"/>
      <c r="H134" s="8"/>
      <c r="I134" s="23"/>
      <c r="J134" s="24"/>
    </row>
    <row r="135" spans="1:10" x14ac:dyDescent="0.25">
      <c r="A135" s="26"/>
      <c r="B135" s="26"/>
      <c r="C135" s="26"/>
      <c r="D135" s="26"/>
      <c r="E135" s="26"/>
      <c r="F135" s="26"/>
      <c r="G135" s="25"/>
      <c r="H135" s="24"/>
      <c r="I135" s="23"/>
      <c r="J135" s="24"/>
    </row>
    <row r="136" spans="1:10" x14ac:dyDescent="0.25">
      <c r="A136" s="25"/>
      <c r="B136" s="25"/>
      <c r="C136" s="25"/>
      <c r="D136" s="25"/>
      <c r="E136" s="25"/>
      <c r="F136" s="25"/>
      <c r="G136" s="25"/>
      <c r="H136"/>
      <c r="I136" s="24"/>
      <c r="J136" s="24"/>
    </row>
    <row r="137" spans="1:10" x14ac:dyDescent="0.25">
      <c r="A137" s="47"/>
      <c r="B137" s="47"/>
      <c r="C137" s="8"/>
      <c r="D137" s="8"/>
      <c r="E137" s="8"/>
      <c r="F137" s="8"/>
      <c r="G137" s="8"/>
      <c r="I137" s="49" t="s">
        <v>50</v>
      </c>
      <c r="J137" s="24"/>
    </row>
    <row r="138" spans="1:10" x14ac:dyDescent="0.25">
      <c r="A138" s="9" t="s">
        <v>28</v>
      </c>
      <c r="B138" s="9"/>
      <c r="C138" s="8"/>
      <c r="D138" s="8"/>
      <c r="E138" s="8"/>
      <c r="F138" s="8"/>
      <c r="G138" s="8"/>
      <c r="I138" s="9" t="s">
        <v>27</v>
      </c>
      <c r="J138" s="24"/>
    </row>
    <row r="139" spans="1:10" x14ac:dyDescent="0.25">
      <c r="A139" s="8"/>
      <c r="B139" s="8"/>
      <c r="C139" s="8"/>
      <c r="D139" s="8"/>
      <c r="E139" s="8"/>
      <c r="F139" s="8"/>
      <c r="G139" s="8"/>
      <c r="I139" s="9"/>
      <c r="J139" s="24"/>
    </row>
    <row r="140" spans="1:10" x14ac:dyDescent="0.25">
      <c r="A140" s="8"/>
      <c r="B140" s="8"/>
      <c r="C140" s="8"/>
      <c r="D140" s="8"/>
      <c r="E140" s="8"/>
      <c r="F140" s="8"/>
      <c r="G140" s="8"/>
      <c r="I140" s="9"/>
      <c r="J140" s="24"/>
    </row>
    <row r="141" spans="1:10" x14ac:dyDescent="0.25">
      <c r="A141" s="8"/>
      <c r="B141" s="8"/>
      <c r="C141" s="8"/>
      <c r="D141" s="8"/>
      <c r="E141" s="8"/>
      <c r="F141" s="8"/>
      <c r="G141" s="8"/>
      <c r="I141" s="9"/>
      <c r="J141" s="24"/>
    </row>
    <row r="142" spans="1:10" x14ac:dyDescent="0.25">
      <c r="A142" s="8"/>
      <c r="B142" s="8"/>
      <c r="C142" s="8"/>
      <c r="D142" s="8"/>
      <c r="E142" s="8"/>
      <c r="F142" s="8"/>
      <c r="G142" s="8"/>
      <c r="I142" s="9"/>
      <c r="J142" s="24"/>
    </row>
    <row r="143" spans="1:10" x14ac:dyDescent="0.25">
      <c r="A143" s="28" t="s">
        <v>37</v>
      </c>
      <c r="B143" s="28"/>
      <c r="C143" s="27"/>
      <c r="D143" s="27"/>
      <c r="E143" s="27"/>
      <c r="F143" s="27"/>
      <c r="G143" s="8" t="s">
        <v>11</v>
      </c>
      <c r="I143" s="28" t="s">
        <v>29</v>
      </c>
      <c r="J143" s="24"/>
    </row>
  </sheetData>
  <mergeCells count="30">
    <mergeCell ref="A21:J21"/>
    <mergeCell ref="A8:J8"/>
    <mergeCell ref="A9:J9"/>
    <mergeCell ref="A10:J10"/>
    <mergeCell ref="A11:J11"/>
    <mergeCell ref="A12:J12"/>
    <mergeCell ref="C74:E74"/>
    <mergeCell ref="C22:E22"/>
    <mergeCell ref="C26:E26"/>
    <mergeCell ref="A32:C32"/>
    <mergeCell ref="A37:C37"/>
    <mergeCell ref="A56:J56"/>
    <mergeCell ref="A57:J57"/>
    <mergeCell ref="A58:J58"/>
    <mergeCell ref="A59:J59"/>
    <mergeCell ref="A60:J60"/>
    <mergeCell ref="A69:J69"/>
    <mergeCell ref="C70:E70"/>
    <mergeCell ref="A133:C133"/>
    <mergeCell ref="A80:C80"/>
    <mergeCell ref="A85:C85"/>
    <mergeCell ref="A104:J104"/>
    <mergeCell ref="A105:J105"/>
    <mergeCell ref="A106:J106"/>
    <mergeCell ref="A107:J107"/>
    <mergeCell ref="A108:J108"/>
    <mergeCell ref="A117:J117"/>
    <mergeCell ref="C118:E118"/>
    <mergeCell ref="C122:E122"/>
    <mergeCell ref="A128:C128"/>
  </mergeCells>
  <pageMargins left="0.23622047244094491" right="0.23622047244094491" top="0.15748031496062992" bottom="0.74803149606299213" header="0.31496062992125984" footer="0.31496062992125984"/>
  <pageSetup paperSize="9" scale="86" orientation="portrait" horizontalDpi="4294967293" r:id="rId1"/>
  <rowBreaks count="2" manualBreakCount="2">
    <brk id="48" max="9" man="1"/>
    <brk id="9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JANUARI</vt:lpstr>
      <vt:lpstr>FEBRUARI</vt:lpstr>
      <vt:lpstr>FEBRUARI!Print_Area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2026-02-20T06:31:12Z</cp:lastPrinted>
  <dcterms:created xsi:type="dcterms:W3CDTF">2017-02-01T01:06:13Z</dcterms:created>
  <dcterms:modified xsi:type="dcterms:W3CDTF">2026-02-20T07:22:42Z</dcterms:modified>
</cp:coreProperties>
</file>