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F003AAFA-598C-4CF4-85F7-201D533508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FEBRUARI!$A$1:$J$142</definedName>
    <definedName name="_xlnm.Print_Area" localSheetId="0">JANUARI!$A$1:$J$142</definedName>
    <definedName name="_xlnm.Print_Area" localSheetId="2">MARET!$A$1:$J$142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4" i="17" l="1"/>
  <c r="E122" i="17"/>
  <c r="I117" i="17"/>
  <c r="G117" i="17"/>
  <c r="H116" i="17"/>
  <c r="J116" i="17" s="1"/>
  <c r="H115" i="17"/>
  <c r="J115" i="17" s="1"/>
  <c r="H69" i="17"/>
  <c r="H25" i="17"/>
  <c r="H26" i="17"/>
  <c r="H24" i="17"/>
  <c r="E77" i="17"/>
  <c r="I72" i="17"/>
  <c r="G72" i="17"/>
  <c r="E32" i="17"/>
  <c r="I27" i="17"/>
  <c r="E29" i="17" s="1"/>
  <c r="E34" i="17" s="1"/>
  <c r="E35" i="17" s="1"/>
  <c r="G27" i="17"/>
  <c r="E17" i="17"/>
  <c r="E18" i="17" s="1"/>
  <c r="H25" i="16"/>
  <c r="H70" i="16" s="1"/>
  <c r="J70" i="16" s="1"/>
  <c r="H26" i="16"/>
  <c r="H71" i="16" s="1"/>
  <c r="J71" i="16" s="1"/>
  <c r="H24" i="16"/>
  <c r="J24" i="16" s="1"/>
  <c r="E77" i="16"/>
  <c r="I72" i="16"/>
  <c r="E74" i="16" s="1"/>
  <c r="E79" i="16" s="1"/>
  <c r="E80" i="16" s="1"/>
  <c r="G72" i="16"/>
  <c r="E32" i="16"/>
  <c r="I27" i="16"/>
  <c r="E17" i="16" s="1"/>
  <c r="E18" i="16" s="1"/>
  <c r="G27" i="16"/>
  <c r="J25" i="16"/>
  <c r="H70" i="15"/>
  <c r="H72" i="15" s="1"/>
  <c r="H71" i="15"/>
  <c r="J71" i="15" s="1"/>
  <c r="H69" i="15"/>
  <c r="E77" i="15"/>
  <c r="I72" i="15"/>
  <c r="E74" i="15" s="1"/>
  <c r="E79" i="15" s="1"/>
  <c r="E80" i="15" s="1"/>
  <c r="G72" i="15"/>
  <c r="J69" i="15"/>
  <c r="E62" i="15"/>
  <c r="E63" i="15" s="1"/>
  <c r="J25" i="15"/>
  <c r="J26" i="15"/>
  <c r="E32" i="15"/>
  <c r="I27" i="15"/>
  <c r="E17" i="15" s="1"/>
  <c r="E18" i="15" s="1"/>
  <c r="G27" i="15"/>
  <c r="E119" i="17" l="1"/>
  <c r="E124" i="17" s="1"/>
  <c r="E125" i="17" s="1"/>
  <c r="E107" i="17"/>
  <c r="E108" i="17" s="1"/>
  <c r="J114" i="17"/>
  <c r="J117" i="17" s="1"/>
  <c r="H117" i="17"/>
  <c r="E74" i="17"/>
  <c r="E79" i="17" s="1"/>
  <c r="E80" i="17" s="1"/>
  <c r="E62" i="17"/>
  <c r="E63" i="17" s="1"/>
  <c r="H71" i="17"/>
  <c r="J71" i="17" s="1"/>
  <c r="J26" i="17"/>
  <c r="H70" i="17"/>
  <c r="J70" i="17" s="1"/>
  <c r="J25" i="17"/>
  <c r="H27" i="17"/>
  <c r="J24" i="17"/>
  <c r="J27" i="17" s="1"/>
  <c r="J26" i="16"/>
  <c r="J27" i="16" s="1"/>
  <c r="H27" i="16"/>
  <c r="H69" i="16"/>
  <c r="J69" i="16" s="1"/>
  <c r="J72" i="16"/>
  <c r="E29" i="16"/>
  <c r="E34" i="16" s="1"/>
  <c r="E35" i="16" s="1"/>
  <c r="H72" i="16"/>
  <c r="E62" i="16"/>
  <c r="E63" i="16" s="1"/>
  <c r="J70" i="15"/>
  <c r="J72" i="15" s="1"/>
  <c r="H27" i="15"/>
  <c r="E29" i="15"/>
  <c r="E34" i="15" s="1"/>
  <c r="E35" i="15" s="1"/>
  <c r="J24" i="15"/>
  <c r="J27" i="15" s="1"/>
  <c r="J69" i="17" l="1"/>
  <c r="J72" i="17" s="1"/>
  <c r="H72" i="17"/>
</calcChain>
</file>

<file path=xl/sharedStrings.xml><?xml version="1.0" encoding="utf-8"?>
<sst xmlns="http://schemas.openxmlformats.org/spreadsheetml/2006/main" count="378" uniqueCount="53">
  <si>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</si>
  <si>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</si>
  <si>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</si>
  <si>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</si>
  <si>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</si>
  <si>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</si>
  <si>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</si>
  <si>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</si>
  <si>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</si>
  <si>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</si>
  <si>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</si>
  <si>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</si>
  <si>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</si>
  <si>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</si>
  <si>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</si>
  <si>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</si>
  <si>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</si>
  <si>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</si>
  <si>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</si>
  <si>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</si>
  <si>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</si>
  <si>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</si>
  <si>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</si>
  <si>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</si>
  <si>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</si>
  <si>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1.3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</si>
  <si>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</si>
  <si>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</si>
  <si>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</si>
  <si>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</si>
  <si>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</si>
  <si>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</si>
  <si>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</si>
  <si>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</si>
  <si>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Tunjangan Pegawai Operasional</t>
  </si>
  <si>
    <t>Tunjangan Ketenagakerjaan (JKK &amp; JKM) THL</t>
  </si>
  <si>
    <t>Tunjangan Kesehatan (JKN) THL</t>
  </si>
  <si>
    <t>IRNA WAHYUNI N.</t>
  </si>
  <si>
    <t>PERUMDA PASAR BANJARMASIN</t>
  </si>
  <si>
    <t>Tunjangan Hari Raya THL</t>
  </si>
  <si>
    <r>
      <t>Nomor : 05/DIV-KEU/PPB/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</si>
  <si>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05 Januari 2026</t>
  </si>
  <si>
    <r>
      <t>Nomor : 25/DIV-KEU/PPB/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</si>
  <si>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Januari 2026</t>
  </si>
  <si>
    <r>
      <t>Nomor : 108/DIV-KEU/PPB/I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</si>
  <si>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Februari 2026</t>
  </si>
  <si>
    <r>
      <t>Nomor : 055/DIV-KEU/PPB/I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</si>
  <si>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11 Februari 2026</t>
  </si>
  <si>
    <r>
      <t>Nomor : 002/DIV-KEU/PPB/II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</si>
  <si>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Maret 2026</t>
  </si>
  <si>
    <r>
      <t>Nomor : 005/DIV-KEU/PPB/II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</si>
  <si>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026/DIV-KEU/PPB/II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</si>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</sst>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7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3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45</xdr:row>
      <xdr:rowOff>9525</xdr:rowOff>
    </xdr:from>
    <xdr:to>
      <xdr:col>9</xdr:col>
      <xdr:colOff>1162051</xdr:colOff>
      <xdr:row>54</xdr:row>
      <xdr:rowOff>102382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CD2213-EDFA-45CF-AB25-99CC18453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010650"/>
          <a:ext cx="8001001" cy="18264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9</xdr:col>
      <xdr:colOff>1171575</xdr:colOff>
      <xdr:row>9</xdr:row>
      <xdr:rowOff>121433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9DE9-454C-4F36-A975-E7156687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28576"/>
          <a:ext cx="8001001" cy="18264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0A69D8E-0630-46A6-BB10-54C2AB442E70}"/>
            </a:ext>
          </a:extLst>
        </xdr:cNvPr>
        <xdr:cNvCxnSpPr/>
      </xdr:nvCxnSpPr>
      <xdr:spPr>
        <a:xfrm>
          <a:off x="19050" y="1409700"/>
          <a:ext cx="8001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9</xdr:col>
      <xdr:colOff>1162050</xdr:colOff>
      <xdr:row>51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468DEFD-3BF2-4B42-A5A8-A13591050896}"/>
            </a:ext>
          </a:extLst>
        </xdr:cNvPr>
        <xdr:cNvCxnSpPr/>
      </xdr:nvCxnSpPr>
      <xdr:spPr>
        <a:xfrm>
          <a:off x="19050" y="1209675"/>
          <a:ext cx="8001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45</xdr:row>
      <xdr:rowOff>9525</xdr:rowOff>
    </xdr:from>
    <xdr:to>
      <xdr:col>9</xdr:col>
      <xdr:colOff>1162051</xdr:colOff>
      <xdr:row>54</xdr:row>
      <xdr:rowOff>102382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9C6B7-860A-46CC-A276-5F253EA90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010650"/>
          <a:ext cx="8001001" cy="18264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9</xdr:col>
      <xdr:colOff>1171575</xdr:colOff>
      <xdr:row>9</xdr:row>
      <xdr:rowOff>121433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52BAC-E472-4327-92E0-045395A43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28576"/>
          <a:ext cx="8001001" cy="18264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E68197B-221C-4784-AA16-8F086BE92CB1}"/>
            </a:ext>
          </a:extLst>
        </xdr:cNvPr>
        <xdr:cNvCxnSpPr/>
      </xdr:nvCxnSpPr>
      <xdr:spPr>
        <a:xfrm>
          <a:off x="19050" y="1209675"/>
          <a:ext cx="8001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9</xdr:col>
      <xdr:colOff>1162050</xdr:colOff>
      <xdr:row>51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5D19C0D-127C-4919-87BC-5F1456D72CBA}"/>
            </a:ext>
          </a:extLst>
        </xdr:cNvPr>
        <xdr:cNvCxnSpPr/>
      </xdr:nvCxnSpPr>
      <xdr:spPr>
        <a:xfrm>
          <a:off x="19050" y="10210800"/>
          <a:ext cx="8001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90</xdr:row>
      <xdr:rowOff>9525</xdr:rowOff>
    </xdr:from>
    <xdr:to>
      <xdr:col>9</xdr:col>
      <xdr:colOff>1162051</xdr:colOff>
      <xdr:row>99</xdr:row>
      <xdr:rowOff>102382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BF670F-8F0A-4408-9C52-FBD096028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8011775"/>
          <a:ext cx="8001001" cy="18264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45</xdr:row>
      <xdr:rowOff>9525</xdr:rowOff>
    </xdr:from>
    <xdr:to>
      <xdr:col>9</xdr:col>
      <xdr:colOff>1162051</xdr:colOff>
      <xdr:row>54</xdr:row>
      <xdr:rowOff>102382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92456-21D8-4538-8F63-9F04A20ED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010650"/>
          <a:ext cx="8001001" cy="18264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28576</xdr:rowOff>
    </xdr:from>
    <xdr:to>
      <xdr:col>9</xdr:col>
      <xdr:colOff>1171575</xdr:colOff>
      <xdr:row>9</xdr:row>
      <xdr:rowOff>121433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D819C6-2971-412C-8352-5F0939AB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28576"/>
          <a:ext cx="8001001" cy="18264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CCFA29F-9BCE-4CDC-BE60-3C5091550DA8}"/>
            </a:ext>
          </a:extLst>
        </xdr:cNvPr>
        <xdr:cNvCxnSpPr/>
      </xdr:nvCxnSpPr>
      <xdr:spPr>
        <a:xfrm>
          <a:off x="19050" y="1209675"/>
          <a:ext cx="8001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47625</xdr:rowOff>
    </xdr:from>
    <xdr:to>
      <xdr:col>9</xdr:col>
      <xdr:colOff>1162050</xdr:colOff>
      <xdr:row>51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61C7FAB-4711-4117-BFE9-55439BBCEA52}"/>
            </a:ext>
          </a:extLst>
        </xdr:cNvPr>
        <xdr:cNvCxnSpPr/>
      </xdr:nvCxnSpPr>
      <xdr:spPr>
        <a:xfrm>
          <a:off x="19050" y="10210800"/>
          <a:ext cx="8001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96</xdr:row>
      <xdr:rowOff>47625</xdr:rowOff>
    </xdr:from>
    <xdr:to>
      <xdr:col>9</xdr:col>
      <xdr:colOff>1162050</xdr:colOff>
      <xdr:row>96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7FD2FCF-2D0A-42D0-AD1B-A5D2E86BD6DB}"/>
            </a:ext>
          </a:extLst>
        </xdr:cNvPr>
        <xdr:cNvCxnSpPr/>
      </xdr:nvCxnSpPr>
      <xdr:spPr>
        <a:xfrm>
          <a:off x="19050" y="10210800"/>
          <a:ext cx="800100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B089-817B-4272-883B-C9872C84AF6A}">
  <dimension ref="A1:V89"/>
  <sheetViews>
    <sheetView view="pageBreakPreview" topLeftCell="A49" zoomScaleNormal="100" zoomScaleSheetLayoutView="100" workbookViewId="0">
      <selection activeCell="J89" sqref="A46:J89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8.28515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6" t="s">
        <v>31</v>
      </c>
      <c r="B8" s="66"/>
      <c r="C8" s="60"/>
      <c r="D8" s="60"/>
      <c r="E8" s="60"/>
      <c r="F8" s="60"/>
      <c r="G8" s="60"/>
      <c r="H8" s="60"/>
      <c r="I8" s="60"/>
      <c r="J8" s="6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0" t="s">
        <v>40</v>
      </c>
      <c r="B9" s="60"/>
      <c r="C9" s="60"/>
      <c r="D9" s="60"/>
      <c r="E9" s="60"/>
      <c r="F9" s="60"/>
      <c r="G9" s="60"/>
      <c r="H9" s="60"/>
      <c r="I9" s="60"/>
      <c r="J9" s="6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0" t="s">
        <v>13</v>
      </c>
      <c r="B10" s="60"/>
      <c r="C10" s="60"/>
      <c r="D10" s="60"/>
      <c r="E10" s="60"/>
      <c r="F10" s="60"/>
      <c r="G10" s="60"/>
      <c r="H10" s="60"/>
      <c r="I10" s="60"/>
      <c r="J10" s="6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0" t="s">
        <v>38</v>
      </c>
      <c r="B11" s="60"/>
      <c r="C11" s="60"/>
      <c r="D11" s="60"/>
      <c r="E11" s="60"/>
      <c r="F11" s="60"/>
      <c r="G11" s="60"/>
      <c r="H11" s="60"/>
      <c r="I11" s="60"/>
      <c r="J11" s="6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0" t="s">
        <v>26</v>
      </c>
      <c r="B12" s="60"/>
      <c r="C12" s="60"/>
      <c r="D12" s="60"/>
      <c r="E12" s="60"/>
      <c r="F12" s="60"/>
      <c r="G12" s="60"/>
      <c r="H12" s="60"/>
      <c r="I12" s="60"/>
      <c r="J12" s="6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I27</f>
        <v>23945139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Juta Sembilan Ratus Empat Puluh Lima Ribu Seratus Tiga Puluh Sembilan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2" t="s">
        <v>4</v>
      </c>
      <c r="D22" s="63"/>
      <c r="E22" s="64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34</v>
      </c>
      <c r="D23" s="57"/>
      <c r="E23" s="45"/>
      <c r="F23" s="39"/>
      <c r="G23" s="56" t="s">
        <v>30</v>
      </c>
      <c r="H23" s="56" t="s">
        <v>30</v>
      </c>
      <c r="I23" s="56" t="s">
        <v>30</v>
      </c>
      <c r="J23" s="56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39</v>
      </c>
      <c r="D24" s="8"/>
      <c r="E24" s="45"/>
      <c r="F24" s="39"/>
      <c r="G24" s="52">
        <v>223920000</v>
      </c>
      <c r="H24" s="46">
        <v>0</v>
      </c>
      <c r="I24" s="36">
        <v>0</v>
      </c>
      <c r="J24" s="37">
        <f t="shared" ref="J24:J26" si="0">G24-H24-I24</f>
        <v>223920000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35</v>
      </c>
      <c r="D25" s="8"/>
      <c r="E25" s="45"/>
      <c r="F25" s="39"/>
      <c r="G25" s="52">
        <v>27198613</v>
      </c>
      <c r="H25" s="46">
        <v>0</v>
      </c>
      <c r="I25" s="36">
        <v>0</v>
      </c>
      <c r="J25" s="37">
        <f t="shared" si="0"/>
        <v>27198613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25</v>
      </c>
      <c r="C26" s="39" t="s">
        <v>36</v>
      </c>
      <c r="D26" s="8"/>
      <c r="E26" s="45"/>
      <c r="F26" s="39"/>
      <c r="G26" s="52">
        <v>234781387</v>
      </c>
      <c r="H26" s="46">
        <v>0</v>
      </c>
      <c r="I26" s="36">
        <v>23945139</v>
      </c>
      <c r="J26" s="37">
        <f t="shared" si="0"/>
        <v>210836248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6"/>
      <c r="B27" s="16"/>
      <c r="C27" s="17" t="s">
        <v>8</v>
      </c>
      <c r="D27" s="17"/>
      <c r="E27" s="17"/>
      <c r="F27" s="43"/>
      <c r="G27" s="42">
        <f>SUM(G23:G26)</f>
        <v>485900000</v>
      </c>
      <c r="H27" s="18">
        <f>SUM(H23:H26)</f>
        <v>0</v>
      </c>
      <c r="I27" s="18">
        <f>SUM(I23:I26)</f>
        <v>23945139</v>
      </c>
      <c r="J27" s="18">
        <f>SUM(J23:J26)</f>
        <v>461954861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9"/>
      <c r="B28" s="54"/>
      <c r="C28" s="6"/>
      <c r="D28" s="6"/>
      <c r="E28" s="6"/>
      <c r="F28" s="6"/>
      <c r="G28" s="20"/>
      <c r="H28" s="20"/>
      <c r="I28" s="20"/>
      <c r="J28" s="2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65" t="s">
        <v>14</v>
      </c>
      <c r="B29" s="65"/>
      <c r="C29" s="65"/>
      <c r="D29" s="33" t="s">
        <v>12</v>
      </c>
      <c r="E29" s="44">
        <f>I27</f>
        <v>23945139</v>
      </c>
      <c r="F29" s="38"/>
      <c r="G29" s="21"/>
      <c r="H29" s="21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9</v>
      </c>
      <c r="B30" s="8"/>
      <c r="C30" s="8"/>
      <c r="D30" s="33" t="s">
        <v>12</v>
      </c>
      <c r="E30" s="34"/>
      <c r="F30" s="34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16</v>
      </c>
      <c r="B31" s="8"/>
      <c r="C31" s="8"/>
      <c r="D31" s="33" t="s">
        <v>12</v>
      </c>
      <c r="E31" s="35"/>
      <c r="F31" s="35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10</v>
      </c>
      <c r="B32" s="8"/>
      <c r="C32" s="8"/>
      <c r="D32" s="33" t="s">
        <v>12</v>
      </c>
      <c r="E32" s="35">
        <f>E30+E31</f>
        <v>0</v>
      </c>
      <c r="F32" s="35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7"/>
      <c r="B33" s="47"/>
      <c r="C33" s="47"/>
      <c r="D33" s="33"/>
      <c r="E33" s="47"/>
      <c r="F33" s="47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65" t="s">
        <v>15</v>
      </c>
      <c r="B34" s="65"/>
      <c r="C34" s="65"/>
      <c r="D34" s="33" t="s">
        <v>12</v>
      </c>
      <c r="E34" s="38">
        <f>E29-E32</f>
        <v>23945139</v>
      </c>
      <c r="F34" s="38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.75" x14ac:dyDescent="0.25">
      <c r="A35" s="47"/>
      <c r="B35" s="47"/>
      <c r="C35" s="8"/>
      <c r="D35" s="8"/>
      <c r="E35" s="51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Juta Sembilan Ratus Empat Puluh Lima Ribu Seratus Tiga Puluh Sembilan Rupiah</v>
      </c>
      <c r="F35" s="8"/>
      <c r="G35" s="8"/>
      <c r="H35" s="8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6"/>
      <c r="B36" s="26"/>
      <c r="C36" s="26"/>
      <c r="D36" s="26"/>
      <c r="E36" s="26"/>
      <c r="F36" s="26"/>
      <c r="G36" s="25"/>
      <c r="H36" s="24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5"/>
      <c r="B37" s="25"/>
      <c r="C37" s="25"/>
      <c r="D37" s="25"/>
      <c r="E37" s="25"/>
      <c r="F37" s="25"/>
      <c r="G37" s="25"/>
      <c r="H37"/>
      <c r="I37" s="24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47"/>
      <c r="B38" s="47"/>
      <c r="C38" s="8"/>
      <c r="D38" s="8"/>
      <c r="E38" s="8"/>
      <c r="F38" s="8"/>
      <c r="G38" s="8"/>
      <c r="I38" s="49" t="s">
        <v>41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9" t="s">
        <v>28</v>
      </c>
      <c r="B39" s="9"/>
      <c r="C39" s="8"/>
      <c r="D39" s="8"/>
      <c r="E39" s="8"/>
      <c r="F39" s="8"/>
      <c r="G39" s="8"/>
      <c r="I39" s="9" t="s">
        <v>27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28" t="s">
        <v>37</v>
      </c>
      <c r="B44" s="28"/>
      <c r="C44" s="27"/>
      <c r="D44" s="27"/>
      <c r="E44" s="27"/>
      <c r="F44" s="27"/>
      <c r="G44" s="8" t="s">
        <v>11</v>
      </c>
      <c r="I44" s="28" t="s">
        <v>29</v>
      </c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30"/>
      <c r="B45" s="30"/>
      <c r="C45" s="29"/>
      <c r="D45" s="29"/>
      <c r="E45" s="29"/>
      <c r="F45" s="29"/>
      <c r="G45" s="29"/>
      <c r="H45" s="30"/>
      <c r="I45" s="30"/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9" spans="1:10" ht="15.75" x14ac:dyDescent="0.25">
      <c r="C49" s="3"/>
      <c r="D49" s="3"/>
      <c r="E49" s="3"/>
      <c r="F49" s="3"/>
    </row>
    <row r="50" spans="1:10" ht="15.75" x14ac:dyDescent="0.25">
      <c r="A50" s="2"/>
      <c r="B50" s="2"/>
      <c r="C50" s="3"/>
      <c r="D50" s="3"/>
      <c r="E50" s="3"/>
      <c r="F50" s="3"/>
      <c r="G50" s="2"/>
      <c r="H50" s="4"/>
      <c r="I50" s="4"/>
      <c r="J50" s="5"/>
    </row>
    <row r="51" spans="1:10" x14ac:dyDescent="0.25">
      <c r="H51" s="5"/>
      <c r="I51" s="5"/>
      <c r="J51" s="5"/>
    </row>
    <row r="52" spans="1:10" x14ac:dyDescent="0.25">
      <c r="H52" s="5"/>
      <c r="I52" s="5"/>
      <c r="J52" s="5"/>
    </row>
    <row r="53" spans="1:10" x14ac:dyDescent="0.25">
      <c r="A53" s="66" t="s">
        <v>31</v>
      </c>
      <c r="B53" s="66"/>
      <c r="C53" s="60"/>
      <c r="D53" s="60"/>
      <c r="E53" s="60"/>
      <c r="F53" s="60"/>
      <c r="G53" s="60"/>
      <c r="H53" s="60"/>
      <c r="I53" s="60"/>
      <c r="J53" s="60"/>
    </row>
    <row r="54" spans="1:10" x14ac:dyDescent="0.25">
      <c r="A54" s="60" t="s">
        <v>42</v>
      </c>
      <c r="B54" s="60"/>
      <c r="C54" s="60"/>
      <c r="D54" s="60"/>
      <c r="E54" s="60"/>
      <c r="F54" s="60"/>
      <c r="G54" s="60"/>
      <c r="H54" s="60"/>
      <c r="I54" s="60"/>
      <c r="J54" s="60"/>
    </row>
    <row r="55" spans="1:10" x14ac:dyDescent="0.25">
      <c r="A55" s="60" t="s">
        <v>13</v>
      </c>
      <c r="B55" s="60"/>
      <c r="C55" s="60"/>
      <c r="D55" s="60"/>
      <c r="E55" s="60"/>
      <c r="F55" s="60"/>
      <c r="G55" s="60"/>
      <c r="H55" s="60"/>
      <c r="I55" s="60"/>
      <c r="J55" s="60"/>
    </row>
    <row r="56" spans="1:10" x14ac:dyDescent="0.25">
      <c r="A56" s="60" t="s">
        <v>38</v>
      </c>
      <c r="B56" s="60"/>
      <c r="C56" s="60"/>
      <c r="D56" s="60"/>
      <c r="E56" s="60"/>
      <c r="F56" s="60"/>
      <c r="G56" s="60"/>
      <c r="H56" s="60"/>
      <c r="I56" s="60"/>
      <c r="J56" s="60"/>
    </row>
    <row r="57" spans="1:10" x14ac:dyDescent="0.25">
      <c r="A57" s="60" t="s">
        <v>26</v>
      </c>
      <c r="B57" s="60"/>
      <c r="C57" s="60"/>
      <c r="D57" s="60"/>
      <c r="E57" s="60"/>
      <c r="F57" s="60"/>
      <c r="G57" s="60"/>
      <c r="H57" s="60"/>
      <c r="I57" s="60"/>
      <c r="J57" s="60"/>
    </row>
    <row r="58" spans="1:10" x14ac:dyDescent="0.25">
      <c r="A58" s="32"/>
      <c r="B58" s="32"/>
      <c r="C58" s="7"/>
      <c r="D58" s="7"/>
      <c r="E58" s="7"/>
      <c r="F58" s="7"/>
      <c r="G58" s="6"/>
      <c r="H58" s="10"/>
      <c r="I58" s="10"/>
      <c r="J58" s="10"/>
    </row>
    <row r="59" spans="1:10" x14ac:dyDescent="0.25">
      <c r="A59" s="53" t="s">
        <v>18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19</v>
      </c>
      <c r="B60" s="53"/>
      <c r="C60" s="53"/>
      <c r="D60" s="40" t="s">
        <v>12</v>
      </c>
      <c r="E60" s="8" t="s">
        <v>33</v>
      </c>
      <c r="H60" s="9"/>
      <c r="I60" s="9"/>
      <c r="J60" s="10"/>
    </row>
    <row r="61" spans="1:10" x14ac:dyDescent="0.25">
      <c r="A61" s="53" t="s">
        <v>20</v>
      </c>
      <c r="B61" s="53"/>
      <c r="C61" s="53"/>
      <c r="D61" s="40" t="s">
        <v>12</v>
      </c>
      <c r="E61" s="47">
        <v>2026</v>
      </c>
      <c r="H61" s="9"/>
      <c r="I61" s="9"/>
      <c r="J61" s="10"/>
    </row>
    <row r="62" spans="1:10" x14ac:dyDescent="0.25">
      <c r="A62" s="53" t="s">
        <v>21</v>
      </c>
      <c r="B62" s="53"/>
      <c r="C62" s="53"/>
      <c r="D62" s="40" t="s">
        <v>12</v>
      </c>
      <c r="E62" s="44">
        <f>I72</f>
        <v>996840</v>
      </c>
      <c r="H62" s="9"/>
      <c r="I62" s="9"/>
      <c r="J62" s="10"/>
    </row>
    <row r="63" spans="1:10" ht="15.75" x14ac:dyDescent="0.25">
      <c r="A63" s="8"/>
      <c r="B63" s="8"/>
      <c r="C63" s="11" t="s">
        <v>0</v>
      </c>
      <c r="D63" s="40" t="s">
        <v>12</v>
      </c>
      <c r="E63" s="51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Sembilan Puluh Enam Ribu Delapan Ratus Empat Puluh Rupiah</v>
      </c>
      <c r="H63" s="9"/>
      <c r="I63" s="9"/>
      <c r="J63" s="10"/>
    </row>
    <row r="64" spans="1:10" ht="15.75" x14ac:dyDescent="0.25">
      <c r="A64" s="8"/>
      <c r="B64" s="8"/>
      <c r="C64" s="11"/>
      <c r="D64" s="11"/>
      <c r="E64" s="11"/>
      <c r="F64" s="40"/>
      <c r="G64" s="51"/>
      <c r="H64" s="9"/>
      <c r="I64" s="9"/>
      <c r="J64" s="10"/>
    </row>
    <row r="65" spans="1:10" x14ac:dyDescent="0.25">
      <c r="A65" s="8" t="s">
        <v>1</v>
      </c>
      <c r="B65" s="8"/>
      <c r="C65" s="8"/>
      <c r="D65" s="8"/>
      <c r="E65" s="8"/>
      <c r="F65" s="8"/>
      <c r="G65" s="8"/>
      <c r="H65" s="9"/>
      <c r="I65" s="9"/>
      <c r="J65" s="10"/>
    </row>
    <row r="66" spans="1:10" x14ac:dyDescent="0.25">
      <c r="A66" s="61" t="s">
        <v>2</v>
      </c>
      <c r="B66" s="61"/>
      <c r="C66" s="61"/>
      <c r="D66" s="61"/>
      <c r="E66" s="61"/>
      <c r="F66" s="61"/>
      <c r="G66" s="61"/>
      <c r="H66" s="61"/>
      <c r="I66" s="61"/>
      <c r="J66" s="61"/>
    </row>
    <row r="67" spans="1:10" ht="45" x14ac:dyDescent="0.25">
      <c r="A67" s="12" t="s">
        <v>3</v>
      </c>
      <c r="B67" s="58" t="s">
        <v>22</v>
      </c>
      <c r="C67" s="62" t="s">
        <v>4</v>
      </c>
      <c r="D67" s="63"/>
      <c r="E67" s="64"/>
      <c r="F67" s="50"/>
      <c r="G67" s="41" t="s">
        <v>5</v>
      </c>
      <c r="H67" s="13" t="s">
        <v>17</v>
      </c>
      <c r="I67" s="14" t="s">
        <v>6</v>
      </c>
      <c r="J67" s="15" t="s">
        <v>7</v>
      </c>
    </row>
    <row r="68" spans="1:10" x14ac:dyDescent="0.25">
      <c r="A68" s="59">
        <v>1</v>
      </c>
      <c r="B68" s="48"/>
      <c r="C68" s="55" t="s">
        <v>34</v>
      </c>
      <c r="D68" s="57"/>
      <c r="E68" s="45"/>
      <c r="F68" s="39"/>
      <c r="G68" s="56" t="s">
        <v>30</v>
      </c>
      <c r="H68" s="56" t="s">
        <v>30</v>
      </c>
      <c r="I68" s="56" t="s">
        <v>30</v>
      </c>
      <c r="J68" s="56" t="s">
        <v>30</v>
      </c>
    </row>
    <row r="69" spans="1:10" x14ac:dyDescent="0.25">
      <c r="A69" s="48"/>
      <c r="B69" s="48" t="s">
        <v>23</v>
      </c>
      <c r="C69" s="39" t="s">
        <v>39</v>
      </c>
      <c r="D69" s="8"/>
      <c r="E69" s="45"/>
      <c r="F69" s="39"/>
      <c r="G69" s="52">
        <v>223920000</v>
      </c>
      <c r="H69" s="46">
        <f>H24+I24</f>
        <v>0</v>
      </c>
      <c r="I69" s="36">
        <v>0</v>
      </c>
      <c r="J69" s="37">
        <f t="shared" ref="J69:J71" si="1">G69-H69-I69</f>
        <v>223920000</v>
      </c>
    </row>
    <row r="70" spans="1:10" x14ac:dyDescent="0.25">
      <c r="A70" s="48"/>
      <c r="B70" s="48" t="s">
        <v>24</v>
      </c>
      <c r="C70" s="39" t="s">
        <v>35</v>
      </c>
      <c r="D70" s="8"/>
      <c r="E70" s="45"/>
      <c r="F70" s="39"/>
      <c r="G70" s="52">
        <v>27198613</v>
      </c>
      <c r="H70" s="46">
        <f t="shared" ref="H70:H71" si="2">H25+I25</f>
        <v>0</v>
      </c>
      <c r="I70" s="36">
        <v>996840</v>
      </c>
      <c r="J70" s="37">
        <f t="shared" si="1"/>
        <v>26201773</v>
      </c>
    </row>
    <row r="71" spans="1:10" x14ac:dyDescent="0.25">
      <c r="A71" s="48"/>
      <c r="B71" s="48" t="s">
        <v>25</v>
      </c>
      <c r="C71" s="39" t="s">
        <v>36</v>
      </c>
      <c r="D71" s="8"/>
      <c r="E71" s="45"/>
      <c r="F71" s="39"/>
      <c r="G71" s="52">
        <v>234781387</v>
      </c>
      <c r="H71" s="46">
        <f t="shared" si="2"/>
        <v>23945139</v>
      </c>
      <c r="I71" s="36">
        <v>0</v>
      </c>
      <c r="J71" s="37">
        <f t="shared" si="1"/>
        <v>210836248</v>
      </c>
    </row>
    <row r="72" spans="1:10" x14ac:dyDescent="0.25">
      <c r="A72" s="16"/>
      <c r="B72" s="16"/>
      <c r="C72" s="17" t="s">
        <v>8</v>
      </c>
      <c r="D72" s="17"/>
      <c r="E72" s="17"/>
      <c r="F72" s="43"/>
      <c r="G72" s="42">
        <f>SUM(G68:G71)</f>
        <v>485900000</v>
      </c>
      <c r="H72" s="18">
        <f>SUM(H68:H71)</f>
        <v>23945139</v>
      </c>
      <c r="I72" s="18">
        <f>SUM(I68:I71)</f>
        <v>996840</v>
      </c>
      <c r="J72" s="18">
        <f>SUM(J68:J71)</f>
        <v>460958021</v>
      </c>
    </row>
    <row r="73" spans="1:10" x14ac:dyDescent="0.25">
      <c r="A73" s="19"/>
      <c r="B73" s="54"/>
      <c r="C73" s="6"/>
      <c r="D73" s="6"/>
      <c r="E73" s="6"/>
      <c r="F73" s="6"/>
      <c r="G73" s="20"/>
      <c r="H73" s="20"/>
      <c r="I73" s="20"/>
      <c r="J73" s="20"/>
    </row>
    <row r="74" spans="1:10" x14ac:dyDescent="0.25">
      <c r="A74" s="65" t="s">
        <v>14</v>
      </c>
      <c r="B74" s="65"/>
      <c r="C74" s="65"/>
      <c r="D74" s="33" t="s">
        <v>12</v>
      </c>
      <c r="E74" s="44">
        <f>I72</f>
        <v>996840</v>
      </c>
      <c r="F74" s="38"/>
      <c r="G74" s="21"/>
      <c r="H74" s="21"/>
      <c r="I74" s="10"/>
      <c r="J74" s="10"/>
    </row>
    <row r="75" spans="1:10" x14ac:dyDescent="0.25">
      <c r="A75" s="8" t="s">
        <v>9</v>
      </c>
      <c r="B75" s="8"/>
      <c r="C75" s="8"/>
      <c r="D75" s="33" t="s">
        <v>12</v>
      </c>
      <c r="E75" s="34"/>
      <c r="F75" s="34"/>
      <c r="G75" s="22"/>
      <c r="H75" s="9"/>
      <c r="I75" s="10"/>
      <c r="J75" s="10"/>
    </row>
    <row r="76" spans="1:10" x14ac:dyDescent="0.25">
      <c r="A76" s="8" t="s">
        <v>16</v>
      </c>
      <c r="B76" s="8"/>
      <c r="C76" s="8"/>
      <c r="D76" s="33" t="s">
        <v>12</v>
      </c>
      <c r="E76" s="35"/>
      <c r="F76" s="35"/>
      <c r="G76" s="22"/>
      <c r="H76" s="9"/>
      <c r="I76" s="10"/>
      <c r="J76" s="10"/>
    </row>
    <row r="77" spans="1:10" x14ac:dyDescent="0.25">
      <c r="A77" s="8" t="s">
        <v>10</v>
      </c>
      <c r="B77" s="8"/>
      <c r="C77" s="8"/>
      <c r="D77" s="33" t="s">
        <v>12</v>
      </c>
      <c r="E77" s="35">
        <f>E75+E76</f>
        <v>0</v>
      </c>
      <c r="F77" s="35"/>
      <c r="G77" s="8"/>
      <c r="H77" s="9"/>
      <c r="I77" s="23"/>
      <c r="J77" s="24"/>
    </row>
    <row r="78" spans="1:10" x14ac:dyDescent="0.25">
      <c r="A78" s="47"/>
      <c r="B78" s="47"/>
      <c r="C78" s="47"/>
      <c r="D78" s="33"/>
      <c r="E78" s="47"/>
      <c r="F78" s="47"/>
      <c r="G78" s="8"/>
      <c r="H78" s="9"/>
      <c r="I78" s="23"/>
      <c r="J78" s="24"/>
    </row>
    <row r="79" spans="1:10" x14ac:dyDescent="0.25">
      <c r="A79" s="65" t="s">
        <v>15</v>
      </c>
      <c r="B79" s="65"/>
      <c r="C79" s="65"/>
      <c r="D79" s="33" t="s">
        <v>12</v>
      </c>
      <c r="E79" s="38">
        <f>E74-E77</f>
        <v>996840</v>
      </c>
      <c r="F79" s="38"/>
      <c r="G79" s="8"/>
      <c r="H79" s="9"/>
      <c r="I79" s="23"/>
      <c r="J79" s="24"/>
    </row>
    <row r="80" spans="1:10" ht="15.75" x14ac:dyDescent="0.25">
      <c r="A80" s="47"/>
      <c r="B80" s="47"/>
      <c r="C80" s="8"/>
      <c r="D80" s="8"/>
      <c r="E80" s="51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Sembilan Puluh Enam Ribu Delapan Ratus Empat Puluh Rupiah</v>
      </c>
      <c r="F80" s="8"/>
      <c r="G80" s="8"/>
      <c r="H80" s="8"/>
      <c r="I80" s="23"/>
      <c r="J80" s="24"/>
    </row>
    <row r="81" spans="1:10" x14ac:dyDescent="0.25">
      <c r="A81" s="26"/>
      <c r="B81" s="26"/>
      <c r="C81" s="26"/>
      <c r="D81" s="26"/>
      <c r="E81" s="26"/>
      <c r="F81" s="26"/>
      <c r="G81" s="25"/>
      <c r="H81" s="24"/>
      <c r="I81" s="23"/>
      <c r="J81" s="24"/>
    </row>
    <row r="82" spans="1:10" x14ac:dyDescent="0.25">
      <c r="A82" s="25"/>
      <c r="B82" s="25"/>
      <c r="C82" s="25"/>
      <c r="D82" s="25"/>
      <c r="E82" s="25"/>
      <c r="F82" s="25"/>
      <c r="G82" s="25"/>
      <c r="H82"/>
      <c r="I82" s="24"/>
      <c r="J82" s="24"/>
    </row>
    <row r="83" spans="1:10" x14ac:dyDescent="0.25">
      <c r="A83" s="47"/>
      <c r="B83" s="47"/>
      <c r="C83" s="8"/>
      <c r="D83" s="8"/>
      <c r="E83" s="8"/>
      <c r="F83" s="8"/>
      <c r="G83" s="8"/>
      <c r="I83" s="49" t="s">
        <v>43</v>
      </c>
      <c r="J83" s="24"/>
    </row>
    <row r="84" spans="1:10" x14ac:dyDescent="0.25">
      <c r="A84" s="9" t="s">
        <v>28</v>
      </c>
      <c r="B84" s="9"/>
      <c r="C84" s="8"/>
      <c r="D84" s="8"/>
      <c r="E84" s="8"/>
      <c r="F84" s="8"/>
      <c r="G84" s="8"/>
      <c r="I84" s="9" t="s">
        <v>27</v>
      </c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8"/>
      <c r="B87" s="8"/>
      <c r="C87" s="8"/>
      <c r="D87" s="8"/>
      <c r="E87" s="8"/>
      <c r="F87" s="8"/>
      <c r="G87" s="8"/>
      <c r="I87" s="9"/>
      <c r="J87" s="24"/>
    </row>
    <row r="88" spans="1:10" x14ac:dyDescent="0.25">
      <c r="A88" s="8"/>
      <c r="B88" s="8"/>
      <c r="C88" s="8"/>
      <c r="D88" s="8"/>
      <c r="E88" s="8"/>
      <c r="F88" s="8"/>
      <c r="G88" s="8"/>
      <c r="I88" s="9"/>
      <c r="J88" s="24"/>
    </row>
    <row r="89" spans="1:10" x14ac:dyDescent="0.25">
      <c r="A89" s="28" t="s">
        <v>37</v>
      </c>
      <c r="B89" s="28"/>
      <c r="C89" s="27"/>
      <c r="D89" s="27"/>
      <c r="E89" s="27"/>
      <c r="F89" s="27"/>
      <c r="G89" s="8" t="s">
        <v>11</v>
      </c>
      <c r="I89" s="28" t="s">
        <v>29</v>
      </c>
      <c r="J89" s="24"/>
    </row>
  </sheetData>
  <mergeCells count="18">
    <mergeCell ref="A66:J66"/>
    <mergeCell ref="C67:E67"/>
    <mergeCell ref="A74:C74"/>
    <mergeCell ref="A79:C79"/>
    <mergeCell ref="A53:J53"/>
    <mergeCell ref="A54:J54"/>
    <mergeCell ref="A55:J55"/>
    <mergeCell ref="A56:J56"/>
    <mergeCell ref="A57:J57"/>
    <mergeCell ref="C22:E22"/>
    <mergeCell ref="A29:C29"/>
    <mergeCell ref="A34:C34"/>
    <mergeCell ref="A8:J8"/>
    <mergeCell ref="A9:J9"/>
    <mergeCell ref="A10:J10"/>
    <mergeCell ref="A11:J11"/>
    <mergeCell ref="A12:J12"/>
    <mergeCell ref="A21:J21"/>
  </mergeCells>
  <pageMargins left="0.23622047244094491" right="0.23622047244094491" top="0.74803149606299213" bottom="0.74803149606299213" header="0.31496062992125984" footer="0.31496062992125984"/>
  <pageSetup paperSize="9" scale="82" orientation="portrait" horizontalDpi="4294967293" r:id="rId1"/>
  <rowBreaks count="1" manualBreakCount="1">
    <brk id="45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CBF3-F0E4-4DB5-B07B-3E7008A09EE8}">
  <dimension ref="A1:V89"/>
  <sheetViews>
    <sheetView view="pageBreakPreview" topLeftCell="A55" zoomScaleNormal="100" zoomScaleSheetLayoutView="100" workbookViewId="0">
      <selection activeCell="J44" sqref="A1:J44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8.28515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6" t="s">
        <v>31</v>
      </c>
      <c r="B8" s="66"/>
      <c r="C8" s="60"/>
      <c r="D8" s="60"/>
      <c r="E8" s="60"/>
      <c r="F8" s="60"/>
      <c r="G8" s="60"/>
      <c r="H8" s="60"/>
      <c r="I8" s="60"/>
      <c r="J8" s="6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0" t="s">
        <v>44</v>
      </c>
      <c r="B9" s="60"/>
      <c r="C9" s="60"/>
      <c r="D9" s="60"/>
      <c r="E9" s="60"/>
      <c r="F9" s="60"/>
      <c r="G9" s="60"/>
      <c r="H9" s="60"/>
      <c r="I9" s="60"/>
      <c r="J9" s="6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0" t="s">
        <v>13</v>
      </c>
      <c r="B10" s="60"/>
      <c r="C10" s="60"/>
      <c r="D10" s="60"/>
      <c r="E10" s="60"/>
      <c r="F10" s="60"/>
      <c r="G10" s="60"/>
      <c r="H10" s="60"/>
      <c r="I10" s="60"/>
      <c r="J10" s="6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0" t="s">
        <v>38</v>
      </c>
      <c r="B11" s="60"/>
      <c r="C11" s="60"/>
      <c r="D11" s="60"/>
      <c r="E11" s="60"/>
      <c r="F11" s="60"/>
      <c r="G11" s="60"/>
      <c r="H11" s="60"/>
      <c r="I11" s="60"/>
      <c r="J11" s="6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0" t="s">
        <v>26</v>
      </c>
      <c r="B12" s="60"/>
      <c r="C12" s="60"/>
      <c r="D12" s="60"/>
      <c r="E12" s="60"/>
      <c r="F12" s="60"/>
      <c r="G12" s="60"/>
      <c r="H12" s="60"/>
      <c r="I12" s="60"/>
      <c r="J12" s="6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I27</f>
        <v>23945139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Juta Sembilan Ratus Empat Puluh Lima Ribu Seratus Tiga Puluh Sembilan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2" t="s">
        <v>4</v>
      </c>
      <c r="D22" s="63"/>
      <c r="E22" s="64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34</v>
      </c>
      <c r="D23" s="57"/>
      <c r="E23" s="45"/>
      <c r="F23" s="39"/>
      <c r="G23" s="56" t="s">
        <v>30</v>
      </c>
      <c r="H23" s="56" t="s">
        <v>30</v>
      </c>
      <c r="I23" s="56" t="s">
        <v>30</v>
      </c>
      <c r="J23" s="56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39</v>
      </c>
      <c r="D24" s="8"/>
      <c r="E24" s="45"/>
      <c r="F24" s="39"/>
      <c r="G24" s="52">
        <v>223920000</v>
      </c>
      <c r="H24" s="46">
        <f>JANUARI!H69+JANUARI!I69</f>
        <v>0</v>
      </c>
      <c r="I24" s="36">
        <v>0</v>
      </c>
      <c r="J24" s="37">
        <f t="shared" ref="J24:J26" si="0">G24-H24-I24</f>
        <v>223920000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35</v>
      </c>
      <c r="D25" s="8"/>
      <c r="E25" s="45"/>
      <c r="F25" s="39"/>
      <c r="G25" s="52">
        <v>27198613</v>
      </c>
      <c r="H25" s="46">
        <f>JANUARI!H70+JANUARI!I70</f>
        <v>996840</v>
      </c>
      <c r="I25" s="36">
        <v>0</v>
      </c>
      <c r="J25" s="37">
        <f t="shared" si="0"/>
        <v>26201773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25</v>
      </c>
      <c r="C26" s="39" t="s">
        <v>36</v>
      </c>
      <c r="D26" s="8"/>
      <c r="E26" s="45"/>
      <c r="F26" s="39"/>
      <c r="G26" s="52">
        <v>234781387</v>
      </c>
      <c r="H26" s="46">
        <f>JANUARI!H71+JANUARI!I71</f>
        <v>23945139</v>
      </c>
      <c r="I26" s="36">
        <v>23945139</v>
      </c>
      <c r="J26" s="37">
        <f t="shared" si="0"/>
        <v>186891109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6"/>
      <c r="B27" s="16"/>
      <c r="C27" s="17" t="s">
        <v>8</v>
      </c>
      <c r="D27" s="17"/>
      <c r="E27" s="17"/>
      <c r="F27" s="43"/>
      <c r="G27" s="42">
        <f>SUM(G23:G26)</f>
        <v>485900000</v>
      </c>
      <c r="H27" s="18">
        <f>SUM(H23:H26)</f>
        <v>24941979</v>
      </c>
      <c r="I27" s="18">
        <f>SUM(I23:I26)</f>
        <v>23945139</v>
      </c>
      <c r="J27" s="18">
        <f>SUM(J23:J26)</f>
        <v>437012882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9"/>
      <c r="B28" s="54"/>
      <c r="C28" s="6"/>
      <c r="D28" s="6"/>
      <c r="E28" s="6"/>
      <c r="F28" s="6"/>
      <c r="G28" s="20"/>
      <c r="H28" s="20"/>
      <c r="I28" s="20"/>
      <c r="J28" s="2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65" t="s">
        <v>14</v>
      </c>
      <c r="B29" s="65"/>
      <c r="C29" s="65"/>
      <c r="D29" s="33" t="s">
        <v>12</v>
      </c>
      <c r="E29" s="44">
        <f>I27</f>
        <v>23945139</v>
      </c>
      <c r="F29" s="38"/>
      <c r="G29" s="21"/>
      <c r="H29" s="21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9</v>
      </c>
      <c r="B30" s="8"/>
      <c r="C30" s="8"/>
      <c r="D30" s="33" t="s">
        <v>12</v>
      </c>
      <c r="E30" s="34"/>
      <c r="F30" s="34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16</v>
      </c>
      <c r="B31" s="8"/>
      <c r="C31" s="8"/>
      <c r="D31" s="33" t="s">
        <v>12</v>
      </c>
      <c r="E31" s="35"/>
      <c r="F31" s="35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10</v>
      </c>
      <c r="B32" s="8"/>
      <c r="C32" s="8"/>
      <c r="D32" s="33" t="s">
        <v>12</v>
      </c>
      <c r="E32" s="35">
        <f>E30+E31</f>
        <v>0</v>
      </c>
      <c r="F32" s="35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7"/>
      <c r="B33" s="47"/>
      <c r="C33" s="47"/>
      <c r="D33" s="33"/>
      <c r="E33" s="47"/>
      <c r="F33" s="47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65" t="s">
        <v>15</v>
      </c>
      <c r="B34" s="65"/>
      <c r="C34" s="65"/>
      <c r="D34" s="33" t="s">
        <v>12</v>
      </c>
      <c r="E34" s="38">
        <f>E29-E32</f>
        <v>23945139</v>
      </c>
      <c r="F34" s="38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.75" x14ac:dyDescent="0.25">
      <c r="A35" s="47"/>
      <c r="B35" s="47"/>
      <c r="C35" s="8"/>
      <c r="D35" s="8"/>
      <c r="E35" s="51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Juta Sembilan Ratus Empat Puluh Lima Ribu Seratus Tiga Puluh Sembilan Rupiah</v>
      </c>
      <c r="F35" s="8"/>
      <c r="G35" s="8"/>
      <c r="H35" s="8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6"/>
      <c r="B36" s="26"/>
      <c r="C36" s="26"/>
      <c r="D36" s="26"/>
      <c r="E36" s="26"/>
      <c r="F36" s="26"/>
      <c r="G36" s="25"/>
      <c r="H36" s="24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5"/>
      <c r="B37" s="25"/>
      <c r="C37" s="25"/>
      <c r="D37" s="25"/>
      <c r="E37" s="25"/>
      <c r="F37" s="25"/>
      <c r="G37" s="25"/>
      <c r="H37"/>
      <c r="I37" s="24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47"/>
      <c r="B38" s="47"/>
      <c r="C38" s="8"/>
      <c r="D38" s="8"/>
      <c r="E38" s="8"/>
      <c r="F38" s="8"/>
      <c r="G38" s="8"/>
      <c r="I38" s="49" t="s">
        <v>45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9" t="s">
        <v>28</v>
      </c>
      <c r="B39" s="9"/>
      <c r="C39" s="8"/>
      <c r="D39" s="8"/>
      <c r="E39" s="8"/>
      <c r="F39" s="8"/>
      <c r="G39" s="8"/>
      <c r="I39" s="9" t="s">
        <v>27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28" t="s">
        <v>37</v>
      </c>
      <c r="B44" s="28"/>
      <c r="C44" s="27"/>
      <c r="D44" s="27"/>
      <c r="E44" s="27"/>
      <c r="F44" s="27"/>
      <c r="G44" s="8" t="s">
        <v>11</v>
      </c>
      <c r="I44" s="28" t="s">
        <v>29</v>
      </c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30"/>
      <c r="B45" s="30"/>
      <c r="C45" s="29"/>
      <c r="D45" s="29"/>
      <c r="E45" s="29"/>
      <c r="F45" s="29"/>
      <c r="G45" s="29"/>
      <c r="H45" s="30"/>
      <c r="I45" s="30"/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9" spans="1:10" ht="15.75" x14ac:dyDescent="0.25">
      <c r="C49" s="3"/>
      <c r="D49" s="3"/>
      <c r="E49" s="3"/>
      <c r="F49" s="3"/>
    </row>
    <row r="50" spans="1:10" ht="15.75" x14ac:dyDescent="0.25">
      <c r="A50" s="2"/>
      <c r="B50" s="2"/>
      <c r="C50" s="3"/>
      <c r="D50" s="3"/>
      <c r="E50" s="3"/>
      <c r="F50" s="3"/>
      <c r="G50" s="2"/>
      <c r="H50" s="4"/>
      <c r="I50" s="4"/>
      <c r="J50" s="5"/>
    </row>
    <row r="51" spans="1:10" x14ac:dyDescent="0.25">
      <c r="H51" s="5"/>
      <c r="I51" s="5"/>
      <c r="J51" s="5"/>
    </row>
    <row r="52" spans="1:10" x14ac:dyDescent="0.25">
      <c r="H52" s="5"/>
      <c r="I52" s="5"/>
      <c r="J52" s="5"/>
    </row>
    <row r="53" spans="1:10" x14ac:dyDescent="0.25">
      <c r="A53" s="66" t="s">
        <v>31</v>
      </c>
      <c r="B53" s="66"/>
      <c r="C53" s="60"/>
      <c r="D53" s="60"/>
      <c r="E53" s="60"/>
      <c r="F53" s="60"/>
      <c r="G53" s="60"/>
      <c r="H53" s="60"/>
      <c r="I53" s="60"/>
      <c r="J53" s="60"/>
    </row>
    <row r="54" spans="1:10" x14ac:dyDescent="0.25">
      <c r="A54" s="60" t="s">
        <v>46</v>
      </c>
      <c r="B54" s="60"/>
      <c r="C54" s="60"/>
      <c r="D54" s="60"/>
      <c r="E54" s="60"/>
      <c r="F54" s="60"/>
      <c r="G54" s="60"/>
      <c r="H54" s="60"/>
      <c r="I54" s="60"/>
      <c r="J54" s="60"/>
    </row>
    <row r="55" spans="1:10" x14ac:dyDescent="0.25">
      <c r="A55" s="60" t="s">
        <v>13</v>
      </c>
      <c r="B55" s="60"/>
      <c r="C55" s="60"/>
      <c r="D55" s="60"/>
      <c r="E55" s="60"/>
      <c r="F55" s="60"/>
      <c r="G55" s="60"/>
      <c r="H55" s="60"/>
      <c r="I55" s="60"/>
      <c r="J55" s="60"/>
    </row>
    <row r="56" spans="1:10" x14ac:dyDescent="0.25">
      <c r="A56" s="60" t="s">
        <v>38</v>
      </c>
      <c r="B56" s="60"/>
      <c r="C56" s="60"/>
      <c r="D56" s="60"/>
      <c r="E56" s="60"/>
      <c r="F56" s="60"/>
      <c r="G56" s="60"/>
      <c r="H56" s="60"/>
      <c r="I56" s="60"/>
      <c r="J56" s="60"/>
    </row>
    <row r="57" spans="1:10" x14ac:dyDescent="0.25">
      <c r="A57" s="60" t="s">
        <v>26</v>
      </c>
      <c r="B57" s="60"/>
      <c r="C57" s="60"/>
      <c r="D57" s="60"/>
      <c r="E57" s="60"/>
      <c r="F57" s="60"/>
      <c r="G57" s="60"/>
      <c r="H57" s="60"/>
      <c r="I57" s="60"/>
      <c r="J57" s="60"/>
    </row>
    <row r="58" spans="1:10" x14ac:dyDescent="0.25">
      <c r="A58" s="32"/>
      <c r="B58" s="32"/>
      <c r="C58" s="7"/>
      <c r="D58" s="7"/>
      <c r="E58" s="7"/>
      <c r="F58" s="7"/>
      <c r="G58" s="6"/>
      <c r="H58" s="10"/>
      <c r="I58" s="10"/>
      <c r="J58" s="10"/>
    </row>
    <row r="59" spans="1:10" x14ac:dyDescent="0.25">
      <c r="A59" s="53" t="s">
        <v>18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19</v>
      </c>
      <c r="B60" s="53"/>
      <c r="C60" s="53"/>
      <c r="D60" s="40" t="s">
        <v>12</v>
      </c>
      <c r="E60" s="8" t="s">
        <v>33</v>
      </c>
      <c r="H60" s="9"/>
      <c r="I60" s="9"/>
      <c r="J60" s="10"/>
    </row>
    <row r="61" spans="1:10" x14ac:dyDescent="0.25">
      <c r="A61" s="53" t="s">
        <v>20</v>
      </c>
      <c r="B61" s="53"/>
      <c r="C61" s="53"/>
      <c r="D61" s="40" t="s">
        <v>12</v>
      </c>
      <c r="E61" s="47">
        <v>2026</v>
      </c>
      <c r="H61" s="9"/>
      <c r="I61" s="9"/>
      <c r="J61" s="10"/>
    </row>
    <row r="62" spans="1:10" x14ac:dyDescent="0.25">
      <c r="A62" s="53" t="s">
        <v>21</v>
      </c>
      <c r="B62" s="53"/>
      <c r="C62" s="53"/>
      <c r="D62" s="40" t="s">
        <v>12</v>
      </c>
      <c r="E62" s="44">
        <f>I72</f>
        <v>996840</v>
      </c>
      <c r="H62" s="9"/>
      <c r="I62" s="9"/>
      <c r="J62" s="10"/>
    </row>
    <row r="63" spans="1:10" ht="15.75" x14ac:dyDescent="0.25">
      <c r="A63" s="8"/>
      <c r="B63" s="8"/>
      <c r="C63" s="11" t="s">
        <v>0</v>
      </c>
      <c r="D63" s="40" t="s">
        <v>12</v>
      </c>
      <c r="E63" s="51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Sembilan Puluh Enam Ribu Delapan Ratus Empat Puluh Rupiah</v>
      </c>
      <c r="H63" s="9"/>
      <c r="I63" s="9"/>
      <c r="J63" s="10"/>
    </row>
    <row r="64" spans="1:10" ht="15.75" x14ac:dyDescent="0.25">
      <c r="A64" s="8"/>
      <c r="B64" s="8"/>
      <c r="C64" s="11"/>
      <c r="D64" s="11"/>
      <c r="E64" s="11"/>
      <c r="F64" s="40"/>
      <c r="G64" s="51"/>
      <c r="H64" s="9"/>
      <c r="I64" s="9"/>
      <c r="J64" s="10"/>
    </row>
    <row r="65" spans="1:10" x14ac:dyDescent="0.25">
      <c r="A65" s="8" t="s">
        <v>1</v>
      </c>
      <c r="B65" s="8"/>
      <c r="C65" s="8"/>
      <c r="D65" s="8"/>
      <c r="E65" s="8"/>
      <c r="F65" s="8"/>
      <c r="G65" s="8"/>
      <c r="H65" s="9"/>
      <c r="I65" s="9"/>
      <c r="J65" s="10"/>
    </row>
    <row r="66" spans="1:10" x14ac:dyDescent="0.25">
      <c r="A66" s="61" t="s">
        <v>2</v>
      </c>
      <c r="B66" s="61"/>
      <c r="C66" s="61"/>
      <c r="D66" s="61"/>
      <c r="E66" s="61"/>
      <c r="F66" s="61"/>
      <c r="G66" s="61"/>
      <c r="H66" s="61"/>
      <c r="I66" s="61"/>
      <c r="J66" s="61"/>
    </row>
    <row r="67" spans="1:10" ht="45" x14ac:dyDescent="0.25">
      <c r="A67" s="12" t="s">
        <v>3</v>
      </c>
      <c r="B67" s="58" t="s">
        <v>22</v>
      </c>
      <c r="C67" s="62" t="s">
        <v>4</v>
      </c>
      <c r="D67" s="63"/>
      <c r="E67" s="64"/>
      <c r="F67" s="50"/>
      <c r="G67" s="41" t="s">
        <v>5</v>
      </c>
      <c r="H67" s="13" t="s">
        <v>17</v>
      </c>
      <c r="I67" s="14" t="s">
        <v>6</v>
      </c>
      <c r="J67" s="15" t="s">
        <v>7</v>
      </c>
    </row>
    <row r="68" spans="1:10" x14ac:dyDescent="0.25">
      <c r="A68" s="59">
        <v>1</v>
      </c>
      <c r="B68" s="48"/>
      <c r="C68" s="55" t="s">
        <v>34</v>
      </c>
      <c r="D68" s="57"/>
      <c r="E68" s="45"/>
      <c r="F68" s="39"/>
      <c r="G68" s="56" t="s">
        <v>30</v>
      </c>
      <c r="H68" s="56" t="s">
        <v>30</v>
      </c>
      <c r="I68" s="56" t="s">
        <v>30</v>
      </c>
      <c r="J68" s="56" t="s">
        <v>30</v>
      </c>
    </row>
    <row r="69" spans="1:10" x14ac:dyDescent="0.25">
      <c r="A69" s="48"/>
      <c r="B69" s="48" t="s">
        <v>23</v>
      </c>
      <c r="C69" s="39" t="s">
        <v>39</v>
      </c>
      <c r="D69" s="8"/>
      <c r="E69" s="45"/>
      <c r="F69" s="39"/>
      <c r="G69" s="52">
        <v>223920000</v>
      </c>
      <c r="H69" s="46">
        <f>H24+I24</f>
        <v>0</v>
      </c>
      <c r="I69" s="36">
        <v>0</v>
      </c>
      <c r="J69" s="37">
        <f t="shared" ref="J69:J71" si="1">G69-H69-I69</f>
        <v>223920000</v>
      </c>
    </row>
    <row r="70" spans="1:10" x14ac:dyDescent="0.25">
      <c r="A70" s="48"/>
      <c r="B70" s="48" t="s">
        <v>24</v>
      </c>
      <c r="C70" s="39" t="s">
        <v>35</v>
      </c>
      <c r="D70" s="8"/>
      <c r="E70" s="45"/>
      <c r="F70" s="39"/>
      <c r="G70" s="52">
        <v>27198613</v>
      </c>
      <c r="H70" s="46">
        <f t="shared" ref="H70:H71" si="2">H25+I25</f>
        <v>996840</v>
      </c>
      <c r="I70" s="36">
        <v>996840</v>
      </c>
      <c r="J70" s="37">
        <f t="shared" si="1"/>
        <v>25204933</v>
      </c>
    </row>
    <row r="71" spans="1:10" x14ac:dyDescent="0.25">
      <c r="A71" s="48"/>
      <c r="B71" s="48" t="s">
        <v>25</v>
      </c>
      <c r="C71" s="39" t="s">
        <v>36</v>
      </c>
      <c r="D71" s="8"/>
      <c r="E71" s="45"/>
      <c r="F71" s="39"/>
      <c r="G71" s="52">
        <v>234781387</v>
      </c>
      <c r="H71" s="46">
        <f t="shared" si="2"/>
        <v>47890278</v>
      </c>
      <c r="I71" s="36">
        <v>0</v>
      </c>
      <c r="J71" s="37">
        <f t="shared" si="1"/>
        <v>186891109</v>
      </c>
    </row>
    <row r="72" spans="1:10" x14ac:dyDescent="0.25">
      <c r="A72" s="16"/>
      <c r="B72" s="16"/>
      <c r="C72" s="17" t="s">
        <v>8</v>
      </c>
      <c r="D72" s="17"/>
      <c r="E72" s="17"/>
      <c r="F72" s="43"/>
      <c r="G72" s="42">
        <f>SUM(G68:G71)</f>
        <v>485900000</v>
      </c>
      <c r="H72" s="18">
        <f>SUM(H68:H71)</f>
        <v>48887118</v>
      </c>
      <c r="I72" s="18">
        <f>SUM(I68:I71)</f>
        <v>996840</v>
      </c>
      <c r="J72" s="18">
        <f>SUM(J68:J71)</f>
        <v>436016042</v>
      </c>
    </row>
    <row r="73" spans="1:10" x14ac:dyDescent="0.25">
      <c r="A73" s="19"/>
      <c r="B73" s="54"/>
      <c r="C73" s="6"/>
      <c r="D73" s="6"/>
      <c r="E73" s="6"/>
      <c r="F73" s="6"/>
      <c r="G73" s="20"/>
      <c r="H73" s="20"/>
      <c r="I73" s="20"/>
      <c r="J73" s="20"/>
    </row>
    <row r="74" spans="1:10" x14ac:dyDescent="0.25">
      <c r="A74" s="65" t="s">
        <v>14</v>
      </c>
      <c r="B74" s="65"/>
      <c r="C74" s="65"/>
      <c r="D74" s="33" t="s">
        <v>12</v>
      </c>
      <c r="E74" s="44">
        <f>I72</f>
        <v>996840</v>
      </c>
      <c r="F74" s="38"/>
      <c r="G74" s="21"/>
      <c r="H74" s="21"/>
      <c r="I74" s="10"/>
      <c r="J74" s="10"/>
    </row>
    <row r="75" spans="1:10" x14ac:dyDescent="0.25">
      <c r="A75" s="8" t="s">
        <v>9</v>
      </c>
      <c r="B75" s="8"/>
      <c r="C75" s="8"/>
      <c r="D75" s="33" t="s">
        <v>12</v>
      </c>
      <c r="E75" s="34"/>
      <c r="F75" s="34"/>
      <c r="G75" s="22"/>
      <c r="H75" s="9"/>
      <c r="I75" s="10"/>
      <c r="J75" s="10"/>
    </row>
    <row r="76" spans="1:10" x14ac:dyDescent="0.25">
      <c r="A76" s="8" t="s">
        <v>16</v>
      </c>
      <c r="B76" s="8"/>
      <c r="C76" s="8"/>
      <c r="D76" s="33" t="s">
        <v>12</v>
      </c>
      <c r="E76" s="35"/>
      <c r="F76" s="35"/>
      <c r="G76" s="22"/>
      <c r="H76" s="9"/>
      <c r="I76" s="10"/>
      <c r="J76" s="10"/>
    </row>
    <row r="77" spans="1:10" x14ac:dyDescent="0.25">
      <c r="A77" s="8" t="s">
        <v>10</v>
      </c>
      <c r="B77" s="8"/>
      <c r="C77" s="8"/>
      <c r="D77" s="33" t="s">
        <v>12</v>
      </c>
      <c r="E77" s="35">
        <f>E75+E76</f>
        <v>0</v>
      </c>
      <c r="F77" s="35"/>
      <c r="G77" s="8"/>
      <c r="H77" s="9"/>
      <c r="I77" s="23"/>
      <c r="J77" s="24"/>
    </row>
    <row r="78" spans="1:10" x14ac:dyDescent="0.25">
      <c r="A78" s="47"/>
      <c r="B78" s="47"/>
      <c r="C78" s="47"/>
      <c r="D78" s="33"/>
      <c r="E78" s="47"/>
      <c r="F78" s="47"/>
      <c r="G78" s="8"/>
      <c r="H78" s="9"/>
      <c r="I78" s="23"/>
      <c r="J78" s="24"/>
    </row>
    <row r="79" spans="1:10" x14ac:dyDescent="0.25">
      <c r="A79" s="65" t="s">
        <v>15</v>
      </c>
      <c r="B79" s="65"/>
      <c r="C79" s="65"/>
      <c r="D79" s="33" t="s">
        <v>12</v>
      </c>
      <c r="E79" s="38">
        <f>E74-E77</f>
        <v>996840</v>
      </c>
      <c r="F79" s="38"/>
      <c r="G79" s="8"/>
      <c r="H79" s="9"/>
      <c r="I79" s="23"/>
      <c r="J79" s="24"/>
    </row>
    <row r="80" spans="1:10" ht="15.75" x14ac:dyDescent="0.25">
      <c r="A80" s="47"/>
      <c r="B80" s="47"/>
      <c r="C80" s="8"/>
      <c r="D80" s="8"/>
      <c r="E80" s="51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Sembilan Puluh Enam Ribu Delapan Ratus Empat Puluh Rupiah</v>
      </c>
      <c r="F80" s="8"/>
      <c r="G80" s="8"/>
      <c r="H80" s="8"/>
      <c r="I80" s="23"/>
      <c r="J80" s="24"/>
    </row>
    <row r="81" spans="1:10" x14ac:dyDescent="0.25">
      <c r="A81" s="26"/>
      <c r="B81" s="26"/>
      <c r="C81" s="26"/>
      <c r="D81" s="26"/>
      <c r="E81" s="26"/>
      <c r="F81" s="26"/>
      <c r="G81" s="25"/>
      <c r="H81" s="24"/>
      <c r="I81" s="23"/>
      <c r="J81" s="24"/>
    </row>
    <row r="82" spans="1:10" x14ac:dyDescent="0.25">
      <c r="A82" s="25"/>
      <c r="B82" s="25"/>
      <c r="C82" s="25"/>
      <c r="D82" s="25"/>
      <c r="E82" s="25"/>
      <c r="F82" s="25"/>
      <c r="G82" s="25"/>
      <c r="H82"/>
      <c r="I82" s="24"/>
      <c r="J82" s="24"/>
    </row>
    <row r="83" spans="1:10" x14ac:dyDescent="0.25">
      <c r="A83" s="47"/>
      <c r="B83" s="47"/>
      <c r="C83" s="8"/>
      <c r="D83" s="8"/>
      <c r="E83" s="8"/>
      <c r="F83" s="8"/>
      <c r="G83" s="8"/>
      <c r="I83" s="49" t="s">
        <v>47</v>
      </c>
      <c r="J83" s="24"/>
    </row>
    <row r="84" spans="1:10" x14ac:dyDescent="0.25">
      <c r="A84" s="9" t="s">
        <v>28</v>
      </c>
      <c r="B84" s="9"/>
      <c r="C84" s="8"/>
      <c r="D84" s="8"/>
      <c r="E84" s="8"/>
      <c r="F84" s="8"/>
      <c r="G84" s="8"/>
      <c r="I84" s="9" t="s">
        <v>27</v>
      </c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8"/>
      <c r="B87" s="8"/>
      <c r="C87" s="8"/>
      <c r="D87" s="8"/>
      <c r="E87" s="8"/>
      <c r="F87" s="8"/>
      <c r="G87" s="8"/>
      <c r="I87" s="9"/>
      <c r="J87" s="24"/>
    </row>
    <row r="88" spans="1:10" x14ac:dyDescent="0.25">
      <c r="A88" s="8"/>
      <c r="B88" s="8"/>
      <c r="C88" s="8"/>
      <c r="D88" s="8"/>
      <c r="E88" s="8"/>
      <c r="F88" s="8"/>
      <c r="G88" s="8"/>
      <c r="I88" s="9"/>
      <c r="J88" s="24"/>
    </row>
    <row r="89" spans="1:10" x14ac:dyDescent="0.25">
      <c r="A89" s="28" t="s">
        <v>37</v>
      </c>
      <c r="B89" s="28"/>
      <c r="C89" s="27"/>
      <c r="D89" s="27"/>
      <c r="E89" s="27"/>
      <c r="F89" s="27"/>
      <c r="G89" s="8" t="s">
        <v>11</v>
      </c>
      <c r="I89" s="28" t="s">
        <v>29</v>
      </c>
      <c r="J89" s="24"/>
    </row>
  </sheetData>
  <mergeCells count="18">
    <mergeCell ref="A21:J21"/>
    <mergeCell ref="A8:J8"/>
    <mergeCell ref="A9:J9"/>
    <mergeCell ref="A10:J10"/>
    <mergeCell ref="A11:J11"/>
    <mergeCell ref="A12:J12"/>
    <mergeCell ref="A79:C79"/>
    <mergeCell ref="C22:E22"/>
    <mergeCell ref="A29:C29"/>
    <mergeCell ref="A34:C34"/>
    <mergeCell ref="A53:J53"/>
    <mergeCell ref="A54:J54"/>
    <mergeCell ref="A55:J55"/>
    <mergeCell ref="A56:J56"/>
    <mergeCell ref="A57:J57"/>
    <mergeCell ref="A66:J66"/>
    <mergeCell ref="C67:E67"/>
    <mergeCell ref="A74:C74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1" manualBreakCount="1">
    <brk id="45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4024-EED4-4CB0-AA8D-7395EE9DB6FF}">
  <dimension ref="A1:V134"/>
  <sheetViews>
    <sheetView tabSelected="1" view="pageBreakPreview" topLeftCell="A86" zoomScaleNormal="100" zoomScaleSheetLayoutView="100" workbookViewId="0">
      <selection activeCell="J134" sqref="A91:J134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8.28515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6" t="s">
        <v>31</v>
      </c>
      <c r="B8" s="66"/>
      <c r="C8" s="60"/>
      <c r="D8" s="60"/>
      <c r="E8" s="60"/>
      <c r="F8" s="60"/>
      <c r="G8" s="60"/>
      <c r="H8" s="60"/>
      <c r="I8" s="60"/>
      <c r="J8" s="6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0" t="s">
        <v>48</v>
      </c>
      <c r="B9" s="60"/>
      <c r="C9" s="60"/>
      <c r="D9" s="60"/>
      <c r="E9" s="60"/>
      <c r="F9" s="60"/>
      <c r="G9" s="60"/>
      <c r="H9" s="60"/>
      <c r="I9" s="60"/>
      <c r="J9" s="6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0" t="s">
        <v>13</v>
      </c>
      <c r="B10" s="60"/>
      <c r="C10" s="60"/>
      <c r="D10" s="60"/>
      <c r="E10" s="60"/>
      <c r="F10" s="60"/>
      <c r="G10" s="60"/>
      <c r="H10" s="60"/>
      <c r="I10" s="60"/>
      <c r="J10" s="6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0" t="s">
        <v>38</v>
      </c>
      <c r="B11" s="60"/>
      <c r="C11" s="60"/>
      <c r="D11" s="60"/>
      <c r="E11" s="60"/>
      <c r="F11" s="60"/>
      <c r="G11" s="60"/>
      <c r="H11" s="60"/>
      <c r="I11" s="60"/>
      <c r="J11" s="6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0" t="s">
        <v>26</v>
      </c>
      <c r="B12" s="60"/>
      <c r="C12" s="60"/>
      <c r="D12" s="60"/>
      <c r="E12" s="60"/>
      <c r="F12" s="60"/>
      <c r="G12" s="60"/>
      <c r="H12" s="60"/>
      <c r="I12" s="60"/>
      <c r="J12" s="6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3" t="s">
        <v>18</v>
      </c>
      <c r="B14" s="53"/>
      <c r="C14" s="53"/>
      <c r="D14" s="40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3" t="s">
        <v>19</v>
      </c>
      <c r="B15" s="53"/>
      <c r="C15" s="53"/>
      <c r="D15" s="40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3" t="s">
        <v>20</v>
      </c>
      <c r="B16" s="53"/>
      <c r="C16" s="53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3" t="s">
        <v>21</v>
      </c>
      <c r="B17" s="53"/>
      <c r="C17" s="53"/>
      <c r="D17" s="40" t="s">
        <v>12</v>
      </c>
      <c r="E17" s="44">
        <f>I27</f>
        <v>23945139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Juta Sembilan Ratus Empat Puluh Lima Ribu Seratus Tiga Puluh Sembilan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8" t="s">
        <v>22</v>
      </c>
      <c r="C22" s="62" t="s">
        <v>4</v>
      </c>
      <c r="D22" s="63"/>
      <c r="E22" s="64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59">
        <v>1</v>
      </c>
      <c r="B23" s="48"/>
      <c r="C23" s="55" t="s">
        <v>34</v>
      </c>
      <c r="D23" s="57"/>
      <c r="E23" s="45"/>
      <c r="F23" s="39"/>
      <c r="G23" s="56" t="s">
        <v>30</v>
      </c>
      <c r="H23" s="56" t="s">
        <v>30</v>
      </c>
      <c r="I23" s="56" t="s">
        <v>30</v>
      </c>
      <c r="J23" s="56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39</v>
      </c>
      <c r="D24" s="8"/>
      <c r="E24" s="45"/>
      <c r="F24" s="39"/>
      <c r="G24" s="52">
        <v>223920000</v>
      </c>
      <c r="H24" s="46">
        <f>FEBRUARI!H69+FEBRUARI!I69</f>
        <v>0</v>
      </c>
      <c r="I24" s="36">
        <v>0</v>
      </c>
      <c r="J24" s="37">
        <f t="shared" ref="J24:J26" si="0">G24-H24-I24</f>
        <v>223920000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35</v>
      </c>
      <c r="D25" s="8"/>
      <c r="E25" s="45"/>
      <c r="F25" s="39"/>
      <c r="G25" s="52">
        <v>27198613</v>
      </c>
      <c r="H25" s="46">
        <f>FEBRUARI!H70+FEBRUARI!I70</f>
        <v>1993680</v>
      </c>
      <c r="I25" s="36">
        <v>0</v>
      </c>
      <c r="J25" s="37">
        <f t="shared" si="0"/>
        <v>25204933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25</v>
      </c>
      <c r="C26" s="39" t="s">
        <v>36</v>
      </c>
      <c r="D26" s="8"/>
      <c r="E26" s="45"/>
      <c r="F26" s="39"/>
      <c r="G26" s="52">
        <v>234781387</v>
      </c>
      <c r="H26" s="46">
        <f>FEBRUARI!H71+FEBRUARI!I71</f>
        <v>47890278</v>
      </c>
      <c r="I26" s="36">
        <v>23945139</v>
      </c>
      <c r="J26" s="37">
        <f t="shared" si="0"/>
        <v>162945970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6"/>
      <c r="B27" s="16"/>
      <c r="C27" s="17" t="s">
        <v>8</v>
      </c>
      <c r="D27" s="17"/>
      <c r="E27" s="17"/>
      <c r="F27" s="43"/>
      <c r="G27" s="42">
        <f>SUM(G23:G26)</f>
        <v>485900000</v>
      </c>
      <c r="H27" s="18">
        <f>SUM(H23:H26)</f>
        <v>49883958</v>
      </c>
      <c r="I27" s="18">
        <f>SUM(I23:I26)</f>
        <v>23945139</v>
      </c>
      <c r="J27" s="18">
        <f>SUM(J23:J26)</f>
        <v>412070903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9"/>
      <c r="B28" s="54"/>
      <c r="C28" s="6"/>
      <c r="D28" s="6"/>
      <c r="E28" s="6"/>
      <c r="F28" s="6"/>
      <c r="G28" s="20"/>
      <c r="H28" s="20"/>
      <c r="I28" s="20"/>
      <c r="J28" s="2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65" t="s">
        <v>14</v>
      </c>
      <c r="B29" s="65"/>
      <c r="C29" s="65"/>
      <c r="D29" s="33" t="s">
        <v>12</v>
      </c>
      <c r="E29" s="44">
        <f>I27</f>
        <v>23945139</v>
      </c>
      <c r="F29" s="38"/>
      <c r="G29" s="21"/>
      <c r="H29" s="21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9</v>
      </c>
      <c r="B30" s="8"/>
      <c r="C30" s="8"/>
      <c r="D30" s="33" t="s">
        <v>12</v>
      </c>
      <c r="E30" s="34"/>
      <c r="F30" s="34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16</v>
      </c>
      <c r="B31" s="8"/>
      <c r="C31" s="8"/>
      <c r="D31" s="33" t="s">
        <v>12</v>
      </c>
      <c r="E31" s="35"/>
      <c r="F31" s="35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10</v>
      </c>
      <c r="B32" s="8"/>
      <c r="C32" s="8"/>
      <c r="D32" s="33" t="s">
        <v>12</v>
      </c>
      <c r="E32" s="35">
        <f>E30+E31</f>
        <v>0</v>
      </c>
      <c r="F32" s="35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7"/>
      <c r="B33" s="47"/>
      <c r="C33" s="47"/>
      <c r="D33" s="33"/>
      <c r="E33" s="47"/>
      <c r="F33" s="47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65" t="s">
        <v>15</v>
      </c>
      <c r="B34" s="65"/>
      <c r="C34" s="65"/>
      <c r="D34" s="33" t="s">
        <v>12</v>
      </c>
      <c r="E34" s="38">
        <f>E29-E32</f>
        <v>23945139</v>
      </c>
      <c r="F34" s="38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.75" x14ac:dyDescent="0.25">
      <c r="A35" s="47"/>
      <c r="B35" s="47"/>
      <c r="C35" s="8"/>
      <c r="D35" s="8"/>
      <c r="E35" s="51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Dua Puluh Tiga Juta Sembilan Ratus Empat Puluh Lima Ribu Seratus Tiga Puluh Sembilan Rupiah</v>
      </c>
      <c r="F35" s="8"/>
      <c r="G35" s="8"/>
      <c r="H35" s="8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6"/>
      <c r="B36" s="26"/>
      <c r="C36" s="26"/>
      <c r="D36" s="26"/>
      <c r="E36" s="26"/>
      <c r="F36" s="26"/>
      <c r="G36" s="25"/>
      <c r="H36" s="24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5"/>
      <c r="B37" s="25"/>
      <c r="C37" s="25"/>
      <c r="D37" s="25"/>
      <c r="E37" s="25"/>
      <c r="F37" s="25"/>
      <c r="G37" s="25"/>
      <c r="H37"/>
      <c r="I37" s="24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47"/>
      <c r="B38" s="47"/>
      <c r="C38" s="8"/>
      <c r="D38" s="8"/>
      <c r="E38" s="8"/>
      <c r="F38" s="8"/>
      <c r="G38" s="8"/>
      <c r="I38" s="49" t="s">
        <v>49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9" t="s">
        <v>28</v>
      </c>
      <c r="B39" s="9"/>
      <c r="C39" s="8"/>
      <c r="D39" s="8"/>
      <c r="E39" s="8"/>
      <c r="F39" s="8"/>
      <c r="G39" s="8"/>
      <c r="I39" s="9" t="s">
        <v>27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28" t="s">
        <v>37</v>
      </c>
      <c r="B44" s="28"/>
      <c r="C44" s="27"/>
      <c r="D44" s="27"/>
      <c r="E44" s="27"/>
      <c r="F44" s="27"/>
      <c r="G44" s="8" t="s">
        <v>11</v>
      </c>
      <c r="I44" s="28" t="s">
        <v>29</v>
      </c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30"/>
      <c r="B45" s="30"/>
      <c r="C45" s="29"/>
      <c r="D45" s="29"/>
      <c r="E45" s="29"/>
      <c r="F45" s="29"/>
      <c r="G45" s="29"/>
      <c r="H45" s="30"/>
      <c r="I45" s="30"/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  <row r="49" spans="1:10" ht="15.75" x14ac:dyDescent="0.25">
      <c r="C49" s="3"/>
      <c r="D49" s="3"/>
      <c r="E49" s="3"/>
      <c r="F49" s="3"/>
    </row>
    <row r="50" spans="1:10" ht="15.75" x14ac:dyDescent="0.25">
      <c r="A50" s="2"/>
      <c r="B50" s="2"/>
      <c r="C50" s="3"/>
      <c r="D50" s="3"/>
      <c r="E50" s="3"/>
      <c r="F50" s="3"/>
      <c r="G50" s="2"/>
      <c r="H50" s="4"/>
      <c r="I50" s="4"/>
      <c r="J50" s="5"/>
    </row>
    <row r="51" spans="1:10" x14ac:dyDescent="0.25">
      <c r="H51" s="5"/>
      <c r="I51" s="5"/>
      <c r="J51" s="5"/>
    </row>
    <row r="52" spans="1:10" x14ac:dyDescent="0.25">
      <c r="H52" s="5"/>
      <c r="I52" s="5"/>
      <c r="J52" s="5"/>
    </row>
    <row r="53" spans="1:10" x14ac:dyDescent="0.25">
      <c r="A53" s="66" t="s">
        <v>31</v>
      </c>
      <c r="B53" s="66"/>
      <c r="C53" s="60"/>
      <c r="D53" s="60"/>
      <c r="E53" s="60"/>
      <c r="F53" s="60"/>
      <c r="G53" s="60"/>
      <c r="H53" s="60"/>
      <c r="I53" s="60"/>
      <c r="J53" s="60"/>
    </row>
    <row r="54" spans="1:10" x14ac:dyDescent="0.25">
      <c r="A54" s="60" t="s">
        <v>50</v>
      </c>
      <c r="B54" s="60"/>
      <c r="C54" s="60"/>
      <c r="D54" s="60"/>
      <c r="E54" s="60"/>
      <c r="F54" s="60"/>
      <c r="G54" s="60"/>
      <c r="H54" s="60"/>
      <c r="I54" s="60"/>
      <c r="J54" s="60"/>
    </row>
    <row r="55" spans="1:10" x14ac:dyDescent="0.25">
      <c r="A55" s="60" t="s">
        <v>13</v>
      </c>
      <c r="B55" s="60"/>
      <c r="C55" s="60"/>
      <c r="D55" s="60"/>
      <c r="E55" s="60"/>
      <c r="F55" s="60"/>
      <c r="G55" s="60"/>
      <c r="H55" s="60"/>
      <c r="I55" s="60"/>
      <c r="J55" s="60"/>
    </row>
    <row r="56" spans="1:10" x14ac:dyDescent="0.25">
      <c r="A56" s="60" t="s">
        <v>38</v>
      </c>
      <c r="B56" s="60"/>
      <c r="C56" s="60"/>
      <c r="D56" s="60"/>
      <c r="E56" s="60"/>
      <c r="F56" s="60"/>
      <c r="G56" s="60"/>
      <c r="H56" s="60"/>
      <c r="I56" s="60"/>
      <c r="J56" s="60"/>
    </row>
    <row r="57" spans="1:10" x14ac:dyDescent="0.25">
      <c r="A57" s="60" t="s">
        <v>26</v>
      </c>
      <c r="B57" s="60"/>
      <c r="C57" s="60"/>
      <c r="D57" s="60"/>
      <c r="E57" s="60"/>
      <c r="F57" s="60"/>
      <c r="G57" s="60"/>
      <c r="H57" s="60"/>
      <c r="I57" s="60"/>
      <c r="J57" s="60"/>
    </row>
    <row r="58" spans="1:10" x14ac:dyDescent="0.25">
      <c r="A58" s="32"/>
      <c r="B58" s="32"/>
      <c r="C58" s="7"/>
      <c r="D58" s="7"/>
      <c r="E58" s="7"/>
      <c r="F58" s="7"/>
      <c r="G58" s="6"/>
      <c r="H58" s="10"/>
      <c r="I58" s="10"/>
      <c r="J58" s="10"/>
    </row>
    <row r="59" spans="1:10" x14ac:dyDescent="0.25">
      <c r="A59" s="53" t="s">
        <v>18</v>
      </c>
      <c r="B59" s="53"/>
      <c r="C59" s="53"/>
      <c r="D59" s="40" t="s">
        <v>12</v>
      </c>
      <c r="E59" s="8" t="s">
        <v>32</v>
      </c>
      <c r="H59" s="9"/>
      <c r="I59" s="9"/>
      <c r="J59" s="10"/>
    </row>
    <row r="60" spans="1:10" x14ac:dyDescent="0.25">
      <c r="A60" s="53" t="s">
        <v>19</v>
      </c>
      <c r="B60" s="53"/>
      <c r="C60" s="53"/>
      <c r="D60" s="40" t="s">
        <v>12</v>
      </c>
      <c r="E60" s="8" t="s">
        <v>33</v>
      </c>
      <c r="H60" s="9"/>
      <c r="I60" s="9"/>
      <c r="J60" s="10"/>
    </row>
    <row r="61" spans="1:10" x14ac:dyDescent="0.25">
      <c r="A61" s="53" t="s">
        <v>20</v>
      </c>
      <c r="B61" s="53"/>
      <c r="C61" s="53"/>
      <c r="D61" s="40" t="s">
        <v>12</v>
      </c>
      <c r="E61" s="47">
        <v>2026</v>
      </c>
      <c r="H61" s="9"/>
      <c r="I61" s="9"/>
      <c r="J61" s="10"/>
    </row>
    <row r="62" spans="1:10" x14ac:dyDescent="0.25">
      <c r="A62" s="53" t="s">
        <v>21</v>
      </c>
      <c r="B62" s="53"/>
      <c r="C62" s="53"/>
      <c r="D62" s="40" t="s">
        <v>12</v>
      </c>
      <c r="E62" s="44">
        <f>I72</f>
        <v>984960</v>
      </c>
      <c r="H62" s="9"/>
      <c r="I62" s="9"/>
      <c r="J62" s="10"/>
    </row>
    <row r="63" spans="1:10" ht="15.75" x14ac:dyDescent="0.25">
      <c r="A63" s="8"/>
      <c r="B63" s="8"/>
      <c r="C63" s="11" t="s">
        <v>0</v>
      </c>
      <c r="D63" s="40" t="s">
        <v>12</v>
      </c>
      <c r="E63" s="51" t="str">
        <f>PROPER(IF(E62=0,"nol",IF(E62&lt;0,"minus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62),"000000000000000"),1,3)=0,"",MID(TEXT(ABS(E62),"000000000000000"),1,1)&amp;" ratus "&amp;MID(TEXT(ABS(E62),"000000000000000"),2,1)&amp;" puluh "&amp;MID(TEXT(ABS(E62),"000000000000000"),3,1)&amp;" trilyun ")&amp;IF(--MID(TEXT(ABS(E62),"000000000000000"),4,3)=0,"",MID(TEXT(ABS(E62),"000000000000000"),4,1)&amp;" ratus "&amp;MID(TEXT(ABS(E62),"000000000000000"),5,1)&amp;" puluh "&amp;MID(TEXT(ABS(E62),"000000000000000"),6,1)&amp;" milyar ")&amp;IF(--MID(TEXT(ABS(E62),"000000000000000"),7,3)=0,"",MID(TEXT(ABS(E62),"000000000000000"),7,1)&amp;" ratus "&amp;MID(TEXT(ABS(E62),"000000000000000"),8,1)&amp;" puluh "&amp;MID(TEXT(ABS(E62),"000000000000000"),9,1)&amp;" juta ")&amp;IF(--MID(TEXT(ABS(E62),"000000000000000"),10,3)=0,"",IF(--MID(TEXT(ABS(E62),"000000000000000"),10,3)=1,"*",MID(TEXT(ABS(E62),"000000000000000"),10,1)&amp;" ratus "&amp;MID(TEXT(ABS(E62),"000000000000000"),11,1)&amp;" puluh ")&amp;MID(TEXT(ABS(E62),"000000000000000"),12,1)&amp;" ribu ")&amp;IF(--MID(TEXT(ABS(E62),"000000000000000"),13,3)=0,"",MID(TEXT(ABS(E62),"000000000000000"),13,1)&amp;" ratus "&amp;MID(TEXT(ABS(E62),"000000000000000"),14,1)&amp;" puluh "&amp;MID(TEXT(ABS(E62),"000000000000000"),15,1)),1,"satu"),2,"dua"),3,"tiga"),4,"empat"),5,"lima"),6,"enam"),7,"tujuh"),8,"delapan"),9,"sembilan"),"0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Delapan Puluh Empat Ribu Sembilan Ratus Enam Puluh Rupiah</v>
      </c>
      <c r="H63" s="9"/>
      <c r="I63" s="9"/>
      <c r="J63" s="10"/>
    </row>
    <row r="64" spans="1:10" ht="15.75" x14ac:dyDescent="0.25">
      <c r="A64" s="8"/>
      <c r="B64" s="8"/>
      <c r="C64" s="11"/>
      <c r="D64" s="11"/>
      <c r="E64" s="11"/>
      <c r="F64" s="40"/>
      <c r="G64" s="51"/>
      <c r="H64" s="9"/>
      <c r="I64" s="9"/>
      <c r="J64" s="10"/>
    </row>
    <row r="65" spans="1:10" x14ac:dyDescent="0.25">
      <c r="A65" s="8" t="s">
        <v>1</v>
      </c>
      <c r="B65" s="8"/>
      <c r="C65" s="8"/>
      <c r="D65" s="8"/>
      <c r="E65" s="8"/>
      <c r="F65" s="8"/>
      <c r="G65" s="8"/>
      <c r="H65" s="9"/>
      <c r="I65" s="9"/>
      <c r="J65" s="10"/>
    </row>
    <row r="66" spans="1:10" x14ac:dyDescent="0.25">
      <c r="A66" s="61" t="s">
        <v>2</v>
      </c>
      <c r="B66" s="61"/>
      <c r="C66" s="61"/>
      <c r="D66" s="61"/>
      <c r="E66" s="61"/>
      <c r="F66" s="61"/>
      <c r="G66" s="61"/>
      <c r="H66" s="61"/>
      <c r="I66" s="61"/>
      <c r="J66" s="61"/>
    </row>
    <row r="67" spans="1:10" ht="45" x14ac:dyDescent="0.25">
      <c r="A67" s="12" t="s">
        <v>3</v>
      </c>
      <c r="B67" s="58" t="s">
        <v>22</v>
      </c>
      <c r="C67" s="62" t="s">
        <v>4</v>
      </c>
      <c r="D67" s="63"/>
      <c r="E67" s="64"/>
      <c r="F67" s="50"/>
      <c r="G67" s="41" t="s">
        <v>5</v>
      </c>
      <c r="H67" s="13" t="s">
        <v>17</v>
      </c>
      <c r="I67" s="14" t="s">
        <v>6</v>
      </c>
      <c r="J67" s="15" t="s">
        <v>7</v>
      </c>
    </row>
    <row r="68" spans="1:10" x14ac:dyDescent="0.25">
      <c r="A68" s="59">
        <v>1</v>
      </c>
      <c r="B68" s="48"/>
      <c r="C68" s="55" t="s">
        <v>34</v>
      </c>
      <c r="D68" s="57"/>
      <c r="E68" s="45"/>
      <c r="F68" s="39"/>
      <c r="G68" s="56" t="s">
        <v>30</v>
      </c>
      <c r="H68" s="56" t="s">
        <v>30</v>
      </c>
      <c r="I68" s="56" t="s">
        <v>30</v>
      </c>
      <c r="J68" s="56" t="s">
        <v>30</v>
      </c>
    </row>
    <row r="69" spans="1:10" x14ac:dyDescent="0.25">
      <c r="A69" s="48"/>
      <c r="B69" s="48" t="s">
        <v>23</v>
      </c>
      <c r="C69" s="39" t="s">
        <v>39</v>
      </c>
      <c r="D69" s="8"/>
      <c r="E69" s="45"/>
      <c r="F69" s="39"/>
      <c r="G69" s="52">
        <v>223920000</v>
      </c>
      <c r="H69" s="46">
        <f>H24+I24</f>
        <v>0</v>
      </c>
      <c r="I69" s="36">
        <v>0</v>
      </c>
      <c r="J69" s="37">
        <f t="shared" ref="J69:J71" si="1">G69-H69-I69</f>
        <v>223920000</v>
      </c>
    </row>
    <row r="70" spans="1:10" x14ac:dyDescent="0.25">
      <c r="A70" s="48"/>
      <c r="B70" s="48" t="s">
        <v>24</v>
      </c>
      <c r="C70" s="39" t="s">
        <v>35</v>
      </c>
      <c r="D70" s="8"/>
      <c r="E70" s="45"/>
      <c r="F70" s="39"/>
      <c r="G70" s="52">
        <v>27198613</v>
      </c>
      <c r="H70" s="46">
        <f t="shared" ref="H70:H71" si="2">H25+I25</f>
        <v>1993680</v>
      </c>
      <c r="I70" s="36">
        <v>984960</v>
      </c>
      <c r="J70" s="37">
        <f t="shared" si="1"/>
        <v>24219973</v>
      </c>
    </row>
    <row r="71" spans="1:10" x14ac:dyDescent="0.25">
      <c r="A71" s="48"/>
      <c r="B71" s="48" t="s">
        <v>25</v>
      </c>
      <c r="C71" s="39" t="s">
        <v>36</v>
      </c>
      <c r="D71" s="8"/>
      <c r="E71" s="45"/>
      <c r="F71" s="39"/>
      <c r="G71" s="52">
        <v>234781387</v>
      </c>
      <c r="H71" s="46">
        <f t="shared" si="2"/>
        <v>71835417</v>
      </c>
      <c r="I71" s="36">
        <v>0</v>
      </c>
      <c r="J71" s="37">
        <f t="shared" si="1"/>
        <v>162945970</v>
      </c>
    </row>
    <row r="72" spans="1:10" x14ac:dyDescent="0.25">
      <c r="A72" s="16"/>
      <c r="B72" s="16"/>
      <c r="C72" s="17" t="s">
        <v>8</v>
      </c>
      <c r="D72" s="17"/>
      <c r="E72" s="17"/>
      <c r="F72" s="43"/>
      <c r="G72" s="42">
        <f>SUM(G68:G71)</f>
        <v>485900000</v>
      </c>
      <c r="H72" s="18">
        <f>SUM(H68:H71)</f>
        <v>73829097</v>
      </c>
      <c r="I72" s="18">
        <f>SUM(I68:I71)</f>
        <v>984960</v>
      </c>
      <c r="J72" s="18">
        <f>SUM(J68:J71)</f>
        <v>411085943</v>
      </c>
    </row>
    <row r="73" spans="1:10" x14ac:dyDescent="0.25">
      <c r="A73" s="19"/>
      <c r="B73" s="54"/>
      <c r="C73" s="6"/>
      <c r="D73" s="6"/>
      <c r="E73" s="6"/>
      <c r="F73" s="6"/>
      <c r="G73" s="20"/>
      <c r="H73" s="20"/>
      <c r="I73" s="20"/>
      <c r="J73" s="20"/>
    </row>
    <row r="74" spans="1:10" x14ac:dyDescent="0.25">
      <c r="A74" s="65" t="s">
        <v>14</v>
      </c>
      <c r="B74" s="65"/>
      <c r="C74" s="65"/>
      <c r="D74" s="33" t="s">
        <v>12</v>
      </c>
      <c r="E74" s="44">
        <f>I72</f>
        <v>984960</v>
      </c>
      <c r="F74" s="38"/>
      <c r="G74" s="21"/>
      <c r="H74" s="21"/>
      <c r="I74" s="10"/>
      <c r="J74" s="10"/>
    </row>
    <row r="75" spans="1:10" x14ac:dyDescent="0.25">
      <c r="A75" s="8" t="s">
        <v>9</v>
      </c>
      <c r="B75" s="8"/>
      <c r="C75" s="8"/>
      <c r="D75" s="33" t="s">
        <v>12</v>
      </c>
      <c r="E75" s="34"/>
      <c r="F75" s="34"/>
      <c r="G75" s="22"/>
      <c r="H75" s="9"/>
      <c r="I75" s="10"/>
      <c r="J75" s="10"/>
    </row>
    <row r="76" spans="1:10" x14ac:dyDescent="0.25">
      <c r="A76" s="8" t="s">
        <v>16</v>
      </c>
      <c r="B76" s="8"/>
      <c r="C76" s="8"/>
      <c r="D76" s="33" t="s">
        <v>12</v>
      </c>
      <c r="E76" s="35"/>
      <c r="F76" s="35"/>
      <c r="G76" s="22"/>
      <c r="H76" s="9"/>
      <c r="I76" s="10"/>
      <c r="J76" s="10"/>
    </row>
    <row r="77" spans="1:10" x14ac:dyDescent="0.25">
      <c r="A77" s="8" t="s">
        <v>10</v>
      </c>
      <c r="B77" s="8"/>
      <c r="C77" s="8"/>
      <c r="D77" s="33" t="s">
        <v>12</v>
      </c>
      <c r="E77" s="35">
        <f>E75+E76</f>
        <v>0</v>
      </c>
      <c r="F77" s="35"/>
      <c r="G77" s="8"/>
      <c r="H77" s="9"/>
      <c r="I77" s="23"/>
      <c r="J77" s="24"/>
    </row>
    <row r="78" spans="1:10" x14ac:dyDescent="0.25">
      <c r="A78" s="47"/>
      <c r="B78" s="47"/>
      <c r="C78" s="47"/>
      <c r="D78" s="33"/>
      <c r="E78" s="47"/>
      <c r="F78" s="47"/>
      <c r="G78" s="8"/>
      <c r="H78" s="9"/>
      <c r="I78" s="23"/>
      <c r="J78" s="24"/>
    </row>
    <row r="79" spans="1:10" x14ac:dyDescent="0.25">
      <c r="A79" s="65" t="s">
        <v>15</v>
      </c>
      <c r="B79" s="65"/>
      <c r="C79" s="65"/>
      <c r="D79" s="33" t="s">
        <v>12</v>
      </c>
      <c r="E79" s="38">
        <f>E74-E77</f>
        <v>984960</v>
      </c>
      <c r="F79" s="38"/>
      <c r="G79" s="8"/>
      <c r="H79" s="9"/>
      <c r="I79" s="23"/>
      <c r="J79" s="24"/>
    </row>
    <row r="80" spans="1:10" ht="15.75" x14ac:dyDescent="0.25">
      <c r="A80" s="47"/>
      <c r="B80" s="47"/>
      <c r="C80" s="8"/>
      <c r="D80" s="8"/>
      <c r="E80" s="51" t="str">
        <f>PROPER(IF(E79=0,"nol",IF(E79&lt;0,"minus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79),"000000000000000"),1,3)=0,"",MID(TEXT(ABS(E79),"000000000000000"),1,1)&amp;" ratus "&amp;MID(TEXT(ABS(E79),"000000000000000"),2,1)&amp;" puluh "&amp;MID(TEXT(ABS(E79),"000000000000000"),3,1)&amp;" trilyun ")&amp;IF(--MID(TEXT(ABS(E79),"000000000000000"),4,3)=0,"",MID(TEXT(ABS(E79),"000000000000000"),4,1)&amp;" ratus "&amp;MID(TEXT(ABS(E79),"000000000000000"),5,1)&amp;" puluh "&amp;MID(TEXT(ABS(E79),"000000000000000"),6,1)&amp;" milyar ")&amp;IF(--MID(TEXT(ABS(E79),"000000000000000"),7,3)=0,"",MID(TEXT(ABS(E79),"000000000000000"),7,1)&amp;" ratus "&amp;MID(TEXT(ABS(E79),"000000000000000"),8,1)&amp;" puluh "&amp;MID(TEXT(ABS(E79),"000000000000000"),9,1)&amp;" juta ")&amp;IF(--MID(TEXT(ABS(E79),"000000000000000"),10,3)=0,"",IF(--MID(TEXT(ABS(E79),"000000000000000"),10,3)=1,"*",MID(TEXT(ABS(E79),"000000000000000"),10,1)&amp;" ratus "&amp;MID(TEXT(ABS(E79),"000000000000000"),11,1)&amp;" puluh ")&amp;MID(TEXT(ABS(E79),"000000000000000"),12,1)&amp;" ribu ")&amp;IF(--MID(TEXT(ABS(E79),"000000000000000"),13,3)=0,"",MID(TEXT(ABS(E79),"000000000000000"),13,1)&amp;" ratus "&amp;MID(TEXT(ABS(E79),"000000000000000"),14,1)&amp;" puluh "&amp;MID(TEXT(ABS(E79),"000000000000000"),15,1)),1,"satu"),2,"dua"),3,"tiga"),4,"empat"),5,"lima"),6,"enam"),7,"tujuh"),8,"delapan"),9,"sembilan"),"0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Delapan Puluh Empat Ribu Sembilan Ratus Enam Puluh Rupiah</v>
      </c>
      <c r="F80" s="8"/>
      <c r="G80" s="8"/>
      <c r="H80" s="8"/>
      <c r="I80" s="23"/>
      <c r="J80" s="24"/>
    </row>
    <row r="81" spans="1:10" x14ac:dyDescent="0.25">
      <c r="A81" s="26"/>
      <c r="B81" s="26"/>
      <c r="C81" s="26"/>
      <c r="D81" s="26"/>
      <c r="E81" s="26"/>
      <c r="F81" s="26"/>
      <c r="G81" s="25"/>
      <c r="H81" s="24"/>
      <c r="I81" s="23"/>
      <c r="J81" s="24"/>
    </row>
    <row r="82" spans="1:10" x14ac:dyDescent="0.25">
      <c r="A82" s="25"/>
      <c r="B82" s="25"/>
      <c r="C82" s="25"/>
      <c r="D82" s="25"/>
      <c r="E82" s="25"/>
      <c r="F82" s="25"/>
      <c r="G82" s="25"/>
      <c r="H82"/>
      <c r="I82" s="24"/>
      <c r="J82" s="24"/>
    </row>
    <row r="83" spans="1:10" x14ac:dyDescent="0.25">
      <c r="A83" s="47"/>
      <c r="B83" s="47"/>
      <c r="C83" s="8"/>
      <c r="D83" s="8"/>
      <c r="E83" s="8"/>
      <c r="F83" s="8"/>
      <c r="G83" s="8"/>
      <c r="I83" s="49" t="s">
        <v>49</v>
      </c>
      <c r="J83" s="24"/>
    </row>
    <row r="84" spans="1:10" x14ac:dyDescent="0.25">
      <c r="A84" s="9" t="s">
        <v>28</v>
      </c>
      <c r="B84" s="9"/>
      <c r="C84" s="8"/>
      <c r="D84" s="8"/>
      <c r="E84" s="8"/>
      <c r="F84" s="8"/>
      <c r="G84" s="8"/>
      <c r="I84" s="9" t="s">
        <v>27</v>
      </c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8"/>
      <c r="B87" s="8"/>
      <c r="C87" s="8"/>
      <c r="D87" s="8"/>
      <c r="E87" s="8"/>
      <c r="F87" s="8"/>
      <c r="G87" s="8"/>
      <c r="I87" s="9"/>
      <c r="J87" s="24"/>
    </row>
    <row r="88" spans="1:10" x14ac:dyDescent="0.25">
      <c r="A88" s="8"/>
      <c r="B88" s="8"/>
      <c r="C88" s="8"/>
      <c r="D88" s="8"/>
      <c r="E88" s="8"/>
      <c r="F88" s="8"/>
      <c r="G88" s="8"/>
      <c r="I88" s="9"/>
      <c r="J88" s="24"/>
    </row>
    <row r="89" spans="1:10" x14ac:dyDescent="0.25">
      <c r="A89" s="28" t="s">
        <v>37</v>
      </c>
      <c r="B89" s="28"/>
      <c r="C89" s="27"/>
      <c r="D89" s="27"/>
      <c r="E89" s="27"/>
      <c r="F89" s="27"/>
      <c r="G89" s="8" t="s">
        <v>11</v>
      </c>
      <c r="I89" s="28" t="s">
        <v>29</v>
      </c>
      <c r="J89" s="24"/>
    </row>
    <row r="94" spans="1:10" ht="15.75" x14ac:dyDescent="0.25">
      <c r="C94" s="3"/>
      <c r="D94" s="3"/>
      <c r="E94" s="3"/>
      <c r="F94" s="3"/>
    </row>
    <row r="95" spans="1:10" ht="15.75" x14ac:dyDescent="0.25">
      <c r="A95" s="2"/>
      <c r="B95" s="2"/>
      <c r="C95" s="3"/>
      <c r="D95" s="3"/>
      <c r="E95" s="3"/>
      <c r="F95" s="3"/>
      <c r="G95" s="2"/>
      <c r="H95" s="4"/>
      <c r="I95" s="4"/>
      <c r="J95" s="5"/>
    </row>
    <row r="96" spans="1:10" x14ac:dyDescent="0.25">
      <c r="H96" s="5"/>
      <c r="I96" s="5"/>
      <c r="J96" s="5"/>
    </row>
    <row r="97" spans="1:10" x14ac:dyDescent="0.25">
      <c r="H97" s="5"/>
      <c r="I97" s="5"/>
      <c r="J97" s="5"/>
    </row>
    <row r="98" spans="1:10" x14ac:dyDescent="0.25">
      <c r="A98" s="66" t="s">
        <v>31</v>
      </c>
      <c r="B98" s="66"/>
      <c r="C98" s="60"/>
      <c r="D98" s="60"/>
      <c r="E98" s="60"/>
      <c r="F98" s="60"/>
      <c r="G98" s="60"/>
      <c r="H98" s="60"/>
      <c r="I98" s="60"/>
      <c r="J98" s="60"/>
    </row>
    <row r="99" spans="1:10" x14ac:dyDescent="0.25">
      <c r="A99" s="60" t="s">
        <v>51</v>
      </c>
      <c r="B99" s="60"/>
      <c r="C99" s="60"/>
      <c r="D99" s="60"/>
      <c r="E99" s="60"/>
      <c r="F99" s="60"/>
      <c r="G99" s="60"/>
      <c r="H99" s="60"/>
      <c r="I99" s="60"/>
      <c r="J99" s="60"/>
    </row>
    <row r="100" spans="1:10" x14ac:dyDescent="0.25">
      <c r="A100" s="60" t="s">
        <v>13</v>
      </c>
      <c r="B100" s="60"/>
      <c r="C100" s="60"/>
      <c r="D100" s="60"/>
      <c r="E100" s="60"/>
      <c r="F100" s="60"/>
      <c r="G100" s="60"/>
      <c r="H100" s="60"/>
      <c r="I100" s="60"/>
      <c r="J100" s="60"/>
    </row>
    <row r="101" spans="1:10" x14ac:dyDescent="0.25">
      <c r="A101" s="60" t="s">
        <v>38</v>
      </c>
      <c r="B101" s="60"/>
      <c r="C101" s="60"/>
      <c r="D101" s="60"/>
      <c r="E101" s="60"/>
      <c r="F101" s="60"/>
      <c r="G101" s="60"/>
      <c r="H101" s="60"/>
      <c r="I101" s="60"/>
      <c r="J101" s="60"/>
    </row>
    <row r="102" spans="1:10" x14ac:dyDescent="0.25">
      <c r="A102" s="60" t="s">
        <v>26</v>
      </c>
      <c r="B102" s="60"/>
      <c r="C102" s="60"/>
      <c r="D102" s="60"/>
      <c r="E102" s="60"/>
      <c r="F102" s="60"/>
      <c r="G102" s="60"/>
      <c r="H102" s="60"/>
      <c r="I102" s="60"/>
      <c r="J102" s="60"/>
    </row>
    <row r="103" spans="1:10" x14ac:dyDescent="0.25">
      <c r="A103" s="32"/>
      <c r="B103" s="32"/>
      <c r="C103" s="7"/>
      <c r="D103" s="7"/>
      <c r="E103" s="7"/>
      <c r="F103" s="7"/>
      <c r="G103" s="6"/>
      <c r="H103" s="10"/>
      <c r="I103" s="10"/>
      <c r="J103" s="10"/>
    </row>
    <row r="104" spans="1:10" x14ac:dyDescent="0.25">
      <c r="A104" s="53" t="s">
        <v>18</v>
      </c>
      <c r="B104" s="53"/>
      <c r="C104" s="53"/>
      <c r="D104" s="40" t="s">
        <v>12</v>
      </c>
      <c r="E104" s="8" t="s">
        <v>32</v>
      </c>
      <c r="H104" s="9"/>
      <c r="I104" s="9"/>
      <c r="J104" s="10"/>
    </row>
    <row r="105" spans="1:10" x14ac:dyDescent="0.25">
      <c r="A105" s="53" t="s">
        <v>19</v>
      </c>
      <c r="B105" s="53"/>
      <c r="C105" s="53"/>
      <c r="D105" s="40" t="s">
        <v>12</v>
      </c>
      <c r="E105" s="8" t="s">
        <v>33</v>
      </c>
      <c r="H105" s="9"/>
      <c r="I105" s="9"/>
      <c r="J105" s="10"/>
    </row>
    <row r="106" spans="1:10" x14ac:dyDescent="0.25">
      <c r="A106" s="53" t="s">
        <v>20</v>
      </c>
      <c r="B106" s="53"/>
      <c r="C106" s="53"/>
      <c r="D106" s="40" t="s">
        <v>12</v>
      </c>
      <c r="E106" s="47">
        <v>2026</v>
      </c>
      <c r="H106" s="9"/>
      <c r="I106" s="9"/>
      <c r="J106" s="10"/>
    </row>
    <row r="107" spans="1:10" x14ac:dyDescent="0.25">
      <c r="A107" s="53" t="s">
        <v>21</v>
      </c>
      <c r="B107" s="53"/>
      <c r="C107" s="53"/>
      <c r="D107" s="40" t="s">
        <v>12</v>
      </c>
      <c r="E107" s="44">
        <f>I117</f>
        <v>178066666</v>
      </c>
      <c r="H107" s="9"/>
      <c r="I107" s="9"/>
      <c r="J107" s="10"/>
    </row>
    <row r="108" spans="1:10" ht="15.75" x14ac:dyDescent="0.25">
      <c r="A108" s="8"/>
      <c r="B108" s="8"/>
      <c r="C108" s="11" t="s">
        <v>0</v>
      </c>
      <c r="D108" s="40" t="s">
        <v>12</v>
      </c>
      <c r="E108" s="51" t="str">
        <f>PROPER(IF(E107=0,"nol",IF(E107&lt;0,"minus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107),"000000000000000"),1,3)=0,"",MID(TEXT(ABS(E107),"000000000000000"),1,1)&amp;" ratus "&amp;MID(TEXT(ABS(E107),"000000000000000"),2,1)&amp;" puluh "&amp;MID(TEXT(ABS(E107),"000000000000000"),3,1)&amp;" trilyun ")&amp;IF(--MID(TEXT(ABS(E107),"000000000000000"),4,3)=0,"",MID(TEXT(ABS(E107),"000000000000000"),4,1)&amp;" ratus "&amp;MID(TEXT(ABS(E107),"000000000000000"),5,1)&amp;" puluh "&amp;MID(TEXT(ABS(E107),"000000000000000"),6,1)&amp;" milyar ")&amp;IF(--MID(TEXT(ABS(E107),"000000000000000"),7,3)=0,"",MID(TEXT(ABS(E107),"000000000000000"),7,1)&amp;" ratus "&amp;MID(TEXT(ABS(E107),"000000000000000"),8,1)&amp;" puluh "&amp;MID(TEXT(ABS(E107),"000000000000000"),9,1)&amp;" juta ")&amp;IF(--MID(TEXT(ABS(E107),"000000000000000"),10,3)=0,"",IF(--MID(TEXT(ABS(E107),"000000000000000"),10,3)=1,"*",MID(TEXT(ABS(E107),"000000000000000"),10,1)&amp;" ratus "&amp;MID(TEXT(ABS(E107),"000000000000000"),11,1)&amp;" puluh ")&amp;MID(TEXT(ABS(E107),"000000000000000"),12,1)&amp;" ribu ")&amp;IF(--MID(TEXT(ABS(E107),"000000000000000"),13,3)=0,"",MID(TEXT(ABS(E107),"000000000000000"),13,1)&amp;" ratus "&amp;MID(TEXT(ABS(E107),"000000000000000"),14,1)&amp;" puluh "&amp;MID(TEXT(ABS(E107),"000000000000000"),15,1)),1,"satu"),2,"dua"),3,"tiga"),4,"empat"),5,"lima"),6,"enam"),7,"tujuh"),8,"delapan"),9,"sembilan"),"0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Delapan Juta Enam Puluh Enam Ribu Enam Ratus Enam Puluh Enam Rupiah</v>
      </c>
      <c r="H108" s="9"/>
      <c r="I108" s="9"/>
      <c r="J108" s="10"/>
    </row>
    <row r="109" spans="1:10" ht="15.75" x14ac:dyDescent="0.25">
      <c r="A109" s="8"/>
      <c r="B109" s="8"/>
      <c r="C109" s="11"/>
      <c r="D109" s="11"/>
      <c r="E109" s="11"/>
      <c r="F109" s="40"/>
      <c r="G109" s="51"/>
      <c r="H109" s="9"/>
      <c r="I109" s="9"/>
      <c r="J109" s="10"/>
    </row>
    <row r="110" spans="1:10" x14ac:dyDescent="0.25">
      <c r="A110" s="8" t="s">
        <v>1</v>
      </c>
      <c r="B110" s="8"/>
      <c r="C110" s="8"/>
      <c r="D110" s="8"/>
      <c r="E110" s="8"/>
      <c r="F110" s="8"/>
      <c r="G110" s="8"/>
      <c r="H110" s="9"/>
      <c r="I110" s="9"/>
      <c r="J110" s="10"/>
    </row>
    <row r="111" spans="1:10" x14ac:dyDescent="0.25">
      <c r="A111" s="61" t="s">
        <v>2</v>
      </c>
      <c r="B111" s="61"/>
      <c r="C111" s="61"/>
      <c r="D111" s="61"/>
      <c r="E111" s="61"/>
      <c r="F111" s="61"/>
      <c r="G111" s="61"/>
      <c r="H111" s="61"/>
      <c r="I111" s="61"/>
      <c r="J111" s="61"/>
    </row>
    <row r="112" spans="1:10" ht="45" x14ac:dyDescent="0.25">
      <c r="A112" s="12" t="s">
        <v>3</v>
      </c>
      <c r="B112" s="58" t="s">
        <v>22</v>
      </c>
      <c r="C112" s="62" t="s">
        <v>4</v>
      </c>
      <c r="D112" s="63"/>
      <c r="E112" s="64"/>
      <c r="F112" s="50"/>
      <c r="G112" s="41" t="s">
        <v>5</v>
      </c>
      <c r="H112" s="13" t="s">
        <v>17</v>
      </c>
      <c r="I112" s="14" t="s">
        <v>6</v>
      </c>
      <c r="J112" s="15" t="s">
        <v>7</v>
      </c>
    </row>
    <row r="113" spans="1:10" x14ac:dyDescent="0.25">
      <c r="A113" s="59">
        <v>1</v>
      </c>
      <c r="B113" s="48"/>
      <c r="C113" s="55" t="s">
        <v>34</v>
      </c>
      <c r="D113" s="57"/>
      <c r="E113" s="45"/>
      <c r="F113" s="39"/>
      <c r="G113" s="56" t="s">
        <v>30</v>
      </c>
      <c r="H113" s="56" t="s">
        <v>30</v>
      </c>
      <c r="I113" s="56" t="s">
        <v>30</v>
      </c>
      <c r="J113" s="56" t="s">
        <v>30</v>
      </c>
    </row>
    <row r="114" spans="1:10" x14ac:dyDescent="0.25">
      <c r="A114" s="48"/>
      <c r="B114" s="48" t="s">
        <v>23</v>
      </c>
      <c r="C114" s="39" t="s">
        <v>39</v>
      </c>
      <c r="D114" s="8"/>
      <c r="E114" s="45"/>
      <c r="F114" s="39"/>
      <c r="G114" s="52">
        <v>223920000</v>
      </c>
      <c r="H114" s="46">
        <f>H69+I69</f>
        <v>0</v>
      </c>
      <c r="I114" s="36">
        <v>178066666</v>
      </c>
      <c r="J114" s="37">
        <f t="shared" ref="J114:J116" si="3">G114-H114-I114</f>
        <v>45853334</v>
      </c>
    </row>
    <row r="115" spans="1:10" x14ac:dyDescent="0.25">
      <c r="A115" s="48"/>
      <c r="B115" s="48" t="s">
        <v>24</v>
      </c>
      <c r="C115" s="39" t="s">
        <v>35</v>
      </c>
      <c r="D115" s="8"/>
      <c r="E115" s="45"/>
      <c r="F115" s="39"/>
      <c r="G115" s="52">
        <v>27198613</v>
      </c>
      <c r="H115" s="46">
        <f t="shared" ref="H115:H116" si="4">H70+I70</f>
        <v>2978640</v>
      </c>
      <c r="I115" s="36">
        <v>0</v>
      </c>
      <c r="J115" s="37">
        <f t="shared" si="3"/>
        <v>24219973</v>
      </c>
    </row>
    <row r="116" spans="1:10" x14ac:dyDescent="0.25">
      <c r="A116" s="48"/>
      <c r="B116" s="48" t="s">
        <v>25</v>
      </c>
      <c r="C116" s="39" t="s">
        <v>36</v>
      </c>
      <c r="D116" s="8"/>
      <c r="E116" s="45"/>
      <c r="F116" s="39"/>
      <c r="G116" s="52">
        <v>234781387</v>
      </c>
      <c r="H116" s="46">
        <f t="shared" si="4"/>
        <v>71835417</v>
      </c>
      <c r="I116" s="36">
        <v>0</v>
      </c>
      <c r="J116" s="37">
        <f t="shared" si="3"/>
        <v>162945970</v>
      </c>
    </row>
    <row r="117" spans="1:10" x14ac:dyDescent="0.25">
      <c r="A117" s="16"/>
      <c r="B117" s="16"/>
      <c r="C117" s="17" t="s">
        <v>8</v>
      </c>
      <c r="D117" s="17"/>
      <c r="E117" s="17"/>
      <c r="F117" s="43"/>
      <c r="G117" s="42">
        <f>SUM(G113:G116)</f>
        <v>485900000</v>
      </c>
      <c r="H117" s="18">
        <f>SUM(H113:H116)</f>
        <v>74814057</v>
      </c>
      <c r="I117" s="18">
        <f>SUM(I113:I116)</f>
        <v>178066666</v>
      </c>
      <c r="J117" s="18">
        <f>SUM(J113:J116)</f>
        <v>233019277</v>
      </c>
    </row>
    <row r="118" spans="1:10" x14ac:dyDescent="0.25">
      <c r="A118" s="19"/>
      <c r="B118" s="54"/>
      <c r="C118" s="6"/>
      <c r="D118" s="6"/>
      <c r="E118" s="6"/>
      <c r="F118" s="6"/>
      <c r="G118" s="20"/>
      <c r="H118" s="20"/>
      <c r="I118" s="20"/>
      <c r="J118" s="20"/>
    </row>
    <row r="119" spans="1:10" x14ac:dyDescent="0.25">
      <c r="A119" s="65" t="s">
        <v>14</v>
      </c>
      <c r="B119" s="65"/>
      <c r="C119" s="65"/>
      <c r="D119" s="33" t="s">
        <v>12</v>
      </c>
      <c r="E119" s="44">
        <f>I117</f>
        <v>178066666</v>
      </c>
      <c r="F119" s="38"/>
      <c r="G119" s="21"/>
      <c r="H119" s="21"/>
      <c r="I119" s="10"/>
      <c r="J119" s="10"/>
    </row>
    <row r="120" spans="1:10" x14ac:dyDescent="0.25">
      <c r="A120" s="8" t="s">
        <v>9</v>
      </c>
      <c r="B120" s="8"/>
      <c r="C120" s="8"/>
      <c r="D120" s="33" t="s">
        <v>12</v>
      </c>
      <c r="E120" s="34"/>
      <c r="F120" s="34"/>
      <c r="G120" s="22"/>
      <c r="H120" s="9"/>
      <c r="I120" s="10"/>
      <c r="J120" s="10"/>
    </row>
    <row r="121" spans="1:10" x14ac:dyDescent="0.25">
      <c r="A121" s="8" t="s">
        <v>16</v>
      </c>
      <c r="B121" s="8"/>
      <c r="C121" s="8"/>
      <c r="D121" s="33" t="s">
        <v>12</v>
      </c>
      <c r="E121" s="35"/>
      <c r="F121" s="35"/>
      <c r="G121" s="22"/>
      <c r="H121" s="9"/>
      <c r="I121" s="10"/>
      <c r="J121" s="10"/>
    </row>
    <row r="122" spans="1:10" x14ac:dyDescent="0.25">
      <c r="A122" s="8" t="s">
        <v>10</v>
      </c>
      <c r="B122" s="8"/>
      <c r="C122" s="8"/>
      <c r="D122" s="33" t="s">
        <v>12</v>
      </c>
      <c r="E122" s="35">
        <f>E120+E121</f>
        <v>0</v>
      </c>
      <c r="F122" s="35"/>
      <c r="G122" s="8"/>
      <c r="H122" s="9"/>
      <c r="I122" s="23"/>
      <c r="J122" s="24"/>
    </row>
    <row r="123" spans="1:10" x14ac:dyDescent="0.25">
      <c r="A123" s="47"/>
      <c r="B123" s="47"/>
      <c r="C123" s="47"/>
      <c r="D123" s="33"/>
      <c r="E123" s="47"/>
      <c r="F123" s="47"/>
      <c r="G123" s="8"/>
      <c r="H123" s="9"/>
      <c r="I123" s="23"/>
      <c r="J123" s="24"/>
    </row>
    <row r="124" spans="1:10" x14ac:dyDescent="0.25">
      <c r="A124" s="65" t="s">
        <v>15</v>
      </c>
      <c r="B124" s="65"/>
      <c r="C124" s="65"/>
      <c r="D124" s="33" t="s">
        <v>12</v>
      </c>
      <c r="E124" s="38">
        <f>E119-E122</f>
        <v>178066666</v>
      </c>
      <c r="F124" s="38"/>
      <c r="G124" s="8"/>
      <c r="H124" s="9"/>
      <c r="I124" s="23"/>
      <c r="J124" s="24"/>
    </row>
    <row r="125" spans="1:10" ht="15.75" x14ac:dyDescent="0.25">
      <c r="A125" s="47"/>
      <c r="B125" s="47"/>
      <c r="C125" s="8"/>
      <c r="D125" s="8"/>
      <c r="E125" s="51" t="str">
        <f>PROPER(IF(E124=0,"nol",IF(E124&lt;0,"minus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124),"000000000000000"),1,3)=0,"",MID(TEXT(ABS(E124),"000000000000000"),1,1)&amp;" ratus "&amp;MID(TEXT(ABS(E124),"000000000000000"),2,1)&amp;" puluh "&amp;MID(TEXT(ABS(E124),"000000000000000"),3,1)&amp;" trilyun ")&amp;IF(--MID(TEXT(ABS(E124),"000000000000000"),4,3)=0,"",MID(TEXT(ABS(E124),"000000000000000"),4,1)&amp;" ratus "&amp;MID(TEXT(ABS(E124),"000000000000000"),5,1)&amp;" puluh "&amp;MID(TEXT(ABS(E124),"000000000000000"),6,1)&amp;" milyar ")&amp;IF(--MID(TEXT(ABS(E124),"000000000000000"),7,3)=0,"",MID(TEXT(ABS(E124),"000000000000000"),7,1)&amp;" ratus "&amp;MID(TEXT(ABS(E124),"000000000000000"),8,1)&amp;" puluh "&amp;MID(TEXT(ABS(E124),"000000000000000"),9,1)&amp;" juta ")&amp;IF(--MID(TEXT(ABS(E124),"000000000000000"),10,3)=0,"",IF(--MID(TEXT(ABS(E124),"000000000000000"),10,3)=1,"*",MID(TEXT(ABS(E124),"000000000000000"),10,1)&amp;" ratus "&amp;MID(TEXT(ABS(E124),"000000000000000"),11,1)&amp;" puluh ")&amp;MID(TEXT(ABS(E124),"000000000000000"),12,1)&amp;" ribu ")&amp;IF(--MID(TEXT(ABS(E124),"000000000000000"),13,3)=0,"",MID(TEXT(ABS(E124),"000000000000000"),13,1)&amp;" ratus "&amp;MID(TEXT(ABS(E124),"000000000000000"),14,1)&amp;" puluh "&amp;MID(TEXT(ABS(E124),"000000000000000"),15,1)),1,"satu"),2,"dua"),3,"tiga"),4,"empat"),5,"lima"),6,"enam"),7,"tujuh"),8,"delapan"),9,"sembilan"),"0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Tujuh Puluh Delapan Juta Enam Puluh Enam Ribu Enam Ratus Enam Puluh Enam Rupiah</v>
      </c>
      <c r="F125" s="8"/>
      <c r="G125" s="8"/>
      <c r="H125" s="8"/>
      <c r="I125" s="23"/>
      <c r="J125" s="24"/>
    </row>
    <row r="126" spans="1:10" x14ac:dyDescent="0.25">
      <c r="A126" s="26"/>
      <c r="B126" s="26"/>
      <c r="C126" s="26"/>
      <c r="D126" s="26"/>
      <c r="E126" s="26"/>
      <c r="F126" s="26"/>
      <c r="G126" s="25"/>
      <c r="H126" s="24"/>
      <c r="I126" s="23"/>
      <c r="J126" s="24"/>
    </row>
    <row r="127" spans="1:10" x14ac:dyDescent="0.25">
      <c r="A127" s="25"/>
      <c r="B127" s="25"/>
      <c r="C127" s="25"/>
      <c r="D127" s="25"/>
      <c r="E127" s="25"/>
      <c r="F127" s="25"/>
      <c r="G127" s="25"/>
      <c r="H127"/>
      <c r="I127" s="24"/>
      <c r="J127" s="24"/>
    </row>
    <row r="128" spans="1:10" x14ac:dyDescent="0.25">
      <c r="A128" s="47"/>
      <c r="B128" s="47"/>
      <c r="C128" s="8"/>
      <c r="D128" s="8"/>
      <c r="E128" s="8"/>
      <c r="F128" s="8"/>
      <c r="G128" s="8"/>
      <c r="I128" s="49" t="s">
        <v>52</v>
      </c>
      <c r="J128" s="24"/>
    </row>
    <row r="129" spans="1:10" x14ac:dyDescent="0.25">
      <c r="A129" s="9" t="s">
        <v>28</v>
      </c>
      <c r="B129" s="9"/>
      <c r="C129" s="8"/>
      <c r="D129" s="8"/>
      <c r="E129" s="8"/>
      <c r="F129" s="8"/>
      <c r="G129" s="8"/>
      <c r="I129" s="9" t="s">
        <v>27</v>
      </c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8"/>
      <c r="B131" s="8"/>
      <c r="C131" s="8"/>
      <c r="D131" s="8"/>
      <c r="E131" s="8"/>
      <c r="F131" s="8"/>
      <c r="G131" s="8"/>
      <c r="I131" s="9"/>
      <c r="J131" s="24"/>
    </row>
    <row r="132" spans="1:10" x14ac:dyDescent="0.25">
      <c r="A132" s="8"/>
      <c r="B132" s="8"/>
      <c r="C132" s="8"/>
      <c r="D132" s="8"/>
      <c r="E132" s="8"/>
      <c r="F132" s="8"/>
      <c r="G132" s="8"/>
      <c r="I132" s="9"/>
      <c r="J132" s="24"/>
    </row>
    <row r="133" spans="1:10" x14ac:dyDescent="0.25">
      <c r="A133" s="8"/>
      <c r="B133" s="8"/>
      <c r="C133" s="8"/>
      <c r="D133" s="8"/>
      <c r="E133" s="8"/>
      <c r="F133" s="8"/>
      <c r="G133" s="8"/>
      <c r="I133" s="9"/>
      <c r="J133" s="24"/>
    </row>
    <row r="134" spans="1:10" x14ac:dyDescent="0.25">
      <c r="A134" s="28" t="s">
        <v>37</v>
      </c>
      <c r="B134" s="28"/>
      <c r="C134" s="27"/>
      <c r="D134" s="27"/>
      <c r="E134" s="27"/>
      <c r="F134" s="27"/>
      <c r="G134" s="8" t="s">
        <v>11</v>
      </c>
      <c r="I134" s="28" t="s">
        <v>29</v>
      </c>
      <c r="J134" s="24"/>
    </row>
  </sheetData>
  <mergeCells count="27">
    <mergeCell ref="A74:C74"/>
    <mergeCell ref="A8:J8"/>
    <mergeCell ref="A9:J9"/>
    <mergeCell ref="A10:J10"/>
    <mergeCell ref="A11:J11"/>
    <mergeCell ref="A12:J12"/>
    <mergeCell ref="A21:J21"/>
    <mergeCell ref="A98:J98"/>
    <mergeCell ref="A99:J99"/>
    <mergeCell ref="A100:J100"/>
    <mergeCell ref="A101:J101"/>
    <mergeCell ref="A79:C79"/>
    <mergeCell ref="C22:E22"/>
    <mergeCell ref="A29:C29"/>
    <mergeCell ref="A34:C34"/>
    <mergeCell ref="A53:J53"/>
    <mergeCell ref="A54:J54"/>
    <mergeCell ref="A55:J55"/>
    <mergeCell ref="A56:J56"/>
    <mergeCell ref="A57:J57"/>
    <mergeCell ref="A66:J66"/>
    <mergeCell ref="C67:E67"/>
    <mergeCell ref="A102:J102"/>
    <mergeCell ref="A111:J111"/>
    <mergeCell ref="C112:E112"/>
    <mergeCell ref="A119:C119"/>
    <mergeCell ref="A124:C124"/>
  </mergeCells>
  <pageMargins left="0.23622047244094491" right="0.23622047244094491" top="0.15748031496062992" bottom="0.74803149606299213" header="0.31496062992125984" footer="0.31496062992125984"/>
  <pageSetup paperSize="9" scale="82" orientation="portrait" horizontalDpi="4294967293" r:id="rId1"/>
  <rowBreaks count="2" manualBreakCount="2">
    <brk id="45" max="9" man="1"/>
    <brk id="9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2026-03-17T06:00:40Z</cp:lastPrinted>
  <dcterms:created xsi:type="dcterms:W3CDTF">2017-02-01T01:06:13Z</dcterms:created>
  <dcterms:modified xsi:type="dcterms:W3CDTF">2026-03-17T06:01:20Z</dcterms:modified>
</cp:coreProperties>
</file>