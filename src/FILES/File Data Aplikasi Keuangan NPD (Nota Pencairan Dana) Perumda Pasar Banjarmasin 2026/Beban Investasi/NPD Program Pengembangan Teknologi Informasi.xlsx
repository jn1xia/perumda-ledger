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F22A70E0-F0E8-44B5-8F6B-822E0314D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I" sheetId="13" r:id="rId1"/>
  </sheets>
  <definedNames>
    <definedName name="_xlnm.Print_Area" localSheetId="0">JANUARI!$A$1:$J$71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3" l="1"/>
  <c r="E31" i="13"/>
  <c r="I26" i="13"/>
  <c r="E17" i="13" s="1"/>
  <c r="E18" i="13" s="1"/>
  <c r="G26" i="13"/>
  <c r="H26" i="13" l="1"/>
  <c r="E28" i="13"/>
  <c r="E33" i="13" s="1"/>
  <c r="E34" i="13" s="1"/>
  <c r="J25" i="13"/>
  <c r="J26" i="13" s="1"/>
</calcChain>
</file>

<file path=xl/sharedStrings.xml><?xml version="1.0" encoding="utf-8"?>
<sst xmlns="http://schemas.openxmlformats.org/spreadsheetml/2006/main" count="49" uniqueCount="38">
  <si>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</si>
  <si>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</si>
  <si>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</si>
  <si>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</si>
  <si>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</si>
  <si>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</si>
  <si>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</si>
  <si>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</si>
  <si>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</si>
  <si>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</si>
  <si>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</si>
  <si>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</si>
  <si>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</si>
  <si>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</si>
  <si>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</si>
  <si>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</si>
  <si>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</si>
  <si>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</si>
  <si>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</si>
  <si>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</si>
  <si>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</si>
  <si>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</si>
  <si>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</si>
  <si>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</si>
  <si>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</si>
  <si>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Alat Pembayaran Digital/Tap Kartu</t>
  </si>
  <si>
    <t>Pengembangan Sistem Informasi Akuntansi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</si>
  <si>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</si>
  <si>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</si>
  <si>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</si>
  <si>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</si>
  <si>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</si>
  <si>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</si>
  <si>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Pengembangan Teknologi Informasi</t>
  </si>
  <si>
    <t>IRNA WAHYUNI N.</t>
  </si>
  <si>
    <t>PERUMDA PASAR BANJARMASIN</t>
  </si>
  <si>
    <r>
      <t>Nomor : 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</si>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</sst>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70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9525</xdr:rowOff>
    </xdr:from>
    <xdr:to>
      <xdr:col>9</xdr:col>
      <xdr:colOff>1171575</xdr:colOff>
      <xdr:row>9</xdr:row>
      <xdr:rowOff>48311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E98F8B-E3A2-49BA-B9B2-69CF3938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5"/>
          <a:ext cx="8077202" cy="177233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B5C9C70-9E16-4B2B-90F2-D447B4997673}"/>
            </a:ext>
          </a:extLst>
        </xdr:cNvPr>
        <xdr:cNvCxnSpPr/>
      </xdr:nvCxnSpPr>
      <xdr:spPr>
        <a:xfrm>
          <a:off x="19050" y="1409700"/>
          <a:ext cx="10191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D61E-5B57-40B8-8A4E-84E7228ACFF4}">
  <dimension ref="A1:V44"/>
  <sheetViews>
    <sheetView tabSelected="1" view="pageBreakPreview" zoomScaleNormal="100" zoomScaleSheetLayoutView="100" workbookViewId="0">
      <selection activeCell="I38" sqref="I38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29.710937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8" t="s">
        <v>31</v>
      </c>
      <c r="B8" s="68"/>
      <c r="C8" s="69"/>
      <c r="D8" s="69"/>
      <c r="E8" s="69"/>
      <c r="F8" s="69"/>
      <c r="G8" s="69"/>
      <c r="H8" s="69"/>
      <c r="I8" s="69"/>
      <c r="J8" s="69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9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9" t="s">
        <v>13</v>
      </c>
      <c r="B10" s="69"/>
      <c r="C10" s="69"/>
      <c r="D10" s="69"/>
      <c r="E10" s="69"/>
      <c r="F10" s="69"/>
      <c r="G10" s="69"/>
      <c r="H10" s="69"/>
      <c r="I10" s="69"/>
      <c r="J10" s="69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9" t="s">
        <v>35</v>
      </c>
      <c r="B11" s="69"/>
      <c r="C11" s="69"/>
      <c r="D11" s="69"/>
      <c r="E11" s="69"/>
      <c r="F11" s="69"/>
      <c r="G11" s="69"/>
      <c r="H11" s="69"/>
      <c r="I11" s="69"/>
      <c r="J11" s="69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9" t="s">
        <v>14</v>
      </c>
      <c r="B12" s="69"/>
      <c r="C12" s="69"/>
      <c r="D12" s="69"/>
      <c r="E12" s="69"/>
      <c r="F12" s="69"/>
      <c r="G12" s="69"/>
      <c r="H12" s="69"/>
      <c r="I12" s="69"/>
      <c r="J12" s="69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7" t="s">
        <v>20</v>
      </c>
      <c r="B14" s="57"/>
      <c r="C14" s="57"/>
      <c r="D14" s="52" t="s">
        <v>12</v>
      </c>
      <c r="E14" s="8" t="s">
        <v>19</v>
      </c>
      <c r="F14" s="40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7" t="s">
        <v>21</v>
      </c>
      <c r="B15" s="57"/>
      <c r="C15" s="57"/>
      <c r="D15" s="52" t="s">
        <v>12</v>
      </c>
      <c r="E15" s="8" t="s">
        <v>18</v>
      </c>
      <c r="F15" s="40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7" t="s">
        <v>22</v>
      </c>
      <c r="B16" s="57"/>
      <c r="C16" s="57"/>
      <c r="D16" s="52" t="s">
        <v>12</v>
      </c>
      <c r="E16" s="47">
        <v>2026</v>
      </c>
      <c r="F16" s="40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7" t="s">
        <v>23</v>
      </c>
      <c r="B17" s="57"/>
      <c r="C17" s="57"/>
      <c r="D17" s="52" t="s">
        <v>12</v>
      </c>
      <c r="E17" s="44">
        <f>I26</f>
        <v>0</v>
      </c>
      <c r="F17" s="40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3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18" s="40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3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7" t="s">
        <v>2</v>
      </c>
      <c r="B21" s="67"/>
      <c r="C21" s="67"/>
      <c r="D21" s="67"/>
      <c r="E21" s="67"/>
      <c r="F21" s="67"/>
      <c r="G21" s="67"/>
      <c r="H21" s="67"/>
      <c r="I21" s="67"/>
      <c r="J21" s="67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8" t="s">
        <v>24</v>
      </c>
      <c r="C22" s="63" t="s">
        <v>4</v>
      </c>
      <c r="D22" s="64"/>
      <c r="E22" s="65"/>
      <c r="F22" s="51"/>
      <c r="G22" s="41" t="s">
        <v>5</v>
      </c>
      <c r="H22" s="13" t="s">
        <v>32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8">
        <v>1</v>
      </c>
      <c r="B23" s="48"/>
      <c r="C23" s="60" t="s">
        <v>33</v>
      </c>
      <c r="D23" s="62"/>
      <c r="E23" s="45"/>
      <c r="F23" s="39"/>
      <c r="G23" s="61" t="s">
        <v>30</v>
      </c>
      <c r="H23" s="61" t="s">
        <v>30</v>
      </c>
      <c r="I23" s="61" t="s">
        <v>30</v>
      </c>
      <c r="J23" s="61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/>
      <c r="C24" s="39" t="s">
        <v>26</v>
      </c>
      <c r="D24" s="54"/>
      <c r="E24" s="55"/>
      <c r="F24" s="39"/>
      <c r="G24" s="56">
        <v>150000000</v>
      </c>
      <c r="H24" s="46">
        <v>0</v>
      </c>
      <c r="I24" s="36">
        <v>0</v>
      </c>
      <c r="J24" s="37">
        <f t="shared" ref="J24" si="0">G24-H24-I24</f>
        <v>150000000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9"/>
      <c r="B25" s="49"/>
      <c r="C25" s="39" t="s">
        <v>25</v>
      </c>
      <c r="D25" s="54"/>
      <c r="E25" s="55"/>
      <c r="F25" s="39"/>
      <c r="G25" s="56">
        <v>100000000</v>
      </c>
      <c r="H25" s="46">
        <v>0</v>
      </c>
      <c r="I25" s="36">
        <v>0</v>
      </c>
      <c r="J25" s="37">
        <f t="shared" ref="J25" si="1">G25-H25-I25</f>
        <v>100000000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250000000</v>
      </c>
      <c r="H26" s="18">
        <f>SUM(H23:H25)</f>
        <v>0</v>
      </c>
      <c r="I26" s="18">
        <f>SUM(I23:I25)</f>
        <v>0</v>
      </c>
      <c r="J26" s="18">
        <f>SUM(J23:J25)</f>
        <v>250000000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9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6" t="s">
        <v>15</v>
      </c>
      <c r="B28" s="66"/>
      <c r="C28" s="66"/>
      <c r="D28" s="33" t="s">
        <v>12</v>
      </c>
      <c r="E28" s="38">
        <f>I26</f>
        <v>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17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6" t="s">
        <v>16</v>
      </c>
      <c r="B33" s="66"/>
      <c r="C33" s="66"/>
      <c r="D33" s="33" t="s">
        <v>12</v>
      </c>
      <c r="E33" s="38">
        <f>E28-E31</f>
        <v>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3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50" t="s">
        <v>37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8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34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</sheetData>
  <mergeCells count="9">
    <mergeCell ref="C22:E22"/>
    <mergeCell ref="A28:C28"/>
    <mergeCell ref="A33:C33"/>
    <mergeCell ref="A21:J21"/>
    <mergeCell ref="A8:J8"/>
    <mergeCell ref="A9:J9"/>
    <mergeCell ref="A10:J10"/>
    <mergeCell ref="A11:J11"/>
    <mergeCell ref="A12:J12"/>
  </mergeCells>
  <pageMargins left="0.23622047244094491" right="0.23622047244094491" top="0.74803149606299213" bottom="0.74803149606299213" header="0.31496062992125984" footer="0.31496062992125984"/>
  <pageSetup paperSize="9" scale="81" orientation="portrait" horizontalDpi="4294967293" r:id="rId1"/>
  <rowBreaks count="1" manualBreakCount="1">
    <brk id="4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2026-01-02T09:49:53Z</cp:lastPrinted>
  <dcterms:created xsi:type="dcterms:W3CDTF">2017-02-01T01:06:13Z</dcterms:created>
  <dcterms:modified xsi:type="dcterms:W3CDTF">2026-01-15T06:42:06Z</dcterms:modified>
</cp:coreProperties>
</file>