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PD 2026\Beban Investasi\"/>
    </mc:Choice>
  </mc:AlternateContent>
  <xr:revisionPtr revIDLastSave="0" documentId="13_ncr:1_{DE7B332E-289C-4CC0-8F59-1C462C2626D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JANUARI" sheetId="12" r:id="rId1"/>
    <sheet name="FEBRUARI" sheetId="13" r:id="rId2"/>
    <sheet name="MARET" sheetId="14" r:id="rId3"/>
  </sheets>
  <definedNames>
    <definedName name="_xlnm.Print_Area" localSheetId="1">FEBRUARI!$A$1:$J$261</definedName>
    <definedName name="_xlnm.Print_Area" localSheetId="0">JANUARI!$A$1:$J$84</definedName>
    <definedName name="_xlnm.Print_Area" localSheetId="2">MARET!$A$1:$J$261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7" i="14" l="1"/>
  <c r="H46" i="14"/>
  <c r="H41" i="14"/>
  <c r="H42" i="14"/>
  <c r="H43" i="14"/>
  <c r="H44" i="14"/>
  <c r="H40" i="14"/>
  <c r="H38" i="14"/>
  <c r="H37" i="14"/>
  <c r="H31" i="14"/>
  <c r="H32" i="14"/>
  <c r="H33" i="14"/>
  <c r="H34" i="14"/>
  <c r="H35" i="14"/>
  <c r="H30" i="14"/>
  <c r="H26" i="14"/>
  <c r="H27" i="14"/>
  <c r="H28" i="14"/>
  <c r="H25" i="14"/>
  <c r="E185" i="14"/>
  <c r="I180" i="14"/>
  <c r="G180" i="14"/>
  <c r="E119" i="14"/>
  <c r="I114" i="14"/>
  <c r="E116" i="14" s="1"/>
  <c r="E121" i="14" s="1"/>
  <c r="E122" i="14" s="1"/>
  <c r="G114" i="14"/>
  <c r="E83" i="14"/>
  <c r="E84" i="14" s="1"/>
  <c r="E53" i="14"/>
  <c r="I48" i="14"/>
  <c r="E50" i="14" s="1"/>
  <c r="E55" i="14" s="1"/>
  <c r="E56" i="14" s="1"/>
  <c r="G48" i="14"/>
  <c r="E17" i="14"/>
  <c r="E18" i="14" s="1"/>
  <c r="E185" i="13"/>
  <c r="I180" i="13"/>
  <c r="H180" i="13"/>
  <c r="G180" i="13"/>
  <c r="H179" i="13"/>
  <c r="J179" i="13" s="1"/>
  <c r="H178" i="13"/>
  <c r="J178" i="13" s="1"/>
  <c r="H176" i="13"/>
  <c r="J176" i="13" s="1"/>
  <c r="H175" i="13"/>
  <c r="J175" i="13" s="1"/>
  <c r="H174" i="13"/>
  <c r="J174" i="13" s="1"/>
  <c r="H173" i="13"/>
  <c r="J173" i="13" s="1"/>
  <c r="H172" i="13"/>
  <c r="J172" i="13" s="1"/>
  <c r="H170" i="13"/>
  <c r="J170" i="13" s="1"/>
  <c r="J169" i="13"/>
  <c r="H169" i="13"/>
  <c r="H167" i="13"/>
  <c r="J167" i="13" s="1"/>
  <c r="H166" i="13"/>
  <c r="J166" i="13" s="1"/>
  <c r="H165" i="13"/>
  <c r="J165" i="13" s="1"/>
  <c r="H164" i="13"/>
  <c r="J164" i="13" s="1"/>
  <c r="H163" i="13"/>
  <c r="J163" i="13" s="1"/>
  <c r="H162" i="13"/>
  <c r="J162" i="13" s="1"/>
  <c r="H160" i="13"/>
  <c r="J160" i="13" s="1"/>
  <c r="H159" i="13"/>
  <c r="J159" i="13" s="1"/>
  <c r="H158" i="13"/>
  <c r="J158" i="13" s="1"/>
  <c r="H157" i="13"/>
  <c r="J157" i="13" s="1"/>
  <c r="H113" i="13"/>
  <c r="J113" i="13"/>
  <c r="H109" i="13"/>
  <c r="J109" i="13" s="1"/>
  <c r="H110" i="13"/>
  <c r="J110" i="13" s="1"/>
  <c r="H104" i="13"/>
  <c r="H103" i="13"/>
  <c r="J103" i="13" s="1"/>
  <c r="H97" i="13"/>
  <c r="J97" i="13" s="1"/>
  <c r="H100" i="13"/>
  <c r="J100" i="13" s="1"/>
  <c r="H93" i="13"/>
  <c r="J93" i="13" s="1"/>
  <c r="H94" i="13"/>
  <c r="J94" i="13" s="1"/>
  <c r="E119" i="13"/>
  <c r="I114" i="13"/>
  <c r="E116" i="13" s="1"/>
  <c r="E121" i="13" s="1"/>
  <c r="E122" i="13" s="1"/>
  <c r="G114" i="13"/>
  <c r="J104" i="13"/>
  <c r="H47" i="13"/>
  <c r="J47" i="13" s="1"/>
  <c r="H46" i="13"/>
  <c r="J46" i="13" s="1"/>
  <c r="H41" i="13"/>
  <c r="H107" i="13" s="1"/>
  <c r="J107" i="13" s="1"/>
  <c r="H42" i="13"/>
  <c r="J42" i="13" s="1"/>
  <c r="H43" i="13"/>
  <c r="J43" i="13" s="1"/>
  <c r="H44" i="13"/>
  <c r="J44" i="13" s="1"/>
  <c r="H40" i="13"/>
  <c r="J40" i="13" s="1"/>
  <c r="H38" i="13"/>
  <c r="J38" i="13" s="1"/>
  <c r="H37" i="13"/>
  <c r="H31" i="13"/>
  <c r="H32" i="13"/>
  <c r="H98" i="13" s="1"/>
  <c r="J98" i="13" s="1"/>
  <c r="H33" i="13"/>
  <c r="J33" i="13" s="1"/>
  <c r="H34" i="13"/>
  <c r="J34" i="13" s="1"/>
  <c r="H35" i="13"/>
  <c r="H101" i="13" s="1"/>
  <c r="J101" i="13" s="1"/>
  <c r="H30" i="13"/>
  <c r="H96" i="13" s="1"/>
  <c r="J96" i="13" s="1"/>
  <c r="H26" i="13"/>
  <c r="H92" i="13" s="1"/>
  <c r="J92" i="13" s="1"/>
  <c r="H27" i="13"/>
  <c r="J27" i="13" s="1"/>
  <c r="H28" i="13"/>
  <c r="J28" i="13" s="1"/>
  <c r="H25" i="13"/>
  <c r="J25" i="13" s="1"/>
  <c r="E53" i="13"/>
  <c r="I48" i="13"/>
  <c r="E50" i="13" s="1"/>
  <c r="E55" i="13" s="1"/>
  <c r="E56" i="13" s="1"/>
  <c r="G48" i="13"/>
  <c r="J37" i="13"/>
  <c r="J32" i="13"/>
  <c r="J31" i="13"/>
  <c r="J30" i="13"/>
  <c r="J47" i="12"/>
  <c r="J46" i="12"/>
  <c r="J41" i="12"/>
  <c r="J42" i="12"/>
  <c r="J43" i="12"/>
  <c r="J44" i="12"/>
  <c r="J40" i="12"/>
  <c r="J38" i="12"/>
  <c r="J37" i="12"/>
  <c r="J26" i="12"/>
  <c r="J27" i="12"/>
  <c r="J28" i="12"/>
  <c r="J25" i="12"/>
  <c r="I48" i="12"/>
  <c r="G48" i="12"/>
  <c r="E182" i="14" l="1"/>
  <c r="E187" i="14" s="1"/>
  <c r="E188" i="14" s="1"/>
  <c r="E149" i="14"/>
  <c r="E150" i="14" s="1"/>
  <c r="H113" i="14"/>
  <c r="J47" i="14"/>
  <c r="J46" i="14"/>
  <c r="H112" i="14"/>
  <c r="J44" i="14"/>
  <c r="H110" i="14"/>
  <c r="H109" i="14"/>
  <c r="J43" i="14"/>
  <c r="H108" i="14"/>
  <c r="J42" i="14"/>
  <c r="H107" i="14"/>
  <c r="J41" i="14"/>
  <c r="H106" i="14"/>
  <c r="J40" i="14"/>
  <c r="H104" i="14"/>
  <c r="J38" i="14"/>
  <c r="H103" i="14"/>
  <c r="J37" i="14"/>
  <c r="J35" i="14"/>
  <c r="H101" i="14"/>
  <c r="H100" i="14"/>
  <c r="J34" i="14"/>
  <c r="J33" i="14"/>
  <c r="H99" i="14"/>
  <c r="H98" i="14"/>
  <c r="J32" i="14"/>
  <c r="H97" i="14"/>
  <c r="J31" i="14"/>
  <c r="J30" i="14"/>
  <c r="H96" i="14"/>
  <c r="J28" i="14"/>
  <c r="H94" i="14"/>
  <c r="J27" i="14"/>
  <c r="H93" i="14"/>
  <c r="H92" i="14"/>
  <c r="J26" i="14"/>
  <c r="J25" i="14"/>
  <c r="H91" i="14"/>
  <c r="H48" i="14"/>
  <c r="J180" i="13"/>
  <c r="E149" i="13"/>
  <c r="E150" i="13" s="1"/>
  <c r="E182" i="13"/>
  <c r="E187" i="13" s="1"/>
  <c r="E188" i="13" s="1"/>
  <c r="H99" i="13"/>
  <c r="J99" i="13" s="1"/>
  <c r="J26" i="13"/>
  <c r="J35" i="13"/>
  <c r="J48" i="13" s="1"/>
  <c r="H91" i="13"/>
  <c r="H106" i="13"/>
  <c r="J106" i="13" s="1"/>
  <c r="J41" i="13"/>
  <c r="H108" i="13"/>
  <c r="J108" i="13" s="1"/>
  <c r="H112" i="13"/>
  <c r="J112" i="13" s="1"/>
  <c r="E83" i="13"/>
  <c r="E84" i="13" s="1"/>
  <c r="H114" i="13"/>
  <c r="J91" i="13"/>
  <c r="J114" i="13"/>
  <c r="H48" i="13"/>
  <c r="E17" i="13"/>
  <c r="E18" i="13" s="1"/>
  <c r="E53" i="12"/>
  <c r="E50" i="12"/>
  <c r="J113" i="14" l="1"/>
  <c r="H179" i="14"/>
  <c r="J179" i="14" s="1"/>
  <c r="J112" i="14"/>
  <c r="H178" i="14"/>
  <c r="J178" i="14" s="1"/>
  <c r="J110" i="14"/>
  <c r="H176" i="14"/>
  <c r="J176" i="14" s="1"/>
  <c r="J109" i="14"/>
  <c r="H175" i="14"/>
  <c r="J175" i="14" s="1"/>
  <c r="J108" i="14"/>
  <c r="H174" i="14"/>
  <c r="J174" i="14" s="1"/>
  <c r="J107" i="14"/>
  <c r="H173" i="14"/>
  <c r="J173" i="14" s="1"/>
  <c r="J106" i="14"/>
  <c r="H172" i="14"/>
  <c r="J172" i="14" s="1"/>
  <c r="H170" i="14"/>
  <c r="J170" i="14" s="1"/>
  <c r="J104" i="14"/>
  <c r="H169" i="14"/>
  <c r="J169" i="14" s="1"/>
  <c r="J103" i="14"/>
  <c r="H167" i="14"/>
  <c r="J167" i="14" s="1"/>
  <c r="J101" i="14"/>
  <c r="H166" i="14"/>
  <c r="J166" i="14" s="1"/>
  <c r="J100" i="14"/>
  <c r="J99" i="14"/>
  <c r="H165" i="14"/>
  <c r="J165" i="14" s="1"/>
  <c r="H164" i="14"/>
  <c r="J164" i="14" s="1"/>
  <c r="J98" i="14"/>
  <c r="H163" i="14"/>
  <c r="J163" i="14" s="1"/>
  <c r="J97" i="14"/>
  <c r="J96" i="14"/>
  <c r="H162" i="14"/>
  <c r="J162" i="14" s="1"/>
  <c r="H160" i="14"/>
  <c r="J160" i="14" s="1"/>
  <c r="J94" i="14"/>
  <c r="H159" i="14"/>
  <c r="J159" i="14" s="1"/>
  <c r="J93" i="14"/>
  <c r="J92" i="14"/>
  <c r="H158" i="14"/>
  <c r="J158" i="14" s="1"/>
  <c r="J91" i="14"/>
  <c r="J114" i="14" s="1"/>
  <c r="H157" i="14"/>
  <c r="H114" i="14"/>
  <c r="J48" i="14"/>
  <c r="E55" i="12"/>
  <c r="E56" i="12" s="1"/>
  <c r="E17" i="12"/>
  <c r="E18" i="12" s="1"/>
  <c r="J32" i="12"/>
  <c r="J31" i="12"/>
  <c r="J157" i="14" l="1"/>
  <c r="J180" i="14" s="1"/>
  <c r="H180" i="14"/>
  <c r="J33" i="12"/>
  <c r="J35" i="12"/>
  <c r="J34" i="12" l="1"/>
  <c r="J30" i="12"/>
  <c r="H48" i="12"/>
  <c r="J48" i="12" l="1"/>
</calcChain>
</file>

<file path=xl/sharedStrings.xml><?xml version="1.0" encoding="utf-8"?>
<sst xmlns="http://schemas.openxmlformats.org/spreadsheetml/2006/main" count="678" uniqueCount="73">
  <si>
    <t xml:space="preserve">                                                                                                                          </t>
  </si>
  <si>
    <t xml:space="preserve">                                                                         </t>
  </si>
  <si>
    <t xml:space="preserve">         Pembebanan Pada Kode Rekening</t>
  </si>
  <si>
    <t>NO</t>
  </si>
  <si>
    <t>Uraian</t>
  </si>
  <si>
    <t>Anggaran</t>
  </si>
  <si>
    <t>Pencairan Saat ini</t>
  </si>
  <si>
    <t>Sisa Anggaran</t>
  </si>
  <si>
    <t>JUMLAH</t>
  </si>
  <si>
    <t xml:space="preserve">PPN                                                </t>
  </si>
  <si>
    <t xml:space="preserve">Jumlah Potongan                 </t>
  </si>
  <si>
    <t xml:space="preserve">                                  </t>
  </si>
  <si>
    <t>:</t>
  </si>
  <si>
    <t>BENDAHARA PENGELUARAN</t>
  </si>
  <si>
    <t>Supaya mencairkan dana kepada</t>
  </si>
  <si>
    <t xml:space="preserve">Jumlah  Yang Diminta          </t>
  </si>
  <si>
    <t xml:space="preserve">Jumlah yang dibayarkan        </t>
  </si>
  <si>
    <t xml:space="preserve">PPh Psl 21/22/23/4(2)                    </t>
  </si>
  <si>
    <t>2.1.2</t>
  </si>
  <si>
    <t>Beban Investasi</t>
  </si>
  <si>
    <t xml:space="preserve">1. Sub Kegiatan                                                       </t>
  </si>
  <si>
    <t xml:space="preserve">2. Nomor                                                          </t>
  </si>
  <si>
    <t xml:space="preserve">3. Tahun Anggaran                                           </t>
  </si>
  <si>
    <t xml:space="preserve">4. Jumlah Yang Diminta                                    </t>
  </si>
  <si>
    <t>Kode</t>
  </si>
  <si>
    <t>1.1</t>
  </si>
  <si>
    <t>1.2</t>
  </si>
  <si>
    <t>1.3</t>
  </si>
  <si>
    <t>1.4</t>
  </si>
  <si>
    <t>1.5</t>
  </si>
  <si>
    <t>1.6</t>
  </si>
  <si>
    <t>YANG MEMBUAT</t>
  </si>
  <si>
    <t>MENGETAHUI</t>
  </si>
  <si>
    <t>M. ZULKIFLI</t>
  </si>
  <si>
    <t>---------------</t>
  </si>
  <si>
    <t>NOTA PENCAIRAN DANA (NPD)</t>
  </si>
  <si>
    <t>Akumulasi Pencairan dana Bulan Januari s/d Desember</t>
  </si>
  <si>
    <t>IRNA WAHYUNI</t>
  </si>
  <si>
    <t>Perbaikan dan Pengadaan Sarana Pengelolaan Pasar</t>
  </si>
  <si>
    <t>Program Operasional Pengelolaan Pasar</t>
  </si>
  <si>
    <t>Pengembangan pasar percontohan (SNI) - 1 Pasar</t>
  </si>
  <si>
    <t>a. Penataan Ruang/Zonasi dan Aksebilitas</t>
  </si>
  <si>
    <t>b. Pembangunan Fasilitas Umum : Kantor, Toilet, Ruang Laktasi, Pos Keamanan, Tempat Ibadah, dll</t>
  </si>
  <si>
    <t>c. Pembangunan Infrastruktur : Instalasi Air Bersih, Limbah, Listrik, Pengelolaan Sampah, Drainase, Sirkulasi Udara, dll</t>
  </si>
  <si>
    <t>Tata Letak Display Produk Dalam Pasar (Untuk Pasar-Pasar Berlantai Dua)</t>
  </si>
  <si>
    <t>a. Pengadaan Mobil/Truck Box/Pickup/Freezer ox</t>
  </si>
  <si>
    <t>b. Alat Pemadam Kebakaran Pasar/APAR/Mesin Pemadam</t>
  </si>
  <si>
    <t>c. Pengadaan Bak/Kontainer Truck</t>
  </si>
  <si>
    <t>d. Pengadaan CCTV Pasar</t>
  </si>
  <si>
    <t>e. Pengadaan Papan Nama Pasar</t>
  </si>
  <si>
    <t>f. Pengadaan Instalasi Listrik Pasar</t>
  </si>
  <si>
    <t>Pengembangan Wisata Pasar Yang Memiliki Keunikan Atau Pasar Tematik Yang Menawarkan Produk-produk Khusus</t>
  </si>
  <si>
    <t>a. Pasar Tungging - Penambahan Kios Kuliner Malam 20 Buah, Pemasangan Paving Blok dan Penambahan Lampu Halaman</t>
  </si>
  <si>
    <t>b. Pasar Cemara - Pusat Oleh-oleh dan Pasar Kuliner Khas Banjarmasin</t>
  </si>
  <si>
    <t>Revitalisasi atau Pembangunan Pasar</t>
  </si>
  <si>
    <t>a. Pasar Baru Permai Dasar - Pemasangan ACP dan Cutting ACP, Pemasangan Neon Box Perusahaan</t>
  </si>
  <si>
    <t>b. Pasar Antasari - Perbaikan Toko/Kios/Lapak/Ruang</t>
  </si>
  <si>
    <t>c. Pasar Teluk Dalam - Sport Hall, Aula Serbaguna, Game Center, dan atau Playground, Paving, Perbaikan Jembatan</t>
  </si>
  <si>
    <t>d. Pasar Kuripan - Masuk Dalam Proyek Pelebaran Jalan (Masih Kordinasi Lintas SKPD)</t>
  </si>
  <si>
    <t>e. Pasar Malabar - Ruang Kreasi Olahraga</t>
  </si>
  <si>
    <t>Perbaikan Akses Menuju Jalan Pasar Dengan Melakukan Penataan Jalan, Pedestrian, Lampu Jalan dan Akses Angkutan Umum</t>
  </si>
  <si>
    <t>a. Perbaikan Akses Jalan : Pasar Lima/Pasar Cemara/Pasar Jahri Saleh</t>
  </si>
  <si>
    <t>b. Penambahan Penerangan : Pasar Pandu/Pasar Pekauman/Pasar Gadang/Pasar Telawang</t>
  </si>
  <si>
    <t>PERUMDA PASAR BANJARMASIN</t>
  </si>
  <si>
    <r>
      <t>Nomor : 70/DIV-KEU/PPB/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</si>
  <si>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22 Januari 2026</t>
  </si>
  <si>
    <t>Banjarmasin, 02 Februari 2026</t>
  </si>
  <si>
    <r>
      <t>Nomor : 101/DIV-KEU/PPB/</t>
    </r>
    <r>
      <rPr>
        <sz val="11"/>
        <rFont val="Times New Roman"/>
        <family val="1"/>
      </rPr>
      <t>II</t>
    </r>
    <r>
      <rPr>
        <sz val="11"/>
        <color theme="1"/>
        <rFont val="Times New Roman"/>
        <family val="1"/>
      </rPr>
      <t>/2026</t>
    </r>
  </si>
  <si>
    <t>Banjarmasin, 03 Februari 2026</t>
  </si>
  <si>
    <r>
      <t>Nomor : 19/DIV-KEU/PPB/</t>
    </r>
    <r>
      <rPr>
        <sz val="11"/>
        <rFont val="Times New Roman"/>
        <family val="1"/>
      </rPr>
      <t>II</t>
    </r>
    <r>
      <rPr>
        <sz val="11"/>
        <color theme="1"/>
        <rFont val="Times New Roman"/>
        <family val="1"/>
      </rPr>
      <t>/2026</t>
    </r>
  </si>
  <si>
    <t>Banjarmasin, 20 Februari 2026</t>
  </si>
  <si>
    <r>
      <t>Nomor : 013/DIV-KEU/PPB/I</t>
    </r>
    <r>
      <rPr>
        <sz val="11"/>
        <rFont val="Times New Roman"/>
        <family val="1"/>
      </rPr>
      <t>II</t>
    </r>
    <r>
      <rPr>
        <sz val="11"/>
        <color theme="1"/>
        <rFont val="Times New Roman"/>
        <family val="1"/>
      </rPr>
      <t>/2026</t>
    </r>
  </si>
  <si>
    <t>Banjarmasin, 04 Maret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</si>
</sst>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Rp&quot;* #,##0_-;\-&quot;Rp&quot;* #,##0_-;_-&quot;Rp&quot;* &quot;-&quot;_-;_-@_-"/>
    <numFmt numFmtId="164" formatCode="_(&quot;Rp&quot;* #,##0_);_(&quot;Rp&quot;* \(#,##0\);_(&quot;Rp&quot;* &quot;-&quot;_);_(@_)"/>
    <numFmt numFmtId="165" formatCode="_(* #,##0_);_(* \(#,##0\);_(* &quot;-&quot;_);_(@_)"/>
    <numFmt numFmtId="166" formatCode="_(* #,##0.00_);_(* \(#,##0.00\);_(* &quot;-&quot;??_);_(@_)"/>
    <numFmt numFmtId="167" formatCode="_-[$Rp-421]* #,##0_-;\-[$Rp-421]* #,##0_-;_-[$Rp-421]* &quot;-&quot;_-;_-@_-"/>
    <numFmt numFmtId="168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color theme="1"/>
      <name val="Calibri"/>
      <family val="2"/>
      <scheme val="minor"/>
    </font>
    <font>
      <sz val="11"/>
      <color theme="1"/>
      <name val="Times New Roman"/>
      <family val="1"/>
    </font>
    <font>
      <b/>
      <u/>
      <sz val="11"/>
      <color indexed="8"/>
      <name val="Times New Roman"/>
      <family val="1"/>
    </font>
    <font>
      <b/>
      <u/>
      <sz val="11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2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1" fillId="0" borderId="0"/>
    <xf numFmtId="165" fontId="14" fillId="0" borderId="0">
      <alignment vertical="top"/>
      <protection locked="0"/>
    </xf>
    <xf numFmtId="0" fontId="1" fillId="0" borderId="0"/>
  </cellStyleXfs>
  <cellXfs count="84">
    <xf numFmtId="0" fontId="0" fillId="0" borderId="0" xfId="0"/>
    <xf numFmtId="166" fontId="1" fillId="0" borderId="0" xfId="1" applyFont="1"/>
    <xf numFmtId="0" fontId="0" fillId="0" borderId="0" xfId="0" applyAlignment="1">
      <alignment horizontal="center"/>
    </xf>
    <xf numFmtId="0" fontId="2" fillId="0" borderId="0" xfId="0" applyFont="1"/>
    <xf numFmtId="166" fontId="1" fillId="0" borderId="0" xfId="1" applyFont="1" applyBorder="1" applyAlignment="1">
      <alignment horizontal="center"/>
    </xf>
    <xf numFmtId="166" fontId="1" fillId="0" borderId="0" xfId="1" applyFont="1" applyBorder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166" fontId="4" fillId="0" borderId="0" xfId="1" applyFont="1" applyBorder="1"/>
    <xf numFmtId="166" fontId="3" fillId="0" borderId="0" xfId="1" applyFont="1" applyBorder="1"/>
    <xf numFmtId="0" fontId="7" fillId="0" borderId="0" xfId="0" applyFont="1"/>
    <xf numFmtId="0" fontId="4" fillId="0" borderId="2" xfId="3" applyNumberFormat="1" applyFont="1" applyBorder="1" applyAlignment="1">
      <alignment horizontal="left" vertical="center"/>
    </xf>
    <xf numFmtId="166" fontId="4" fillId="0" borderId="2" xfId="1" applyFont="1" applyBorder="1" applyAlignment="1">
      <alignment horizontal="center" vertical="center" wrapText="1"/>
    </xf>
    <xf numFmtId="166" fontId="4" fillId="0" borderId="2" xfId="1" applyFont="1" applyFill="1" applyBorder="1" applyAlignment="1">
      <alignment horizontal="center" vertical="center" wrapText="1"/>
    </xf>
    <xf numFmtId="166" fontId="4" fillId="0" borderId="2" xfId="1" applyFont="1" applyFill="1" applyBorder="1" applyAlignment="1">
      <alignment horizontal="center" vertical="center"/>
    </xf>
    <xf numFmtId="0" fontId="4" fillId="0" borderId="2" xfId="0" quotePrefix="1" applyFont="1" applyBorder="1"/>
    <xf numFmtId="0" fontId="4" fillId="0" borderId="2" xfId="0" applyFont="1" applyBorder="1"/>
    <xf numFmtId="167" fontId="4" fillId="0" borderId="2" xfId="2" applyNumberFormat="1" applyFont="1" applyBorder="1"/>
    <xf numFmtId="0" fontId="3" fillId="0" borderId="6" xfId="0" quotePrefix="1" applyFont="1" applyBorder="1"/>
    <xf numFmtId="167" fontId="3" fillId="0" borderId="6" xfId="2" applyNumberFormat="1" applyFont="1" applyBorder="1"/>
    <xf numFmtId="166" fontId="4" fillId="0" borderId="0" xfId="1" applyFont="1" applyBorder="1" applyAlignment="1"/>
    <xf numFmtId="166" fontId="4" fillId="0" borderId="0" xfId="0" applyNumberFormat="1" applyFont="1"/>
    <xf numFmtId="166" fontId="8" fillId="0" borderId="0" xfId="1" quotePrefix="1" applyFont="1" applyBorder="1"/>
    <xf numFmtId="166" fontId="8" fillId="0" borderId="0" xfId="1" applyFont="1" applyBorder="1"/>
    <xf numFmtId="0" fontId="8" fillId="0" borderId="0" xfId="0" applyFont="1"/>
    <xf numFmtId="0" fontId="8" fillId="0" borderId="0" xfId="0" applyFont="1" applyAlignment="1">
      <alignment horizontal="left"/>
    </xf>
    <xf numFmtId="0" fontId="6" fillId="0" borderId="0" xfId="0" applyFont="1"/>
    <xf numFmtId="166" fontId="6" fillId="0" borderId="0" xfId="1" applyFont="1" applyBorder="1" applyAlignment="1">
      <alignment horizontal="left"/>
    </xf>
    <xf numFmtId="0" fontId="9" fillId="0" borderId="0" xfId="0" applyFont="1"/>
    <xf numFmtId="166" fontId="9" fillId="0" borderId="0" xfId="1" applyFont="1" applyBorder="1"/>
    <xf numFmtId="0" fontId="10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7" fontId="4" fillId="0" borderId="0" xfId="0" applyNumberFormat="1" applyFont="1"/>
    <xf numFmtId="164" fontId="4" fillId="0" borderId="0" xfId="0" applyNumberFormat="1" applyFont="1"/>
    <xf numFmtId="167" fontId="4" fillId="0" borderId="0" xfId="0" applyNumberFormat="1" applyFont="1" applyAlignment="1">
      <alignment horizontal="left"/>
    </xf>
    <xf numFmtId="0" fontId="4" fillId="0" borderId="0" xfId="0" quotePrefix="1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7" fontId="4" fillId="0" borderId="4" xfId="2" applyNumberFormat="1" applyFont="1" applyBorder="1"/>
    <xf numFmtId="0" fontId="4" fillId="0" borderId="3" xfId="0" applyFont="1" applyBorder="1"/>
    <xf numFmtId="168" fontId="4" fillId="0" borderId="7" xfId="1" applyNumberFormat="1" applyFont="1" applyBorder="1" applyAlignment="1">
      <alignment horizontal="right" vertical="center"/>
    </xf>
    <xf numFmtId="168" fontId="4" fillId="0" borderId="7" xfId="1" applyNumberFormat="1" applyFont="1" applyBorder="1" applyAlignment="1">
      <alignment vertical="center"/>
    </xf>
    <xf numFmtId="0" fontId="4" fillId="0" borderId="0" xfId="0" applyFont="1" applyAlignment="1">
      <alignment horizontal="left"/>
    </xf>
    <xf numFmtId="0" fontId="4" fillId="0" borderId="0" xfId="1" applyNumberFormat="1" applyFont="1" applyBorder="1"/>
    <xf numFmtId="0" fontId="4" fillId="0" borderId="3" xfId="0" applyFont="1" applyBorder="1" applyAlignment="1">
      <alignment horizontal="center" vertical="center" wrapText="1"/>
    </xf>
    <xf numFmtId="0" fontId="4" fillId="0" borderId="0" xfId="0" quotePrefix="1" applyFont="1" applyAlignment="1">
      <alignment horizontal="left"/>
    </xf>
    <xf numFmtId="0" fontId="13" fillId="0" borderId="0" xfId="0" applyFont="1"/>
    <xf numFmtId="0" fontId="4" fillId="0" borderId="5" xfId="0" applyFont="1" applyBorder="1" applyAlignment="1">
      <alignment horizontal="center" vertical="center" wrapText="1"/>
    </xf>
    <xf numFmtId="0" fontId="4" fillId="0" borderId="2" xfId="3" quotePrefix="1" applyNumberFormat="1" applyFont="1" applyBorder="1" applyAlignment="1">
      <alignment horizontal="center" vertical="center"/>
    </xf>
    <xf numFmtId="165" fontId="15" fillId="0" borderId="8" xfId="5" applyFont="1" applyBorder="1" applyAlignment="1" applyProtection="1">
      <alignment horizontal="center" vertical="center"/>
    </xf>
    <xf numFmtId="0" fontId="4" fillId="0" borderId="0" xfId="0" quotePrefix="1" applyFont="1"/>
    <xf numFmtId="0" fontId="4" fillId="0" borderId="3" xfId="3" applyNumberFormat="1" applyFont="1" applyBorder="1" applyAlignment="1">
      <alignment horizontal="left" vertical="center"/>
    </xf>
    <xf numFmtId="0" fontId="4" fillId="0" borderId="9" xfId="3" quotePrefix="1" applyNumberFormat="1" applyFont="1" applyBorder="1" applyAlignment="1">
      <alignment horizontal="center" vertical="center"/>
    </xf>
    <xf numFmtId="0" fontId="3" fillId="0" borderId="0" xfId="0" quotePrefix="1" applyFont="1"/>
    <xf numFmtId="165" fontId="15" fillId="0" borderId="8" xfId="5" quotePrefix="1" applyFont="1" applyBorder="1" applyAlignment="1" applyProtection="1">
      <alignment horizontal="center"/>
    </xf>
    <xf numFmtId="168" fontId="4" fillId="0" borderId="7" xfId="1" applyNumberFormat="1" applyFont="1" applyFill="1" applyBorder="1" applyAlignment="1">
      <alignment horizontal="right" vertical="center"/>
    </xf>
    <xf numFmtId="168" fontId="4" fillId="0" borderId="7" xfId="1" applyNumberFormat="1" applyFont="1" applyFill="1" applyBorder="1" applyAlignment="1">
      <alignment vertical="center"/>
    </xf>
    <xf numFmtId="0" fontId="4" fillId="0" borderId="2" xfId="3" quotePrefix="1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/>
    </xf>
    <xf numFmtId="0" fontId="9" fillId="0" borderId="2" xfId="3" quotePrefix="1" applyNumberFormat="1" applyFont="1" applyBorder="1" applyAlignment="1">
      <alignment horizontal="center" vertical="center"/>
    </xf>
    <xf numFmtId="42" fontId="4" fillId="0" borderId="0" xfId="0" applyNumberFormat="1" applyFont="1" applyAlignment="1">
      <alignment horizontal="left"/>
    </xf>
    <xf numFmtId="165" fontId="15" fillId="0" borderId="8" xfId="5" quotePrefix="1" applyFont="1" applyBorder="1" applyAlignment="1" applyProtection="1">
      <alignment horizontal="center" vertical="center"/>
    </xf>
    <xf numFmtId="0" fontId="4" fillId="0" borderId="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4" fillId="0" borderId="0" xfId="0" applyFont="1" applyAlignment="1">
      <alignment horizontal="left"/>
    </xf>
    <xf numFmtId="0" fontId="4" fillId="0" borderId="5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</cellXfs>
  <cellStyles count="7">
    <cellStyle name="Comma" xfId="1" builtinId="3"/>
    <cellStyle name="Comma [0]" xfId="2" builtinId="6"/>
    <cellStyle name="Comma [0] 2 2" xfId="5" xr:uid="{724FC97D-2618-4674-A8AC-0D5F3952EF3E}"/>
    <cellStyle name="Currency [0] 7" xfId="3" xr:uid="{00000000-0005-0000-0000-000002000000}"/>
    <cellStyle name="Normal" xfId="0" builtinId="0"/>
    <cellStyle name="Normal 2" xfId="4" xr:uid="{00000000-0005-0000-0000-000004000000}"/>
    <cellStyle name="Normal 3" xfId="6" xr:uid="{63995CF8-0E17-4BD5-9907-59719B9C7DAB}"/>
  </cellStyles>
  <dxfs count="0"/>
  <tableStyles count="0" defaultTableStyle="TableStyleMedium2" defaultPivotStyle="PivotStyleLight16"/>
  <colors>
    <mruColors>
      <color rgb="FF99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28573</xdr:colOff>
      <xdr:row>0</xdr:row>
      <xdr:rowOff>28575</xdr:rowOff>
    </xdr:from>
    <xdr:to>
      <xdr:col>9</xdr:col>
      <xdr:colOff>1171575</xdr:colOff>
      <xdr:row>9</xdr:row>
      <xdr:rowOff>186492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026A5DC-F5C2-461A-9307-F7F99833A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3" y="28575"/>
          <a:ext cx="8620127" cy="189146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6</xdr:row>
      <xdr:rowOff>47625</xdr:rowOff>
    </xdr:from>
    <xdr:to>
      <xdr:col>9</xdr:col>
      <xdr:colOff>1162050</xdr:colOff>
      <xdr:row>6</xdr:row>
      <xdr:rowOff>47625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D934D39D-DAF3-4DEA-AB4F-A9ADC2F67C01}"/>
            </a:ext>
          </a:extLst>
        </xdr:cNvPr>
        <xdr:cNvCxnSpPr/>
      </xdr:nvCxnSpPr>
      <xdr:spPr>
        <a:xfrm>
          <a:off x="19050" y="1409700"/>
          <a:ext cx="1019175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132</xdr:row>
      <xdr:rowOff>9525</xdr:rowOff>
    </xdr:from>
    <xdr:to>
      <xdr:col>9</xdr:col>
      <xdr:colOff>1162052</xdr:colOff>
      <xdr:row>141</xdr:row>
      <xdr:rowOff>167442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BE024DB-FCAA-4F77-8444-2601992C8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31118175"/>
          <a:ext cx="8620127" cy="189146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66</xdr:row>
      <xdr:rowOff>9525</xdr:rowOff>
    </xdr:from>
    <xdr:to>
      <xdr:col>9</xdr:col>
      <xdr:colOff>1162052</xdr:colOff>
      <xdr:row>75</xdr:row>
      <xdr:rowOff>167442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3D67802-B8D5-4DDD-9D27-4AA7C6311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5573375"/>
          <a:ext cx="8620127" cy="189146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28573</xdr:colOff>
      <xdr:row>0</xdr:row>
      <xdr:rowOff>28575</xdr:rowOff>
    </xdr:from>
    <xdr:to>
      <xdr:col>9</xdr:col>
      <xdr:colOff>1171575</xdr:colOff>
      <xdr:row>9</xdr:row>
      <xdr:rowOff>186492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BD5A44-1230-4A8D-8062-2126BDBC4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3" y="28575"/>
          <a:ext cx="8620127" cy="189146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6</xdr:row>
      <xdr:rowOff>47625</xdr:rowOff>
    </xdr:from>
    <xdr:to>
      <xdr:col>9</xdr:col>
      <xdr:colOff>1162050</xdr:colOff>
      <xdr:row>6</xdr:row>
      <xdr:rowOff>47625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BD030A3-6C8A-47C1-B6DD-9D1A577C58B2}"/>
            </a:ext>
          </a:extLst>
        </xdr:cNvPr>
        <xdr:cNvCxnSpPr/>
      </xdr:nvCxnSpPr>
      <xdr:spPr>
        <a:xfrm>
          <a:off x="19050" y="1209675"/>
          <a:ext cx="862012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72</xdr:row>
      <xdr:rowOff>47625</xdr:rowOff>
    </xdr:from>
    <xdr:to>
      <xdr:col>9</xdr:col>
      <xdr:colOff>1162050</xdr:colOff>
      <xdr:row>72</xdr:row>
      <xdr:rowOff>47625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2A2BE413-2DDC-4A91-A688-58BA10252F1E}"/>
            </a:ext>
          </a:extLst>
        </xdr:cNvPr>
        <xdr:cNvCxnSpPr/>
      </xdr:nvCxnSpPr>
      <xdr:spPr>
        <a:xfrm>
          <a:off x="19050" y="1209675"/>
          <a:ext cx="862012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138</xdr:row>
      <xdr:rowOff>47625</xdr:rowOff>
    </xdr:from>
    <xdr:to>
      <xdr:col>9</xdr:col>
      <xdr:colOff>1162050</xdr:colOff>
      <xdr:row>138</xdr:row>
      <xdr:rowOff>47625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54C708C8-4485-4F87-8270-66B80079AE31}"/>
            </a:ext>
          </a:extLst>
        </xdr:cNvPr>
        <xdr:cNvCxnSpPr/>
      </xdr:nvCxnSpPr>
      <xdr:spPr>
        <a:xfrm>
          <a:off x="19050" y="16773525"/>
          <a:ext cx="862012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132</xdr:row>
      <xdr:rowOff>9525</xdr:rowOff>
    </xdr:from>
    <xdr:to>
      <xdr:col>9</xdr:col>
      <xdr:colOff>1162052</xdr:colOff>
      <xdr:row>141</xdr:row>
      <xdr:rowOff>167442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ED0E15-9050-4BD1-87D2-96BCB16C35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31118175"/>
          <a:ext cx="8620127" cy="189146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66</xdr:row>
      <xdr:rowOff>9525</xdr:rowOff>
    </xdr:from>
    <xdr:to>
      <xdr:col>9</xdr:col>
      <xdr:colOff>1162052</xdr:colOff>
      <xdr:row>75</xdr:row>
      <xdr:rowOff>167442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DF18DA-D3C1-4CF6-882F-8AC340D08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5573375"/>
          <a:ext cx="8620127" cy="189146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28573</xdr:colOff>
      <xdr:row>0</xdr:row>
      <xdr:rowOff>28575</xdr:rowOff>
    </xdr:from>
    <xdr:to>
      <xdr:col>9</xdr:col>
      <xdr:colOff>1171575</xdr:colOff>
      <xdr:row>9</xdr:row>
      <xdr:rowOff>186492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F747D33-FB84-4669-87AB-4CC6D26B3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3" y="28575"/>
          <a:ext cx="8620127" cy="189146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6</xdr:row>
      <xdr:rowOff>47625</xdr:rowOff>
    </xdr:from>
    <xdr:to>
      <xdr:col>9</xdr:col>
      <xdr:colOff>1162050</xdr:colOff>
      <xdr:row>6</xdr:row>
      <xdr:rowOff>47625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5BFEB7FB-3E15-461B-8A76-69AE484E6E3E}"/>
            </a:ext>
          </a:extLst>
        </xdr:cNvPr>
        <xdr:cNvCxnSpPr/>
      </xdr:nvCxnSpPr>
      <xdr:spPr>
        <a:xfrm>
          <a:off x="19050" y="1209675"/>
          <a:ext cx="862012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72</xdr:row>
      <xdr:rowOff>47625</xdr:rowOff>
    </xdr:from>
    <xdr:to>
      <xdr:col>9</xdr:col>
      <xdr:colOff>1162050</xdr:colOff>
      <xdr:row>72</xdr:row>
      <xdr:rowOff>47625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CDDC9DF1-7889-4F3C-A814-76E95FA9C4BE}"/>
            </a:ext>
          </a:extLst>
        </xdr:cNvPr>
        <xdr:cNvCxnSpPr/>
      </xdr:nvCxnSpPr>
      <xdr:spPr>
        <a:xfrm>
          <a:off x="19050" y="16773525"/>
          <a:ext cx="862012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138</xdr:row>
      <xdr:rowOff>47625</xdr:rowOff>
    </xdr:from>
    <xdr:to>
      <xdr:col>9</xdr:col>
      <xdr:colOff>1162050</xdr:colOff>
      <xdr:row>138</xdr:row>
      <xdr:rowOff>47625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3B1D5D6A-A49E-435E-8820-547E61B245CD}"/>
            </a:ext>
          </a:extLst>
        </xdr:cNvPr>
        <xdr:cNvCxnSpPr/>
      </xdr:nvCxnSpPr>
      <xdr:spPr>
        <a:xfrm>
          <a:off x="19050" y="32318325"/>
          <a:ext cx="862012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9C347-5607-4014-8FC8-B8B6DBCC11BE}">
  <dimension ref="A1:V66"/>
  <sheetViews>
    <sheetView view="pageBreakPreview" topLeftCell="A16" zoomScaleNormal="100" zoomScaleSheetLayoutView="100" workbookViewId="0">
      <selection activeCell="H74" sqref="H74"/>
    </sheetView>
  </sheetViews>
  <sheetFormatPr defaultRowHeight="15" x14ac:dyDescent="0.25"/>
  <cols>
    <col min="1" max="1" width="3.5703125" customWidth="1"/>
    <col min="2" max="2" width="5.5703125" bestFit="1" customWidth="1"/>
    <col min="3" max="3" width="12" customWidth="1"/>
    <col min="4" max="4" width="1.85546875" customWidth="1"/>
    <col min="5" max="5" width="37.85546875" customWidth="1"/>
    <col min="6" max="6" width="1.140625" customWidth="1"/>
    <col min="7" max="7" width="18" customWidth="1"/>
    <col min="8" max="8" width="16.5703125" style="1" customWidth="1"/>
    <col min="9" max="9" width="15.5703125" style="1" customWidth="1"/>
    <col min="10" max="10" width="18" style="1" customWidth="1"/>
    <col min="11" max="11" width="6.140625" customWidth="1"/>
    <col min="12" max="12" width="2.85546875" customWidth="1"/>
    <col min="13" max="13" width="2.5703125" customWidth="1"/>
    <col min="14" max="14" width="2.7109375" customWidth="1"/>
    <col min="15" max="15" width="2.5703125" customWidth="1"/>
    <col min="16" max="16" width="2.7109375" customWidth="1"/>
    <col min="17" max="17" width="2.85546875" customWidth="1"/>
    <col min="18" max="18" width="44.7109375" customWidth="1"/>
    <col min="19" max="19" width="12.28515625" customWidth="1"/>
    <col min="20" max="20" width="11.7109375" customWidth="1"/>
    <col min="21" max="21" width="10.85546875" customWidth="1"/>
    <col min="22" max="22" width="11.5703125" customWidth="1"/>
    <col min="23" max="23" width="11.7109375" customWidth="1"/>
  </cols>
  <sheetData>
    <row r="1" spans="1:22" x14ac:dyDescent="0.25">
      <c r="K1" s="25"/>
      <c r="L1" s="31"/>
      <c r="M1" s="31"/>
      <c r="N1" s="31"/>
      <c r="O1" s="31"/>
      <c r="P1" s="31"/>
      <c r="Q1" s="31"/>
      <c r="R1" s="31"/>
      <c r="S1" s="31"/>
      <c r="T1" s="31"/>
      <c r="U1" s="31"/>
      <c r="V1" s="25"/>
    </row>
    <row r="2" spans="1:22" x14ac:dyDescent="0.25">
      <c r="K2" s="25"/>
      <c r="L2" s="31"/>
      <c r="M2" s="31"/>
      <c r="N2" s="31"/>
      <c r="O2" s="31"/>
      <c r="P2" s="31"/>
      <c r="Q2" s="31"/>
      <c r="R2" s="31"/>
      <c r="S2" s="31"/>
      <c r="T2" s="31"/>
      <c r="U2" s="31"/>
      <c r="V2" s="25"/>
    </row>
    <row r="3" spans="1:22" x14ac:dyDescent="0.25">
      <c r="K3" s="25"/>
      <c r="L3" s="31"/>
      <c r="M3" s="31"/>
      <c r="N3" s="31"/>
      <c r="O3" s="31"/>
      <c r="P3" s="31"/>
      <c r="Q3" s="31"/>
      <c r="R3" s="31"/>
      <c r="S3" s="31"/>
      <c r="T3" s="31"/>
      <c r="U3" s="31"/>
      <c r="V3" s="25"/>
    </row>
    <row r="4" spans="1:22" ht="15.75" x14ac:dyDescent="0.25">
      <c r="C4" s="3"/>
      <c r="D4" s="3"/>
      <c r="E4" s="3"/>
      <c r="F4" s="3"/>
      <c r="K4" s="25"/>
      <c r="L4" s="31"/>
      <c r="M4" s="31"/>
      <c r="N4" s="31"/>
      <c r="O4" s="31"/>
      <c r="P4" s="31"/>
      <c r="Q4" s="31"/>
      <c r="R4" s="31"/>
      <c r="S4" s="31"/>
      <c r="T4" s="31"/>
      <c r="U4" s="31"/>
      <c r="V4" s="25"/>
    </row>
    <row r="5" spans="1:22" ht="15.75" x14ac:dyDescent="0.25">
      <c r="A5" s="2"/>
      <c r="B5" s="2"/>
      <c r="C5" s="3"/>
      <c r="D5" s="3"/>
      <c r="E5" s="3"/>
      <c r="F5" s="3"/>
      <c r="G5" s="2"/>
      <c r="H5" s="4"/>
      <c r="I5" s="4"/>
      <c r="J5" s="5"/>
      <c r="K5" s="25"/>
      <c r="L5" s="31"/>
      <c r="M5" s="31"/>
      <c r="N5" s="31"/>
      <c r="O5" s="31"/>
      <c r="P5" s="31"/>
      <c r="Q5" s="31"/>
      <c r="R5" s="31"/>
      <c r="S5" s="31"/>
      <c r="T5" s="31"/>
      <c r="U5" s="31"/>
      <c r="V5" s="25"/>
    </row>
    <row r="6" spans="1:22" x14ac:dyDescent="0.25">
      <c r="H6" s="5"/>
      <c r="I6" s="5"/>
      <c r="J6" s="5"/>
      <c r="K6" s="25"/>
      <c r="L6" s="31"/>
      <c r="M6" s="31"/>
      <c r="N6" s="31"/>
      <c r="O6" s="31"/>
      <c r="P6" s="31"/>
      <c r="Q6" s="31"/>
      <c r="R6" s="31"/>
      <c r="S6" s="31"/>
      <c r="T6" s="31"/>
      <c r="U6" s="31"/>
      <c r="V6" s="25"/>
    </row>
    <row r="7" spans="1:22" x14ac:dyDescent="0.25">
      <c r="H7" s="5"/>
      <c r="I7" s="5"/>
      <c r="J7" s="5"/>
      <c r="K7" s="25"/>
      <c r="L7" s="31"/>
      <c r="M7" s="31"/>
      <c r="N7" s="31"/>
      <c r="O7" s="31"/>
      <c r="P7" s="31"/>
      <c r="Q7" s="31"/>
      <c r="R7" s="31"/>
      <c r="S7" s="31"/>
      <c r="T7" s="31"/>
      <c r="U7" s="31"/>
      <c r="V7" s="25"/>
    </row>
    <row r="8" spans="1:22" ht="15" customHeight="1" x14ac:dyDescent="0.25">
      <c r="A8" s="69" t="s">
        <v>35</v>
      </c>
      <c r="B8" s="69"/>
      <c r="C8" s="70"/>
      <c r="D8" s="70"/>
      <c r="E8" s="70"/>
      <c r="F8" s="70"/>
      <c r="G8" s="70"/>
      <c r="H8" s="70"/>
      <c r="I8" s="70"/>
      <c r="J8" s="70"/>
      <c r="K8" s="25"/>
      <c r="L8" s="31"/>
      <c r="M8" s="31"/>
      <c r="N8" s="31"/>
      <c r="O8" s="31"/>
      <c r="P8" s="31"/>
      <c r="Q8" s="31"/>
      <c r="R8" s="31"/>
      <c r="S8" s="31"/>
      <c r="T8" s="31"/>
      <c r="U8" s="31"/>
      <c r="V8" s="25"/>
    </row>
    <row r="9" spans="1:22" ht="15" customHeight="1" x14ac:dyDescent="0.25">
      <c r="A9" s="70" t="s">
        <v>64</v>
      </c>
      <c r="B9" s="70"/>
      <c r="C9" s="70"/>
      <c r="D9" s="70"/>
      <c r="E9" s="70"/>
      <c r="F9" s="70"/>
      <c r="G9" s="70"/>
      <c r="H9" s="70"/>
      <c r="I9" s="70"/>
      <c r="J9" s="70"/>
      <c r="K9" s="25"/>
      <c r="L9" s="31"/>
      <c r="M9" s="31"/>
      <c r="N9" s="31"/>
      <c r="O9" s="31"/>
      <c r="P9" s="31"/>
      <c r="Q9" s="31"/>
      <c r="R9" s="31"/>
      <c r="S9" s="31"/>
      <c r="T9" s="31"/>
      <c r="U9" s="31"/>
      <c r="V9" s="25"/>
    </row>
    <row r="10" spans="1:22" ht="15" customHeight="1" x14ac:dyDescent="0.25">
      <c r="A10" s="70" t="s">
        <v>13</v>
      </c>
      <c r="B10" s="70"/>
      <c r="C10" s="70"/>
      <c r="D10" s="70"/>
      <c r="E10" s="70"/>
      <c r="F10" s="70"/>
      <c r="G10" s="70"/>
      <c r="H10" s="70"/>
      <c r="I10" s="70"/>
      <c r="J10" s="70"/>
      <c r="K10" s="25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25"/>
    </row>
    <row r="11" spans="1:22" ht="15" customHeight="1" x14ac:dyDescent="0.25">
      <c r="A11" s="70" t="s">
        <v>63</v>
      </c>
      <c r="B11" s="70"/>
      <c r="C11" s="70"/>
      <c r="D11" s="70"/>
      <c r="E11" s="70"/>
      <c r="F11" s="70"/>
      <c r="G11" s="70"/>
      <c r="H11" s="70"/>
      <c r="I11" s="70"/>
      <c r="J11" s="70"/>
      <c r="K11" s="25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25"/>
    </row>
    <row r="12" spans="1:22" ht="15" customHeight="1" x14ac:dyDescent="0.25">
      <c r="A12" s="70" t="s">
        <v>14</v>
      </c>
      <c r="B12" s="70"/>
      <c r="C12" s="70"/>
      <c r="D12" s="70"/>
      <c r="E12" s="70"/>
      <c r="F12" s="70"/>
      <c r="G12" s="70"/>
      <c r="H12" s="70"/>
      <c r="I12" s="70"/>
      <c r="J12" s="70"/>
      <c r="K12" s="25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25"/>
    </row>
    <row r="13" spans="1:22" x14ac:dyDescent="0.25">
      <c r="A13" s="32"/>
      <c r="B13" s="32"/>
      <c r="C13" s="7"/>
      <c r="D13" s="7"/>
      <c r="E13" s="7"/>
      <c r="F13" s="7"/>
      <c r="G13" s="6"/>
      <c r="H13" s="10"/>
      <c r="I13" s="10"/>
      <c r="J13" s="10"/>
      <c r="K13" s="25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25"/>
    </row>
    <row r="14" spans="1:22" x14ac:dyDescent="0.25">
      <c r="A14" s="51" t="s">
        <v>20</v>
      </c>
      <c r="B14" s="51"/>
      <c r="C14" s="51"/>
      <c r="D14" s="46" t="s">
        <v>12</v>
      </c>
      <c r="E14" s="8" t="s">
        <v>19</v>
      </c>
      <c r="F14" s="37"/>
      <c r="H14" s="9"/>
      <c r="I14" s="9"/>
      <c r="J14" s="10"/>
      <c r="K14" s="25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25"/>
    </row>
    <row r="15" spans="1:22" x14ac:dyDescent="0.25">
      <c r="A15" s="51" t="s">
        <v>21</v>
      </c>
      <c r="B15" s="51"/>
      <c r="C15" s="51"/>
      <c r="D15" s="46" t="s">
        <v>12</v>
      </c>
      <c r="E15" s="8" t="s">
        <v>18</v>
      </c>
      <c r="F15" s="37"/>
      <c r="H15" s="9"/>
      <c r="I15" s="9"/>
      <c r="J15" s="10"/>
      <c r="K15" s="25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25"/>
    </row>
    <row r="16" spans="1:22" x14ac:dyDescent="0.25">
      <c r="A16" s="51" t="s">
        <v>22</v>
      </c>
      <c r="B16" s="51"/>
      <c r="C16" s="51"/>
      <c r="D16" s="46" t="s">
        <v>12</v>
      </c>
      <c r="E16" s="43">
        <v>2026</v>
      </c>
      <c r="F16" s="37"/>
      <c r="H16" s="9"/>
      <c r="I16" s="9"/>
      <c r="J16" s="10"/>
      <c r="K16" s="25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25"/>
    </row>
    <row r="17" spans="1:22" x14ac:dyDescent="0.25">
      <c r="A17" s="51" t="s">
        <v>23</v>
      </c>
      <c r="B17" s="51"/>
      <c r="C17" s="51"/>
      <c r="D17" s="46" t="s">
        <v>12</v>
      </c>
      <c r="E17" s="63">
        <f>I48</f>
        <v>88500000</v>
      </c>
      <c r="F17" s="37"/>
      <c r="H17" s="9"/>
      <c r="I17" s="9"/>
      <c r="J17" s="10"/>
      <c r="K17" s="25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25"/>
    </row>
    <row r="18" spans="1:22" ht="15.75" x14ac:dyDescent="0.25">
      <c r="A18" s="8"/>
      <c r="B18" s="8"/>
      <c r="C18" s="11" t="s">
        <v>0</v>
      </c>
      <c r="D18" s="11"/>
      <c r="E18" s="47" t="str">
        <f>PROPER(IF(E17=0,"nol",IF(E17&lt;0,"minus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17),"000000000000000"),1,3)=0,"",MID(TEXT(ABS(E17),"000000000000000"),1,1)&amp;" ratus "&amp;MID(TEXT(ABS(E17),"000000000000000"),2,1)&amp;" puluh "&amp;MID(TEXT(ABS(E17),"000000000000000"),3,1)&amp;" trilyun ")&amp;IF(--MID(TEXT(ABS(E17),"000000000000000"),4,3)=0,"",MID(TEXT(ABS(E17),"000000000000000"),4,1)&amp;" ratus "&amp;MID(TEXT(ABS(E17),"000000000000000"),5,1)&amp;" puluh "&amp;MID(TEXT(ABS(E17),"000000000000000"),6,1)&amp;" milyar ")&amp;IF(--MID(TEXT(ABS(E17),"000000000000000"),7,3)=0,"",MID(TEXT(ABS(E17),"000000000000000"),7,1)&amp;" ratus "&amp;MID(TEXT(ABS(E17),"000000000000000"),8,1)&amp;" puluh "&amp;MID(TEXT(ABS(E17),"000000000000000"),9,1)&amp;" juta ")&amp;IF(--MID(TEXT(ABS(E17),"000000000000000"),10,3)=0,"",IF(--MID(TEXT(ABS(E17),"000000000000000"),10,3)=1,"*",MID(TEXT(ABS(E17),"000000000000000"),10,1)&amp;" ratus "&amp;MID(TEXT(ABS(E17),"000000000000000"),11,1)&amp;" puluh ")&amp;MID(TEXT(ABS(E17),"000000000000000"),12,1)&amp;" ribu ")&amp;IF(--MID(TEXT(ABS(E17),"000000000000000"),13,3)=0,"",MID(TEXT(ABS(E17),"000000000000000"),13,1)&amp;" ratus "&amp;MID(TEXT(ABS(E17),"000000000000000"),14,1)&amp;" puluh "&amp;MID(TEXT(ABS(E17),"000000000000000"),15,1)),1,"satu"),2,"dua"),3,"tiga"),4,"empat"),5,"lima"),6,"enam"),7,"tujuh"),8,"delapan"),9,"sembilan"),"0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Delapan Puluh Delapan Juta Lima Ratus Ribu Rupiah</v>
      </c>
      <c r="F18" s="37"/>
      <c r="H18" s="9"/>
      <c r="I18" s="9"/>
      <c r="J18" s="10"/>
      <c r="K18" s="25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25"/>
    </row>
    <row r="19" spans="1:22" ht="15.75" x14ac:dyDescent="0.25">
      <c r="A19" s="8"/>
      <c r="B19" s="8"/>
      <c r="C19" s="11"/>
      <c r="D19" s="11"/>
      <c r="E19" s="11"/>
      <c r="F19" s="37"/>
      <c r="G19" s="47"/>
      <c r="H19" s="9"/>
      <c r="I19" s="9"/>
      <c r="J19" s="10"/>
      <c r="K19" s="25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25"/>
    </row>
    <row r="20" spans="1:22" x14ac:dyDescent="0.25">
      <c r="A20" s="8" t="s">
        <v>1</v>
      </c>
      <c r="B20" s="8"/>
      <c r="C20" s="8"/>
      <c r="D20" s="8"/>
      <c r="E20" s="8"/>
      <c r="F20" s="8"/>
      <c r="G20" s="8"/>
      <c r="H20" s="9"/>
      <c r="I20" s="9"/>
      <c r="J20" s="10"/>
      <c r="K20" s="25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25"/>
    </row>
    <row r="21" spans="1:22" x14ac:dyDescent="0.25">
      <c r="A21" s="68" t="s">
        <v>2</v>
      </c>
      <c r="B21" s="68"/>
      <c r="C21" s="68"/>
      <c r="D21" s="68"/>
      <c r="E21" s="68"/>
      <c r="F21" s="68"/>
      <c r="G21" s="68"/>
      <c r="H21" s="68"/>
      <c r="I21" s="68"/>
      <c r="J21" s="68"/>
      <c r="K21" s="25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25"/>
    </row>
    <row r="22" spans="1:22" ht="60" x14ac:dyDescent="0.25">
      <c r="A22" s="12" t="s">
        <v>3</v>
      </c>
      <c r="B22" s="52" t="s">
        <v>24</v>
      </c>
      <c r="C22" s="71" t="s">
        <v>4</v>
      </c>
      <c r="D22" s="72"/>
      <c r="E22" s="73"/>
      <c r="F22" s="45"/>
      <c r="G22" s="38" t="s">
        <v>5</v>
      </c>
      <c r="H22" s="13" t="s">
        <v>36</v>
      </c>
      <c r="I22" s="14" t="s">
        <v>6</v>
      </c>
      <c r="J22" s="15" t="s">
        <v>7</v>
      </c>
      <c r="K22" s="25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25"/>
    </row>
    <row r="23" spans="1:22" ht="15" customHeight="1" x14ac:dyDescent="0.25">
      <c r="A23" s="62">
        <v>1</v>
      </c>
      <c r="B23" s="53"/>
      <c r="C23" s="74" t="s">
        <v>39</v>
      </c>
      <c r="D23" s="75"/>
      <c r="E23" s="76"/>
      <c r="F23" s="48"/>
      <c r="G23" s="55" t="s">
        <v>34</v>
      </c>
      <c r="H23" s="55" t="s">
        <v>34</v>
      </c>
      <c r="I23" s="55" t="s">
        <v>34</v>
      </c>
      <c r="J23" s="55" t="s">
        <v>34</v>
      </c>
      <c r="K23" s="25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25"/>
    </row>
    <row r="24" spans="1:22" ht="15" customHeight="1" x14ac:dyDescent="0.25">
      <c r="A24" s="49"/>
      <c r="B24" s="49" t="s">
        <v>25</v>
      </c>
      <c r="C24" s="65" t="s">
        <v>40</v>
      </c>
      <c r="D24" s="66"/>
      <c r="E24" s="67"/>
      <c r="F24" s="48"/>
      <c r="G24" s="55" t="s">
        <v>34</v>
      </c>
      <c r="H24" s="55" t="s">
        <v>34</v>
      </c>
      <c r="I24" s="55" t="s">
        <v>34</v>
      </c>
      <c r="J24" s="55" t="s">
        <v>34</v>
      </c>
      <c r="K24" s="25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25"/>
    </row>
    <row r="25" spans="1:22" ht="15" customHeight="1" x14ac:dyDescent="0.25">
      <c r="A25" s="49"/>
      <c r="B25" s="49"/>
      <c r="C25" s="61" t="s">
        <v>41</v>
      </c>
      <c r="D25" s="59"/>
      <c r="E25" s="60"/>
      <c r="F25" s="48"/>
      <c r="G25" s="50">
        <v>300000000</v>
      </c>
      <c r="H25" s="41">
        <v>0</v>
      </c>
      <c r="I25" s="41">
        <v>0</v>
      </c>
      <c r="J25" s="57">
        <f t="shared" ref="J25:J47" si="0">G25-H25-I25</f>
        <v>300000000</v>
      </c>
      <c r="K25" s="25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25"/>
    </row>
    <row r="26" spans="1:22" ht="29.25" customHeight="1" x14ac:dyDescent="0.25">
      <c r="A26" s="49"/>
      <c r="B26" s="49"/>
      <c r="C26" s="65" t="s">
        <v>42</v>
      </c>
      <c r="D26" s="66"/>
      <c r="E26" s="67"/>
      <c r="F26" s="48"/>
      <c r="G26" s="50">
        <v>450000000</v>
      </c>
      <c r="H26" s="41">
        <v>0</v>
      </c>
      <c r="I26" s="41">
        <v>0</v>
      </c>
      <c r="J26" s="57">
        <f t="shared" si="0"/>
        <v>450000000</v>
      </c>
      <c r="K26" s="25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25"/>
    </row>
    <row r="27" spans="1:22" ht="28.5" customHeight="1" x14ac:dyDescent="0.25">
      <c r="A27" s="49"/>
      <c r="B27" s="49"/>
      <c r="C27" s="65" t="s">
        <v>43</v>
      </c>
      <c r="D27" s="66"/>
      <c r="E27" s="67"/>
      <c r="F27" s="48"/>
      <c r="G27" s="50">
        <v>250000000</v>
      </c>
      <c r="H27" s="41">
        <v>0</v>
      </c>
      <c r="I27" s="41">
        <v>0</v>
      </c>
      <c r="J27" s="57">
        <f t="shared" si="0"/>
        <v>250000000</v>
      </c>
      <c r="K27" s="25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25"/>
    </row>
    <row r="28" spans="1:22" ht="30.75" customHeight="1" x14ac:dyDescent="0.25">
      <c r="A28" s="58"/>
      <c r="B28" s="58" t="s">
        <v>26</v>
      </c>
      <c r="C28" s="65" t="s">
        <v>44</v>
      </c>
      <c r="D28" s="66"/>
      <c r="E28" s="67"/>
      <c r="F28" s="48"/>
      <c r="G28" s="50">
        <v>100000000</v>
      </c>
      <c r="H28" s="56">
        <v>0</v>
      </c>
      <c r="I28" s="41">
        <v>0</v>
      </c>
      <c r="J28" s="57">
        <f t="shared" si="0"/>
        <v>100000000</v>
      </c>
      <c r="K28" s="25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25"/>
    </row>
    <row r="29" spans="1:22" x14ac:dyDescent="0.25">
      <c r="A29" s="58"/>
      <c r="B29" s="58" t="s">
        <v>27</v>
      </c>
      <c r="C29" s="61" t="s">
        <v>38</v>
      </c>
      <c r="D29" s="59"/>
      <c r="E29" s="60"/>
      <c r="F29" s="48"/>
      <c r="G29" s="55" t="s">
        <v>34</v>
      </c>
      <c r="H29" s="55" t="s">
        <v>34</v>
      </c>
      <c r="I29" s="55" t="s">
        <v>34</v>
      </c>
      <c r="J29" s="55" t="s">
        <v>34</v>
      </c>
      <c r="K29" s="25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25"/>
    </row>
    <row r="30" spans="1:22" ht="15.75" customHeight="1" x14ac:dyDescent="0.25">
      <c r="A30" s="49"/>
      <c r="B30" s="49"/>
      <c r="C30" s="65" t="s">
        <v>45</v>
      </c>
      <c r="D30" s="66"/>
      <c r="E30" s="67"/>
      <c r="F30" s="48"/>
      <c r="G30" s="50">
        <v>550000000</v>
      </c>
      <c r="H30" s="56">
        <v>0</v>
      </c>
      <c r="I30" s="41">
        <v>0</v>
      </c>
      <c r="J30" s="57">
        <f t="shared" si="0"/>
        <v>550000000</v>
      </c>
      <c r="K30" s="25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25"/>
    </row>
    <row r="31" spans="1:22" ht="15.75" customHeight="1" x14ac:dyDescent="0.25">
      <c r="A31" s="58"/>
      <c r="B31" s="58"/>
      <c r="C31" s="65" t="s">
        <v>46</v>
      </c>
      <c r="D31" s="66"/>
      <c r="E31" s="67"/>
      <c r="F31" s="48"/>
      <c r="G31" s="50">
        <v>150000000</v>
      </c>
      <c r="H31" s="56">
        <v>0</v>
      </c>
      <c r="I31" s="41">
        <v>0</v>
      </c>
      <c r="J31" s="57">
        <f t="shared" si="0"/>
        <v>150000000</v>
      </c>
      <c r="K31" s="25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25"/>
    </row>
    <row r="32" spans="1:22" x14ac:dyDescent="0.25">
      <c r="A32" s="49"/>
      <c r="B32" s="49"/>
      <c r="C32" s="65" t="s">
        <v>47</v>
      </c>
      <c r="D32" s="66"/>
      <c r="E32" s="67"/>
      <c r="F32" s="48"/>
      <c r="G32" s="50">
        <v>200000000</v>
      </c>
      <c r="H32" s="56">
        <v>0</v>
      </c>
      <c r="I32" s="41">
        <v>88500000</v>
      </c>
      <c r="J32" s="42">
        <f t="shared" si="0"/>
        <v>111500000</v>
      </c>
      <c r="K32" s="25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25"/>
    </row>
    <row r="33" spans="1:22" x14ac:dyDescent="0.25">
      <c r="A33" s="49"/>
      <c r="B33" s="49"/>
      <c r="C33" s="78" t="s">
        <v>48</v>
      </c>
      <c r="D33" s="79"/>
      <c r="E33" s="80"/>
      <c r="F33" s="48"/>
      <c r="G33" s="50">
        <v>100000000</v>
      </c>
      <c r="H33" s="56">
        <v>0</v>
      </c>
      <c r="I33" s="41">
        <v>0</v>
      </c>
      <c r="J33" s="42">
        <f t="shared" si="0"/>
        <v>100000000</v>
      </c>
      <c r="K33" s="25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25"/>
    </row>
    <row r="34" spans="1:22" ht="15" customHeight="1" x14ac:dyDescent="0.25">
      <c r="A34" s="49"/>
      <c r="B34" s="49"/>
      <c r="C34" s="65" t="s">
        <v>49</v>
      </c>
      <c r="D34" s="66"/>
      <c r="E34" s="67"/>
      <c r="F34" s="48"/>
      <c r="G34" s="50">
        <v>150000000</v>
      </c>
      <c r="H34" s="56">
        <v>0</v>
      </c>
      <c r="I34" s="41">
        <v>0</v>
      </c>
      <c r="J34" s="42">
        <f t="shared" si="0"/>
        <v>150000000</v>
      </c>
      <c r="K34" s="25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25"/>
    </row>
    <row r="35" spans="1:22" ht="15" customHeight="1" x14ac:dyDescent="0.25">
      <c r="A35" s="49"/>
      <c r="B35" s="49"/>
      <c r="C35" s="65" t="s">
        <v>50</v>
      </c>
      <c r="D35" s="66"/>
      <c r="E35" s="67"/>
      <c r="F35" s="48"/>
      <c r="G35" s="50">
        <v>350000000</v>
      </c>
      <c r="H35" s="56">
        <v>0</v>
      </c>
      <c r="I35" s="41">
        <v>0</v>
      </c>
      <c r="J35" s="42">
        <f t="shared" si="0"/>
        <v>350000000</v>
      </c>
      <c r="K35" s="25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25"/>
    </row>
    <row r="36" spans="1:22" ht="23.25" customHeight="1" x14ac:dyDescent="0.25">
      <c r="A36" s="49"/>
      <c r="B36" s="49" t="s">
        <v>28</v>
      </c>
      <c r="C36" s="65" t="s">
        <v>51</v>
      </c>
      <c r="D36" s="66"/>
      <c r="E36" s="67"/>
      <c r="F36" s="48"/>
      <c r="G36" s="64" t="s">
        <v>34</v>
      </c>
      <c r="H36" s="64" t="s">
        <v>34</v>
      </c>
      <c r="I36" s="64" t="s">
        <v>34</v>
      </c>
      <c r="J36" s="64" t="s">
        <v>34</v>
      </c>
      <c r="K36" s="25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25"/>
    </row>
    <row r="37" spans="1:22" ht="35.25" customHeight="1" x14ac:dyDescent="0.25">
      <c r="A37" s="49"/>
      <c r="B37" s="49"/>
      <c r="C37" s="65" t="s">
        <v>52</v>
      </c>
      <c r="D37" s="66"/>
      <c r="E37" s="67"/>
      <c r="F37" s="48"/>
      <c r="G37" s="50">
        <v>200000000</v>
      </c>
      <c r="H37" s="56">
        <v>0</v>
      </c>
      <c r="I37" s="41">
        <v>0</v>
      </c>
      <c r="J37" s="57">
        <f t="shared" si="0"/>
        <v>200000000</v>
      </c>
      <c r="K37" s="25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25"/>
    </row>
    <row r="38" spans="1:22" ht="23.25" customHeight="1" x14ac:dyDescent="0.25">
      <c r="A38" s="49"/>
      <c r="B38" s="49"/>
      <c r="C38" s="65" t="s">
        <v>53</v>
      </c>
      <c r="D38" s="66"/>
      <c r="E38" s="67"/>
      <c r="F38" s="48"/>
      <c r="G38" s="50">
        <v>160000000</v>
      </c>
      <c r="H38" s="56">
        <v>0</v>
      </c>
      <c r="I38" s="41">
        <v>0</v>
      </c>
      <c r="J38" s="57">
        <f t="shared" si="0"/>
        <v>160000000</v>
      </c>
      <c r="K38" s="25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25"/>
    </row>
    <row r="39" spans="1:22" ht="15" customHeight="1" x14ac:dyDescent="0.25">
      <c r="A39" s="49"/>
      <c r="B39" s="49" t="s">
        <v>29</v>
      </c>
      <c r="C39" s="61" t="s">
        <v>54</v>
      </c>
      <c r="D39" s="59"/>
      <c r="E39" s="60"/>
      <c r="F39" s="48"/>
      <c r="G39" s="55" t="s">
        <v>34</v>
      </c>
      <c r="H39" s="55" t="s">
        <v>34</v>
      </c>
      <c r="I39" s="55" t="s">
        <v>34</v>
      </c>
      <c r="J39" s="55" t="s">
        <v>34</v>
      </c>
      <c r="K39" s="25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25"/>
    </row>
    <row r="40" spans="1:22" ht="27.75" customHeight="1" x14ac:dyDescent="0.25">
      <c r="A40" s="49"/>
      <c r="B40" s="49"/>
      <c r="C40" s="65" t="s">
        <v>55</v>
      </c>
      <c r="D40" s="66"/>
      <c r="E40" s="67"/>
      <c r="F40" s="48"/>
      <c r="G40" s="50">
        <v>500000000</v>
      </c>
      <c r="H40" s="56">
        <v>0</v>
      </c>
      <c r="I40" s="41">
        <v>0</v>
      </c>
      <c r="J40" s="57">
        <f t="shared" si="0"/>
        <v>500000000</v>
      </c>
      <c r="K40" s="25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25"/>
    </row>
    <row r="41" spans="1:22" ht="15" customHeight="1" x14ac:dyDescent="0.25">
      <c r="A41" s="49"/>
      <c r="B41" s="49"/>
      <c r="C41" s="61" t="s">
        <v>56</v>
      </c>
      <c r="D41" s="59"/>
      <c r="E41" s="60"/>
      <c r="F41" s="48"/>
      <c r="G41" s="50">
        <v>500000000</v>
      </c>
      <c r="H41" s="56">
        <v>0</v>
      </c>
      <c r="I41" s="41">
        <v>0</v>
      </c>
      <c r="J41" s="57">
        <f t="shared" si="0"/>
        <v>500000000</v>
      </c>
      <c r="K41" s="25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25"/>
    </row>
    <row r="42" spans="1:22" ht="32.25" customHeight="1" x14ac:dyDescent="0.25">
      <c r="A42" s="49"/>
      <c r="B42" s="49"/>
      <c r="C42" s="65" t="s">
        <v>57</v>
      </c>
      <c r="D42" s="66"/>
      <c r="E42" s="67"/>
      <c r="F42" s="48"/>
      <c r="G42" s="50">
        <v>750000000</v>
      </c>
      <c r="H42" s="56">
        <v>0</v>
      </c>
      <c r="I42" s="41">
        <v>0</v>
      </c>
      <c r="J42" s="57">
        <f t="shared" si="0"/>
        <v>750000000</v>
      </c>
      <c r="K42" s="25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25"/>
    </row>
    <row r="43" spans="1:22" ht="30" customHeight="1" x14ac:dyDescent="0.25">
      <c r="A43" s="49"/>
      <c r="B43" s="49"/>
      <c r="C43" s="65" t="s">
        <v>58</v>
      </c>
      <c r="D43" s="66"/>
      <c r="E43" s="67"/>
      <c r="F43" s="48"/>
      <c r="G43" s="50">
        <v>390000000</v>
      </c>
      <c r="H43" s="56">
        <v>0</v>
      </c>
      <c r="I43" s="41">
        <v>0</v>
      </c>
      <c r="J43" s="57">
        <f t="shared" si="0"/>
        <v>390000000</v>
      </c>
      <c r="K43" s="25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25"/>
    </row>
    <row r="44" spans="1:22" ht="15" customHeight="1" x14ac:dyDescent="0.25">
      <c r="A44" s="49"/>
      <c r="B44" s="49"/>
      <c r="C44" s="61" t="s">
        <v>59</v>
      </c>
      <c r="D44" s="59"/>
      <c r="E44" s="60"/>
      <c r="F44" s="48"/>
      <c r="G44" s="50">
        <v>360000000</v>
      </c>
      <c r="H44" s="56">
        <v>0</v>
      </c>
      <c r="I44" s="41">
        <v>0</v>
      </c>
      <c r="J44" s="57">
        <f t="shared" si="0"/>
        <v>360000000</v>
      </c>
      <c r="K44" s="25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25"/>
    </row>
    <row r="45" spans="1:22" ht="41.25" customHeight="1" x14ac:dyDescent="0.25">
      <c r="A45" s="49"/>
      <c r="B45" s="49" t="s">
        <v>30</v>
      </c>
      <c r="C45" s="65" t="s">
        <v>60</v>
      </c>
      <c r="D45" s="66"/>
      <c r="E45" s="67"/>
      <c r="F45" s="48"/>
      <c r="G45" s="64" t="s">
        <v>34</v>
      </c>
      <c r="H45" s="64" t="s">
        <v>34</v>
      </c>
      <c r="I45" s="64" t="s">
        <v>34</v>
      </c>
      <c r="J45" s="64" t="s">
        <v>34</v>
      </c>
      <c r="K45" s="25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25"/>
    </row>
    <row r="46" spans="1:22" ht="32.25" customHeight="1" x14ac:dyDescent="0.25">
      <c r="A46" s="49"/>
      <c r="B46" s="49"/>
      <c r="C46" s="65" t="s">
        <v>61</v>
      </c>
      <c r="D46" s="66"/>
      <c r="E46" s="67"/>
      <c r="F46" s="48"/>
      <c r="G46" s="50">
        <v>50000000</v>
      </c>
      <c r="H46" s="56">
        <v>0</v>
      </c>
      <c r="I46" s="41">
        <v>0</v>
      </c>
      <c r="J46" s="57">
        <f t="shared" si="0"/>
        <v>50000000</v>
      </c>
      <c r="K46" s="25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25"/>
    </row>
    <row r="47" spans="1:22" ht="31.5" customHeight="1" x14ac:dyDescent="0.25">
      <c r="A47" s="49"/>
      <c r="B47" s="49"/>
      <c r="C47" s="81" t="s">
        <v>62</v>
      </c>
      <c r="D47" s="82"/>
      <c r="E47" s="83"/>
      <c r="F47" s="48"/>
      <c r="G47" s="50">
        <v>50000000</v>
      </c>
      <c r="H47" s="56">
        <v>0</v>
      </c>
      <c r="I47" s="41">
        <v>0</v>
      </c>
      <c r="J47" s="57">
        <f t="shared" si="0"/>
        <v>50000000</v>
      </c>
      <c r="K47" s="25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25"/>
    </row>
    <row r="48" spans="1:22" x14ac:dyDescent="0.25">
      <c r="A48" s="16"/>
      <c r="B48" s="16"/>
      <c r="C48" s="17" t="s">
        <v>8</v>
      </c>
      <c r="D48" s="17"/>
      <c r="E48" s="17"/>
      <c r="F48" s="40"/>
      <c r="G48" s="39">
        <f>SUM(G23:G47)</f>
        <v>5560000000</v>
      </c>
      <c r="H48" s="18">
        <f>SUM(H24:H35)</f>
        <v>0</v>
      </c>
      <c r="I48" s="18">
        <f>SUM(I24:I36)</f>
        <v>88500000</v>
      </c>
      <c r="J48" s="18">
        <f>SUM(J24:J47)</f>
        <v>5471500000</v>
      </c>
      <c r="K48" s="25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25"/>
    </row>
    <row r="49" spans="1:22" x14ac:dyDescent="0.25">
      <c r="A49" s="19"/>
      <c r="B49" s="54"/>
      <c r="C49" s="6"/>
      <c r="D49" s="6"/>
      <c r="E49" s="6"/>
      <c r="F49" s="6"/>
      <c r="G49" s="20"/>
      <c r="H49" s="20"/>
      <c r="I49" s="20"/>
      <c r="J49" s="20"/>
      <c r="K49" s="25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25"/>
    </row>
    <row r="50" spans="1:22" x14ac:dyDescent="0.25">
      <c r="A50" s="77" t="s">
        <v>15</v>
      </c>
      <c r="B50" s="77"/>
      <c r="C50" s="77"/>
      <c r="D50" s="33" t="s">
        <v>12</v>
      </c>
      <c r="E50" s="36">
        <f>I48</f>
        <v>88500000</v>
      </c>
      <c r="F50" s="36"/>
      <c r="G50" s="21"/>
      <c r="H50" s="21"/>
      <c r="I50" s="10"/>
      <c r="J50" s="10"/>
      <c r="K50" s="25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25"/>
    </row>
    <row r="51" spans="1:22" x14ac:dyDescent="0.25">
      <c r="A51" s="8" t="s">
        <v>9</v>
      </c>
      <c r="B51" s="8"/>
      <c r="C51" s="8"/>
      <c r="D51" s="33" t="s">
        <v>12</v>
      </c>
      <c r="E51" s="34"/>
      <c r="F51" s="34"/>
      <c r="G51" s="22"/>
      <c r="H51" s="9"/>
      <c r="I51" s="10"/>
      <c r="J51" s="10"/>
      <c r="K51" s="25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25"/>
    </row>
    <row r="52" spans="1:22" x14ac:dyDescent="0.25">
      <c r="A52" s="8" t="s">
        <v>17</v>
      </c>
      <c r="B52" s="8"/>
      <c r="C52" s="8"/>
      <c r="D52" s="33" t="s">
        <v>12</v>
      </c>
      <c r="E52" s="35"/>
      <c r="F52" s="35"/>
      <c r="G52" s="22"/>
      <c r="H52" s="9"/>
      <c r="I52" s="10"/>
      <c r="J52" s="10"/>
      <c r="K52" s="25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25"/>
    </row>
    <row r="53" spans="1:22" x14ac:dyDescent="0.25">
      <c r="A53" s="8" t="s">
        <v>10</v>
      </c>
      <c r="B53" s="8"/>
      <c r="C53" s="8"/>
      <c r="D53" s="33" t="s">
        <v>12</v>
      </c>
      <c r="E53" s="35">
        <f>E51+E52</f>
        <v>0</v>
      </c>
      <c r="F53" s="35"/>
      <c r="G53" s="8"/>
      <c r="H53" s="9"/>
      <c r="I53" s="23"/>
      <c r="J53" s="24"/>
      <c r="K53" s="25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25"/>
    </row>
    <row r="54" spans="1:22" x14ac:dyDescent="0.25">
      <c r="A54" s="43"/>
      <c r="B54" s="43"/>
      <c r="C54" s="43"/>
      <c r="D54" s="33"/>
      <c r="E54" s="43"/>
      <c r="F54" s="43"/>
      <c r="G54" s="8"/>
      <c r="H54" s="9"/>
      <c r="I54" s="23"/>
      <c r="J54" s="24"/>
      <c r="K54" s="25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25"/>
    </row>
    <row r="55" spans="1:22" x14ac:dyDescent="0.25">
      <c r="A55" s="77" t="s">
        <v>16</v>
      </c>
      <c r="B55" s="77"/>
      <c r="C55" s="77"/>
      <c r="D55" s="33" t="s">
        <v>12</v>
      </c>
      <c r="E55" s="36">
        <f>E50-E53</f>
        <v>88500000</v>
      </c>
      <c r="F55" s="36"/>
      <c r="G55" s="8"/>
      <c r="H55" s="9"/>
      <c r="I55" s="23"/>
      <c r="J55" s="24"/>
      <c r="K55" s="25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25"/>
    </row>
    <row r="56" spans="1:22" ht="15.75" x14ac:dyDescent="0.25">
      <c r="A56" s="43"/>
      <c r="B56" s="43"/>
      <c r="C56" s="8"/>
      <c r="D56" s="8"/>
      <c r="E56" s="47" t="str">
        <f>PROPER(IF(E55=0,"nol",IF(E55&lt;0,"minus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55),"000000000000000"),1,3)=0,"",MID(TEXT(ABS(E55),"000000000000000"),1,1)&amp;" ratus "&amp;MID(TEXT(ABS(E55),"000000000000000"),2,1)&amp;" puluh "&amp;MID(TEXT(ABS(E55),"000000000000000"),3,1)&amp;" trilyun ")&amp;IF(--MID(TEXT(ABS(E55),"000000000000000"),4,3)=0,"",MID(TEXT(ABS(E55),"000000000000000"),4,1)&amp;" ratus "&amp;MID(TEXT(ABS(E55),"000000000000000"),5,1)&amp;" puluh "&amp;MID(TEXT(ABS(E55),"000000000000000"),6,1)&amp;" milyar ")&amp;IF(--MID(TEXT(ABS(E55),"000000000000000"),7,3)=0,"",MID(TEXT(ABS(E55),"000000000000000"),7,1)&amp;" ratus "&amp;MID(TEXT(ABS(E55),"000000000000000"),8,1)&amp;" puluh "&amp;MID(TEXT(ABS(E55),"000000000000000"),9,1)&amp;" juta ")&amp;IF(--MID(TEXT(ABS(E55),"000000000000000"),10,3)=0,"",IF(--MID(TEXT(ABS(E55),"000000000000000"),10,3)=1,"*",MID(TEXT(ABS(E55),"000000000000000"),10,1)&amp;" ratus "&amp;MID(TEXT(ABS(E55),"000000000000000"),11,1)&amp;" puluh ")&amp;MID(TEXT(ABS(E55),"000000000000000"),12,1)&amp;" ribu ")&amp;IF(--MID(TEXT(ABS(E55),"000000000000000"),13,3)=0,"",MID(TEXT(ABS(E55),"000000000000000"),13,1)&amp;" ratus "&amp;MID(TEXT(ABS(E55),"000000000000000"),14,1)&amp;" puluh "&amp;MID(TEXT(ABS(E55),"000000000000000"),15,1)),1,"satu"),2,"dua"),3,"tiga"),4,"empat"),5,"lima"),6,"enam"),7,"tujuh"),8,"delapan"),9,"sembilan"),"0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Delapan Puluh Delapan Juta Lima Ratus Ribu Rupiah</v>
      </c>
      <c r="F56" s="8"/>
      <c r="G56" s="8"/>
      <c r="H56" s="8"/>
      <c r="I56" s="23"/>
      <c r="J56" s="24"/>
      <c r="K56" s="25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25"/>
    </row>
    <row r="57" spans="1:22" x14ac:dyDescent="0.25">
      <c r="A57" s="26"/>
      <c r="B57" s="26"/>
      <c r="C57" s="26"/>
      <c r="D57" s="26"/>
      <c r="E57" s="26"/>
      <c r="F57" s="26"/>
      <c r="G57" s="25"/>
      <c r="H57" s="24"/>
      <c r="I57" s="23"/>
      <c r="J57" s="24"/>
      <c r="K57" s="25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25"/>
    </row>
    <row r="58" spans="1:22" x14ac:dyDescent="0.25">
      <c r="A58" s="25"/>
      <c r="B58" s="25"/>
      <c r="C58" s="25"/>
      <c r="D58" s="25"/>
      <c r="E58" s="25"/>
      <c r="F58" s="25"/>
      <c r="G58" s="25"/>
      <c r="H58"/>
      <c r="I58" s="24"/>
      <c r="J58" s="24"/>
      <c r="K58" s="25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25"/>
    </row>
    <row r="59" spans="1:22" x14ac:dyDescent="0.25">
      <c r="A59" s="43"/>
      <c r="B59" s="43"/>
      <c r="C59" s="8"/>
      <c r="D59" s="8"/>
      <c r="E59" s="8"/>
      <c r="F59" s="8"/>
      <c r="G59" s="8"/>
      <c r="I59" s="44" t="s">
        <v>65</v>
      </c>
      <c r="J59" s="24"/>
      <c r="K59" s="25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25"/>
    </row>
    <row r="60" spans="1:22" x14ac:dyDescent="0.25">
      <c r="A60" s="9" t="s">
        <v>32</v>
      </c>
      <c r="B60" s="8"/>
      <c r="C60" s="8"/>
      <c r="D60" s="8"/>
      <c r="E60" s="8"/>
      <c r="F60" s="8"/>
      <c r="G60" s="8"/>
      <c r="I60" s="9" t="s">
        <v>31</v>
      </c>
      <c r="J60" s="24"/>
      <c r="K60" s="25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25"/>
    </row>
    <row r="61" spans="1:22" x14ac:dyDescent="0.25">
      <c r="A61" s="8"/>
      <c r="B61" s="8"/>
      <c r="C61" s="8"/>
      <c r="D61" s="8"/>
      <c r="E61" s="8"/>
      <c r="F61" s="8"/>
      <c r="G61" s="8"/>
      <c r="I61" s="9"/>
      <c r="J61" s="24"/>
      <c r="K61" s="25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25"/>
    </row>
    <row r="62" spans="1:22" x14ac:dyDescent="0.25">
      <c r="A62" s="8"/>
      <c r="B62" s="8"/>
      <c r="C62" s="8"/>
      <c r="D62" s="8"/>
      <c r="E62" s="8"/>
      <c r="F62" s="8"/>
      <c r="G62" s="8"/>
      <c r="I62" s="9"/>
      <c r="J62" s="24"/>
      <c r="K62" s="25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25"/>
    </row>
    <row r="63" spans="1:22" x14ac:dyDescent="0.25">
      <c r="A63" s="8"/>
      <c r="B63" s="8"/>
      <c r="C63" s="8"/>
      <c r="D63" s="8"/>
      <c r="E63" s="8"/>
      <c r="F63" s="8"/>
      <c r="G63" s="8"/>
      <c r="I63" s="9"/>
      <c r="J63" s="24"/>
      <c r="K63" s="25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25"/>
    </row>
    <row r="64" spans="1:22" x14ac:dyDescent="0.25">
      <c r="A64" s="8"/>
      <c r="B64" s="8"/>
      <c r="C64" s="8"/>
      <c r="D64" s="8"/>
      <c r="E64" s="8"/>
      <c r="F64" s="8"/>
      <c r="G64" s="8"/>
      <c r="I64" s="9"/>
      <c r="J64" s="24"/>
      <c r="K64" s="25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25"/>
    </row>
    <row r="65" spans="1:22" x14ac:dyDescent="0.25">
      <c r="A65" s="28" t="s">
        <v>37</v>
      </c>
      <c r="B65" s="28"/>
      <c r="C65" s="27"/>
      <c r="D65" s="27"/>
      <c r="E65" s="27"/>
      <c r="F65" s="27"/>
      <c r="G65" s="8"/>
      <c r="I65" s="28" t="s">
        <v>33</v>
      </c>
      <c r="J65" s="24"/>
      <c r="K65" s="25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25"/>
    </row>
    <row r="66" spans="1:22" x14ac:dyDescent="0.25">
      <c r="A66" s="30"/>
      <c r="B66" s="30"/>
      <c r="C66" s="29"/>
      <c r="D66" s="29"/>
      <c r="E66" s="29"/>
      <c r="F66" s="29"/>
      <c r="G66" s="29"/>
      <c r="H66" s="30"/>
      <c r="I66" s="30"/>
      <c r="J66" s="24"/>
      <c r="K66" s="25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25"/>
    </row>
  </sheetData>
  <mergeCells count="29">
    <mergeCell ref="A50:C50"/>
    <mergeCell ref="A55:C55"/>
    <mergeCell ref="C32:E32"/>
    <mergeCell ref="C33:E33"/>
    <mergeCell ref="C34:E34"/>
    <mergeCell ref="C35:E35"/>
    <mergeCell ref="C36:E36"/>
    <mergeCell ref="C37:E37"/>
    <mergeCell ref="C40:E40"/>
    <mergeCell ref="C42:E42"/>
    <mergeCell ref="C45:E45"/>
    <mergeCell ref="C43:E43"/>
    <mergeCell ref="C47:E47"/>
    <mergeCell ref="C38:E38"/>
    <mergeCell ref="C46:E46"/>
    <mergeCell ref="C31:E31"/>
    <mergeCell ref="A21:J21"/>
    <mergeCell ref="A8:J8"/>
    <mergeCell ref="A9:J9"/>
    <mergeCell ref="A10:J10"/>
    <mergeCell ref="A11:J11"/>
    <mergeCell ref="A12:J12"/>
    <mergeCell ref="C22:E22"/>
    <mergeCell ref="C23:E23"/>
    <mergeCell ref="C24:E24"/>
    <mergeCell ref="C28:E28"/>
    <mergeCell ref="C30:E30"/>
    <mergeCell ref="C26:E26"/>
    <mergeCell ref="C27:E27"/>
  </mergeCells>
  <pageMargins left="0.23622047244094491" right="0.23622047244094491" top="0" bottom="0.74803149606299213" header="0.31496062992125984" footer="0.31496062992125984"/>
  <pageSetup paperSize="5" scale="78" orientation="portrait" horizontalDpi="4294967293" r:id="rId1"/>
  <rowBreaks count="1" manualBreakCount="1">
    <brk id="66" max="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7DFB0-3665-4501-8FAC-7B328A80C750}">
  <dimension ref="A1:V197"/>
  <sheetViews>
    <sheetView view="pageBreakPreview" topLeftCell="A148" zoomScaleNormal="100" zoomScaleSheetLayoutView="100" workbookViewId="0">
      <selection activeCell="J197" sqref="A133:J197"/>
    </sheetView>
  </sheetViews>
  <sheetFormatPr defaultRowHeight="15" x14ac:dyDescent="0.25"/>
  <cols>
    <col min="1" max="1" width="3.5703125" customWidth="1"/>
    <col min="2" max="2" width="5.5703125" bestFit="1" customWidth="1"/>
    <col min="3" max="3" width="12" customWidth="1"/>
    <col min="4" max="4" width="1.85546875" customWidth="1"/>
    <col min="5" max="5" width="37.85546875" customWidth="1"/>
    <col min="6" max="6" width="1.140625" customWidth="1"/>
    <col min="7" max="7" width="18" customWidth="1"/>
    <col min="8" max="8" width="16.5703125" style="1" customWidth="1"/>
    <col min="9" max="9" width="15.5703125" style="1" customWidth="1"/>
    <col min="10" max="10" width="18" style="1" customWidth="1"/>
    <col min="11" max="11" width="6.140625" customWidth="1"/>
    <col min="12" max="12" width="2.85546875" customWidth="1"/>
    <col min="13" max="13" width="2.5703125" customWidth="1"/>
    <col min="14" max="14" width="2.7109375" customWidth="1"/>
    <col min="15" max="15" width="2.5703125" customWidth="1"/>
    <col min="16" max="16" width="2.7109375" customWidth="1"/>
    <col min="17" max="17" width="2.85546875" customWidth="1"/>
    <col min="18" max="18" width="44.7109375" customWidth="1"/>
    <col min="19" max="19" width="12.28515625" customWidth="1"/>
    <col min="20" max="20" width="11.7109375" customWidth="1"/>
    <col min="21" max="21" width="10.85546875" customWidth="1"/>
    <col min="22" max="22" width="11.5703125" customWidth="1"/>
    <col min="23" max="23" width="11.7109375" customWidth="1"/>
  </cols>
  <sheetData>
    <row r="1" spans="1:22" x14ac:dyDescent="0.25">
      <c r="K1" s="25"/>
      <c r="L1" s="31"/>
      <c r="M1" s="31"/>
      <c r="N1" s="31"/>
      <c r="O1" s="31"/>
      <c r="P1" s="31"/>
      <c r="Q1" s="31"/>
      <c r="R1" s="31"/>
      <c r="S1" s="31"/>
      <c r="T1" s="31"/>
      <c r="U1" s="31"/>
      <c r="V1" s="25"/>
    </row>
    <row r="2" spans="1:22" x14ac:dyDescent="0.25">
      <c r="K2" s="25"/>
      <c r="L2" s="31"/>
      <c r="M2" s="31"/>
      <c r="N2" s="31"/>
      <c r="O2" s="31"/>
      <c r="P2" s="31"/>
      <c r="Q2" s="31"/>
      <c r="R2" s="31"/>
      <c r="S2" s="31"/>
      <c r="T2" s="31"/>
      <c r="U2" s="31"/>
      <c r="V2" s="25"/>
    </row>
    <row r="3" spans="1:22" x14ac:dyDescent="0.25">
      <c r="K3" s="25"/>
      <c r="L3" s="31"/>
      <c r="M3" s="31"/>
      <c r="N3" s="31"/>
      <c r="O3" s="31"/>
      <c r="P3" s="31"/>
      <c r="Q3" s="31"/>
      <c r="R3" s="31"/>
      <c r="S3" s="31"/>
      <c r="T3" s="31"/>
      <c r="U3" s="31"/>
      <c r="V3" s="25"/>
    </row>
    <row r="4" spans="1:22" ht="15.75" x14ac:dyDescent="0.25">
      <c r="C4" s="3"/>
      <c r="D4" s="3"/>
      <c r="E4" s="3"/>
      <c r="F4" s="3"/>
      <c r="K4" s="25"/>
      <c r="L4" s="31"/>
      <c r="M4" s="31"/>
      <c r="N4" s="31"/>
      <c r="O4" s="31"/>
      <c r="P4" s="31"/>
      <c r="Q4" s="31"/>
      <c r="R4" s="31"/>
      <c r="S4" s="31"/>
      <c r="T4" s="31"/>
      <c r="U4" s="31"/>
      <c r="V4" s="25"/>
    </row>
    <row r="5" spans="1:22" ht="15.75" x14ac:dyDescent="0.25">
      <c r="A5" s="2"/>
      <c r="B5" s="2"/>
      <c r="C5" s="3"/>
      <c r="D5" s="3"/>
      <c r="E5" s="3"/>
      <c r="F5" s="3"/>
      <c r="G5" s="2"/>
      <c r="H5" s="4"/>
      <c r="I5" s="4"/>
      <c r="J5" s="5"/>
      <c r="K5" s="25"/>
      <c r="L5" s="31"/>
      <c r="M5" s="31"/>
      <c r="N5" s="31"/>
      <c r="O5" s="31"/>
      <c r="P5" s="31"/>
      <c r="Q5" s="31"/>
      <c r="R5" s="31"/>
      <c r="S5" s="31"/>
      <c r="T5" s="31"/>
      <c r="U5" s="31"/>
      <c r="V5" s="25"/>
    </row>
    <row r="6" spans="1:22" x14ac:dyDescent="0.25">
      <c r="H6" s="5"/>
      <c r="I6" s="5"/>
      <c r="J6" s="5"/>
      <c r="K6" s="25"/>
      <c r="L6" s="31"/>
      <c r="M6" s="31"/>
      <c r="N6" s="31"/>
      <c r="O6" s="31"/>
      <c r="P6" s="31"/>
      <c r="Q6" s="31"/>
      <c r="R6" s="31"/>
      <c r="S6" s="31"/>
      <c r="T6" s="31"/>
      <c r="U6" s="31"/>
      <c r="V6" s="25"/>
    </row>
    <row r="7" spans="1:22" x14ac:dyDescent="0.25">
      <c r="H7" s="5"/>
      <c r="I7" s="5"/>
      <c r="J7" s="5"/>
      <c r="K7" s="25"/>
      <c r="L7" s="31"/>
      <c r="M7" s="31"/>
      <c r="N7" s="31"/>
      <c r="O7" s="31"/>
      <c r="P7" s="31"/>
      <c r="Q7" s="31"/>
      <c r="R7" s="31"/>
      <c r="S7" s="31"/>
      <c r="T7" s="31"/>
      <c r="U7" s="31"/>
      <c r="V7" s="25"/>
    </row>
    <row r="8" spans="1:22" ht="15" customHeight="1" x14ac:dyDescent="0.25">
      <c r="A8" s="69" t="s">
        <v>35</v>
      </c>
      <c r="B8" s="69"/>
      <c r="C8" s="70"/>
      <c r="D8" s="70"/>
      <c r="E8" s="70"/>
      <c r="F8" s="70"/>
      <c r="G8" s="70"/>
      <c r="H8" s="70"/>
      <c r="I8" s="70"/>
      <c r="J8" s="70"/>
      <c r="K8" s="25"/>
      <c r="L8" s="31"/>
      <c r="M8" s="31"/>
      <c r="N8" s="31"/>
      <c r="O8" s="31"/>
      <c r="P8" s="31"/>
      <c r="Q8" s="31"/>
      <c r="R8" s="31"/>
      <c r="S8" s="31"/>
      <c r="T8" s="31"/>
      <c r="U8" s="31"/>
      <c r="V8" s="25"/>
    </row>
    <row r="9" spans="1:22" ht="15" customHeight="1" x14ac:dyDescent="0.25">
      <c r="A9" s="70" t="s">
        <v>67</v>
      </c>
      <c r="B9" s="70"/>
      <c r="C9" s="70"/>
      <c r="D9" s="70"/>
      <c r="E9" s="70"/>
      <c r="F9" s="70"/>
      <c r="G9" s="70"/>
      <c r="H9" s="70"/>
      <c r="I9" s="70"/>
      <c r="J9" s="70"/>
      <c r="K9" s="25"/>
      <c r="L9" s="31"/>
      <c r="M9" s="31"/>
      <c r="N9" s="31"/>
      <c r="O9" s="31"/>
      <c r="P9" s="31"/>
      <c r="Q9" s="31"/>
      <c r="R9" s="31"/>
      <c r="S9" s="31"/>
      <c r="T9" s="31"/>
      <c r="U9" s="31"/>
      <c r="V9" s="25"/>
    </row>
    <row r="10" spans="1:22" ht="15" customHeight="1" x14ac:dyDescent="0.25">
      <c r="A10" s="70" t="s">
        <v>13</v>
      </c>
      <c r="B10" s="70"/>
      <c r="C10" s="70"/>
      <c r="D10" s="70"/>
      <c r="E10" s="70"/>
      <c r="F10" s="70"/>
      <c r="G10" s="70"/>
      <c r="H10" s="70"/>
      <c r="I10" s="70"/>
      <c r="J10" s="70"/>
      <c r="K10" s="25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25"/>
    </row>
    <row r="11" spans="1:22" ht="15" customHeight="1" x14ac:dyDescent="0.25">
      <c r="A11" s="70" t="s">
        <v>63</v>
      </c>
      <c r="B11" s="70"/>
      <c r="C11" s="70"/>
      <c r="D11" s="70"/>
      <c r="E11" s="70"/>
      <c r="F11" s="70"/>
      <c r="G11" s="70"/>
      <c r="H11" s="70"/>
      <c r="I11" s="70"/>
      <c r="J11" s="70"/>
      <c r="K11" s="25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25"/>
    </row>
    <row r="12" spans="1:22" ht="15" customHeight="1" x14ac:dyDescent="0.25">
      <c r="A12" s="70" t="s">
        <v>14</v>
      </c>
      <c r="B12" s="70"/>
      <c r="C12" s="70"/>
      <c r="D12" s="70"/>
      <c r="E12" s="70"/>
      <c r="F12" s="70"/>
      <c r="G12" s="70"/>
      <c r="H12" s="70"/>
      <c r="I12" s="70"/>
      <c r="J12" s="70"/>
      <c r="K12" s="25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25"/>
    </row>
    <row r="13" spans="1:22" x14ac:dyDescent="0.25">
      <c r="A13" s="32"/>
      <c r="B13" s="32"/>
      <c r="C13" s="7"/>
      <c r="D13" s="7"/>
      <c r="E13" s="7"/>
      <c r="F13" s="7"/>
      <c r="G13" s="6"/>
      <c r="H13" s="10"/>
      <c r="I13" s="10"/>
      <c r="J13" s="10"/>
      <c r="K13" s="25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25"/>
    </row>
    <row r="14" spans="1:22" x14ac:dyDescent="0.25">
      <c r="A14" s="51" t="s">
        <v>20</v>
      </c>
      <c r="B14" s="51"/>
      <c r="C14" s="51"/>
      <c r="D14" s="46" t="s">
        <v>12</v>
      </c>
      <c r="E14" s="8" t="s">
        <v>19</v>
      </c>
      <c r="F14" s="37"/>
      <c r="H14" s="9"/>
      <c r="I14" s="9"/>
      <c r="J14" s="10"/>
      <c r="K14" s="25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25"/>
    </row>
    <row r="15" spans="1:22" x14ac:dyDescent="0.25">
      <c r="A15" s="51" t="s">
        <v>21</v>
      </c>
      <c r="B15" s="51"/>
      <c r="C15" s="51"/>
      <c r="D15" s="46" t="s">
        <v>12</v>
      </c>
      <c r="E15" s="8" t="s">
        <v>18</v>
      </c>
      <c r="F15" s="37"/>
      <c r="H15" s="9"/>
      <c r="I15" s="9"/>
      <c r="J15" s="10"/>
      <c r="K15" s="25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25"/>
    </row>
    <row r="16" spans="1:22" x14ac:dyDescent="0.25">
      <c r="A16" s="51" t="s">
        <v>22</v>
      </c>
      <c r="B16" s="51"/>
      <c r="C16" s="51"/>
      <c r="D16" s="46" t="s">
        <v>12</v>
      </c>
      <c r="E16" s="43">
        <v>2026</v>
      </c>
      <c r="F16" s="37"/>
      <c r="H16" s="9"/>
      <c r="I16" s="9"/>
      <c r="J16" s="10"/>
      <c r="K16" s="25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25"/>
    </row>
    <row r="17" spans="1:22" x14ac:dyDescent="0.25">
      <c r="A17" s="51" t="s">
        <v>23</v>
      </c>
      <c r="B17" s="51"/>
      <c r="C17" s="51"/>
      <c r="D17" s="46" t="s">
        <v>12</v>
      </c>
      <c r="E17" s="63">
        <f>I48</f>
        <v>2760000</v>
      </c>
      <c r="F17" s="37"/>
      <c r="H17" s="9"/>
      <c r="I17" s="9"/>
      <c r="J17" s="10"/>
      <c r="K17" s="25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25"/>
    </row>
    <row r="18" spans="1:22" ht="15.75" x14ac:dyDescent="0.25">
      <c r="A18" s="8"/>
      <c r="B18" s="8"/>
      <c r="C18" s="11" t="s">
        <v>0</v>
      </c>
      <c r="D18" s="11"/>
      <c r="E18" s="47" t="str">
        <f>PROPER(IF(E17=0,"nol",IF(E17&lt;0,"minus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17),"000000000000000"),1,3)=0,"",MID(TEXT(ABS(E17),"000000000000000"),1,1)&amp;" ratus "&amp;MID(TEXT(ABS(E17),"000000000000000"),2,1)&amp;" puluh "&amp;MID(TEXT(ABS(E17),"000000000000000"),3,1)&amp;" trilyun ")&amp;IF(--MID(TEXT(ABS(E17),"000000000000000"),4,3)=0,"",MID(TEXT(ABS(E17),"000000000000000"),4,1)&amp;" ratus "&amp;MID(TEXT(ABS(E17),"000000000000000"),5,1)&amp;" puluh "&amp;MID(TEXT(ABS(E17),"000000000000000"),6,1)&amp;" milyar ")&amp;IF(--MID(TEXT(ABS(E17),"000000000000000"),7,3)=0,"",MID(TEXT(ABS(E17),"000000000000000"),7,1)&amp;" ratus "&amp;MID(TEXT(ABS(E17),"000000000000000"),8,1)&amp;" puluh "&amp;MID(TEXT(ABS(E17),"000000000000000"),9,1)&amp;" juta ")&amp;IF(--MID(TEXT(ABS(E17),"000000000000000"),10,3)=0,"",IF(--MID(TEXT(ABS(E17),"000000000000000"),10,3)=1,"*",MID(TEXT(ABS(E17),"000000000000000"),10,1)&amp;" ratus "&amp;MID(TEXT(ABS(E17),"000000000000000"),11,1)&amp;" puluh ")&amp;MID(TEXT(ABS(E17),"000000000000000"),12,1)&amp;" ribu ")&amp;IF(--MID(TEXT(ABS(E17),"000000000000000"),13,3)=0,"",MID(TEXT(ABS(E17),"000000000000000"),13,1)&amp;" ratus "&amp;MID(TEXT(ABS(E17),"000000000000000"),14,1)&amp;" puluh "&amp;MID(TEXT(ABS(E17),"000000000000000"),15,1)),1,"satu"),2,"dua"),3,"tiga"),4,"empat"),5,"lima"),6,"enam"),7,"tujuh"),8,"delapan"),9,"sembilan"),"0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Juta Tujuh Ratus Enam Puluh Ribu Rupiah</v>
      </c>
      <c r="F18" s="37"/>
      <c r="H18" s="9"/>
      <c r="I18" s="9"/>
      <c r="J18" s="10"/>
      <c r="K18" s="25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25"/>
    </row>
    <row r="19" spans="1:22" ht="15.75" x14ac:dyDescent="0.25">
      <c r="A19" s="8"/>
      <c r="B19" s="8"/>
      <c r="C19" s="11"/>
      <c r="D19" s="11"/>
      <c r="E19" s="11"/>
      <c r="F19" s="37"/>
      <c r="G19" s="47"/>
      <c r="H19" s="9"/>
      <c r="I19" s="9"/>
      <c r="J19" s="10"/>
      <c r="K19" s="25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25"/>
    </row>
    <row r="20" spans="1:22" x14ac:dyDescent="0.25">
      <c r="A20" s="8" t="s">
        <v>1</v>
      </c>
      <c r="B20" s="8"/>
      <c r="C20" s="8"/>
      <c r="D20" s="8"/>
      <c r="E20" s="8"/>
      <c r="F20" s="8"/>
      <c r="G20" s="8"/>
      <c r="H20" s="9"/>
      <c r="I20" s="9"/>
      <c r="J20" s="10"/>
      <c r="K20" s="25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25"/>
    </row>
    <row r="21" spans="1:22" x14ac:dyDescent="0.25">
      <c r="A21" s="68" t="s">
        <v>2</v>
      </c>
      <c r="B21" s="68"/>
      <c r="C21" s="68"/>
      <c r="D21" s="68"/>
      <c r="E21" s="68"/>
      <c r="F21" s="68"/>
      <c r="G21" s="68"/>
      <c r="H21" s="68"/>
      <c r="I21" s="68"/>
      <c r="J21" s="68"/>
      <c r="K21" s="25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25"/>
    </row>
    <row r="22" spans="1:22" ht="60" x14ac:dyDescent="0.25">
      <c r="A22" s="12" t="s">
        <v>3</v>
      </c>
      <c r="B22" s="52" t="s">
        <v>24</v>
      </c>
      <c r="C22" s="71" t="s">
        <v>4</v>
      </c>
      <c r="D22" s="72"/>
      <c r="E22" s="73"/>
      <c r="F22" s="45"/>
      <c r="G22" s="38" t="s">
        <v>5</v>
      </c>
      <c r="H22" s="13" t="s">
        <v>36</v>
      </c>
      <c r="I22" s="14" t="s">
        <v>6</v>
      </c>
      <c r="J22" s="15" t="s">
        <v>7</v>
      </c>
      <c r="K22" s="25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25"/>
    </row>
    <row r="23" spans="1:22" ht="15" customHeight="1" x14ac:dyDescent="0.25">
      <c r="A23" s="62">
        <v>1</v>
      </c>
      <c r="B23" s="53"/>
      <c r="C23" s="74" t="s">
        <v>39</v>
      </c>
      <c r="D23" s="75"/>
      <c r="E23" s="76"/>
      <c r="F23" s="48"/>
      <c r="G23" s="55" t="s">
        <v>34</v>
      </c>
      <c r="H23" s="55" t="s">
        <v>34</v>
      </c>
      <c r="I23" s="55" t="s">
        <v>34</v>
      </c>
      <c r="J23" s="55" t="s">
        <v>34</v>
      </c>
      <c r="K23" s="25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25"/>
    </row>
    <row r="24" spans="1:22" ht="15" customHeight="1" x14ac:dyDescent="0.25">
      <c r="A24" s="49"/>
      <c r="B24" s="49" t="s">
        <v>25</v>
      </c>
      <c r="C24" s="65" t="s">
        <v>40</v>
      </c>
      <c r="D24" s="66"/>
      <c r="E24" s="67"/>
      <c r="F24" s="48"/>
      <c r="G24" s="55" t="s">
        <v>34</v>
      </c>
      <c r="H24" s="55" t="s">
        <v>34</v>
      </c>
      <c r="I24" s="55" t="s">
        <v>34</v>
      </c>
      <c r="J24" s="55" t="s">
        <v>34</v>
      </c>
      <c r="K24" s="25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25"/>
    </row>
    <row r="25" spans="1:22" ht="15" customHeight="1" x14ac:dyDescent="0.25">
      <c r="A25" s="49"/>
      <c r="B25" s="49"/>
      <c r="C25" s="61" t="s">
        <v>41</v>
      </c>
      <c r="D25" s="59"/>
      <c r="E25" s="60"/>
      <c r="F25" s="48"/>
      <c r="G25" s="50">
        <v>300000000</v>
      </c>
      <c r="H25" s="41">
        <f>JANUARI!H25+JANUARI!I25</f>
        <v>0</v>
      </c>
      <c r="I25" s="41">
        <v>0</v>
      </c>
      <c r="J25" s="57">
        <f t="shared" ref="J25:J47" si="0">G25-H25-I25</f>
        <v>300000000</v>
      </c>
      <c r="K25" s="25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25"/>
    </row>
    <row r="26" spans="1:22" ht="29.25" customHeight="1" x14ac:dyDescent="0.25">
      <c r="A26" s="49"/>
      <c r="B26" s="49"/>
      <c r="C26" s="65" t="s">
        <v>42</v>
      </c>
      <c r="D26" s="66"/>
      <c r="E26" s="67"/>
      <c r="F26" s="48"/>
      <c r="G26" s="50">
        <v>450000000</v>
      </c>
      <c r="H26" s="41">
        <f>JANUARI!H26+JANUARI!I26</f>
        <v>0</v>
      </c>
      <c r="I26" s="41">
        <v>0</v>
      </c>
      <c r="J26" s="57">
        <f t="shared" si="0"/>
        <v>450000000</v>
      </c>
      <c r="K26" s="25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25"/>
    </row>
    <row r="27" spans="1:22" ht="28.5" customHeight="1" x14ac:dyDescent="0.25">
      <c r="A27" s="49"/>
      <c r="B27" s="49"/>
      <c r="C27" s="65" t="s">
        <v>43</v>
      </c>
      <c r="D27" s="66"/>
      <c r="E27" s="67"/>
      <c r="F27" s="48"/>
      <c r="G27" s="50">
        <v>250000000</v>
      </c>
      <c r="H27" s="41">
        <f>JANUARI!H27+JANUARI!I27</f>
        <v>0</v>
      </c>
      <c r="I27" s="41">
        <v>0</v>
      </c>
      <c r="J27" s="57">
        <f t="shared" si="0"/>
        <v>250000000</v>
      </c>
      <c r="K27" s="25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25"/>
    </row>
    <row r="28" spans="1:22" ht="30.75" customHeight="1" x14ac:dyDescent="0.25">
      <c r="A28" s="58"/>
      <c r="B28" s="58" t="s">
        <v>26</v>
      </c>
      <c r="C28" s="65" t="s">
        <v>44</v>
      </c>
      <c r="D28" s="66"/>
      <c r="E28" s="67"/>
      <c r="F28" s="48"/>
      <c r="G28" s="50">
        <v>100000000</v>
      </c>
      <c r="H28" s="41">
        <f>JANUARI!H28+JANUARI!I28</f>
        <v>0</v>
      </c>
      <c r="I28" s="41">
        <v>0</v>
      </c>
      <c r="J28" s="57">
        <f t="shared" si="0"/>
        <v>100000000</v>
      </c>
      <c r="K28" s="25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25"/>
    </row>
    <row r="29" spans="1:22" x14ac:dyDescent="0.25">
      <c r="A29" s="58"/>
      <c r="B29" s="58" t="s">
        <v>27</v>
      </c>
      <c r="C29" s="61" t="s">
        <v>38</v>
      </c>
      <c r="D29" s="59"/>
      <c r="E29" s="60"/>
      <c r="F29" s="48"/>
      <c r="G29" s="55" t="s">
        <v>34</v>
      </c>
      <c r="H29" s="55" t="s">
        <v>34</v>
      </c>
      <c r="I29" s="55" t="s">
        <v>34</v>
      </c>
      <c r="J29" s="55" t="s">
        <v>34</v>
      </c>
      <c r="K29" s="25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25"/>
    </row>
    <row r="30" spans="1:22" ht="15.75" customHeight="1" x14ac:dyDescent="0.25">
      <c r="A30" s="49"/>
      <c r="B30" s="49"/>
      <c r="C30" s="65" t="s">
        <v>45</v>
      </c>
      <c r="D30" s="66"/>
      <c r="E30" s="67"/>
      <c r="F30" s="48"/>
      <c r="G30" s="50">
        <v>550000000</v>
      </c>
      <c r="H30" s="56">
        <f>JANUARI!H30+JANUARI!I30</f>
        <v>0</v>
      </c>
      <c r="I30" s="41">
        <v>0</v>
      </c>
      <c r="J30" s="57">
        <f t="shared" si="0"/>
        <v>550000000</v>
      </c>
      <c r="K30" s="25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25"/>
    </row>
    <row r="31" spans="1:22" ht="15.75" customHeight="1" x14ac:dyDescent="0.25">
      <c r="A31" s="58"/>
      <c r="B31" s="58"/>
      <c r="C31" s="65" t="s">
        <v>46</v>
      </c>
      <c r="D31" s="66"/>
      <c r="E31" s="67"/>
      <c r="F31" s="48"/>
      <c r="G31" s="50">
        <v>150000000</v>
      </c>
      <c r="H31" s="56">
        <f>JANUARI!H31+JANUARI!I31</f>
        <v>0</v>
      </c>
      <c r="I31" s="41">
        <v>0</v>
      </c>
      <c r="J31" s="57">
        <f t="shared" si="0"/>
        <v>150000000</v>
      </c>
      <c r="K31" s="25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25"/>
    </row>
    <row r="32" spans="1:22" x14ac:dyDescent="0.25">
      <c r="A32" s="49"/>
      <c r="B32" s="49"/>
      <c r="C32" s="65" t="s">
        <v>47</v>
      </c>
      <c r="D32" s="66"/>
      <c r="E32" s="67"/>
      <c r="F32" s="48"/>
      <c r="G32" s="50">
        <v>200000000</v>
      </c>
      <c r="H32" s="56">
        <f>JANUARI!H32+JANUARI!I32</f>
        <v>88500000</v>
      </c>
      <c r="I32" s="41">
        <v>0</v>
      </c>
      <c r="J32" s="42">
        <f t="shared" si="0"/>
        <v>111500000</v>
      </c>
      <c r="K32" s="25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25"/>
    </row>
    <row r="33" spans="1:22" x14ac:dyDescent="0.25">
      <c r="A33" s="49"/>
      <c r="B33" s="49"/>
      <c r="C33" s="78" t="s">
        <v>48</v>
      </c>
      <c r="D33" s="79"/>
      <c r="E33" s="80"/>
      <c r="F33" s="48"/>
      <c r="G33" s="50">
        <v>100000000</v>
      </c>
      <c r="H33" s="56">
        <f>JANUARI!H33+JANUARI!I33</f>
        <v>0</v>
      </c>
      <c r="I33" s="41">
        <v>0</v>
      </c>
      <c r="J33" s="42">
        <f t="shared" si="0"/>
        <v>100000000</v>
      </c>
      <c r="K33" s="25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25"/>
    </row>
    <row r="34" spans="1:22" ht="15" customHeight="1" x14ac:dyDescent="0.25">
      <c r="A34" s="49"/>
      <c r="B34" s="49"/>
      <c r="C34" s="65" t="s">
        <v>49</v>
      </c>
      <c r="D34" s="66"/>
      <c r="E34" s="67"/>
      <c r="F34" s="48"/>
      <c r="G34" s="50">
        <v>150000000</v>
      </c>
      <c r="H34" s="56">
        <f>JANUARI!H34+JANUARI!I34</f>
        <v>0</v>
      </c>
      <c r="I34" s="41">
        <v>0</v>
      </c>
      <c r="J34" s="42">
        <f t="shared" si="0"/>
        <v>150000000</v>
      </c>
      <c r="K34" s="25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25"/>
    </row>
    <row r="35" spans="1:22" ht="15" customHeight="1" x14ac:dyDescent="0.25">
      <c r="A35" s="49"/>
      <c r="B35" s="49"/>
      <c r="C35" s="65" t="s">
        <v>50</v>
      </c>
      <c r="D35" s="66"/>
      <c r="E35" s="67"/>
      <c r="F35" s="48"/>
      <c r="G35" s="50">
        <v>350000000</v>
      </c>
      <c r="H35" s="56">
        <f>JANUARI!H35+JANUARI!I35</f>
        <v>0</v>
      </c>
      <c r="I35" s="41">
        <v>2760000</v>
      </c>
      <c r="J35" s="42">
        <f t="shared" si="0"/>
        <v>347240000</v>
      </c>
      <c r="K35" s="25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25"/>
    </row>
    <row r="36" spans="1:22" ht="23.25" customHeight="1" x14ac:dyDescent="0.25">
      <c r="A36" s="49"/>
      <c r="B36" s="49" t="s">
        <v>28</v>
      </c>
      <c r="C36" s="65" t="s">
        <v>51</v>
      </c>
      <c r="D36" s="66"/>
      <c r="E36" s="67"/>
      <c r="F36" s="48"/>
      <c r="G36" s="64" t="s">
        <v>34</v>
      </c>
      <c r="H36" s="64" t="s">
        <v>34</v>
      </c>
      <c r="I36" s="64" t="s">
        <v>34</v>
      </c>
      <c r="J36" s="64" t="s">
        <v>34</v>
      </c>
      <c r="K36" s="25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25"/>
    </row>
    <row r="37" spans="1:22" ht="35.25" customHeight="1" x14ac:dyDescent="0.25">
      <c r="A37" s="49"/>
      <c r="B37" s="49"/>
      <c r="C37" s="65" t="s">
        <v>52</v>
      </c>
      <c r="D37" s="66"/>
      <c r="E37" s="67"/>
      <c r="F37" s="48"/>
      <c r="G37" s="50">
        <v>200000000</v>
      </c>
      <c r="H37" s="56">
        <f>JANUARI!H37+JANUARI!I37</f>
        <v>0</v>
      </c>
      <c r="I37" s="41">
        <v>0</v>
      </c>
      <c r="J37" s="57">
        <f t="shared" si="0"/>
        <v>200000000</v>
      </c>
      <c r="K37" s="25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25"/>
    </row>
    <row r="38" spans="1:22" ht="23.25" customHeight="1" x14ac:dyDescent="0.25">
      <c r="A38" s="49"/>
      <c r="B38" s="49"/>
      <c r="C38" s="65" t="s">
        <v>53</v>
      </c>
      <c r="D38" s="66"/>
      <c r="E38" s="67"/>
      <c r="F38" s="48"/>
      <c r="G38" s="50">
        <v>160000000</v>
      </c>
      <c r="H38" s="56">
        <f>JANUARI!H38+JANUARI!I38</f>
        <v>0</v>
      </c>
      <c r="I38" s="41">
        <v>0</v>
      </c>
      <c r="J38" s="57">
        <f t="shared" si="0"/>
        <v>160000000</v>
      </c>
      <c r="K38" s="25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25"/>
    </row>
    <row r="39" spans="1:22" ht="15" customHeight="1" x14ac:dyDescent="0.25">
      <c r="A39" s="49"/>
      <c r="B39" s="49" t="s">
        <v>29</v>
      </c>
      <c r="C39" s="61" t="s">
        <v>54</v>
      </c>
      <c r="D39" s="59"/>
      <c r="E39" s="60"/>
      <c r="F39" s="48"/>
      <c r="G39" s="55" t="s">
        <v>34</v>
      </c>
      <c r="H39" s="55" t="s">
        <v>34</v>
      </c>
      <c r="I39" s="55" t="s">
        <v>34</v>
      </c>
      <c r="J39" s="55" t="s">
        <v>34</v>
      </c>
      <c r="K39" s="25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25"/>
    </row>
    <row r="40" spans="1:22" ht="27.75" customHeight="1" x14ac:dyDescent="0.25">
      <c r="A40" s="49"/>
      <c r="B40" s="49"/>
      <c r="C40" s="65" t="s">
        <v>55</v>
      </c>
      <c r="D40" s="66"/>
      <c r="E40" s="67"/>
      <c r="F40" s="48"/>
      <c r="G40" s="50">
        <v>500000000</v>
      </c>
      <c r="H40" s="56">
        <f>JANUARI!H40+JANUARI!I40</f>
        <v>0</v>
      </c>
      <c r="I40" s="41">
        <v>0</v>
      </c>
      <c r="J40" s="57">
        <f t="shared" si="0"/>
        <v>500000000</v>
      </c>
      <c r="K40" s="25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25"/>
    </row>
    <row r="41" spans="1:22" ht="15" customHeight="1" x14ac:dyDescent="0.25">
      <c r="A41" s="49"/>
      <c r="B41" s="49"/>
      <c r="C41" s="61" t="s">
        <v>56</v>
      </c>
      <c r="D41" s="59"/>
      <c r="E41" s="60"/>
      <c r="F41" s="48"/>
      <c r="G41" s="50">
        <v>500000000</v>
      </c>
      <c r="H41" s="56">
        <f>JANUARI!H41+JANUARI!I41</f>
        <v>0</v>
      </c>
      <c r="I41" s="41">
        <v>0</v>
      </c>
      <c r="J41" s="57">
        <f t="shared" si="0"/>
        <v>500000000</v>
      </c>
      <c r="K41" s="25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25"/>
    </row>
    <row r="42" spans="1:22" ht="32.25" customHeight="1" x14ac:dyDescent="0.25">
      <c r="A42" s="49"/>
      <c r="B42" s="49"/>
      <c r="C42" s="65" t="s">
        <v>57</v>
      </c>
      <c r="D42" s="66"/>
      <c r="E42" s="67"/>
      <c r="F42" s="48"/>
      <c r="G42" s="50">
        <v>750000000</v>
      </c>
      <c r="H42" s="56">
        <f>JANUARI!H42+JANUARI!I42</f>
        <v>0</v>
      </c>
      <c r="I42" s="41">
        <v>0</v>
      </c>
      <c r="J42" s="57">
        <f t="shared" si="0"/>
        <v>750000000</v>
      </c>
      <c r="K42" s="25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25"/>
    </row>
    <row r="43" spans="1:22" ht="30" customHeight="1" x14ac:dyDescent="0.25">
      <c r="A43" s="49"/>
      <c r="B43" s="49"/>
      <c r="C43" s="65" t="s">
        <v>58</v>
      </c>
      <c r="D43" s="66"/>
      <c r="E43" s="67"/>
      <c r="F43" s="48"/>
      <c r="G43" s="50">
        <v>390000000</v>
      </c>
      <c r="H43" s="56">
        <f>JANUARI!H43+JANUARI!I43</f>
        <v>0</v>
      </c>
      <c r="I43" s="41">
        <v>0</v>
      </c>
      <c r="J43" s="57">
        <f t="shared" si="0"/>
        <v>390000000</v>
      </c>
      <c r="K43" s="25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25"/>
    </row>
    <row r="44" spans="1:22" ht="15" customHeight="1" x14ac:dyDescent="0.25">
      <c r="A44" s="49"/>
      <c r="B44" s="49"/>
      <c r="C44" s="61" t="s">
        <v>59</v>
      </c>
      <c r="D44" s="59"/>
      <c r="E44" s="60"/>
      <c r="F44" s="48"/>
      <c r="G44" s="50">
        <v>360000000</v>
      </c>
      <c r="H44" s="56">
        <f>JANUARI!H44+JANUARI!I44</f>
        <v>0</v>
      </c>
      <c r="I44" s="41">
        <v>0</v>
      </c>
      <c r="J44" s="57">
        <f t="shared" si="0"/>
        <v>360000000</v>
      </c>
      <c r="K44" s="25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25"/>
    </row>
    <row r="45" spans="1:22" ht="41.25" customHeight="1" x14ac:dyDescent="0.25">
      <c r="A45" s="49"/>
      <c r="B45" s="49" t="s">
        <v>30</v>
      </c>
      <c r="C45" s="65" t="s">
        <v>60</v>
      </c>
      <c r="D45" s="66"/>
      <c r="E45" s="67"/>
      <c r="F45" s="48"/>
      <c r="G45" s="64" t="s">
        <v>34</v>
      </c>
      <c r="H45" s="64" t="s">
        <v>34</v>
      </c>
      <c r="I45" s="64" t="s">
        <v>34</v>
      </c>
      <c r="J45" s="64" t="s">
        <v>34</v>
      </c>
      <c r="K45" s="25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25"/>
    </row>
    <row r="46" spans="1:22" ht="32.25" customHeight="1" x14ac:dyDescent="0.25">
      <c r="A46" s="49"/>
      <c r="B46" s="49"/>
      <c r="C46" s="65" t="s">
        <v>61</v>
      </c>
      <c r="D46" s="66"/>
      <c r="E46" s="67"/>
      <c r="F46" s="48"/>
      <c r="G46" s="50">
        <v>50000000</v>
      </c>
      <c r="H46" s="56">
        <f>JANUARI!H46+JANUARI!I46</f>
        <v>0</v>
      </c>
      <c r="I46" s="41">
        <v>0</v>
      </c>
      <c r="J46" s="57">
        <f t="shared" si="0"/>
        <v>50000000</v>
      </c>
      <c r="K46" s="25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25"/>
    </row>
    <row r="47" spans="1:22" ht="31.5" customHeight="1" x14ac:dyDescent="0.25">
      <c r="A47" s="49"/>
      <c r="B47" s="49"/>
      <c r="C47" s="81" t="s">
        <v>62</v>
      </c>
      <c r="D47" s="82"/>
      <c r="E47" s="83"/>
      <c r="F47" s="48"/>
      <c r="G47" s="50">
        <v>50000000</v>
      </c>
      <c r="H47" s="56">
        <f>JANUARI!H47+JANUARI!I47</f>
        <v>0</v>
      </c>
      <c r="I47" s="41">
        <v>0</v>
      </c>
      <c r="J47" s="57">
        <f t="shared" si="0"/>
        <v>50000000</v>
      </c>
      <c r="K47" s="25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25"/>
    </row>
    <row r="48" spans="1:22" x14ac:dyDescent="0.25">
      <c r="A48" s="16"/>
      <c r="B48" s="16"/>
      <c r="C48" s="17" t="s">
        <v>8</v>
      </c>
      <c r="D48" s="17"/>
      <c r="E48" s="17"/>
      <c r="F48" s="40"/>
      <c r="G48" s="39">
        <f>SUM(G23:G47)</f>
        <v>5560000000</v>
      </c>
      <c r="H48" s="18">
        <f>SUM(H24:H35)</f>
        <v>88500000</v>
      </c>
      <c r="I48" s="18">
        <f>SUM(I24:I36)</f>
        <v>2760000</v>
      </c>
      <c r="J48" s="18">
        <f>SUM(J24:J47)</f>
        <v>5468740000</v>
      </c>
      <c r="K48" s="25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25"/>
    </row>
    <row r="49" spans="1:22" x14ac:dyDescent="0.25">
      <c r="A49" s="19"/>
      <c r="B49" s="54"/>
      <c r="C49" s="6"/>
      <c r="D49" s="6"/>
      <c r="E49" s="6"/>
      <c r="F49" s="6"/>
      <c r="G49" s="20"/>
      <c r="H49" s="20"/>
      <c r="I49" s="20"/>
      <c r="J49" s="20"/>
      <c r="K49" s="25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25"/>
    </row>
    <row r="50" spans="1:22" x14ac:dyDescent="0.25">
      <c r="A50" s="77" t="s">
        <v>15</v>
      </c>
      <c r="B50" s="77"/>
      <c r="C50" s="77"/>
      <c r="D50" s="33" t="s">
        <v>12</v>
      </c>
      <c r="E50" s="36">
        <f>I48</f>
        <v>2760000</v>
      </c>
      <c r="F50" s="36"/>
      <c r="G50" s="21"/>
      <c r="H50" s="21"/>
      <c r="I50" s="10"/>
      <c r="J50" s="10"/>
      <c r="K50" s="25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25"/>
    </row>
    <row r="51" spans="1:22" x14ac:dyDescent="0.25">
      <c r="A51" s="8" t="s">
        <v>9</v>
      </c>
      <c r="B51" s="8"/>
      <c r="C51" s="8"/>
      <c r="D51" s="33" t="s">
        <v>12</v>
      </c>
      <c r="E51" s="34"/>
      <c r="F51" s="34"/>
      <c r="G51" s="22"/>
      <c r="H51" s="9"/>
      <c r="I51" s="10"/>
      <c r="J51" s="10"/>
      <c r="K51" s="25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25"/>
    </row>
    <row r="52" spans="1:22" x14ac:dyDescent="0.25">
      <c r="A52" s="8" t="s">
        <v>17</v>
      </c>
      <c r="B52" s="8"/>
      <c r="C52" s="8"/>
      <c r="D52" s="33" t="s">
        <v>12</v>
      </c>
      <c r="E52" s="35"/>
      <c r="F52" s="35"/>
      <c r="G52" s="22"/>
      <c r="H52" s="9"/>
      <c r="I52" s="10"/>
      <c r="J52" s="10"/>
      <c r="K52" s="25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25"/>
    </row>
    <row r="53" spans="1:22" x14ac:dyDescent="0.25">
      <c r="A53" s="8" t="s">
        <v>10</v>
      </c>
      <c r="B53" s="8"/>
      <c r="C53" s="8"/>
      <c r="D53" s="33" t="s">
        <v>12</v>
      </c>
      <c r="E53" s="35">
        <f>E51+E52</f>
        <v>0</v>
      </c>
      <c r="F53" s="35"/>
      <c r="G53" s="8"/>
      <c r="H53" s="9"/>
      <c r="I53" s="23"/>
      <c r="J53" s="24"/>
      <c r="K53" s="25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25"/>
    </row>
    <row r="54" spans="1:22" x14ac:dyDescent="0.25">
      <c r="A54" s="43"/>
      <c r="B54" s="43"/>
      <c r="C54" s="43"/>
      <c r="D54" s="33"/>
      <c r="E54" s="43"/>
      <c r="F54" s="43"/>
      <c r="G54" s="8"/>
      <c r="H54" s="9"/>
      <c r="I54" s="23"/>
      <c r="J54" s="24"/>
      <c r="K54" s="25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25"/>
    </row>
    <row r="55" spans="1:22" x14ac:dyDescent="0.25">
      <c r="A55" s="77" t="s">
        <v>16</v>
      </c>
      <c r="B55" s="77"/>
      <c r="C55" s="77"/>
      <c r="D55" s="33" t="s">
        <v>12</v>
      </c>
      <c r="E55" s="36">
        <f>E50-E53</f>
        <v>2760000</v>
      </c>
      <c r="F55" s="36"/>
      <c r="G55" s="8"/>
      <c r="H55" s="9"/>
      <c r="I55" s="23"/>
      <c r="J55" s="24"/>
      <c r="K55" s="25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25"/>
    </row>
    <row r="56" spans="1:22" ht="15.75" x14ac:dyDescent="0.25">
      <c r="A56" s="43"/>
      <c r="B56" s="43"/>
      <c r="C56" s="8"/>
      <c r="D56" s="8"/>
      <c r="E56" s="47" t="str">
        <f>PROPER(IF(E55=0,"nol",IF(E55&lt;0,"minus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55),"000000000000000"),1,3)=0,"",MID(TEXT(ABS(E55),"000000000000000"),1,1)&amp;" ratus "&amp;MID(TEXT(ABS(E55),"000000000000000"),2,1)&amp;" puluh "&amp;MID(TEXT(ABS(E55),"000000000000000"),3,1)&amp;" trilyun ")&amp;IF(--MID(TEXT(ABS(E55),"000000000000000"),4,3)=0,"",MID(TEXT(ABS(E55),"000000000000000"),4,1)&amp;" ratus "&amp;MID(TEXT(ABS(E55),"000000000000000"),5,1)&amp;" puluh "&amp;MID(TEXT(ABS(E55),"000000000000000"),6,1)&amp;" milyar ")&amp;IF(--MID(TEXT(ABS(E55),"000000000000000"),7,3)=0,"",MID(TEXT(ABS(E55),"000000000000000"),7,1)&amp;" ratus "&amp;MID(TEXT(ABS(E55),"000000000000000"),8,1)&amp;" puluh "&amp;MID(TEXT(ABS(E55),"000000000000000"),9,1)&amp;" juta ")&amp;IF(--MID(TEXT(ABS(E55),"000000000000000"),10,3)=0,"",IF(--MID(TEXT(ABS(E55),"000000000000000"),10,3)=1,"*",MID(TEXT(ABS(E55),"000000000000000"),10,1)&amp;" ratus "&amp;MID(TEXT(ABS(E55),"000000000000000"),11,1)&amp;" puluh ")&amp;MID(TEXT(ABS(E55),"000000000000000"),12,1)&amp;" ribu ")&amp;IF(--MID(TEXT(ABS(E55),"000000000000000"),13,3)=0,"",MID(TEXT(ABS(E55),"000000000000000"),13,1)&amp;" ratus "&amp;MID(TEXT(ABS(E55),"000000000000000"),14,1)&amp;" puluh "&amp;MID(TEXT(ABS(E55),"000000000000000"),15,1)),1,"satu"),2,"dua"),3,"tiga"),4,"empat"),5,"lima"),6,"enam"),7,"tujuh"),8,"delapan"),9,"sembilan"),"0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Juta Tujuh Ratus Enam Puluh Ribu Rupiah</v>
      </c>
      <c r="F56" s="8"/>
      <c r="G56" s="8"/>
      <c r="H56" s="8"/>
      <c r="I56" s="23"/>
      <c r="J56" s="24"/>
      <c r="K56" s="25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25"/>
    </row>
    <row r="57" spans="1:22" x14ac:dyDescent="0.25">
      <c r="A57" s="26"/>
      <c r="B57" s="26"/>
      <c r="C57" s="26"/>
      <c r="D57" s="26"/>
      <c r="E57" s="26"/>
      <c r="F57" s="26"/>
      <c r="G57" s="25"/>
      <c r="H57" s="24"/>
      <c r="I57" s="23"/>
      <c r="J57" s="24"/>
      <c r="K57" s="25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25"/>
    </row>
    <row r="58" spans="1:22" x14ac:dyDescent="0.25">
      <c r="A58" s="25"/>
      <c r="B58" s="25"/>
      <c r="C58" s="25"/>
      <c r="D58" s="25"/>
      <c r="E58" s="25"/>
      <c r="F58" s="25"/>
      <c r="G58" s="25"/>
      <c r="H58"/>
      <c r="I58" s="24"/>
      <c r="J58" s="24"/>
      <c r="K58" s="25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25"/>
    </row>
    <row r="59" spans="1:22" x14ac:dyDescent="0.25">
      <c r="A59" s="43"/>
      <c r="B59" s="43"/>
      <c r="C59" s="8"/>
      <c r="D59" s="8"/>
      <c r="E59" s="8"/>
      <c r="F59" s="8"/>
      <c r="G59" s="8"/>
      <c r="I59" s="44" t="s">
        <v>66</v>
      </c>
      <c r="J59" s="24"/>
      <c r="K59" s="25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25"/>
    </row>
    <row r="60" spans="1:22" x14ac:dyDescent="0.25">
      <c r="A60" s="9" t="s">
        <v>32</v>
      </c>
      <c r="B60" s="8"/>
      <c r="C60" s="8"/>
      <c r="D60" s="8"/>
      <c r="E60" s="8"/>
      <c r="F60" s="8"/>
      <c r="G60" s="8"/>
      <c r="I60" s="9" t="s">
        <v>31</v>
      </c>
      <c r="J60" s="24"/>
      <c r="K60" s="25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25"/>
    </row>
    <row r="61" spans="1:22" x14ac:dyDescent="0.25">
      <c r="A61" s="8"/>
      <c r="B61" s="8"/>
      <c r="C61" s="8"/>
      <c r="D61" s="8"/>
      <c r="E61" s="8"/>
      <c r="F61" s="8"/>
      <c r="G61" s="8"/>
      <c r="I61" s="9"/>
      <c r="J61" s="24"/>
      <c r="K61" s="25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25"/>
    </row>
    <row r="62" spans="1:22" x14ac:dyDescent="0.25">
      <c r="A62" s="8"/>
      <c r="B62" s="8"/>
      <c r="C62" s="8"/>
      <c r="D62" s="8"/>
      <c r="E62" s="8"/>
      <c r="F62" s="8"/>
      <c r="G62" s="8"/>
      <c r="I62" s="9"/>
      <c r="J62" s="24"/>
      <c r="K62" s="25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25"/>
    </row>
    <row r="63" spans="1:22" x14ac:dyDescent="0.25">
      <c r="A63" s="8"/>
      <c r="B63" s="8"/>
      <c r="C63" s="8"/>
      <c r="D63" s="8"/>
      <c r="E63" s="8"/>
      <c r="F63" s="8"/>
      <c r="G63" s="8"/>
      <c r="I63" s="9"/>
      <c r="J63" s="24"/>
      <c r="K63" s="25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25"/>
    </row>
    <row r="64" spans="1:22" x14ac:dyDescent="0.25">
      <c r="A64" s="8"/>
      <c r="B64" s="8"/>
      <c r="C64" s="8"/>
      <c r="D64" s="8"/>
      <c r="E64" s="8"/>
      <c r="F64" s="8"/>
      <c r="G64" s="8"/>
      <c r="I64" s="9"/>
      <c r="J64" s="24"/>
      <c r="K64" s="25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25"/>
    </row>
    <row r="65" spans="1:22" x14ac:dyDescent="0.25">
      <c r="A65" s="28" t="s">
        <v>37</v>
      </c>
      <c r="B65" s="28"/>
      <c r="C65" s="27"/>
      <c r="D65" s="27"/>
      <c r="E65" s="27"/>
      <c r="F65" s="27"/>
      <c r="G65" s="8" t="s">
        <v>11</v>
      </c>
      <c r="I65" s="28" t="s">
        <v>33</v>
      </c>
      <c r="J65" s="24"/>
      <c r="K65" s="25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25"/>
    </row>
    <row r="66" spans="1:22" x14ac:dyDescent="0.25">
      <c r="A66" s="30"/>
      <c r="B66" s="30"/>
      <c r="C66" s="29"/>
      <c r="D66" s="29"/>
      <c r="E66" s="29"/>
      <c r="F66" s="29"/>
      <c r="G66" s="29"/>
      <c r="H66" s="30"/>
      <c r="I66" s="30"/>
      <c r="J66" s="24"/>
      <c r="K66" s="25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25"/>
    </row>
    <row r="70" spans="1:22" ht="15.75" x14ac:dyDescent="0.25">
      <c r="C70" s="3"/>
      <c r="D70" s="3"/>
      <c r="E70" s="3"/>
      <c r="F70" s="3"/>
    </row>
    <row r="71" spans="1:22" ht="15.75" x14ac:dyDescent="0.25">
      <c r="A71" s="2"/>
      <c r="B71" s="2"/>
      <c r="C71" s="3"/>
      <c r="D71" s="3"/>
      <c r="E71" s="3"/>
      <c r="F71" s="3"/>
      <c r="G71" s="2"/>
      <c r="H71" s="4"/>
      <c r="I71" s="4"/>
      <c r="J71" s="5"/>
    </row>
    <row r="72" spans="1:22" x14ac:dyDescent="0.25">
      <c r="H72" s="5"/>
      <c r="I72" s="5"/>
      <c r="J72" s="5"/>
    </row>
    <row r="73" spans="1:22" x14ac:dyDescent="0.25">
      <c r="H73" s="5"/>
      <c r="I73" s="5"/>
      <c r="J73" s="5"/>
    </row>
    <row r="74" spans="1:22" x14ac:dyDescent="0.25">
      <c r="A74" s="69" t="s">
        <v>35</v>
      </c>
      <c r="B74" s="69"/>
      <c r="C74" s="70"/>
      <c r="D74" s="70"/>
      <c r="E74" s="70"/>
      <c r="F74" s="70"/>
      <c r="G74" s="70"/>
      <c r="H74" s="70"/>
      <c r="I74" s="70"/>
      <c r="J74" s="70"/>
    </row>
    <row r="75" spans="1:22" x14ac:dyDescent="0.25">
      <c r="A75" s="70" t="s">
        <v>69</v>
      </c>
      <c r="B75" s="70"/>
      <c r="C75" s="70"/>
      <c r="D75" s="70"/>
      <c r="E75" s="70"/>
      <c r="F75" s="70"/>
      <c r="G75" s="70"/>
      <c r="H75" s="70"/>
      <c r="I75" s="70"/>
      <c r="J75" s="70"/>
    </row>
    <row r="76" spans="1:22" x14ac:dyDescent="0.25">
      <c r="A76" s="70" t="s">
        <v>13</v>
      </c>
      <c r="B76" s="70"/>
      <c r="C76" s="70"/>
      <c r="D76" s="70"/>
      <c r="E76" s="70"/>
      <c r="F76" s="70"/>
      <c r="G76" s="70"/>
      <c r="H76" s="70"/>
      <c r="I76" s="70"/>
      <c r="J76" s="70"/>
    </row>
    <row r="77" spans="1:22" x14ac:dyDescent="0.25">
      <c r="A77" s="70" t="s">
        <v>63</v>
      </c>
      <c r="B77" s="70"/>
      <c r="C77" s="70"/>
      <c r="D77" s="70"/>
      <c r="E77" s="70"/>
      <c r="F77" s="70"/>
      <c r="G77" s="70"/>
      <c r="H77" s="70"/>
      <c r="I77" s="70"/>
      <c r="J77" s="70"/>
    </row>
    <row r="78" spans="1:22" x14ac:dyDescent="0.25">
      <c r="A78" s="70" t="s">
        <v>14</v>
      </c>
      <c r="B78" s="70"/>
      <c r="C78" s="70"/>
      <c r="D78" s="70"/>
      <c r="E78" s="70"/>
      <c r="F78" s="70"/>
      <c r="G78" s="70"/>
      <c r="H78" s="70"/>
      <c r="I78" s="70"/>
      <c r="J78" s="70"/>
    </row>
    <row r="79" spans="1:22" x14ac:dyDescent="0.25">
      <c r="A79" s="32"/>
      <c r="B79" s="32"/>
      <c r="C79" s="7"/>
      <c r="D79" s="7"/>
      <c r="E79" s="7"/>
      <c r="F79" s="7"/>
      <c r="G79" s="6"/>
      <c r="H79" s="10"/>
      <c r="I79" s="10"/>
      <c r="J79" s="10"/>
    </row>
    <row r="80" spans="1:22" x14ac:dyDescent="0.25">
      <c r="A80" s="51" t="s">
        <v>20</v>
      </c>
      <c r="B80" s="51"/>
      <c r="C80" s="51"/>
      <c r="D80" s="46" t="s">
        <v>12</v>
      </c>
      <c r="E80" s="8" t="s">
        <v>19</v>
      </c>
      <c r="F80" s="37"/>
      <c r="H80" s="9"/>
      <c r="I80" s="9"/>
      <c r="J80" s="10"/>
    </row>
    <row r="81" spans="1:10" x14ac:dyDescent="0.25">
      <c r="A81" s="51" t="s">
        <v>21</v>
      </c>
      <c r="B81" s="51"/>
      <c r="C81" s="51"/>
      <c r="D81" s="46" t="s">
        <v>12</v>
      </c>
      <c r="E81" s="8" t="s">
        <v>18</v>
      </c>
      <c r="F81" s="37"/>
      <c r="H81" s="9"/>
      <c r="I81" s="9"/>
      <c r="J81" s="10"/>
    </row>
    <row r="82" spans="1:10" x14ac:dyDescent="0.25">
      <c r="A82" s="51" t="s">
        <v>22</v>
      </c>
      <c r="B82" s="51"/>
      <c r="C82" s="51"/>
      <c r="D82" s="46" t="s">
        <v>12</v>
      </c>
      <c r="E82" s="43">
        <v>2026</v>
      </c>
      <c r="F82" s="37"/>
      <c r="H82" s="9"/>
      <c r="I82" s="9"/>
      <c r="J82" s="10"/>
    </row>
    <row r="83" spans="1:10" x14ac:dyDescent="0.25">
      <c r="A83" s="51" t="s">
        <v>23</v>
      </c>
      <c r="B83" s="51"/>
      <c r="C83" s="51"/>
      <c r="D83" s="46" t="s">
        <v>12</v>
      </c>
      <c r="E83" s="63">
        <f>I114</f>
        <v>9852350</v>
      </c>
      <c r="F83" s="37"/>
      <c r="H83" s="9"/>
      <c r="I83" s="9"/>
      <c r="J83" s="10"/>
    </row>
    <row r="84" spans="1:10" ht="15.75" x14ac:dyDescent="0.25">
      <c r="A84" s="8"/>
      <c r="B84" s="8"/>
      <c r="C84" s="11" t="s">
        <v>0</v>
      </c>
      <c r="D84" s="11"/>
      <c r="E84" s="47" t="str">
        <f>PROPER(IF(E83=0,"nol",IF(E83&lt;0,"minus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83),"000000000000000"),1,3)=0,"",MID(TEXT(ABS(E83),"000000000000000"),1,1)&amp;" ratus "&amp;MID(TEXT(ABS(E83),"000000000000000"),2,1)&amp;" puluh "&amp;MID(TEXT(ABS(E83),"000000000000000"),3,1)&amp;" trilyun ")&amp;IF(--MID(TEXT(ABS(E83),"000000000000000"),4,3)=0,"",MID(TEXT(ABS(E83),"000000000000000"),4,1)&amp;" ratus "&amp;MID(TEXT(ABS(E83),"000000000000000"),5,1)&amp;" puluh "&amp;MID(TEXT(ABS(E83),"000000000000000"),6,1)&amp;" milyar ")&amp;IF(--MID(TEXT(ABS(E83),"000000000000000"),7,3)=0,"",MID(TEXT(ABS(E83),"000000000000000"),7,1)&amp;" ratus "&amp;MID(TEXT(ABS(E83),"000000000000000"),8,1)&amp;" puluh "&amp;MID(TEXT(ABS(E83),"000000000000000"),9,1)&amp;" juta ")&amp;IF(--MID(TEXT(ABS(E83),"000000000000000"),10,3)=0,"",IF(--MID(TEXT(ABS(E83),"000000000000000"),10,3)=1,"*",MID(TEXT(ABS(E83),"000000000000000"),10,1)&amp;" ratus "&amp;MID(TEXT(ABS(E83),"000000000000000"),11,1)&amp;" puluh ")&amp;MID(TEXT(ABS(E83),"000000000000000"),12,1)&amp;" ribu ")&amp;IF(--MID(TEXT(ABS(E83),"000000000000000"),13,3)=0,"",MID(TEXT(ABS(E83),"000000000000000"),13,1)&amp;" ratus "&amp;MID(TEXT(ABS(E83),"000000000000000"),14,1)&amp;" puluh "&amp;MID(TEXT(ABS(E83),"000000000000000"),15,1)),1,"satu"),2,"dua"),3,"tiga"),4,"empat"),5,"lima"),6,"enam"),7,"tujuh"),8,"delapan"),9,"sembilan"),"0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Sembilan Juta Delapan Ratus Lima Puluh Dua Ribu Tiga Ratus Lima Puluh Rupiah</v>
      </c>
      <c r="F84" s="37"/>
      <c r="H84" s="9"/>
      <c r="I84" s="9"/>
      <c r="J84" s="10"/>
    </row>
    <row r="85" spans="1:10" ht="15.75" x14ac:dyDescent="0.25">
      <c r="A85" s="8"/>
      <c r="B85" s="8"/>
      <c r="C85" s="11"/>
      <c r="D85" s="11"/>
      <c r="E85" s="11"/>
      <c r="F85" s="37"/>
      <c r="G85" s="47"/>
      <c r="H85" s="9"/>
      <c r="I85" s="9"/>
      <c r="J85" s="10"/>
    </row>
    <row r="86" spans="1:10" x14ac:dyDescent="0.25">
      <c r="A86" s="8" t="s">
        <v>1</v>
      </c>
      <c r="B86" s="8"/>
      <c r="C86" s="8"/>
      <c r="D86" s="8"/>
      <c r="E86" s="8"/>
      <c r="F86" s="8"/>
      <c r="G86" s="8"/>
      <c r="H86" s="9"/>
      <c r="I86" s="9"/>
      <c r="J86" s="10"/>
    </row>
    <row r="87" spans="1:10" x14ac:dyDescent="0.25">
      <c r="A87" s="68" t="s">
        <v>2</v>
      </c>
      <c r="B87" s="68"/>
      <c r="C87" s="68"/>
      <c r="D87" s="68"/>
      <c r="E87" s="68"/>
      <c r="F87" s="68"/>
      <c r="G87" s="68"/>
      <c r="H87" s="68"/>
      <c r="I87" s="68"/>
      <c r="J87" s="68"/>
    </row>
    <row r="88" spans="1:10" ht="60" x14ac:dyDescent="0.25">
      <c r="A88" s="12" t="s">
        <v>3</v>
      </c>
      <c r="B88" s="52" t="s">
        <v>24</v>
      </c>
      <c r="C88" s="71" t="s">
        <v>4</v>
      </c>
      <c r="D88" s="72"/>
      <c r="E88" s="73"/>
      <c r="F88" s="45"/>
      <c r="G88" s="38" t="s">
        <v>5</v>
      </c>
      <c r="H88" s="13" t="s">
        <v>36</v>
      </c>
      <c r="I88" s="14" t="s">
        <v>6</v>
      </c>
      <c r="J88" s="15" t="s">
        <v>7</v>
      </c>
    </row>
    <row r="89" spans="1:10" x14ac:dyDescent="0.25">
      <c r="A89" s="62">
        <v>1</v>
      </c>
      <c r="B89" s="53"/>
      <c r="C89" s="74" t="s">
        <v>39</v>
      </c>
      <c r="D89" s="75"/>
      <c r="E89" s="76"/>
      <c r="F89" s="48"/>
      <c r="G89" s="55" t="s">
        <v>34</v>
      </c>
      <c r="H89" s="55" t="s">
        <v>34</v>
      </c>
      <c r="I89" s="55" t="s">
        <v>34</v>
      </c>
      <c r="J89" s="55" t="s">
        <v>34</v>
      </c>
    </row>
    <row r="90" spans="1:10" x14ac:dyDescent="0.25">
      <c r="A90" s="49"/>
      <c r="B90" s="49" t="s">
        <v>25</v>
      </c>
      <c r="C90" s="65" t="s">
        <v>40</v>
      </c>
      <c r="D90" s="66"/>
      <c r="E90" s="67"/>
      <c r="F90" s="48"/>
      <c r="G90" s="55" t="s">
        <v>34</v>
      </c>
      <c r="H90" s="55" t="s">
        <v>34</v>
      </c>
      <c r="I90" s="55" t="s">
        <v>34</v>
      </c>
      <c r="J90" s="55" t="s">
        <v>34</v>
      </c>
    </row>
    <row r="91" spans="1:10" x14ac:dyDescent="0.25">
      <c r="A91" s="49"/>
      <c r="B91" s="49"/>
      <c r="C91" s="61" t="s">
        <v>41</v>
      </c>
      <c r="D91" s="59"/>
      <c r="E91" s="60"/>
      <c r="F91" s="48"/>
      <c r="G91" s="50">
        <v>300000000</v>
      </c>
      <c r="H91" s="41">
        <f>H25+I25</f>
        <v>0</v>
      </c>
      <c r="I91" s="41">
        <v>0</v>
      </c>
      <c r="J91" s="57">
        <f t="shared" ref="J91:J94" si="1">G91-H91-I91</f>
        <v>300000000</v>
      </c>
    </row>
    <row r="92" spans="1:10" ht="29.25" customHeight="1" x14ac:dyDescent="0.25">
      <c r="A92" s="49"/>
      <c r="B92" s="49"/>
      <c r="C92" s="65" t="s">
        <v>42</v>
      </c>
      <c r="D92" s="66"/>
      <c r="E92" s="67"/>
      <c r="F92" s="48"/>
      <c r="G92" s="50">
        <v>450000000</v>
      </c>
      <c r="H92" s="41">
        <f t="shared" ref="H92:H94" si="2">H26+I26</f>
        <v>0</v>
      </c>
      <c r="I92" s="41">
        <v>0</v>
      </c>
      <c r="J92" s="57">
        <f t="shared" si="1"/>
        <v>450000000</v>
      </c>
    </row>
    <row r="93" spans="1:10" ht="28.5" customHeight="1" x14ac:dyDescent="0.25">
      <c r="A93" s="49"/>
      <c r="B93" s="49"/>
      <c r="C93" s="65" t="s">
        <v>43</v>
      </c>
      <c r="D93" s="66"/>
      <c r="E93" s="67"/>
      <c r="F93" s="48"/>
      <c r="G93" s="50">
        <v>250000000</v>
      </c>
      <c r="H93" s="41">
        <f t="shared" si="2"/>
        <v>0</v>
      </c>
      <c r="I93" s="41">
        <v>0</v>
      </c>
      <c r="J93" s="57">
        <f t="shared" si="1"/>
        <v>250000000</v>
      </c>
    </row>
    <row r="94" spans="1:10" ht="30.75" customHeight="1" x14ac:dyDescent="0.25">
      <c r="A94" s="58"/>
      <c r="B94" s="58" t="s">
        <v>26</v>
      </c>
      <c r="C94" s="65" t="s">
        <v>44</v>
      </c>
      <c r="D94" s="66"/>
      <c r="E94" s="67"/>
      <c r="F94" s="48"/>
      <c r="G94" s="50">
        <v>100000000</v>
      </c>
      <c r="H94" s="41">
        <f t="shared" si="2"/>
        <v>0</v>
      </c>
      <c r="I94" s="41">
        <v>0</v>
      </c>
      <c r="J94" s="57">
        <f t="shared" si="1"/>
        <v>100000000</v>
      </c>
    </row>
    <row r="95" spans="1:10" x14ac:dyDescent="0.25">
      <c r="A95" s="58"/>
      <c r="B95" s="58" t="s">
        <v>27</v>
      </c>
      <c r="C95" s="61" t="s">
        <v>38</v>
      </c>
      <c r="D95" s="59"/>
      <c r="E95" s="60"/>
      <c r="F95" s="48"/>
      <c r="G95" s="55" t="s">
        <v>34</v>
      </c>
      <c r="H95" s="55" t="s">
        <v>34</v>
      </c>
      <c r="I95" s="55" t="s">
        <v>34</v>
      </c>
      <c r="J95" s="55" t="s">
        <v>34</v>
      </c>
    </row>
    <row r="96" spans="1:10" x14ac:dyDescent="0.25">
      <c r="A96" s="49"/>
      <c r="B96" s="49"/>
      <c r="C96" s="65" t="s">
        <v>45</v>
      </c>
      <c r="D96" s="66"/>
      <c r="E96" s="67"/>
      <c r="F96" s="48"/>
      <c r="G96" s="50">
        <v>550000000</v>
      </c>
      <c r="H96" s="56">
        <f>H30+I30</f>
        <v>0</v>
      </c>
      <c r="I96" s="41">
        <v>0</v>
      </c>
      <c r="J96" s="57">
        <f t="shared" ref="J96:J101" si="3">G96-H96-I96</f>
        <v>550000000</v>
      </c>
    </row>
    <row r="97" spans="1:10" x14ac:dyDescent="0.25">
      <c r="A97" s="58"/>
      <c r="B97" s="58"/>
      <c r="C97" s="65" t="s">
        <v>46</v>
      </c>
      <c r="D97" s="66"/>
      <c r="E97" s="67"/>
      <c r="F97" s="48"/>
      <c r="G97" s="50">
        <v>150000000</v>
      </c>
      <c r="H97" s="56">
        <f t="shared" ref="H97:H101" si="4">H31+I31</f>
        <v>0</v>
      </c>
      <c r="I97" s="41">
        <v>9852350</v>
      </c>
      <c r="J97" s="57">
        <f t="shared" si="3"/>
        <v>140147650</v>
      </c>
    </row>
    <row r="98" spans="1:10" x14ac:dyDescent="0.25">
      <c r="A98" s="49"/>
      <c r="B98" s="49"/>
      <c r="C98" s="65" t="s">
        <v>47</v>
      </c>
      <c r="D98" s="66"/>
      <c r="E98" s="67"/>
      <c r="F98" s="48"/>
      <c r="G98" s="50">
        <v>200000000</v>
      </c>
      <c r="H98" s="56">
        <f t="shared" si="4"/>
        <v>88500000</v>
      </c>
      <c r="I98" s="41">
        <v>0</v>
      </c>
      <c r="J98" s="42">
        <f t="shared" si="3"/>
        <v>111500000</v>
      </c>
    </row>
    <row r="99" spans="1:10" x14ac:dyDescent="0.25">
      <c r="A99" s="49"/>
      <c r="B99" s="49"/>
      <c r="C99" s="78" t="s">
        <v>48</v>
      </c>
      <c r="D99" s="79"/>
      <c r="E99" s="80"/>
      <c r="F99" s="48"/>
      <c r="G99" s="50">
        <v>100000000</v>
      </c>
      <c r="H99" s="56">
        <f t="shared" si="4"/>
        <v>0</v>
      </c>
      <c r="I99" s="41">
        <v>0</v>
      </c>
      <c r="J99" s="42">
        <f t="shared" si="3"/>
        <v>100000000</v>
      </c>
    </row>
    <row r="100" spans="1:10" x14ac:dyDescent="0.25">
      <c r="A100" s="49"/>
      <c r="B100" s="49"/>
      <c r="C100" s="65" t="s">
        <v>49</v>
      </c>
      <c r="D100" s="66"/>
      <c r="E100" s="67"/>
      <c r="F100" s="48"/>
      <c r="G100" s="50">
        <v>150000000</v>
      </c>
      <c r="H100" s="56">
        <f t="shared" si="4"/>
        <v>0</v>
      </c>
      <c r="I100" s="41">
        <v>0</v>
      </c>
      <c r="J100" s="42">
        <f t="shared" si="3"/>
        <v>150000000</v>
      </c>
    </row>
    <row r="101" spans="1:10" x14ac:dyDescent="0.25">
      <c r="A101" s="49"/>
      <c r="B101" s="49"/>
      <c r="C101" s="65" t="s">
        <v>50</v>
      </c>
      <c r="D101" s="66"/>
      <c r="E101" s="67"/>
      <c r="F101" s="48"/>
      <c r="G101" s="50">
        <v>350000000</v>
      </c>
      <c r="H101" s="56">
        <f t="shared" si="4"/>
        <v>2760000</v>
      </c>
      <c r="I101" s="41">
        <v>0</v>
      </c>
      <c r="J101" s="42">
        <f t="shared" si="3"/>
        <v>347240000</v>
      </c>
    </row>
    <row r="102" spans="1:10" ht="23.25" customHeight="1" x14ac:dyDescent="0.25">
      <c r="A102" s="49"/>
      <c r="B102" s="49" t="s">
        <v>28</v>
      </c>
      <c r="C102" s="65" t="s">
        <v>51</v>
      </c>
      <c r="D102" s="66"/>
      <c r="E102" s="67"/>
      <c r="F102" s="48"/>
      <c r="G102" s="64" t="s">
        <v>34</v>
      </c>
      <c r="H102" s="64" t="s">
        <v>34</v>
      </c>
      <c r="I102" s="64" t="s">
        <v>34</v>
      </c>
      <c r="J102" s="64" t="s">
        <v>34</v>
      </c>
    </row>
    <row r="103" spans="1:10" ht="35.25" customHeight="1" x14ac:dyDescent="0.25">
      <c r="A103" s="49"/>
      <c r="B103" s="49"/>
      <c r="C103" s="65" t="s">
        <v>52</v>
      </c>
      <c r="D103" s="66"/>
      <c r="E103" s="67"/>
      <c r="F103" s="48"/>
      <c r="G103" s="50">
        <v>200000000</v>
      </c>
      <c r="H103" s="56">
        <f>H37+I37</f>
        <v>0</v>
      </c>
      <c r="I103" s="41">
        <v>0</v>
      </c>
      <c r="J103" s="57">
        <f t="shared" ref="J103:J104" si="5">G103-H103-I103</f>
        <v>200000000</v>
      </c>
    </row>
    <row r="104" spans="1:10" ht="23.25" customHeight="1" x14ac:dyDescent="0.25">
      <c r="A104" s="49"/>
      <c r="B104" s="49"/>
      <c r="C104" s="65" t="s">
        <v>53</v>
      </c>
      <c r="D104" s="66"/>
      <c r="E104" s="67"/>
      <c r="F104" s="48"/>
      <c r="G104" s="50">
        <v>160000000</v>
      </c>
      <c r="H104" s="56">
        <f>H38+I38</f>
        <v>0</v>
      </c>
      <c r="I104" s="41">
        <v>0</v>
      </c>
      <c r="J104" s="57">
        <f t="shared" si="5"/>
        <v>160000000</v>
      </c>
    </row>
    <row r="105" spans="1:10" x14ac:dyDescent="0.25">
      <c r="A105" s="49"/>
      <c r="B105" s="49" t="s">
        <v>29</v>
      </c>
      <c r="C105" s="61" t="s">
        <v>54</v>
      </c>
      <c r="D105" s="59"/>
      <c r="E105" s="60"/>
      <c r="F105" s="48"/>
      <c r="G105" s="55" t="s">
        <v>34</v>
      </c>
      <c r="H105" s="55" t="s">
        <v>34</v>
      </c>
      <c r="I105" s="55" t="s">
        <v>34</v>
      </c>
      <c r="J105" s="55" t="s">
        <v>34</v>
      </c>
    </row>
    <row r="106" spans="1:10" ht="27.75" customHeight="1" x14ac:dyDescent="0.25">
      <c r="A106" s="49"/>
      <c r="B106" s="49"/>
      <c r="C106" s="65" t="s">
        <v>55</v>
      </c>
      <c r="D106" s="66"/>
      <c r="E106" s="67"/>
      <c r="F106" s="48"/>
      <c r="G106" s="50">
        <v>500000000</v>
      </c>
      <c r="H106" s="56">
        <f>H40+I40</f>
        <v>0</v>
      </c>
      <c r="I106" s="41">
        <v>0</v>
      </c>
      <c r="J106" s="57">
        <f t="shared" ref="J106:J110" si="6">G106-H106-I106</f>
        <v>500000000</v>
      </c>
    </row>
    <row r="107" spans="1:10" x14ac:dyDescent="0.25">
      <c r="A107" s="49"/>
      <c r="B107" s="49"/>
      <c r="C107" s="61" t="s">
        <v>56</v>
      </c>
      <c r="D107" s="59"/>
      <c r="E107" s="60"/>
      <c r="F107" s="48"/>
      <c r="G107" s="50">
        <v>500000000</v>
      </c>
      <c r="H107" s="56">
        <f t="shared" ref="H107:H110" si="7">H41+I41</f>
        <v>0</v>
      </c>
      <c r="I107" s="41">
        <v>0</v>
      </c>
      <c r="J107" s="57">
        <f t="shared" si="6"/>
        <v>500000000</v>
      </c>
    </row>
    <row r="108" spans="1:10" ht="32.25" customHeight="1" x14ac:dyDescent="0.25">
      <c r="A108" s="49"/>
      <c r="B108" s="49"/>
      <c r="C108" s="65" t="s">
        <v>57</v>
      </c>
      <c r="D108" s="66"/>
      <c r="E108" s="67"/>
      <c r="F108" s="48"/>
      <c r="G108" s="50">
        <v>750000000</v>
      </c>
      <c r="H108" s="56">
        <f t="shared" si="7"/>
        <v>0</v>
      </c>
      <c r="I108" s="41">
        <v>0</v>
      </c>
      <c r="J108" s="57">
        <f t="shared" si="6"/>
        <v>750000000</v>
      </c>
    </row>
    <row r="109" spans="1:10" ht="30" customHeight="1" x14ac:dyDescent="0.25">
      <c r="A109" s="49"/>
      <c r="B109" s="49"/>
      <c r="C109" s="65" t="s">
        <v>58</v>
      </c>
      <c r="D109" s="66"/>
      <c r="E109" s="67"/>
      <c r="F109" s="48"/>
      <c r="G109" s="50">
        <v>390000000</v>
      </c>
      <c r="H109" s="56">
        <f t="shared" si="7"/>
        <v>0</v>
      </c>
      <c r="I109" s="41">
        <v>0</v>
      </c>
      <c r="J109" s="57">
        <f t="shared" si="6"/>
        <v>390000000</v>
      </c>
    </row>
    <row r="110" spans="1:10" x14ac:dyDescent="0.25">
      <c r="A110" s="49"/>
      <c r="B110" s="49"/>
      <c r="C110" s="61" t="s">
        <v>59</v>
      </c>
      <c r="D110" s="59"/>
      <c r="E110" s="60"/>
      <c r="F110" s="48"/>
      <c r="G110" s="50">
        <v>360000000</v>
      </c>
      <c r="H110" s="56">
        <f t="shared" si="7"/>
        <v>0</v>
      </c>
      <c r="I110" s="41">
        <v>0</v>
      </c>
      <c r="J110" s="57">
        <f t="shared" si="6"/>
        <v>360000000</v>
      </c>
    </row>
    <row r="111" spans="1:10" ht="41.25" customHeight="1" x14ac:dyDescent="0.25">
      <c r="A111" s="49"/>
      <c r="B111" s="49" t="s">
        <v>30</v>
      </c>
      <c r="C111" s="65" t="s">
        <v>60</v>
      </c>
      <c r="D111" s="66"/>
      <c r="E111" s="67"/>
      <c r="F111" s="48"/>
      <c r="G111" s="64" t="s">
        <v>34</v>
      </c>
      <c r="H111" s="64" t="s">
        <v>34</v>
      </c>
      <c r="I111" s="64" t="s">
        <v>34</v>
      </c>
      <c r="J111" s="64" t="s">
        <v>34</v>
      </c>
    </row>
    <row r="112" spans="1:10" ht="32.25" customHeight="1" x14ac:dyDescent="0.25">
      <c r="A112" s="49"/>
      <c r="B112" s="49"/>
      <c r="C112" s="65" t="s">
        <v>61</v>
      </c>
      <c r="D112" s="66"/>
      <c r="E112" s="67"/>
      <c r="F112" s="48"/>
      <c r="G112" s="50">
        <v>50000000</v>
      </c>
      <c r="H112" s="56">
        <f>H46+I46</f>
        <v>0</v>
      </c>
      <c r="I112" s="41">
        <v>0</v>
      </c>
      <c r="J112" s="57">
        <f t="shared" ref="J112:J113" si="8">G112-H112-I112</f>
        <v>50000000</v>
      </c>
    </row>
    <row r="113" spans="1:10" ht="31.5" customHeight="1" x14ac:dyDescent="0.25">
      <c r="A113" s="49"/>
      <c r="B113" s="49"/>
      <c r="C113" s="81" t="s">
        <v>62</v>
      </c>
      <c r="D113" s="82"/>
      <c r="E113" s="83"/>
      <c r="F113" s="48"/>
      <c r="G113" s="50">
        <v>50000000</v>
      </c>
      <c r="H113" s="56">
        <f>H47+I47</f>
        <v>0</v>
      </c>
      <c r="I113" s="41">
        <v>0</v>
      </c>
      <c r="J113" s="57">
        <f t="shared" si="8"/>
        <v>50000000</v>
      </c>
    </row>
    <row r="114" spans="1:10" x14ac:dyDescent="0.25">
      <c r="A114" s="16"/>
      <c r="B114" s="16"/>
      <c r="C114" s="17" t="s">
        <v>8</v>
      </c>
      <c r="D114" s="17"/>
      <c r="E114" s="17"/>
      <c r="F114" s="40"/>
      <c r="G114" s="39">
        <f>SUM(G89:G113)</f>
        <v>5560000000</v>
      </c>
      <c r="H114" s="18">
        <f>SUM(H90:H101)</f>
        <v>91260000</v>
      </c>
      <c r="I114" s="18">
        <f>SUM(I90:I102)</f>
        <v>9852350</v>
      </c>
      <c r="J114" s="18">
        <f>SUM(J90:J113)</f>
        <v>5458887650</v>
      </c>
    </row>
    <row r="115" spans="1:10" x14ac:dyDescent="0.25">
      <c r="A115" s="19"/>
      <c r="B115" s="54"/>
      <c r="C115" s="6"/>
      <c r="D115" s="6"/>
      <c r="E115" s="6"/>
      <c r="F115" s="6"/>
      <c r="G115" s="20"/>
      <c r="H115" s="20"/>
      <c r="I115" s="20"/>
      <c r="J115" s="20"/>
    </row>
    <row r="116" spans="1:10" x14ac:dyDescent="0.25">
      <c r="A116" s="77" t="s">
        <v>15</v>
      </c>
      <c r="B116" s="77"/>
      <c r="C116" s="77"/>
      <c r="D116" s="33" t="s">
        <v>12</v>
      </c>
      <c r="E116" s="36">
        <f>I114</f>
        <v>9852350</v>
      </c>
      <c r="F116" s="36"/>
      <c r="G116" s="21"/>
      <c r="H116" s="21"/>
      <c r="I116" s="10"/>
      <c r="J116" s="10"/>
    </row>
    <row r="117" spans="1:10" x14ac:dyDescent="0.25">
      <c r="A117" s="8" t="s">
        <v>9</v>
      </c>
      <c r="B117" s="8"/>
      <c r="C117" s="8"/>
      <c r="D117" s="33" t="s">
        <v>12</v>
      </c>
      <c r="E117" s="34"/>
      <c r="F117" s="34"/>
      <c r="G117" s="22"/>
      <c r="H117" s="9"/>
      <c r="I117" s="10"/>
      <c r="J117" s="10"/>
    </row>
    <row r="118" spans="1:10" x14ac:dyDescent="0.25">
      <c r="A118" s="8" t="s">
        <v>17</v>
      </c>
      <c r="B118" s="8"/>
      <c r="C118" s="8"/>
      <c r="D118" s="33" t="s">
        <v>12</v>
      </c>
      <c r="E118" s="35"/>
      <c r="F118" s="35"/>
      <c r="G118" s="22"/>
      <c r="H118" s="9"/>
      <c r="I118" s="10"/>
      <c r="J118" s="10"/>
    </row>
    <row r="119" spans="1:10" x14ac:dyDescent="0.25">
      <c r="A119" s="8" t="s">
        <v>10</v>
      </c>
      <c r="B119" s="8"/>
      <c r="C119" s="8"/>
      <c r="D119" s="33" t="s">
        <v>12</v>
      </c>
      <c r="E119" s="35">
        <f>E117+E118</f>
        <v>0</v>
      </c>
      <c r="F119" s="35"/>
      <c r="G119" s="8"/>
      <c r="H119" s="9"/>
      <c r="I119" s="23"/>
      <c r="J119" s="24"/>
    </row>
    <row r="120" spans="1:10" x14ac:dyDescent="0.25">
      <c r="A120" s="43"/>
      <c r="B120" s="43"/>
      <c r="C120" s="43"/>
      <c r="D120" s="33"/>
      <c r="E120" s="43"/>
      <c r="F120" s="43"/>
      <c r="G120" s="8"/>
      <c r="H120" s="9"/>
      <c r="I120" s="23"/>
      <c r="J120" s="24"/>
    </row>
    <row r="121" spans="1:10" x14ac:dyDescent="0.25">
      <c r="A121" s="77" t="s">
        <v>16</v>
      </c>
      <c r="B121" s="77"/>
      <c r="C121" s="77"/>
      <c r="D121" s="33" t="s">
        <v>12</v>
      </c>
      <c r="E121" s="36">
        <f>E116-E119</f>
        <v>9852350</v>
      </c>
      <c r="F121" s="36"/>
      <c r="G121" s="8"/>
      <c r="H121" s="9"/>
      <c r="I121" s="23"/>
      <c r="J121" s="24"/>
    </row>
    <row r="122" spans="1:10" ht="15.75" x14ac:dyDescent="0.25">
      <c r="A122" s="43"/>
      <c r="B122" s="43"/>
      <c r="C122" s="8"/>
      <c r="D122" s="8"/>
      <c r="E122" s="47" t="str">
        <f>PROPER(IF(E121=0,"nol",IF(E121&lt;0,"minus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121),"000000000000000"),1,3)=0,"",MID(TEXT(ABS(E121),"000000000000000"),1,1)&amp;" ratus "&amp;MID(TEXT(ABS(E121),"000000000000000"),2,1)&amp;" puluh "&amp;MID(TEXT(ABS(E121),"000000000000000"),3,1)&amp;" trilyun ")&amp;IF(--MID(TEXT(ABS(E121),"000000000000000"),4,3)=0,"",MID(TEXT(ABS(E121),"000000000000000"),4,1)&amp;" ratus "&amp;MID(TEXT(ABS(E121),"000000000000000"),5,1)&amp;" puluh "&amp;MID(TEXT(ABS(E121),"000000000000000"),6,1)&amp;" milyar ")&amp;IF(--MID(TEXT(ABS(E121),"000000000000000"),7,3)=0,"",MID(TEXT(ABS(E121),"000000000000000"),7,1)&amp;" ratus "&amp;MID(TEXT(ABS(E121),"000000000000000"),8,1)&amp;" puluh "&amp;MID(TEXT(ABS(E121),"000000000000000"),9,1)&amp;" juta ")&amp;IF(--MID(TEXT(ABS(E121),"000000000000000"),10,3)=0,"",IF(--MID(TEXT(ABS(E121),"000000000000000"),10,3)=1,"*",MID(TEXT(ABS(E121),"000000000000000"),10,1)&amp;" ratus "&amp;MID(TEXT(ABS(E121),"000000000000000"),11,1)&amp;" puluh ")&amp;MID(TEXT(ABS(E121),"000000000000000"),12,1)&amp;" ribu ")&amp;IF(--MID(TEXT(ABS(E121),"000000000000000"),13,3)=0,"",MID(TEXT(ABS(E121),"000000000000000"),13,1)&amp;" ratus "&amp;MID(TEXT(ABS(E121),"000000000000000"),14,1)&amp;" puluh "&amp;MID(TEXT(ABS(E121),"000000000000000"),15,1)),1,"satu"),2,"dua"),3,"tiga"),4,"empat"),5,"lima"),6,"enam"),7,"tujuh"),8,"delapan"),9,"sembilan"),"0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Sembilan Juta Delapan Ratus Lima Puluh Dua Ribu Tiga Ratus Lima Puluh Rupiah</v>
      </c>
      <c r="F122" s="8"/>
      <c r="G122" s="8"/>
      <c r="H122" s="8"/>
      <c r="I122" s="23"/>
      <c r="J122" s="24"/>
    </row>
    <row r="123" spans="1:10" x14ac:dyDescent="0.25">
      <c r="A123" s="26"/>
      <c r="B123" s="26"/>
      <c r="C123" s="26"/>
      <c r="D123" s="26"/>
      <c r="E123" s="26"/>
      <c r="F123" s="26"/>
      <c r="G123" s="25"/>
      <c r="H123" s="24"/>
      <c r="I123" s="23"/>
      <c r="J123" s="24"/>
    </row>
    <row r="124" spans="1:10" x14ac:dyDescent="0.25">
      <c r="A124" s="25"/>
      <c r="B124" s="25"/>
      <c r="C124" s="25"/>
      <c r="D124" s="25"/>
      <c r="E124" s="25"/>
      <c r="F124" s="25"/>
      <c r="G124" s="25"/>
      <c r="H124"/>
      <c r="I124" s="24"/>
      <c r="J124" s="24"/>
    </row>
    <row r="125" spans="1:10" x14ac:dyDescent="0.25">
      <c r="A125" s="43"/>
      <c r="B125" s="43"/>
      <c r="C125" s="8"/>
      <c r="D125" s="8"/>
      <c r="E125" s="8"/>
      <c r="F125" s="8"/>
      <c r="G125" s="8"/>
      <c r="I125" s="44" t="s">
        <v>68</v>
      </c>
      <c r="J125" s="24"/>
    </row>
    <row r="126" spans="1:10" x14ac:dyDescent="0.25">
      <c r="A126" s="9" t="s">
        <v>32</v>
      </c>
      <c r="B126" s="8"/>
      <c r="C126" s="8"/>
      <c r="D126" s="8"/>
      <c r="E126" s="8"/>
      <c r="F126" s="8"/>
      <c r="G126" s="8"/>
      <c r="I126" s="9" t="s">
        <v>31</v>
      </c>
      <c r="J126" s="24"/>
    </row>
    <row r="127" spans="1:10" x14ac:dyDescent="0.25">
      <c r="A127" s="8"/>
      <c r="B127" s="8"/>
      <c r="C127" s="8"/>
      <c r="D127" s="8"/>
      <c r="E127" s="8"/>
      <c r="F127" s="8"/>
      <c r="G127" s="8"/>
      <c r="I127" s="9"/>
      <c r="J127" s="24"/>
    </row>
    <row r="128" spans="1:10" x14ac:dyDescent="0.25">
      <c r="A128" s="8"/>
      <c r="B128" s="8"/>
      <c r="C128" s="8"/>
      <c r="D128" s="8"/>
      <c r="E128" s="8"/>
      <c r="F128" s="8"/>
      <c r="G128" s="8"/>
      <c r="I128" s="9"/>
      <c r="J128" s="24"/>
    </row>
    <row r="129" spans="1:10" x14ac:dyDescent="0.25">
      <c r="A129" s="8"/>
      <c r="B129" s="8"/>
      <c r="C129" s="8"/>
      <c r="D129" s="8"/>
      <c r="E129" s="8"/>
      <c r="F129" s="8"/>
      <c r="G129" s="8"/>
      <c r="I129" s="9"/>
      <c r="J129" s="24"/>
    </row>
    <row r="130" spans="1:10" x14ac:dyDescent="0.25">
      <c r="A130" s="8"/>
      <c r="B130" s="8"/>
      <c r="C130" s="8"/>
      <c r="D130" s="8"/>
      <c r="E130" s="8"/>
      <c r="F130" s="8"/>
      <c r="G130" s="8"/>
      <c r="I130" s="9"/>
      <c r="J130" s="24"/>
    </row>
    <row r="131" spans="1:10" x14ac:dyDescent="0.25">
      <c r="A131" s="28" t="s">
        <v>37</v>
      </c>
      <c r="B131" s="28"/>
      <c r="C131" s="27"/>
      <c r="D131" s="27"/>
      <c r="E131" s="27"/>
      <c r="F131" s="27"/>
      <c r="G131" s="8" t="s">
        <v>11</v>
      </c>
      <c r="I131" s="28" t="s">
        <v>33</v>
      </c>
      <c r="J131" s="24"/>
    </row>
    <row r="136" spans="1:10" ht="15.75" x14ac:dyDescent="0.25">
      <c r="C136" s="3"/>
      <c r="D136" s="3"/>
      <c r="E136" s="3"/>
      <c r="F136" s="3"/>
    </row>
    <row r="137" spans="1:10" ht="15.75" x14ac:dyDescent="0.25">
      <c r="A137" s="2"/>
      <c r="B137" s="2"/>
      <c r="C137" s="3"/>
      <c r="D137" s="3"/>
      <c r="E137" s="3"/>
      <c r="F137" s="3"/>
      <c r="G137" s="2"/>
      <c r="H137" s="4"/>
      <c r="I137" s="4"/>
      <c r="J137" s="5"/>
    </row>
    <row r="138" spans="1:10" x14ac:dyDescent="0.25">
      <c r="H138" s="5"/>
      <c r="I138" s="5"/>
      <c r="J138" s="5"/>
    </row>
    <row r="139" spans="1:10" x14ac:dyDescent="0.25">
      <c r="H139" s="5"/>
      <c r="I139" s="5"/>
      <c r="J139" s="5"/>
    </row>
    <row r="140" spans="1:10" x14ac:dyDescent="0.25">
      <c r="A140" s="69" t="s">
        <v>35</v>
      </c>
      <c r="B140" s="69"/>
      <c r="C140" s="70"/>
      <c r="D140" s="70"/>
      <c r="E140" s="70"/>
      <c r="F140" s="70"/>
      <c r="G140" s="70"/>
      <c r="H140" s="70"/>
      <c r="I140" s="70"/>
      <c r="J140" s="70"/>
    </row>
    <row r="141" spans="1:10" x14ac:dyDescent="0.25">
      <c r="A141" s="70" t="s">
        <v>69</v>
      </c>
      <c r="B141" s="70"/>
      <c r="C141" s="70"/>
      <c r="D141" s="70"/>
      <c r="E141" s="70"/>
      <c r="F141" s="70"/>
      <c r="G141" s="70"/>
      <c r="H141" s="70"/>
      <c r="I141" s="70"/>
      <c r="J141" s="70"/>
    </row>
    <row r="142" spans="1:10" x14ac:dyDescent="0.25">
      <c r="A142" s="70" t="s">
        <v>13</v>
      </c>
      <c r="B142" s="70"/>
      <c r="C142" s="70"/>
      <c r="D142" s="70"/>
      <c r="E142" s="70"/>
      <c r="F142" s="70"/>
      <c r="G142" s="70"/>
      <c r="H142" s="70"/>
      <c r="I142" s="70"/>
      <c r="J142" s="70"/>
    </row>
    <row r="143" spans="1:10" x14ac:dyDescent="0.25">
      <c r="A143" s="70" t="s">
        <v>63</v>
      </c>
      <c r="B143" s="70"/>
      <c r="C143" s="70"/>
      <c r="D143" s="70"/>
      <c r="E143" s="70"/>
      <c r="F143" s="70"/>
      <c r="G143" s="70"/>
      <c r="H143" s="70"/>
      <c r="I143" s="70"/>
      <c r="J143" s="70"/>
    </row>
    <row r="144" spans="1:10" x14ac:dyDescent="0.25">
      <c r="A144" s="70" t="s">
        <v>14</v>
      </c>
      <c r="B144" s="70"/>
      <c r="C144" s="70"/>
      <c r="D144" s="70"/>
      <c r="E144" s="70"/>
      <c r="F144" s="70"/>
      <c r="G144" s="70"/>
      <c r="H144" s="70"/>
      <c r="I144" s="70"/>
      <c r="J144" s="70"/>
    </row>
    <row r="145" spans="1:10" x14ac:dyDescent="0.25">
      <c r="A145" s="32"/>
      <c r="B145" s="32"/>
      <c r="C145" s="7"/>
      <c r="D145" s="7"/>
      <c r="E145" s="7"/>
      <c r="F145" s="7"/>
      <c r="G145" s="6"/>
      <c r="H145" s="10"/>
      <c r="I145" s="10"/>
      <c r="J145" s="10"/>
    </row>
    <row r="146" spans="1:10" x14ac:dyDescent="0.25">
      <c r="A146" s="51" t="s">
        <v>20</v>
      </c>
      <c r="B146" s="51"/>
      <c r="C146" s="51"/>
      <c r="D146" s="46" t="s">
        <v>12</v>
      </c>
      <c r="E146" s="8" t="s">
        <v>19</v>
      </c>
      <c r="F146" s="37"/>
      <c r="H146" s="9"/>
      <c r="I146" s="9"/>
      <c r="J146" s="10"/>
    </row>
    <row r="147" spans="1:10" x14ac:dyDescent="0.25">
      <c r="A147" s="51" t="s">
        <v>21</v>
      </c>
      <c r="B147" s="51"/>
      <c r="C147" s="51"/>
      <c r="D147" s="46" t="s">
        <v>12</v>
      </c>
      <c r="E147" s="8" t="s">
        <v>18</v>
      </c>
      <c r="F147" s="37"/>
      <c r="H147" s="9"/>
      <c r="I147" s="9"/>
      <c r="J147" s="10"/>
    </row>
    <row r="148" spans="1:10" x14ac:dyDescent="0.25">
      <c r="A148" s="51" t="s">
        <v>22</v>
      </c>
      <c r="B148" s="51"/>
      <c r="C148" s="51"/>
      <c r="D148" s="46" t="s">
        <v>12</v>
      </c>
      <c r="E148" s="43">
        <v>2026</v>
      </c>
      <c r="F148" s="37"/>
      <c r="H148" s="9"/>
      <c r="I148" s="9"/>
      <c r="J148" s="10"/>
    </row>
    <row r="149" spans="1:10" x14ac:dyDescent="0.25">
      <c r="A149" s="51" t="s">
        <v>23</v>
      </c>
      <c r="B149" s="51"/>
      <c r="C149" s="51"/>
      <c r="D149" s="46" t="s">
        <v>12</v>
      </c>
      <c r="E149" s="63">
        <f>I180</f>
        <v>19958500</v>
      </c>
      <c r="F149" s="37"/>
      <c r="H149" s="9"/>
      <c r="I149" s="9"/>
      <c r="J149" s="10"/>
    </row>
    <row r="150" spans="1:10" ht="15.75" x14ac:dyDescent="0.25">
      <c r="A150" s="8"/>
      <c r="B150" s="8"/>
      <c r="C150" s="11" t="s">
        <v>0</v>
      </c>
      <c r="D150" s="11"/>
      <c r="E150" s="47" t="str">
        <f>PROPER(IF(E149=0,"nol",IF(E149&lt;0,"minus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149),"000000000000000"),1,3)=0,"",MID(TEXT(ABS(E149),"000000000000000"),1,1)&amp;" ratus "&amp;MID(TEXT(ABS(E149),"000000000000000"),2,1)&amp;" puluh "&amp;MID(TEXT(ABS(E149),"000000000000000"),3,1)&amp;" trilyun ")&amp;IF(--MID(TEXT(ABS(E149),"000000000000000"),4,3)=0,"",MID(TEXT(ABS(E149),"000000000000000"),4,1)&amp;" ratus "&amp;MID(TEXT(ABS(E149),"000000000000000"),5,1)&amp;" puluh "&amp;MID(TEXT(ABS(E149),"000000000000000"),6,1)&amp;" milyar ")&amp;IF(--MID(TEXT(ABS(E149),"000000000000000"),7,3)=0,"",MID(TEXT(ABS(E149),"000000000000000"),7,1)&amp;" ratus "&amp;MID(TEXT(ABS(E149),"000000000000000"),8,1)&amp;" puluh "&amp;MID(TEXT(ABS(E149),"000000000000000"),9,1)&amp;" juta ")&amp;IF(--MID(TEXT(ABS(E149),"000000000000000"),10,3)=0,"",IF(--MID(TEXT(ABS(E149),"000000000000000"),10,3)=1,"*",MID(TEXT(ABS(E149),"000000000000000"),10,1)&amp;" ratus "&amp;MID(TEXT(ABS(E149),"000000000000000"),11,1)&amp;" puluh ")&amp;MID(TEXT(ABS(E149),"000000000000000"),12,1)&amp;" ribu ")&amp;IF(--MID(TEXT(ABS(E149),"000000000000000"),13,3)=0,"",MID(TEXT(ABS(E149),"000000000000000"),13,1)&amp;" ratus "&amp;MID(TEXT(ABS(E149),"000000000000000"),14,1)&amp;" puluh "&amp;MID(TEXT(ABS(E149),"000000000000000"),15,1)),1,"satu"),2,"dua"),3,"tiga"),4,"empat"),5,"lima"),6,"enam"),7,"tujuh"),8,"delapan"),9,"sembilan"),"0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Sembilanbelas Juta Sembilan Ratus Lima Puluh Delapan Ribu Lima Ratus Rupiah</v>
      </c>
      <c r="F150" s="37"/>
      <c r="H150" s="9"/>
      <c r="I150" s="9"/>
      <c r="J150" s="10"/>
    </row>
    <row r="151" spans="1:10" ht="15.75" x14ac:dyDescent="0.25">
      <c r="A151" s="8"/>
      <c r="B151" s="8"/>
      <c r="C151" s="11"/>
      <c r="D151" s="11"/>
      <c r="E151" s="11"/>
      <c r="F151" s="37"/>
      <c r="G151" s="47"/>
      <c r="H151" s="9"/>
      <c r="I151" s="9"/>
      <c r="J151" s="10"/>
    </row>
    <row r="152" spans="1:10" x14ac:dyDescent="0.25">
      <c r="A152" s="8" t="s">
        <v>1</v>
      </c>
      <c r="B152" s="8"/>
      <c r="C152" s="8"/>
      <c r="D152" s="8"/>
      <c r="E152" s="8"/>
      <c r="F152" s="8"/>
      <c r="G152" s="8"/>
      <c r="H152" s="9"/>
      <c r="I152" s="9"/>
      <c r="J152" s="10"/>
    </row>
    <row r="153" spans="1:10" x14ac:dyDescent="0.25">
      <c r="A153" s="68" t="s">
        <v>2</v>
      </c>
      <c r="B153" s="68"/>
      <c r="C153" s="68"/>
      <c r="D153" s="68"/>
      <c r="E153" s="68"/>
      <c r="F153" s="68"/>
      <c r="G153" s="68"/>
      <c r="H153" s="68"/>
      <c r="I153" s="68"/>
      <c r="J153" s="68"/>
    </row>
    <row r="154" spans="1:10" ht="60" x14ac:dyDescent="0.25">
      <c r="A154" s="12" t="s">
        <v>3</v>
      </c>
      <c r="B154" s="52" t="s">
        <v>24</v>
      </c>
      <c r="C154" s="71" t="s">
        <v>4</v>
      </c>
      <c r="D154" s="72"/>
      <c r="E154" s="73"/>
      <c r="F154" s="45"/>
      <c r="G154" s="38" t="s">
        <v>5</v>
      </c>
      <c r="H154" s="13" t="s">
        <v>36</v>
      </c>
      <c r="I154" s="14" t="s">
        <v>6</v>
      </c>
      <c r="J154" s="15" t="s">
        <v>7</v>
      </c>
    </row>
    <row r="155" spans="1:10" x14ac:dyDescent="0.25">
      <c r="A155" s="62">
        <v>1</v>
      </c>
      <c r="B155" s="53"/>
      <c r="C155" s="74" t="s">
        <v>39</v>
      </c>
      <c r="D155" s="75"/>
      <c r="E155" s="76"/>
      <c r="F155" s="48"/>
      <c r="G155" s="55" t="s">
        <v>34</v>
      </c>
      <c r="H155" s="55" t="s">
        <v>34</v>
      </c>
      <c r="I155" s="55" t="s">
        <v>34</v>
      </c>
      <c r="J155" s="55" t="s">
        <v>34</v>
      </c>
    </row>
    <row r="156" spans="1:10" x14ac:dyDescent="0.25">
      <c r="A156" s="49"/>
      <c r="B156" s="49" t="s">
        <v>25</v>
      </c>
      <c r="C156" s="65" t="s">
        <v>40</v>
      </c>
      <c r="D156" s="66"/>
      <c r="E156" s="67"/>
      <c r="F156" s="48"/>
      <c r="G156" s="55" t="s">
        <v>34</v>
      </c>
      <c r="H156" s="55" t="s">
        <v>34</v>
      </c>
      <c r="I156" s="55" t="s">
        <v>34</v>
      </c>
      <c r="J156" s="55" t="s">
        <v>34</v>
      </c>
    </row>
    <row r="157" spans="1:10" x14ac:dyDescent="0.25">
      <c r="A157" s="49"/>
      <c r="B157" s="49"/>
      <c r="C157" s="61" t="s">
        <v>41</v>
      </c>
      <c r="D157" s="59"/>
      <c r="E157" s="60"/>
      <c r="F157" s="48"/>
      <c r="G157" s="50">
        <v>300000000</v>
      </c>
      <c r="H157" s="41">
        <f>H91+I91</f>
        <v>0</v>
      </c>
      <c r="I157" s="41">
        <v>0</v>
      </c>
      <c r="J157" s="57">
        <f t="shared" ref="J157:J160" si="9">G157-H157-I157</f>
        <v>300000000</v>
      </c>
    </row>
    <row r="158" spans="1:10" x14ac:dyDescent="0.25">
      <c r="A158" s="49"/>
      <c r="B158" s="49"/>
      <c r="C158" s="65" t="s">
        <v>42</v>
      </c>
      <c r="D158" s="66"/>
      <c r="E158" s="67"/>
      <c r="F158" s="48"/>
      <c r="G158" s="50">
        <v>450000000</v>
      </c>
      <c r="H158" s="41">
        <f t="shared" ref="H158:H160" si="10">H92+I92</f>
        <v>0</v>
      </c>
      <c r="I158" s="41">
        <v>0</v>
      </c>
      <c r="J158" s="57">
        <f t="shared" si="9"/>
        <v>450000000</v>
      </c>
    </row>
    <row r="159" spans="1:10" x14ac:dyDescent="0.25">
      <c r="A159" s="49"/>
      <c r="B159" s="49"/>
      <c r="C159" s="65" t="s">
        <v>43</v>
      </c>
      <c r="D159" s="66"/>
      <c r="E159" s="67"/>
      <c r="F159" s="48"/>
      <c r="G159" s="50">
        <v>250000000</v>
      </c>
      <c r="H159" s="41">
        <f t="shared" si="10"/>
        <v>0</v>
      </c>
      <c r="I159" s="41">
        <v>0</v>
      </c>
      <c r="J159" s="57">
        <f t="shared" si="9"/>
        <v>250000000</v>
      </c>
    </row>
    <row r="160" spans="1:10" x14ac:dyDescent="0.25">
      <c r="A160" s="58"/>
      <c r="B160" s="58" t="s">
        <v>26</v>
      </c>
      <c r="C160" s="65" t="s">
        <v>44</v>
      </c>
      <c r="D160" s="66"/>
      <c r="E160" s="67"/>
      <c r="F160" s="48"/>
      <c r="G160" s="50">
        <v>100000000</v>
      </c>
      <c r="H160" s="41">
        <f t="shared" si="10"/>
        <v>0</v>
      </c>
      <c r="I160" s="41">
        <v>0</v>
      </c>
      <c r="J160" s="57">
        <f t="shared" si="9"/>
        <v>100000000</v>
      </c>
    </row>
    <row r="161" spans="1:10" x14ac:dyDescent="0.25">
      <c r="A161" s="58"/>
      <c r="B161" s="58" t="s">
        <v>27</v>
      </c>
      <c r="C161" s="61" t="s">
        <v>38</v>
      </c>
      <c r="D161" s="59"/>
      <c r="E161" s="60"/>
      <c r="F161" s="48"/>
      <c r="G161" s="55" t="s">
        <v>34</v>
      </c>
      <c r="H161" s="55" t="s">
        <v>34</v>
      </c>
      <c r="I161" s="55" t="s">
        <v>34</v>
      </c>
      <c r="J161" s="55" t="s">
        <v>34</v>
      </c>
    </row>
    <row r="162" spans="1:10" x14ac:dyDescent="0.25">
      <c r="A162" s="49"/>
      <c r="B162" s="49"/>
      <c r="C162" s="65" t="s">
        <v>45</v>
      </c>
      <c r="D162" s="66"/>
      <c r="E162" s="67"/>
      <c r="F162" s="48"/>
      <c r="G162" s="50">
        <v>550000000</v>
      </c>
      <c r="H162" s="56">
        <f>H96+I96</f>
        <v>0</v>
      </c>
      <c r="I162" s="41">
        <v>0</v>
      </c>
      <c r="J162" s="57">
        <f t="shared" ref="J162:J167" si="11">G162-H162-I162</f>
        <v>550000000</v>
      </c>
    </row>
    <row r="163" spans="1:10" x14ac:dyDescent="0.25">
      <c r="A163" s="58"/>
      <c r="B163" s="58"/>
      <c r="C163" s="65" t="s">
        <v>46</v>
      </c>
      <c r="D163" s="66"/>
      <c r="E163" s="67"/>
      <c r="F163" s="48"/>
      <c r="G163" s="50">
        <v>150000000</v>
      </c>
      <c r="H163" s="56">
        <f t="shared" ref="H163:H167" si="12">H97+I97</f>
        <v>9852350</v>
      </c>
      <c r="I163" s="41">
        <v>0</v>
      </c>
      <c r="J163" s="57">
        <f t="shared" si="11"/>
        <v>140147650</v>
      </c>
    </row>
    <row r="164" spans="1:10" x14ac:dyDescent="0.25">
      <c r="A164" s="49"/>
      <c r="B164" s="49"/>
      <c r="C164" s="65" t="s">
        <v>47</v>
      </c>
      <c r="D164" s="66"/>
      <c r="E164" s="67"/>
      <c r="F164" s="48"/>
      <c r="G164" s="50">
        <v>200000000</v>
      </c>
      <c r="H164" s="56">
        <f t="shared" si="12"/>
        <v>88500000</v>
      </c>
      <c r="I164" s="41">
        <v>0</v>
      </c>
      <c r="J164" s="42">
        <f t="shared" si="11"/>
        <v>111500000</v>
      </c>
    </row>
    <row r="165" spans="1:10" x14ac:dyDescent="0.25">
      <c r="A165" s="49"/>
      <c r="B165" s="49"/>
      <c r="C165" s="78" t="s">
        <v>48</v>
      </c>
      <c r="D165" s="79"/>
      <c r="E165" s="80"/>
      <c r="F165" s="48"/>
      <c r="G165" s="50">
        <v>100000000</v>
      </c>
      <c r="H165" s="56">
        <f t="shared" si="12"/>
        <v>0</v>
      </c>
      <c r="I165" s="41">
        <v>19958500</v>
      </c>
      <c r="J165" s="42">
        <f t="shared" si="11"/>
        <v>80041500</v>
      </c>
    </row>
    <row r="166" spans="1:10" x14ac:dyDescent="0.25">
      <c r="A166" s="49"/>
      <c r="B166" s="49"/>
      <c r="C166" s="65" t="s">
        <v>49</v>
      </c>
      <c r="D166" s="66"/>
      <c r="E166" s="67"/>
      <c r="F166" s="48"/>
      <c r="G166" s="50">
        <v>150000000</v>
      </c>
      <c r="H166" s="56">
        <f t="shared" si="12"/>
        <v>0</v>
      </c>
      <c r="I166" s="41">
        <v>0</v>
      </c>
      <c r="J166" s="42">
        <f t="shared" si="11"/>
        <v>150000000</v>
      </c>
    </row>
    <row r="167" spans="1:10" x14ac:dyDescent="0.25">
      <c r="A167" s="49"/>
      <c r="B167" s="49"/>
      <c r="C167" s="65" t="s">
        <v>50</v>
      </c>
      <c r="D167" s="66"/>
      <c r="E167" s="67"/>
      <c r="F167" s="48"/>
      <c r="G167" s="50">
        <v>350000000</v>
      </c>
      <c r="H167" s="56">
        <f t="shared" si="12"/>
        <v>2760000</v>
      </c>
      <c r="I167" s="41">
        <v>0</v>
      </c>
      <c r="J167" s="42">
        <f t="shared" si="11"/>
        <v>347240000</v>
      </c>
    </row>
    <row r="168" spans="1:10" x14ac:dyDescent="0.25">
      <c r="A168" s="49"/>
      <c r="B168" s="49" t="s">
        <v>28</v>
      </c>
      <c r="C168" s="65" t="s">
        <v>51</v>
      </c>
      <c r="D168" s="66"/>
      <c r="E168" s="67"/>
      <c r="F168" s="48"/>
      <c r="G168" s="64" t="s">
        <v>34</v>
      </c>
      <c r="H168" s="64" t="s">
        <v>34</v>
      </c>
      <c r="I168" s="64" t="s">
        <v>34</v>
      </c>
      <c r="J168" s="64" t="s">
        <v>34</v>
      </c>
    </row>
    <row r="169" spans="1:10" x14ac:dyDescent="0.25">
      <c r="A169" s="49"/>
      <c r="B169" s="49"/>
      <c r="C169" s="65" t="s">
        <v>52</v>
      </c>
      <c r="D169" s="66"/>
      <c r="E169" s="67"/>
      <c r="F169" s="48"/>
      <c r="G169" s="50">
        <v>200000000</v>
      </c>
      <c r="H169" s="56">
        <f>H103+I103</f>
        <v>0</v>
      </c>
      <c r="I169" s="41">
        <v>0</v>
      </c>
      <c r="J169" s="57">
        <f t="shared" ref="J169:J170" si="13">G169-H169-I169</f>
        <v>200000000</v>
      </c>
    </row>
    <row r="170" spans="1:10" x14ac:dyDescent="0.25">
      <c r="A170" s="49"/>
      <c r="B170" s="49"/>
      <c r="C170" s="65" t="s">
        <v>53</v>
      </c>
      <c r="D170" s="66"/>
      <c r="E170" s="67"/>
      <c r="F170" s="48"/>
      <c r="G170" s="50">
        <v>160000000</v>
      </c>
      <c r="H170" s="56">
        <f>H104+I104</f>
        <v>0</v>
      </c>
      <c r="I170" s="41">
        <v>0</v>
      </c>
      <c r="J170" s="57">
        <f t="shared" si="13"/>
        <v>160000000</v>
      </c>
    </row>
    <row r="171" spans="1:10" x14ac:dyDescent="0.25">
      <c r="A171" s="49"/>
      <c r="B171" s="49" t="s">
        <v>29</v>
      </c>
      <c r="C171" s="61" t="s">
        <v>54</v>
      </c>
      <c r="D171" s="59"/>
      <c r="E171" s="60"/>
      <c r="F171" s="48"/>
      <c r="G171" s="55" t="s">
        <v>34</v>
      </c>
      <c r="H171" s="55" t="s">
        <v>34</v>
      </c>
      <c r="I171" s="55" t="s">
        <v>34</v>
      </c>
      <c r="J171" s="55" t="s">
        <v>34</v>
      </c>
    </row>
    <row r="172" spans="1:10" x14ac:dyDescent="0.25">
      <c r="A172" s="49"/>
      <c r="B172" s="49"/>
      <c r="C172" s="65" t="s">
        <v>55</v>
      </c>
      <c r="D172" s="66"/>
      <c r="E172" s="67"/>
      <c r="F172" s="48"/>
      <c r="G172" s="50">
        <v>500000000</v>
      </c>
      <c r="H172" s="56">
        <f>H106+I106</f>
        <v>0</v>
      </c>
      <c r="I172" s="41">
        <v>0</v>
      </c>
      <c r="J172" s="57">
        <f t="shared" ref="J172:J176" si="14">G172-H172-I172</f>
        <v>500000000</v>
      </c>
    </row>
    <row r="173" spans="1:10" x14ac:dyDescent="0.25">
      <c r="A173" s="49"/>
      <c r="B173" s="49"/>
      <c r="C173" s="61" t="s">
        <v>56</v>
      </c>
      <c r="D173" s="59"/>
      <c r="E173" s="60"/>
      <c r="F173" s="48"/>
      <c r="G173" s="50">
        <v>500000000</v>
      </c>
      <c r="H173" s="56">
        <f t="shared" ref="H173:H176" si="15">H107+I107</f>
        <v>0</v>
      </c>
      <c r="I173" s="41">
        <v>0</v>
      </c>
      <c r="J173" s="57">
        <f t="shared" si="14"/>
        <v>500000000</v>
      </c>
    </row>
    <row r="174" spans="1:10" x14ac:dyDescent="0.25">
      <c r="A174" s="49"/>
      <c r="B174" s="49"/>
      <c r="C174" s="65" t="s">
        <v>57</v>
      </c>
      <c r="D174" s="66"/>
      <c r="E174" s="67"/>
      <c r="F174" s="48"/>
      <c r="G174" s="50">
        <v>750000000</v>
      </c>
      <c r="H174" s="56">
        <f t="shared" si="15"/>
        <v>0</v>
      </c>
      <c r="I174" s="41">
        <v>0</v>
      </c>
      <c r="J174" s="57">
        <f t="shared" si="14"/>
        <v>750000000</v>
      </c>
    </row>
    <row r="175" spans="1:10" x14ac:dyDescent="0.25">
      <c r="A175" s="49"/>
      <c r="B175" s="49"/>
      <c r="C175" s="65" t="s">
        <v>58</v>
      </c>
      <c r="D175" s="66"/>
      <c r="E175" s="67"/>
      <c r="F175" s="48"/>
      <c r="G175" s="50">
        <v>390000000</v>
      </c>
      <c r="H175" s="56">
        <f t="shared" si="15"/>
        <v>0</v>
      </c>
      <c r="I175" s="41">
        <v>0</v>
      </c>
      <c r="J175" s="57">
        <f t="shared" si="14"/>
        <v>390000000</v>
      </c>
    </row>
    <row r="176" spans="1:10" x14ac:dyDescent="0.25">
      <c r="A176" s="49"/>
      <c r="B176" s="49"/>
      <c r="C176" s="61" t="s">
        <v>59</v>
      </c>
      <c r="D176" s="59"/>
      <c r="E176" s="60"/>
      <c r="F176" s="48"/>
      <c r="G176" s="50">
        <v>360000000</v>
      </c>
      <c r="H176" s="56">
        <f t="shared" si="15"/>
        <v>0</v>
      </c>
      <c r="I176" s="41">
        <v>0</v>
      </c>
      <c r="J176" s="57">
        <f t="shared" si="14"/>
        <v>360000000</v>
      </c>
    </row>
    <row r="177" spans="1:10" x14ac:dyDescent="0.25">
      <c r="A177" s="49"/>
      <c r="B177" s="49" t="s">
        <v>30</v>
      </c>
      <c r="C177" s="65" t="s">
        <v>60</v>
      </c>
      <c r="D177" s="66"/>
      <c r="E177" s="67"/>
      <c r="F177" s="48"/>
      <c r="G177" s="64" t="s">
        <v>34</v>
      </c>
      <c r="H177" s="64" t="s">
        <v>34</v>
      </c>
      <c r="I177" s="64" t="s">
        <v>34</v>
      </c>
      <c r="J177" s="64" t="s">
        <v>34</v>
      </c>
    </row>
    <row r="178" spans="1:10" x14ac:dyDescent="0.25">
      <c r="A178" s="49"/>
      <c r="B178" s="49"/>
      <c r="C178" s="65" t="s">
        <v>61</v>
      </c>
      <c r="D178" s="66"/>
      <c r="E178" s="67"/>
      <c r="F178" s="48"/>
      <c r="G178" s="50">
        <v>50000000</v>
      </c>
      <c r="H178" s="56">
        <f>H112+I112</f>
        <v>0</v>
      </c>
      <c r="I178" s="41">
        <v>0</v>
      </c>
      <c r="J178" s="57">
        <f t="shared" ref="J178:J179" si="16">G178-H178-I178</f>
        <v>50000000</v>
      </c>
    </row>
    <row r="179" spans="1:10" x14ac:dyDescent="0.25">
      <c r="A179" s="49"/>
      <c r="B179" s="49"/>
      <c r="C179" s="81" t="s">
        <v>62</v>
      </c>
      <c r="D179" s="82"/>
      <c r="E179" s="83"/>
      <c r="F179" s="48"/>
      <c r="G179" s="50">
        <v>50000000</v>
      </c>
      <c r="H179" s="56">
        <f>H113+I113</f>
        <v>0</v>
      </c>
      <c r="I179" s="41">
        <v>0</v>
      </c>
      <c r="J179" s="57">
        <f t="shared" si="16"/>
        <v>50000000</v>
      </c>
    </row>
    <row r="180" spans="1:10" x14ac:dyDescent="0.25">
      <c r="A180" s="16"/>
      <c r="B180" s="16"/>
      <c r="C180" s="17" t="s">
        <v>8</v>
      </c>
      <c r="D180" s="17"/>
      <c r="E180" s="17"/>
      <c r="F180" s="40"/>
      <c r="G180" s="39">
        <f>SUM(G155:G179)</f>
        <v>5560000000</v>
      </c>
      <c r="H180" s="18">
        <f>SUM(H156:H167)</f>
        <v>101112350</v>
      </c>
      <c r="I180" s="18">
        <f>SUM(I156:I168)</f>
        <v>19958500</v>
      </c>
      <c r="J180" s="18">
        <f>SUM(J156:J179)</f>
        <v>5438929150</v>
      </c>
    </row>
    <row r="181" spans="1:10" x14ac:dyDescent="0.25">
      <c r="A181" s="19"/>
      <c r="B181" s="54"/>
      <c r="C181" s="6"/>
      <c r="D181" s="6"/>
      <c r="E181" s="6"/>
      <c r="F181" s="6"/>
      <c r="G181" s="20"/>
      <c r="H181" s="20"/>
      <c r="I181" s="20"/>
      <c r="J181" s="20"/>
    </row>
    <row r="182" spans="1:10" x14ac:dyDescent="0.25">
      <c r="A182" s="77" t="s">
        <v>15</v>
      </c>
      <c r="B182" s="77"/>
      <c r="C182" s="77"/>
      <c r="D182" s="33" t="s">
        <v>12</v>
      </c>
      <c r="E182" s="36">
        <f>I180</f>
        <v>19958500</v>
      </c>
      <c r="F182" s="36"/>
      <c r="G182" s="21"/>
      <c r="H182" s="21"/>
      <c r="I182" s="10"/>
      <c r="J182" s="10"/>
    </row>
    <row r="183" spans="1:10" x14ac:dyDescent="0.25">
      <c r="A183" s="8" t="s">
        <v>9</v>
      </c>
      <c r="B183" s="8"/>
      <c r="C183" s="8"/>
      <c r="D183" s="33" t="s">
        <v>12</v>
      </c>
      <c r="E183" s="34"/>
      <c r="F183" s="34"/>
      <c r="G183" s="22"/>
      <c r="H183" s="9"/>
      <c r="I183" s="10"/>
      <c r="J183" s="10"/>
    </row>
    <row r="184" spans="1:10" x14ac:dyDescent="0.25">
      <c r="A184" s="8" t="s">
        <v>17</v>
      </c>
      <c r="B184" s="8"/>
      <c r="C184" s="8"/>
      <c r="D184" s="33" t="s">
        <v>12</v>
      </c>
      <c r="E184" s="35"/>
      <c r="F184" s="35"/>
      <c r="G184" s="22"/>
      <c r="H184" s="9"/>
      <c r="I184" s="10"/>
      <c r="J184" s="10"/>
    </row>
    <row r="185" spans="1:10" x14ac:dyDescent="0.25">
      <c r="A185" s="8" t="s">
        <v>10</v>
      </c>
      <c r="B185" s="8"/>
      <c r="C185" s="8"/>
      <c r="D185" s="33" t="s">
        <v>12</v>
      </c>
      <c r="E185" s="35">
        <f>E183+E184</f>
        <v>0</v>
      </c>
      <c r="F185" s="35"/>
      <c r="G185" s="8"/>
      <c r="H185" s="9"/>
      <c r="I185" s="23"/>
      <c r="J185" s="24"/>
    </row>
    <row r="186" spans="1:10" x14ac:dyDescent="0.25">
      <c r="A186" s="43"/>
      <c r="B186" s="43"/>
      <c r="C186" s="43"/>
      <c r="D186" s="33"/>
      <c r="E186" s="43"/>
      <c r="F186" s="43"/>
      <c r="G186" s="8"/>
      <c r="H186" s="9"/>
      <c r="I186" s="23"/>
      <c r="J186" s="24"/>
    </row>
    <row r="187" spans="1:10" x14ac:dyDescent="0.25">
      <c r="A187" s="77" t="s">
        <v>16</v>
      </c>
      <c r="B187" s="77"/>
      <c r="C187" s="77"/>
      <c r="D187" s="33" t="s">
        <v>12</v>
      </c>
      <c r="E187" s="36">
        <f>E182-E185</f>
        <v>19958500</v>
      </c>
      <c r="F187" s="36"/>
      <c r="G187" s="8"/>
      <c r="H187" s="9"/>
      <c r="I187" s="23"/>
      <c r="J187" s="24"/>
    </row>
    <row r="188" spans="1:10" ht="15.75" x14ac:dyDescent="0.25">
      <c r="A188" s="43"/>
      <c r="B188" s="43"/>
      <c r="C188" s="8"/>
      <c r="D188" s="8"/>
      <c r="E188" s="47" t="str">
        <f>PROPER(IF(E187=0,"nol",IF(E187&lt;0,"minus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187),"000000000000000"),1,3)=0,"",MID(TEXT(ABS(E187),"000000000000000"),1,1)&amp;" ratus "&amp;MID(TEXT(ABS(E187),"000000000000000"),2,1)&amp;" puluh "&amp;MID(TEXT(ABS(E187),"000000000000000"),3,1)&amp;" trilyun ")&amp;IF(--MID(TEXT(ABS(E187),"000000000000000"),4,3)=0,"",MID(TEXT(ABS(E187),"000000000000000"),4,1)&amp;" ratus "&amp;MID(TEXT(ABS(E187),"000000000000000"),5,1)&amp;" puluh "&amp;MID(TEXT(ABS(E187),"000000000000000"),6,1)&amp;" milyar ")&amp;IF(--MID(TEXT(ABS(E187),"000000000000000"),7,3)=0,"",MID(TEXT(ABS(E187),"000000000000000"),7,1)&amp;" ratus "&amp;MID(TEXT(ABS(E187),"000000000000000"),8,1)&amp;" puluh "&amp;MID(TEXT(ABS(E187),"000000000000000"),9,1)&amp;" juta ")&amp;IF(--MID(TEXT(ABS(E187),"000000000000000"),10,3)=0,"",IF(--MID(TEXT(ABS(E187),"000000000000000"),10,3)=1,"*",MID(TEXT(ABS(E187),"000000000000000"),10,1)&amp;" ratus "&amp;MID(TEXT(ABS(E187),"000000000000000"),11,1)&amp;" puluh ")&amp;MID(TEXT(ABS(E187),"000000000000000"),12,1)&amp;" ribu ")&amp;IF(--MID(TEXT(ABS(E187),"000000000000000"),13,3)=0,"",MID(TEXT(ABS(E187),"000000000000000"),13,1)&amp;" ratus "&amp;MID(TEXT(ABS(E187),"000000000000000"),14,1)&amp;" puluh "&amp;MID(TEXT(ABS(E187),"000000000000000"),15,1)),1,"satu"),2,"dua"),3,"tiga"),4,"empat"),5,"lima"),6,"enam"),7,"tujuh"),8,"delapan"),9,"sembilan"),"0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Sembilanbelas Juta Sembilan Ratus Lima Puluh Delapan Ribu Lima Ratus Rupiah</v>
      </c>
      <c r="F188" s="8"/>
      <c r="G188" s="8"/>
      <c r="H188" s="8"/>
      <c r="I188" s="23"/>
      <c r="J188" s="24"/>
    </row>
    <row r="189" spans="1:10" x14ac:dyDescent="0.25">
      <c r="A189" s="26"/>
      <c r="B189" s="26"/>
      <c r="C189" s="26"/>
      <c r="D189" s="26"/>
      <c r="E189" s="26"/>
      <c r="F189" s="26"/>
      <c r="G189" s="25"/>
      <c r="H189" s="24"/>
      <c r="I189" s="23"/>
      <c r="J189" s="24"/>
    </row>
    <row r="190" spans="1:10" x14ac:dyDescent="0.25">
      <c r="A190" s="25"/>
      <c r="B190" s="25"/>
      <c r="C190" s="25"/>
      <c r="D190" s="25"/>
      <c r="E190" s="25"/>
      <c r="F190" s="25"/>
      <c r="G190" s="25"/>
      <c r="H190"/>
      <c r="I190" s="24"/>
      <c r="J190" s="24"/>
    </row>
    <row r="191" spans="1:10" x14ac:dyDescent="0.25">
      <c r="A191" s="43"/>
      <c r="B191" s="43"/>
      <c r="C191" s="8"/>
      <c r="D191" s="8"/>
      <c r="E191" s="8"/>
      <c r="F191" s="8"/>
      <c r="G191" s="8"/>
      <c r="I191" s="44" t="s">
        <v>70</v>
      </c>
      <c r="J191" s="24"/>
    </row>
    <row r="192" spans="1:10" x14ac:dyDescent="0.25">
      <c r="A192" s="9" t="s">
        <v>32</v>
      </c>
      <c r="B192" s="8"/>
      <c r="C192" s="8"/>
      <c r="D192" s="8"/>
      <c r="E192" s="8"/>
      <c r="F192" s="8"/>
      <c r="G192" s="8"/>
      <c r="I192" s="9" t="s">
        <v>31</v>
      </c>
      <c r="J192" s="24"/>
    </row>
    <row r="193" spans="1:10" x14ac:dyDescent="0.25">
      <c r="A193" s="8"/>
      <c r="B193" s="8"/>
      <c r="C193" s="8"/>
      <c r="D193" s="8"/>
      <c r="E193" s="8"/>
      <c r="F193" s="8"/>
      <c r="G193" s="8"/>
      <c r="I193" s="9"/>
      <c r="J193" s="24"/>
    </row>
    <row r="194" spans="1:10" x14ac:dyDescent="0.25">
      <c r="A194" s="8"/>
      <c r="B194" s="8"/>
      <c r="C194" s="8"/>
      <c r="D194" s="8"/>
      <c r="E194" s="8"/>
      <c r="F194" s="8"/>
      <c r="G194" s="8"/>
      <c r="I194" s="9"/>
      <c r="J194" s="24"/>
    </row>
    <row r="195" spans="1:10" x14ac:dyDescent="0.25">
      <c r="A195" s="8"/>
      <c r="B195" s="8"/>
      <c r="C195" s="8"/>
      <c r="D195" s="8"/>
      <c r="E195" s="8"/>
      <c r="F195" s="8"/>
      <c r="G195" s="8"/>
      <c r="I195" s="9"/>
      <c r="J195" s="24"/>
    </row>
    <row r="196" spans="1:10" x14ac:dyDescent="0.25">
      <c r="A196" s="8"/>
      <c r="B196" s="8"/>
      <c r="C196" s="8"/>
      <c r="D196" s="8"/>
      <c r="E196" s="8"/>
      <c r="F196" s="8"/>
      <c r="G196" s="8"/>
      <c r="I196" s="9"/>
      <c r="J196" s="24"/>
    </row>
    <row r="197" spans="1:10" x14ac:dyDescent="0.25">
      <c r="A197" s="28" t="s">
        <v>37</v>
      </c>
      <c r="B197" s="28"/>
      <c r="C197" s="27"/>
      <c r="D197" s="27"/>
      <c r="E197" s="27"/>
      <c r="F197" s="27"/>
      <c r="G197" s="8" t="s">
        <v>11</v>
      </c>
      <c r="I197" s="28" t="s">
        <v>33</v>
      </c>
      <c r="J197" s="24"/>
    </row>
  </sheetData>
  <mergeCells count="87">
    <mergeCell ref="C45:E45"/>
    <mergeCell ref="C46:E46"/>
    <mergeCell ref="C47:E47"/>
    <mergeCell ref="A50:C50"/>
    <mergeCell ref="A55:C55"/>
    <mergeCell ref="C43:E43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40:E40"/>
    <mergeCell ref="C42:E42"/>
    <mergeCell ref="C28:E28"/>
    <mergeCell ref="A8:J8"/>
    <mergeCell ref="A9:J9"/>
    <mergeCell ref="A10:J10"/>
    <mergeCell ref="A11:J11"/>
    <mergeCell ref="A12:J12"/>
    <mergeCell ref="A21:J21"/>
    <mergeCell ref="C22:E22"/>
    <mergeCell ref="C23:E23"/>
    <mergeCell ref="C24:E24"/>
    <mergeCell ref="C26:E26"/>
    <mergeCell ref="C27:E27"/>
    <mergeCell ref="A74:J74"/>
    <mergeCell ref="A75:J75"/>
    <mergeCell ref="A76:J76"/>
    <mergeCell ref="A77:J77"/>
    <mergeCell ref="A78:J78"/>
    <mergeCell ref="A87:J87"/>
    <mergeCell ref="C88:E88"/>
    <mergeCell ref="C89:E89"/>
    <mergeCell ref="C90:E90"/>
    <mergeCell ref="C92:E92"/>
    <mergeCell ref="C93:E93"/>
    <mergeCell ref="C94:E94"/>
    <mergeCell ref="C96:E96"/>
    <mergeCell ref="C97:E97"/>
    <mergeCell ref="C98:E98"/>
    <mergeCell ref="C99:E99"/>
    <mergeCell ref="C100:E100"/>
    <mergeCell ref="C101:E101"/>
    <mergeCell ref="C102:E102"/>
    <mergeCell ref="C103:E103"/>
    <mergeCell ref="C112:E112"/>
    <mergeCell ref="C113:E113"/>
    <mergeCell ref="A116:C116"/>
    <mergeCell ref="A121:C121"/>
    <mergeCell ref="C104:E104"/>
    <mergeCell ref="C106:E106"/>
    <mergeCell ref="C108:E108"/>
    <mergeCell ref="C109:E109"/>
    <mergeCell ref="C111:E111"/>
    <mergeCell ref="A140:J140"/>
    <mergeCell ref="A141:J141"/>
    <mergeCell ref="A142:J142"/>
    <mergeCell ref="A143:J143"/>
    <mergeCell ref="A144:J144"/>
    <mergeCell ref="A153:J153"/>
    <mergeCell ref="C154:E154"/>
    <mergeCell ref="C155:E155"/>
    <mergeCell ref="C156:E156"/>
    <mergeCell ref="C158:E158"/>
    <mergeCell ref="C159:E159"/>
    <mergeCell ref="C160:E160"/>
    <mergeCell ref="C162:E162"/>
    <mergeCell ref="C163:E163"/>
    <mergeCell ref="C164:E164"/>
    <mergeCell ref="C165:E165"/>
    <mergeCell ref="C166:E166"/>
    <mergeCell ref="C167:E167"/>
    <mergeCell ref="C168:E168"/>
    <mergeCell ref="C169:E169"/>
    <mergeCell ref="C178:E178"/>
    <mergeCell ref="C179:E179"/>
    <mergeCell ref="A182:C182"/>
    <mergeCell ref="A187:C187"/>
    <mergeCell ref="C170:E170"/>
    <mergeCell ref="C172:E172"/>
    <mergeCell ref="C174:E174"/>
    <mergeCell ref="C175:E175"/>
    <mergeCell ref="C177:E177"/>
  </mergeCells>
  <pageMargins left="0.23622047244094491" right="0.23622047244094491" top="0" bottom="0.74803149606299213" header="0.31496062992125984" footer="0.31496062992125984"/>
  <pageSetup paperSize="5" scale="78" orientation="portrait" horizontalDpi="4294967293" r:id="rId1"/>
  <rowBreaks count="3" manualBreakCount="3">
    <brk id="66" max="9" man="1"/>
    <brk id="132" max="9" man="1"/>
    <brk id="198" max="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1EEA4-60E1-4BDA-97CB-A73CFD94D03A}">
  <dimension ref="A1:V197"/>
  <sheetViews>
    <sheetView tabSelected="1" view="pageBreakPreview" topLeftCell="A10" zoomScaleNormal="100" zoomScaleSheetLayoutView="100" workbookViewId="0">
      <selection activeCell="J65" sqref="A1:J65"/>
    </sheetView>
  </sheetViews>
  <sheetFormatPr defaultRowHeight="15" x14ac:dyDescent="0.25"/>
  <cols>
    <col min="1" max="1" width="3.5703125" customWidth="1"/>
    <col min="2" max="2" width="5.5703125" bestFit="1" customWidth="1"/>
    <col min="3" max="3" width="12" customWidth="1"/>
    <col min="4" max="4" width="1.85546875" customWidth="1"/>
    <col min="5" max="5" width="37.85546875" customWidth="1"/>
    <col min="6" max="6" width="1.140625" customWidth="1"/>
    <col min="7" max="7" width="18" customWidth="1"/>
    <col min="8" max="8" width="16.5703125" style="1" customWidth="1"/>
    <col min="9" max="9" width="15.5703125" style="1" customWidth="1"/>
    <col min="10" max="10" width="18" style="1" customWidth="1"/>
    <col min="11" max="11" width="6.140625" customWidth="1"/>
    <col min="12" max="12" width="2.85546875" customWidth="1"/>
    <col min="13" max="13" width="2.5703125" customWidth="1"/>
    <col min="14" max="14" width="2.7109375" customWidth="1"/>
    <col min="15" max="15" width="2.5703125" customWidth="1"/>
    <col min="16" max="16" width="2.7109375" customWidth="1"/>
    <col min="17" max="17" width="2.85546875" customWidth="1"/>
    <col min="18" max="18" width="44.7109375" customWidth="1"/>
    <col min="19" max="19" width="12.28515625" customWidth="1"/>
    <col min="20" max="20" width="11.7109375" customWidth="1"/>
    <col min="21" max="21" width="10.85546875" customWidth="1"/>
    <col min="22" max="22" width="11.5703125" customWidth="1"/>
    <col min="23" max="23" width="11.7109375" customWidth="1"/>
  </cols>
  <sheetData>
    <row r="1" spans="1:22" x14ac:dyDescent="0.25">
      <c r="K1" s="25"/>
      <c r="L1" s="31"/>
      <c r="M1" s="31"/>
      <c r="N1" s="31"/>
      <c r="O1" s="31"/>
      <c r="P1" s="31"/>
      <c r="Q1" s="31"/>
      <c r="R1" s="31"/>
      <c r="S1" s="31"/>
      <c r="T1" s="31"/>
      <c r="U1" s="31"/>
      <c r="V1" s="25"/>
    </row>
    <row r="2" spans="1:22" x14ac:dyDescent="0.25">
      <c r="K2" s="25"/>
      <c r="L2" s="31"/>
      <c r="M2" s="31"/>
      <c r="N2" s="31"/>
      <c r="O2" s="31"/>
      <c r="P2" s="31"/>
      <c r="Q2" s="31"/>
      <c r="R2" s="31"/>
      <c r="S2" s="31"/>
      <c r="T2" s="31"/>
      <c r="U2" s="31"/>
      <c r="V2" s="25"/>
    </row>
    <row r="3" spans="1:22" x14ac:dyDescent="0.25">
      <c r="K3" s="25"/>
      <c r="L3" s="31"/>
      <c r="M3" s="31"/>
      <c r="N3" s="31"/>
      <c r="O3" s="31"/>
      <c r="P3" s="31"/>
      <c r="Q3" s="31"/>
      <c r="R3" s="31"/>
      <c r="S3" s="31"/>
      <c r="T3" s="31"/>
      <c r="U3" s="31"/>
      <c r="V3" s="25"/>
    </row>
    <row r="4" spans="1:22" ht="15.75" x14ac:dyDescent="0.25">
      <c r="C4" s="3"/>
      <c r="D4" s="3"/>
      <c r="E4" s="3"/>
      <c r="F4" s="3"/>
      <c r="K4" s="25"/>
      <c r="L4" s="31"/>
      <c r="M4" s="31"/>
      <c r="N4" s="31"/>
      <c r="O4" s="31"/>
      <c r="P4" s="31"/>
      <c r="Q4" s="31"/>
      <c r="R4" s="31"/>
      <c r="S4" s="31"/>
      <c r="T4" s="31"/>
      <c r="U4" s="31"/>
      <c r="V4" s="25"/>
    </row>
    <row r="5" spans="1:22" ht="15.75" x14ac:dyDescent="0.25">
      <c r="A5" s="2"/>
      <c r="B5" s="2"/>
      <c r="C5" s="3"/>
      <c r="D5" s="3"/>
      <c r="E5" s="3"/>
      <c r="F5" s="3"/>
      <c r="G5" s="2"/>
      <c r="H5" s="4"/>
      <c r="I5" s="4"/>
      <c r="J5" s="5"/>
      <c r="K5" s="25"/>
      <c r="L5" s="31"/>
      <c r="M5" s="31"/>
      <c r="N5" s="31"/>
      <c r="O5" s="31"/>
      <c r="P5" s="31"/>
      <c r="Q5" s="31"/>
      <c r="R5" s="31"/>
      <c r="S5" s="31"/>
      <c r="T5" s="31"/>
      <c r="U5" s="31"/>
      <c r="V5" s="25"/>
    </row>
    <row r="6" spans="1:22" x14ac:dyDescent="0.25">
      <c r="H6" s="5"/>
      <c r="I6" s="5"/>
      <c r="J6" s="5"/>
      <c r="K6" s="25"/>
      <c r="L6" s="31"/>
      <c r="M6" s="31"/>
      <c r="N6" s="31"/>
      <c r="O6" s="31"/>
      <c r="P6" s="31"/>
      <c r="Q6" s="31"/>
      <c r="R6" s="31"/>
      <c r="S6" s="31"/>
      <c r="T6" s="31"/>
      <c r="U6" s="31"/>
      <c r="V6" s="25"/>
    </row>
    <row r="7" spans="1:22" x14ac:dyDescent="0.25">
      <c r="H7" s="5"/>
      <c r="I7" s="5"/>
      <c r="J7" s="5"/>
      <c r="K7" s="25"/>
      <c r="L7" s="31"/>
      <c r="M7" s="31"/>
      <c r="N7" s="31"/>
      <c r="O7" s="31"/>
      <c r="P7" s="31"/>
      <c r="Q7" s="31"/>
      <c r="R7" s="31"/>
      <c r="S7" s="31"/>
      <c r="T7" s="31"/>
      <c r="U7" s="31"/>
      <c r="V7" s="25"/>
    </row>
    <row r="8" spans="1:22" ht="15" customHeight="1" x14ac:dyDescent="0.25">
      <c r="A8" s="69" t="s">
        <v>35</v>
      </c>
      <c r="B8" s="69"/>
      <c r="C8" s="70"/>
      <c r="D8" s="70"/>
      <c r="E8" s="70"/>
      <c r="F8" s="70"/>
      <c r="G8" s="70"/>
      <c r="H8" s="70"/>
      <c r="I8" s="70"/>
      <c r="J8" s="70"/>
      <c r="K8" s="25"/>
      <c r="L8" s="31"/>
      <c r="M8" s="31"/>
      <c r="N8" s="31"/>
      <c r="O8" s="31"/>
      <c r="P8" s="31"/>
      <c r="Q8" s="31"/>
      <c r="R8" s="31"/>
      <c r="S8" s="31"/>
      <c r="T8" s="31"/>
      <c r="U8" s="31"/>
      <c r="V8" s="25"/>
    </row>
    <row r="9" spans="1:22" ht="15" customHeight="1" x14ac:dyDescent="0.25">
      <c r="A9" s="70" t="s">
        <v>71</v>
      </c>
      <c r="B9" s="70"/>
      <c r="C9" s="70"/>
      <c r="D9" s="70"/>
      <c r="E9" s="70"/>
      <c r="F9" s="70"/>
      <c r="G9" s="70"/>
      <c r="H9" s="70"/>
      <c r="I9" s="70"/>
      <c r="J9" s="70"/>
      <c r="K9" s="25"/>
      <c r="L9" s="31"/>
      <c r="M9" s="31"/>
      <c r="N9" s="31"/>
      <c r="O9" s="31"/>
      <c r="P9" s="31"/>
      <c r="Q9" s="31"/>
      <c r="R9" s="31"/>
      <c r="S9" s="31"/>
      <c r="T9" s="31"/>
      <c r="U9" s="31"/>
      <c r="V9" s="25"/>
    </row>
    <row r="10" spans="1:22" ht="15" customHeight="1" x14ac:dyDescent="0.25">
      <c r="A10" s="70" t="s">
        <v>13</v>
      </c>
      <c r="B10" s="70"/>
      <c r="C10" s="70"/>
      <c r="D10" s="70"/>
      <c r="E10" s="70"/>
      <c r="F10" s="70"/>
      <c r="G10" s="70"/>
      <c r="H10" s="70"/>
      <c r="I10" s="70"/>
      <c r="J10" s="70"/>
      <c r="K10" s="25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25"/>
    </row>
    <row r="11" spans="1:22" ht="15" customHeight="1" x14ac:dyDescent="0.25">
      <c r="A11" s="70" t="s">
        <v>63</v>
      </c>
      <c r="B11" s="70"/>
      <c r="C11" s="70"/>
      <c r="D11" s="70"/>
      <c r="E11" s="70"/>
      <c r="F11" s="70"/>
      <c r="G11" s="70"/>
      <c r="H11" s="70"/>
      <c r="I11" s="70"/>
      <c r="J11" s="70"/>
      <c r="K11" s="25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25"/>
    </row>
    <row r="12" spans="1:22" ht="15" customHeight="1" x14ac:dyDescent="0.25">
      <c r="A12" s="70" t="s">
        <v>14</v>
      </c>
      <c r="B12" s="70"/>
      <c r="C12" s="70"/>
      <c r="D12" s="70"/>
      <c r="E12" s="70"/>
      <c r="F12" s="70"/>
      <c r="G12" s="70"/>
      <c r="H12" s="70"/>
      <c r="I12" s="70"/>
      <c r="J12" s="70"/>
      <c r="K12" s="25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25"/>
    </row>
    <row r="13" spans="1:22" x14ac:dyDescent="0.25">
      <c r="A13" s="32"/>
      <c r="B13" s="32"/>
      <c r="C13" s="7"/>
      <c r="D13" s="7"/>
      <c r="E13" s="7"/>
      <c r="F13" s="7"/>
      <c r="G13" s="6"/>
      <c r="H13" s="10"/>
      <c r="I13" s="10"/>
      <c r="J13" s="10"/>
      <c r="K13" s="25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25"/>
    </row>
    <row r="14" spans="1:22" x14ac:dyDescent="0.25">
      <c r="A14" s="51" t="s">
        <v>20</v>
      </c>
      <c r="B14" s="51"/>
      <c r="C14" s="51"/>
      <c r="D14" s="46" t="s">
        <v>12</v>
      </c>
      <c r="E14" s="8" t="s">
        <v>19</v>
      </c>
      <c r="F14" s="37"/>
      <c r="H14" s="9"/>
      <c r="I14" s="9"/>
      <c r="J14" s="10"/>
      <c r="K14" s="25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25"/>
    </row>
    <row r="15" spans="1:22" x14ac:dyDescent="0.25">
      <c r="A15" s="51" t="s">
        <v>21</v>
      </c>
      <c r="B15" s="51"/>
      <c r="C15" s="51"/>
      <c r="D15" s="46" t="s">
        <v>12</v>
      </c>
      <c r="E15" s="8" t="s">
        <v>18</v>
      </c>
      <c r="F15" s="37"/>
      <c r="H15" s="9"/>
      <c r="I15" s="9"/>
      <c r="J15" s="10"/>
      <c r="K15" s="25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25"/>
    </row>
    <row r="16" spans="1:22" x14ac:dyDescent="0.25">
      <c r="A16" s="51" t="s">
        <v>22</v>
      </c>
      <c r="B16" s="51"/>
      <c r="C16" s="51"/>
      <c r="D16" s="46" t="s">
        <v>12</v>
      </c>
      <c r="E16" s="43">
        <v>2026</v>
      </c>
      <c r="F16" s="37"/>
      <c r="H16" s="9"/>
      <c r="I16" s="9"/>
      <c r="J16" s="10"/>
      <c r="K16" s="25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25"/>
    </row>
    <row r="17" spans="1:22" x14ac:dyDescent="0.25">
      <c r="A17" s="51" t="s">
        <v>23</v>
      </c>
      <c r="B17" s="51"/>
      <c r="C17" s="51"/>
      <c r="D17" s="46" t="s">
        <v>12</v>
      </c>
      <c r="E17" s="63">
        <f>I48</f>
        <v>88500000</v>
      </c>
      <c r="F17" s="37"/>
      <c r="H17" s="9"/>
      <c r="I17" s="9"/>
      <c r="J17" s="10"/>
      <c r="K17" s="25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25"/>
    </row>
    <row r="18" spans="1:22" ht="15.75" x14ac:dyDescent="0.25">
      <c r="A18" s="8"/>
      <c r="B18" s="8"/>
      <c r="C18" s="11" t="s">
        <v>0</v>
      </c>
      <c r="D18" s="11"/>
      <c r="E18" s="47" t="str">
        <f>PROPER(IF(E17=0,"nol",IF(E17&lt;0,"minus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17),"000000000000000"),1,3)=0,"",MID(TEXT(ABS(E17),"000000000000000"),1,1)&amp;" ratus "&amp;MID(TEXT(ABS(E17),"000000000000000"),2,1)&amp;" puluh "&amp;MID(TEXT(ABS(E17),"000000000000000"),3,1)&amp;" trilyun ")&amp;IF(--MID(TEXT(ABS(E17),"000000000000000"),4,3)=0,"",MID(TEXT(ABS(E17),"000000000000000"),4,1)&amp;" ratus "&amp;MID(TEXT(ABS(E17),"000000000000000"),5,1)&amp;" puluh "&amp;MID(TEXT(ABS(E17),"000000000000000"),6,1)&amp;" milyar ")&amp;IF(--MID(TEXT(ABS(E17),"000000000000000"),7,3)=0,"",MID(TEXT(ABS(E17),"000000000000000"),7,1)&amp;" ratus "&amp;MID(TEXT(ABS(E17),"000000000000000"),8,1)&amp;" puluh "&amp;MID(TEXT(ABS(E17),"000000000000000"),9,1)&amp;" juta ")&amp;IF(--MID(TEXT(ABS(E17),"000000000000000"),10,3)=0,"",IF(--MID(TEXT(ABS(E17),"000000000000000"),10,3)=1,"*",MID(TEXT(ABS(E17),"000000000000000"),10,1)&amp;" ratus "&amp;MID(TEXT(ABS(E17),"000000000000000"),11,1)&amp;" puluh ")&amp;MID(TEXT(ABS(E17),"000000000000000"),12,1)&amp;" ribu ")&amp;IF(--MID(TEXT(ABS(E17),"000000000000000"),13,3)=0,"",MID(TEXT(ABS(E17),"000000000000000"),13,1)&amp;" ratus "&amp;MID(TEXT(ABS(E17),"000000000000000"),14,1)&amp;" puluh "&amp;MID(TEXT(ABS(E17),"000000000000000"),15,1)),1,"satu"),2,"dua"),3,"tiga"),4,"empat"),5,"lima"),6,"enam"),7,"tujuh"),8,"delapan"),9,"sembilan"),"0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Delapan Puluh Delapan Juta Lima Ratus Ribu Rupiah</v>
      </c>
      <c r="F18" s="37"/>
      <c r="H18" s="9"/>
      <c r="I18" s="9"/>
      <c r="J18" s="10"/>
      <c r="K18" s="25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25"/>
    </row>
    <row r="19" spans="1:22" ht="15.75" x14ac:dyDescent="0.25">
      <c r="A19" s="8"/>
      <c r="B19" s="8"/>
      <c r="C19" s="11"/>
      <c r="D19" s="11"/>
      <c r="E19" s="11"/>
      <c r="F19" s="37"/>
      <c r="G19" s="47"/>
      <c r="H19" s="9"/>
      <c r="I19" s="9"/>
      <c r="J19" s="10"/>
      <c r="K19" s="25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25"/>
    </row>
    <row r="20" spans="1:22" x14ac:dyDescent="0.25">
      <c r="A20" s="8" t="s">
        <v>1</v>
      </c>
      <c r="B20" s="8"/>
      <c r="C20" s="8"/>
      <c r="D20" s="8"/>
      <c r="E20" s="8"/>
      <c r="F20" s="8"/>
      <c r="G20" s="8"/>
      <c r="H20" s="9"/>
      <c r="I20" s="9"/>
      <c r="J20" s="10"/>
      <c r="K20" s="25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25"/>
    </row>
    <row r="21" spans="1:22" x14ac:dyDescent="0.25">
      <c r="A21" s="68" t="s">
        <v>2</v>
      </c>
      <c r="B21" s="68"/>
      <c r="C21" s="68"/>
      <c r="D21" s="68"/>
      <c r="E21" s="68"/>
      <c r="F21" s="68"/>
      <c r="G21" s="68"/>
      <c r="H21" s="68"/>
      <c r="I21" s="68"/>
      <c r="J21" s="68"/>
      <c r="K21" s="25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25"/>
    </row>
    <row r="22" spans="1:22" ht="60" x14ac:dyDescent="0.25">
      <c r="A22" s="12" t="s">
        <v>3</v>
      </c>
      <c r="B22" s="52" t="s">
        <v>24</v>
      </c>
      <c r="C22" s="71" t="s">
        <v>4</v>
      </c>
      <c r="D22" s="72"/>
      <c r="E22" s="73"/>
      <c r="F22" s="45"/>
      <c r="G22" s="38" t="s">
        <v>5</v>
      </c>
      <c r="H22" s="13" t="s">
        <v>36</v>
      </c>
      <c r="I22" s="14" t="s">
        <v>6</v>
      </c>
      <c r="J22" s="15" t="s">
        <v>7</v>
      </c>
      <c r="K22" s="25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25"/>
    </row>
    <row r="23" spans="1:22" ht="15" customHeight="1" x14ac:dyDescent="0.25">
      <c r="A23" s="62">
        <v>1</v>
      </c>
      <c r="B23" s="53"/>
      <c r="C23" s="74" t="s">
        <v>39</v>
      </c>
      <c r="D23" s="75"/>
      <c r="E23" s="76"/>
      <c r="F23" s="48"/>
      <c r="G23" s="55" t="s">
        <v>34</v>
      </c>
      <c r="H23" s="55" t="s">
        <v>34</v>
      </c>
      <c r="I23" s="55" t="s">
        <v>34</v>
      </c>
      <c r="J23" s="55" t="s">
        <v>34</v>
      </c>
      <c r="K23" s="25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25"/>
    </row>
    <row r="24" spans="1:22" ht="15" customHeight="1" x14ac:dyDescent="0.25">
      <c r="A24" s="49"/>
      <c r="B24" s="49" t="s">
        <v>25</v>
      </c>
      <c r="C24" s="65" t="s">
        <v>40</v>
      </c>
      <c r="D24" s="66"/>
      <c r="E24" s="67"/>
      <c r="F24" s="48"/>
      <c r="G24" s="55" t="s">
        <v>34</v>
      </c>
      <c r="H24" s="55" t="s">
        <v>34</v>
      </c>
      <c r="I24" s="55" t="s">
        <v>34</v>
      </c>
      <c r="J24" s="55" t="s">
        <v>34</v>
      </c>
      <c r="K24" s="25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25"/>
    </row>
    <row r="25" spans="1:22" ht="15" customHeight="1" x14ac:dyDescent="0.25">
      <c r="A25" s="49"/>
      <c r="B25" s="49"/>
      <c r="C25" s="61" t="s">
        <v>41</v>
      </c>
      <c r="D25" s="59"/>
      <c r="E25" s="60"/>
      <c r="F25" s="48"/>
      <c r="G25" s="50">
        <v>300000000</v>
      </c>
      <c r="H25" s="41">
        <f>FEBRUARI!H157+FEBRUARI!I157</f>
        <v>0</v>
      </c>
      <c r="I25" s="41">
        <v>0</v>
      </c>
      <c r="J25" s="57">
        <f t="shared" ref="J25:J47" si="0">G25-H25-I25</f>
        <v>300000000</v>
      </c>
      <c r="K25" s="25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25"/>
    </row>
    <row r="26" spans="1:22" ht="29.25" customHeight="1" x14ac:dyDescent="0.25">
      <c r="A26" s="49"/>
      <c r="B26" s="49"/>
      <c r="C26" s="65" t="s">
        <v>42</v>
      </c>
      <c r="D26" s="66"/>
      <c r="E26" s="67"/>
      <c r="F26" s="48"/>
      <c r="G26" s="50">
        <v>450000000</v>
      </c>
      <c r="H26" s="41">
        <f>FEBRUARI!H158+FEBRUARI!I158</f>
        <v>0</v>
      </c>
      <c r="I26" s="41">
        <v>0</v>
      </c>
      <c r="J26" s="57">
        <f t="shared" si="0"/>
        <v>450000000</v>
      </c>
      <c r="K26" s="25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25"/>
    </row>
    <row r="27" spans="1:22" ht="28.5" customHeight="1" x14ac:dyDescent="0.25">
      <c r="A27" s="49"/>
      <c r="B27" s="49"/>
      <c r="C27" s="65" t="s">
        <v>43</v>
      </c>
      <c r="D27" s="66"/>
      <c r="E27" s="67"/>
      <c r="F27" s="48"/>
      <c r="G27" s="50">
        <v>250000000</v>
      </c>
      <c r="H27" s="41">
        <f>FEBRUARI!H159+FEBRUARI!I159</f>
        <v>0</v>
      </c>
      <c r="I27" s="41">
        <v>0</v>
      </c>
      <c r="J27" s="57">
        <f t="shared" si="0"/>
        <v>250000000</v>
      </c>
      <c r="K27" s="25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25"/>
    </row>
    <row r="28" spans="1:22" ht="30.75" customHeight="1" x14ac:dyDescent="0.25">
      <c r="A28" s="58"/>
      <c r="B28" s="58" t="s">
        <v>26</v>
      </c>
      <c r="C28" s="65" t="s">
        <v>44</v>
      </c>
      <c r="D28" s="66"/>
      <c r="E28" s="67"/>
      <c r="F28" s="48"/>
      <c r="G28" s="50">
        <v>100000000</v>
      </c>
      <c r="H28" s="41">
        <f>FEBRUARI!H160+FEBRUARI!I160</f>
        <v>0</v>
      </c>
      <c r="I28" s="41">
        <v>0</v>
      </c>
      <c r="J28" s="57">
        <f t="shared" si="0"/>
        <v>100000000</v>
      </c>
      <c r="K28" s="25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25"/>
    </row>
    <row r="29" spans="1:22" x14ac:dyDescent="0.25">
      <c r="A29" s="58"/>
      <c r="B29" s="58" t="s">
        <v>27</v>
      </c>
      <c r="C29" s="61" t="s">
        <v>38</v>
      </c>
      <c r="D29" s="59"/>
      <c r="E29" s="60"/>
      <c r="F29" s="48"/>
      <c r="G29" s="55" t="s">
        <v>34</v>
      </c>
      <c r="H29" s="55" t="s">
        <v>34</v>
      </c>
      <c r="I29" s="55" t="s">
        <v>34</v>
      </c>
      <c r="J29" s="55" t="s">
        <v>34</v>
      </c>
      <c r="K29" s="25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25"/>
    </row>
    <row r="30" spans="1:22" ht="15.75" customHeight="1" x14ac:dyDescent="0.25">
      <c r="A30" s="49"/>
      <c r="B30" s="49"/>
      <c r="C30" s="65" t="s">
        <v>45</v>
      </c>
      <c r="D30" s="66"/>
      <c r="E30" s="67"/>
      <c r="F30" s="48"/>
      <c r="G30" s="50">
        <v>550000000</v>
      </c>
      <c r="H30" s="56">
        <f>FEBRUARI!H162+FEBRUARI!I162</f>
        <v>0</v>
      </c>
      <c r="I30" s="41">
        <v>0</v>
      </c>
      <c r="J30" s="57">
        <f t="shared" si="0"/>
        <v>550000000</v>
      </c>
      <c r="K30" s="25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25"/>
    </row>
    <row r="31" spans="1:22" ht="15.75" customHeight="1" x14ac:dyDescent="0.25">
      <c r="A31" s="58"/>
      <c r="B31" s="58"/>
      <c r="C31" s="65" t="s">
        <v>46</v>
      </c>
      <c r="D31" s="66"/>
      <c r="E31" s="67"/>
      <c r="F31" s="48"/>
      <c r="G31" s="50">
        <v>150000000</v>
      </c>
      <c r="H31" s="56">
        <f>FEBRUARI!H163+FEBRUARI!I163</f>
        <v>9852350</v>
      </c>
      <c r="I31" s="41">
        <v>0</v>
      </c>
      <c r="J31" s="57">
        <f t="shared" si="0"/>
        <v>140147650</v>
      </c>
      <c r="K31" s="25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25"/>
    </row>
    <row r="32" spans="1:22" x14ac:dyDescent="0.25">
      <c r="A32" s="49"/>
      <c r="B32" s="49"/>
      <c r="C32" s="65" t="s">
        <v>47</v>
      </c>
      <c r="D32" s="66"/>
      <c r="E32" s="67"/>
      <c r="F32" s="48"/>
      <c r="G32" s="50">
        <v>200000000</v>
      </c>
      <c r="H32" s="56">
        <f>FEBRUARI!H164+FEBRUARI!I164</f>
        <v>88500000</v>
      </c>
      <c r="I32" s="41">
        <v>88500000</v>
      </c>
      <c r="J32" s="42">
        <f t="shared" si="0"/>
        <v>23000000</v>
      </c>
      <c r="K32" s="25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25"/>
    </row>
    <row r="33" spans="1:22" x14ac:dyDescent="0.25">
      <c r="A33" s="49"/>
      <c r="B33" s="49"/>
      <c r="C33" s="78" t="s">
        <v>48</v>
      </c>
      <c r="D33" s="79"/>
      <c r="E33" s="80"/>
      <c r="F33" s="48"/>
      <c r="G33" s="50">
        <v>100000000</v>
      </c>
      <c r="H33" s="56">
        <f>FEBRUARI!H165+FEBRUARI!I165</f>
        <v>19958500</v>
      </c>
      <c r="I33" s="41">
        <v>0</v>
      </c>
      <c r="J33" s="42">
        <f t="shared" si="0"/>
        <v>80041500</v>
      </c>
      <c r="K33" s="25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25"/>
    </row>
    <row r="34" spans="1:22" ht="15" customHeight="1" x14ac:dyDescent="0.25">
      <c r="A34" s="49"/>
      <c r="B34" s="49"/>
      <c r="C34" s="65" t="s">
        <v>49</v>
      </c>
      <c r="D34" s="66"/>
      <c r="E34" s="67"/>
      <c r="F34" s="48"/>
      <c r="G34" s="50">
        <v>150000000</v>
      </c>
      <c r="H34" s="56">
        <f>FEBRUARI!H166+FEBRUARI!I166</f>
        <v>0</v>
      </c>
      <c r="I34" s="41">
        <v>0</v>
      </c>
      <c r="J34" s="42">
        <f t="shared" si="0"/>
        <v>150000000</v>
      </c>
      <c r="K34" s="25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25"/>
    </row>
    <row r="35" spans="1:22" ht="15" customHeight="1" x14ac:dyDescent="0.25">
      <c r="A35" s="49"/>
      <c r="B35" s="49"/>
      <c r="C35" s="65" t="s">
        <v>50</v>
      </c>
      <c r="D35" s="66"/>
      <c r="E35" s="67"/>
      <c r="F35" s="48"/>
      <c r="G35" s="50">
        <v>350000000</v>
      </c>
      <c r="H35" s="56">
        <f>FEBRUARI!H167+FEBRUARI!I167</f>
        <v>2760000</v>
      </c>
      <c r="I35" s="41">
        <v>0</v>
      </c>
      <c r="J35" s="42">
        <f t="shared" si="0"/>
        <v>347240000</v>
      </c>
      <c r="K35" s="25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25"/>
    </row>
    <row r="36" spans="1:22" ht="23.25" customHeight="1" x14ac:dyDescent="0.25">
      <c r="A36" s="49"/>
      <c r="B36" s="49" t="s">
        <v>28</v>
      </c>
      <c r="C36" s="65" t="s">
        <v>51</v>
      </c>
      <c r="D36" s="66"/>
      <c r="E36" s="67"/>
      <c r="F36" s="48"/>
      <c r="G36" s="64" t="s">
        <v>34</v>
      </c>
      <c r="H36" s="64" t="s">
        <v>34</v>
      </c>
      <c r="I36" s="64" t="s">
        <v>34</v>
      </c>
      <c r="J36" s="64" t="s">
        <v>34</v>
      </c>
      <c r="K36" s="25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25"/>
    </row>
    <row r="37" spans="1:22" ht="35.25" customHeight="1" x14ac:dyDescent="0.25">
      <c r="A37" s="49"/>
      <c r="B37" s="49"/>
      <c r="C37" s="65" t="s">
        <v>52</v>
      </c>
      <c r="D37" s="66"/>
      <c r="E37" s="67"/>
      <c r="F37" s="48"/>
      <c r="G37" s="50">
        <v>200000000</v>
      </c>
      <c r="H37" s="56">
        <f>FEBRUARI!H169+FEBRUARI!I169</f>
        <v>0</v>
      </c>
      <c r="I37" s="41">
        <v>0</v>
      </c>
      <c r="J37" s="57">
        <f t="shared" si="0"/>
        <v>200000000</v>
      </c>
      <c r="K37" s="25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25"/>
    </row>
    <row r="38" spans="1:22" ht="23.25" customHeight="1" x14ac:dyDescent="0.25">
      <c r="A38" s="49"/>
      <c r="B38" s="49"/>
      <c r="C38" s="65" t="s">
        <v>53</v>
      </c>
      <c r="D38" s="66"/>
      <c r="E38" s="67"/>
      <c r="F38" s="48"/>
      <c r="G38" s="50">
        <v>160000000</v>
      </c>
      <c r="H38" s="56">
        <f>FEBRUARI!H170+FEBRUARI!I170</f>
        <v>0</v>
      </c>
      <c r="I38" s="41">
        <v>0</v>
      </c>
      <c r="J38" s="57">
        <f t="shared" si="0"/>
        <v>160000000</v>
      </c>
      <c r="K38" s="25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25"/>
    </row>
    <row r="39" spans="1:22" ht="15" customHeight="1" x14ac:dyDescent="0.25">
      <c r="A39" s="49"/>
      <c r="B39" s="49" t="s">
        <v>29</v>
      </c>
      <c r="C39" s="61" t="s">
        <v>54</v>
      </c>
      <c r="D39" s="59"/>
      <c r="E39" s="60"/>
      <c r="F39" s="48"/>
      <c r="G39" s="55" t="s">
        <v>34</v>
      </c>
      <c r="H39" s="55" t="s">
        <v>34</v>
      </c>
      <c r="I39" s="55" t="s">
        <v>34</v>
      </c>
      <c r="J39" s="55" t="s">
        <v>34</v>
      </c>
      <c r="K39" s="25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25"/>
    </row>
    <row r="40" spans="1:22" ht="27.75" customHeight="1" x14ac:dyDescent="0.25">
      <c r="A40" s="49"/>
      <c r="B40" s="49"/>
      <c r="C40" s="65" t="s">
        <v>55</v>
      </c>
      <c r="D40" s="66"/>
      <c r="E40" s="67"/>
      <c r="F40" s="48"/>
      <c r="G40" s="50">
        <v>500000000</v>
      </c>
      <c r="H40" s="56">
        <f>FEBRUARI!H172+FEBRUARI!I172</f>
        <v>0</v>
      </c>
      <c r="I40" s="41">
        <v>0</v>
      </c>
      <c r="J40" s="57">
        <f t="shared" si="0"/>
        <v>500000000</v>
      </c>
      <c r="K40" s="25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25"/>
    </row>
    <row r="41" spans="1:22" ht="15" customHeight="1" x14ac:dyDescent="0.25">
      <c r="A41" s="49"/>
      <c r="B41" s="49"/>
      <c r="C41" s="61" t="s">
        <v>56</v>
      </c>
      <c r="D41" s="59"/>
      <c r="E41" s="60"/>
      <c r="F41" s="48"/>
      <c r="G41" s="50">
        <v>500000000</v>
      </c>
      <c r="H41" s="56">
        <f>FEBRUARI!H173+FEBRUARI!I173</f>
        <v>0</v>
      </c>
      <c r="I41" s="41">
        <v>0</v>
      </c>
      <c r="J41" s="57">
        <f t="shared" si="0"/>
        <v>500000000</v>
      </c>
      <c r="K41" s="25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25"/>
    </row>
    <row r="42" spans="1:22" ht="32.25" customHeight="1" x14ac:dyDescent="0.25">
      <c r="A42" s="49"/>
      <c r="B42" s="49"/>
      <c r="C42" s="65" t="s">
        <v>57</v>
      </c>
      <c r="D42" s="66"/>
      <c r="E42" s="67"/>
      <c r="F42" s="48"/>
      <c r="G42" s="50">
        <v>750000000</v>
      </c>
      <c r="H42" s="56">
        <f>FEBRUARI!H174+FEBRUARI!I174</f>
        <v>0</v>
      </c>
      <c r="I42" s="41">
        <v>0</v>
      </c>
      <c r="J42" s="57">
        <f t="shared" si="0"/>
        <v>750000000</v>
      </c>
      <c r="K42" s="25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25"/>
    </row>
    <row r="43" spans="1:22" ht="30" customHeight="1" x14ac:dyDescent="0.25">
      <c r="A43" s="49"/>
      <c r="B43" s="49"/>
      <c r="C43" s="65" t="s">
        <v>58</v>
      </c>
      <c r="D43" s="66"/>
      <c r="E43" s="67"/>
      <c r="F43" s="48"/>
      <c r="G43" s="50">
        <v>390000000</v>
      </c>
      <c r="H43" s="56">
        <f>FEBRUARI!H175+FEBRUARI!I175</f>
        <v>0</v>
      </c>
      <c r="I43" s="41">
        <v>0</v>
      </c>
      <c r="J43" s="57">
        <f t="shared" si="0"/>
        <v>390000000</v>
      </c>
      <c r="K43" s="25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25"/>
    </row>
    <row r="44" spans="1:22" ht="15" customHeight="1" x14ac:dyDescent="0.25">
      <c r="A44" s="49"/>
      <c r="B44" s="49"/>
      <c r="C44" s="61" t="s">
        <v>59</v>
      </c>
      <c r="D44" s="59"/>
      <c r="E44" s="60"/>
      <c r="F44" s="48"/>
      <c r="G44" s="50">
        <v>360000000</v>
      </c>
      <c r="H44" s="56">
        <f>FEBRUARI!H176+FEBRUARI!I176</f>
        <v>0</v>
      </c>
      <c r="I44" s="41">
        <v>0</v>
      </c>
      <c r="J44" s="57">
        <f t="shared" si="0"/>
        <v>360000000</v>
      </c>
      <c r="K44" s="25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25"/>
    </row>
    <row r="45" spans="1:22" ht="41.25" customHeight="1" x14ac:dyDescent="0.25">
      <c r="A45" s="49"/>
      <c r="B45" s="49" t="s">
        <v>30</v>
      </c>
      <c r="C45" s="65" t="s">
        <v>60</v>
      </c>
      <c r="D45" s="66"/>
      <c r="E45" s="67"/>
      <c r="F45" s="48"/>
      <c r="G45" s="64" t="s">
        <v>34</v>
      </c>
      <c r="H45" s="64" t="s">
        <v>34</v>
      </c>
      <c r="I45" s="64" t="s">
        <v>34</v>
      </c>
      <c r="J45" s="64" t="s">
        <v>34</v>
      </c>
      <c r="K45" s="25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25"/>
    </row>
    <row r="46" spans="1:22" ht="32.25" customHeight="1" x14ac:dyDescent="0.25">
      <c r="A46" s="49"/>
      <c r="B46" s="49"/>
      <c r="C46" s="65" t="s">
        <v>61</v>
      </c>
      <c r="D46" s="66"/>
      <c r="E46" s="67"/>
      <c r="F46" s="48"/>
      <c r="G46" s="50">
        <v>50000000</v>
      </c>
      <c r="H46" s="56">
        <f>FEBRUARI!H178+FEBRUARI!I178</f>
        <v>0</v>
      </c>
      <c r="I46" s="41">
        <v>0</v>
      </c>
      <c r="J46" s="57">
        <f t="shared" si="0"/>
        <v>50000000</v>
      </c>
      <c r="K46" s="25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25"/>
    </row>
    <row r="47" spans="1:22" ht="31.5" customHeight="1" x14ac:dyDescent="0.25">
      <c r="A47" s="49"/>
      <c r="B47" s="49"/>
      <c r="C47" s="81" t="s">
        <v>62</v>
      </c>
      <c r="D47" s="82"/>
      <c r="E47" s="83"/>
      <c r="F47" s="48"/>
      <c r="G47" s="50">
        <v>50000000</v>
      </c>
      <c r="H47" s="56">
        <f>FEBRUARI!H179+FEBRUARI!I179</f>
        <v>0</v>
      </c>
      <c r="I47" s="41">
        <v>0</v>
      </c>
      <c r="J47" s="57">
        <f t="shared" si="0"/>
        <v>50000000</v>
      </c>
      <c r="K47" s="25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25"/>
    </row>
    <row r="48" spans="1:22" x14ac:dyDescent="0.25">
      <c r="A48" s="16"/>
      <c r="B48" s="16"/>
      <c r="C48" s="17" t="s">
        <v>8</v>
      </c>
      <c r="D48" s="17"/>
      <c r="E48" s="17"/>
      <c r="F48" s="40"/>
      <c r="G48" s="39">
        <f>SUM(G23:G47)</f>
        <v>5560000000</v>
      </c>
      <c r="H48" s="18">
        <f>SUM(H24:H35)</f>
        <v>121070850</v>
      </c>
      <c r="I48" s="18">
        <f>SUM(I24:I36)</f>
        <v>88500000</v>
      </c>
      <c r="J48" s="18">
        <f>SUM(J24:J47)</f>
        <v>5350429150</v>
      </c>
      <c r="K48" s="25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25"/>
    </row>
    <row r="49" spans="1:22" x14ac:dyDescent="0.25">
      <c r="A49" s="19"/>
      <c r="B49" s="54"/>
      <c r="C49" s="6"/>
      <c r="D49" s="6"/>
      <c r="E49" s="6"/>
      <c r="F49" s="6"/>
      <c r="G49" s="20"/>
      <c r="H49" s="20"/>
      <c r="I49" s="20"/>
      <c r="J49" s="20"/>
      <c r="K49" s="25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25"/>
    </row>
    <row r="50" spans="1:22" x14ac:dyDescent="0.25">
      <c r="A50" s="77" t="s">
        <v>15</v>
      </c>
      <c r="B50" s="77"/>
      <c r="C50" s="77"/>
      <c r="D50" s="33" t="s">
        <v>12</v>
      </c>
      <c r="E50" s="36">
        <f>I48</f>
        <v>88500000</v>
      </c>
      <c r="F50" s="36"/>
      <c r="G50" s="21"/>
      <c r="H50" s="21"/>
      <c r="I50" s="10"/>
      <c r="J50" s="10"/>
      <c r="K50" s="25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25"/>
    </row>
    <row r="51" spans="1:22" x14ac:dyDescent="0.25">
      <c r="A51" s="8" t="s">
        <v>9</v>
      </c>
      <c r="B51" s="8"/>
      <c r="C51" s="8"/>
      <c r="D51" s="33" t="s">
        <v>12</v>
      </c>
      <c r="E51" s="34"/>
      <c r="F51" s="34"/>
      <c r="G51" s="22"/>
      <c r="H51" s="9"/>
      <c r="I51" s="10"/>
      <c r="J51" s="10"/>
      <c r="K51" s="25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25"/>
    </row>
    <row r="52" spans="1:22" x14ac:dyDescent="0.25">
      <c r="A52" s="8" t="s">
        <v>17</v>
      </c>
      <c r="B52" s="8"/>
      <c r="C52" s="8"/>
      <c r="D52" s="33" t="s">
        <v>12</v>
      </c>
      <c r="E52" s="35"/>
      <c r="F52" s="35"/>
      <c r="G52" s="22"/>
      <c r="H52" s="9"/>
      <c r="I52" s="10"/>
      <c r="J52" s="10"/>
      <c r="K52" s="25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25"/>
    </row>
    <row r="53" spans="1:22" x14ac:dyDescent="0.25">
      <c r="A53" s="8" t="s">
        <v>10</v>
      </c>
      <c r="B53" s="8"/>
      <c r="C53" s="8"/>
      <c r="D53" s="33" t="s">
        <v>12</v>
      </c>
      <c r="E53" s="35">
        <f>E51+E52</f>
        <v>0</v>
      </c>
      <c r="F53" s="35"/>
      <c r="G53" s="8"/>
      <c r="H53" s="9"/>
      <c r="I53" s="23"/>
      <c r="J53" s="24"/>
      <c r="K53" s="25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25"/>
    </row>
    <row r="54" spans="1:22" x14ac:dyDescent="0.25">
      <c r="A54" s="43"/>
      <c r="B54" s="43"/>
      <c r="C54" s="43"/>
      <c r="D54" s="33"/>
      <c r="E54" s="43"/>
      <c r="F54" s="43"/>
      <c r="G54" s="8"/>
      <c r="H54" s="9"/>
      <c r="I54" s="23"/>
      <c r="J54" s="24"/>
      <c r="K54" s="25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25"/>
    </row>
    <row r="55" spans="1:22" x14ac:dyDescent="0.25">
      <c r="A55" s="77" t="s">
        <v>16</v>
      </c>
      <c r="B55" s="77"/>
      <c r="C55" s="77"/>
      <c r="D55" s="33" t="s">
        <v>12</v>
      </c>
      <c r="E55" s="36">
        <f>E50-E53</f>
        <v>88500000</v>
      </c>
      <c r="F55" s="36"/>
      <c r="G55" s="8"/>
      <c r="H55" s="9"/>
      <c r="I55" s="23"/>
      <c r="J55" s="24"/>
      <c r="K55" s="25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25"/>
    </row>
    <row r="56" spans="1:22" ht="15.75" x14ac:dyDescent="0.25">
      <c r="A56" s="43"/>
      <c r="B56" s="43"/>
      <c r="C56" s="8"/>
      <c r="D56" s="8"/>
      <c r="E56" s="47" t="str">
        <f>PROPER(IF(E55=0,"nol",IF(E55&lt;0,"minus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55),"000000000000000"),1,3)=0,"",MID(TEXT(ABS(E55),"000000000000000"),1,1)&amp;" ratus "&amp;MID(TEXT(ABS(E55),"000000000000000"),2,1)&amp;" puluh "&amp;MID(TEXT(ABS(E55),"000000000000000"),3,1)&amp;" trilyun ")&amp;IF(--MID(TEXT(ABS(E55),"000000000000000"),4,3)=0,"",MID(TEXT(ABS(E55),"000000000000000"),4,1)&amp;" ratus "&amp;MID(TEXT(ABS(E55),"000000000000000"),5,1)&amp;" puluh "&amp;MID(TEXT(ABS(E55),"000000000000000"),6,1)&amp;" milyar ")&amp;IF(--MID(TEXT(ABS(E55),"000000000000000"),7,3)=0,"",MID(TEXT(ABS(E55),"000000000000000"),7,1)&amp;" ratus "&amp;MID(TEXT(ABS(E55),"000000000000000"),8,1)&amp;" puluh "&amp;MID(TEXT(ABS(E55),"000000000000000"),9,1)&amp;" juta ")&amp;IF(--MID(TEXT(ABS(E55),"000000000000000"),10,3)=0,"",IF(--MID(TEXT(ABS(E55),"000000000000000"),10,3)=1,"*",MID(TEXT(ABS(E55),"000000000000000"),10,1)&amp;" ratus "&amp;MID(TEXT(ABS(E55),"000000000000000"),11,1)&amp;" puluh ")&amp;MID(TEXT(ABS(E55),"000000000000000"),12,1)&amp;" ribu ")&amp;IF(--MID(TEXT(ABS(E55),"000000000000000"),13,3)=0,"",MID(TEXT(ABS(E55),"000000000000000"),13,1)&amp;" ratus "&amp;MID(TEXT(ABS(E55),"000000000000000"),14,1)&amp;" puluh "&amp;MID(TEXT(ABS(E55),"000000000000000"),15,1)),1,"satu"),2,"dua"),3,"tiga"),4,"empat"),5,"lima"),6,"enam"),7,"tujuh"),8,"delapan"),9,"sembilan"),"0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Delapan Puluh Delapan Juta Lima Ratus Ribu Rupiah</v>
      </c>
      <c r="F56" s="8"/>
      <c r="G56" s="8"/>
      <c r="H56" s="8"/>
      <c r="I56" s="23"/>
      <c r="J56" s="24"/>
      <c r="K56" s="25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25"/>
    </row>
    <row r="57" spans="1:22" x14ac:dyDescent="0.25">
      <c r="A57" s="26"/>
      <c r="B57" s="26"/>
      <c r="C57" s="26"/>
      <c r="D57" s="26"/>
      <c r="E57" s="26"/>
      <c r="F57" s="26"/>
      <c r="G57" s="25"/>
      <c r="H57" s="24"/>
      <c r="I57" s="23"/>
      <c r="J57" s="24"/>
      <c r="K57" s="25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25"/>
    </row>
    <row r="58" spans="1:22" x14ac:dyDescent="0.25">
      <c r="A58" s="25"/>
      <c r="B58" s="25"/>
      <c r="C58" s="25"/>
      <c r="D58" s="25"/>
      <c r="E58" s="25"/>
      <c r="F58" s="25"/>
      <c r="G58" s="25"/>
      <c r="H58"/>
      <c r="I58" s="24"/>
      <c r="J58" s="24"/>
      <c r="K58" s="25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25"/>
    </row>
    <row r="59" spans="1:22" x14ac:dyDescent="0.25">
      <c r="A59" s="43"/>
      <c r="B59" s="43"/>
      <c r="C59" s="8"/>
      <c r="D59" s="8"/>
      <c r="E59" s="8"/>
      <c r="F59" s="8"/>
      <c r="G59" s="8"/>
      <c r="I59" s="44" t="s">
        <v>72</v>
      </c>
      <c r="J59" s="24"/>
      <c r="K59" s="25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25"/>
    </row>
    <row r="60" spans="1:22" x14ac:dyDescent="0.25">
      <c r="A60" s="9" t="s">
        <v>32</v>
      </c>
      <c r="B60" s="8"/>
      <c r="C60" s="8"/>
      <c r="D60" s="8"/>
      <c r="E60" s="8"/>
      <c r="F60" s="8"/>
      <c r="G60" s="8"/>
      <c r="I60" s="9" t="s">
        <v>31</v>
      </c>
      <c r="J60" s="24"/>
      <c r="K60" s="25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25"/>
    </row>
    <row r="61" spans="1:22" x14ac:dyDescent="0.25">
      <c r="A61" s="8"/>
      <c r="B61" s="8"/>
      <c r="C61" s="8"/>
      <c r="D61" s="8"/>
      <c r="E61" s="8"/>
      <c r="F61" s="8"/>
      <c r="G61" s="8"/>
      <c r="I61" s="9"/>
      <c r="J61" s="24"/>
      <c r="K61" s="25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25"/>
    </row>
    <row r="62" spans="1:22" x14ac:dyDescent="0.25">
      <c r="A62" s="8"/>
      <c r="B62" s="8"/>
      <c r="C62" s="8"/>
      <c r="D62" s="8"/>
      <c r="E62" s="8"/>
      <c r="F62" s="8"/>
      <c r="G62" s="8"/>
      <c r="I62" s="9"/>
      <c r="J62" s="24"/>
      <c r="K62" s="25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25"/>
    </row>
    <row r="63" spans="1:22" x14ac:dyDescent="0.25">
      <c r="A63" s="8"/>
      <c r="B63" s="8"/>
      <c r="C63" s="8"/>
      <c r="D63" s="8"/>
      <c r="E63" s="8"/>
      <c r="F63" s="8"/>
      <c r="G63" s="8"/>
      <c r="I63" s="9"/>
      <c r="J63" s="24"/>
      <c r="K63" s="25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25"/>
    </row>
    <row r="64" spans="1:22" x14ac:dyDescent="0.25">
      <c r="A64" s="8"/>
      <c r="B64" s="8"/>
      <c r="C64" s="8"/>
      <c r="D64" s="8"/>
      <c r="E64" s="8"/>
      <c r="F64" s="8"/>
      <c r="G64" s="8"/>
      <c r="I64" s="9"/>
      <c r="J64" s="24"/>
      <c r="K64" s="25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25"/>
    </row>
    <row r="65" spans="1:22" x14ac:dyDescent="0.25">
      <c r="A65" s="28" t="s">
        <v>37</v>
      </c>
      <c r="B65" s="28"/>
      <c r="C65" s="27"/>
      <c r="D65" s="27"/>
      <c r="E65" s="27"/>
      <c r="F65" s="27"/>
      <c r="G65" s="8" t="s">
        <v>11</v>
      </c>
      <c r="I65" s="28" t="s">
        <v>33</v>
      </c>
      <c r="J65" s="24"/>
      <c r="K65" s="25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25"/>
    </row>
    <row r="66" spans="1:22" x14ac:dyDescent="0.25">
      <c r="A66" s="30"/>
      <c r="B66" s="30"/>
      <c r="C66" s="29"/>
      <c r="D66" s="29"/>
      <c r="E66" s="29"/>
      <c r="F66" s="29"/>
      <c r="G66" s="29"/>
      <c r="H66" s="30"/>
      <c r="I66" s="30"/>
      <c r="J66" s="24"/>
      <c r="K66" s="25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25"/>
    </row>
    <row r="70" spans="1:22" ht="15.75" x14ac:dyDescent="0.25">
      <c r="C70" s="3"/>
      <c r="D70" s="3"/>
      <c r="E70" s="3"/>
      <c r="F70" s="3"/>
    </row>
    <row r="71" spans="1:22" ht="15.75" x14ac:dyDescent="0.25">
      <c r="A71" s="2"/>
      <c r="B71" s="2"/>
      <c r="C71" s="3"/>
      <c r="D71" s="3"/>
      <c r="E71" s="3"/>
      <c r="F71" s="3"/>
      <c r="G71" s="2"/>
      <c r="H71" s="4"/>
      <c r="I71" s="4"/>
      <c r="J71" s="5"/>
    </row>
    <row r="72" spans="1:22" x14ac:dyDescent="0.25">
      <c r="H72" s="5"/>
      <c r="I72" s="5"/>
      <c r="J72" s="5"/>
    </row>
    <row r="73" spans="1:22" x14ac:dyDescent="0.25">
      <c r="H73" s="5"/>
      <c r="I73" s="5"/>
      <c r="J73" s="5"/>
    </row>
    <row r="74" spans="1:22" x14ac:dyDescent="0.25">
      <c r="A74" s="69" t="s">
        <v>35</v>
      </c>
      <c r="B74" s="69"/>
      <c r="C74" s="70"/>
      <c r="D74" s="70"/>
      <c r="E74" s="70"/>
      <c r="F74" s="70"/>
      <c r="G74" s="70"/>
      <c r="H74" s="70"/>
      <c r="I74" s="70"/>
      <c r="J74" s="70"/>
    </row>
    <row r="75" spans="1:22" x14ac:dyDescent="0.25">
      <c r="A75" s="70" t="s">
        <v>69</v>
      </c>
      <c r="B75" s="70"/>
      <c r="C75" s="70"/>
      <c r="D75" s="70"/>
      <c r="E75" s="70"/>
      <c r="F75" s="70"/>
      <c r="G75" s="70"/>
      <c r="H75" s="70"/>
      <c r="I75" s="70"/>
      <c r="J75" s="70"/>
    </row>
    <row r="76" spans="1:22" x14ac:dyDescent="0.25">
      <c r="A76" s="70" t="s">
        <v>13</v>
      </c>
      <c r="B76" s="70"/>
      <c r="C76" s="70"/>
      <c r="D76" s="70"/>
      <c r="E76" s="70"/>
      <c r="F76" s="70"/>
      <c r="G76" s="70"/>
      <c r="H76" s="70"/>
      <c r="I76" s="70"/>
      <c r="J76" s="70"/>
    </row>
    <row r="77" spans="1:22" x14ac:dyDescent="0.25">
      <c r="A77" s="70" t="s">
        <v>63</v>
      </c>
      <c r="B77" s="70"/>
      <c r="C77" s="70"/>
      <c r="D77" s="70"/>
      <c r="E77" s="70"/>
      <c r="F77" s="70"/>
      <c r="G77" s="70"/>
      <c r="H77" s="70"/>
      <c r="I77" s="70"/>
      <c r="J77" s="70"/>
    </row>
    <row r="78" spans="1:22" x14ac:dyDescent="0.25">
      <c r="A78" s="70" t="s">
        <v>14</v>
      </c>
      <c r="B78" s="70"/>
      <c r="C78" s="70"/>
      <c r="D78" s="70"/>
      <c r="E78" s="70"/>
      <c r="F78" s="70"/>
      <c r="G78" s="70"/>
      <c r="H78" s="70"/>
      <c r="I78" s="70"/>
      <c r="J78" s="70"/>
    </row>
    <row r="79" spans="1:22" x14ac:dyDescent="0.25">
      <c r="A79" s="32"/>
      <c r="B79" s="32"/>
      <c r="C79" s="7"/>
      <c r="D79" s="7"/>
      <c r="E79" s="7"/>
      <c r="F79" s="7"/>
      <c r="G79" s="6"/>
      <c r="H79" s="10"/>
      <c r="I79" s="10"/>
      <c r="J79" s="10"/>
    </row>
    <row r="80" spans="1:22" x14ac:dyDescent="0.25">
      <c r="A80" s="51" t="s">
        <v>20</v>
      </c>
      <c r="B80" s="51"/>
      <c r="C80" s="51"/>
      <c r="D80" s="46" t="s">
        <v>12</v>
      </c>
      <c r="E80" s="8" t="s">
        <v>19</v>
      </c>
      <c r="F80" s="37"/>
      <c r="H80" s="9"/>
      <c r="I80" s="9"/>
      <c r="J80" s="10"/>
    </row>
    <row r="81" spans="1:10" x14ac:dyDescent="0.25">
      <c r="A81" s="51" t="s">
        <v>21</v>
      </c>
      <c r="B81" s="51"/>
      <c r="C81" s="51"/>
      <c r="D81" s="46" t="s">
        <v>12</v>
      </c>
      <c r="E81" s="8" t="s">
        <v>18</v>
      </c>
      <c r="F81" s="37"/>
      <c r="H81" s="9"/>
      <c r="I81" s="9"/>
      <c r="J81" s="10"/>
    </row>
    <row r="82" spans="1:10" x14ac:dyDescent="0.25">
      <c r="A82" s="51" t="s">
        <v>22</v>
      </c>
      <c r="B82" s="51"/>
      <c r="C82" s="51"/>
      <c r="D82" s="46" t="s">
        <v>12</v>
      </c>
      <c r="E82" s="43">
        <v>2026</v>
      </c>
      <c r="F82" s="37"/>
      <c r="H82" s="9"/>
      <c r="I82" s="9"/>
      <c r="J82" s="10"/>
    </row>
    <row r="83" spans="1:10" x14ac:dyDescent="0.25">
      <c r="A83" s="51" t="s">
        <v>23</v>
      </c>
      <c r="B83" s="51"/>
      <c r="C83" s="51"/>
      <c r="D83" s="46" t="s">
        <v>12</v>
      </c>
      <c r="E83" s="63">
        <f>I114</f>
        <v>9852350</v>
      </c>
      <c r="F83" s="37"/>
      <c r="H83" s="9"/>
      <c r="I83" s="9"/>
      <c r="J83" s="10"/>
    </row>
    <row r="84" spans="1:10" ht="15.75" x14ac:dyDescent="0.25">
      <c r="A84" s="8"/>
      <c r="B84" s="8"/>
      <c r="C84" s="11" t="s">
        <v>0</v>
      </c>
      <c r="D84" s="11"/>
      <c r="E84" s="47" t="str">
        <f>PROPER(IF(E83=0,"nol",IF(E83&lt;0,"minus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83),"000000000000000"),1,3)=0,"",MID(TEXT(ABS(E83),"000000000000000"),1,1)&amp;" ratus "&amp;MID(TEXT(ABS(E83),"000000000000000"),2,1)&amp;" puluh "&amp;MID(TEXT(ABS(E83),"000000000000000"),3,1)&amp;" trilyun ")&amp;IF(--MID(TEXT(ABS(E83),"000000000000000"),4,3)=0,"",MID(TEXT(ABS(E83),"000000000000000"),4,1)&amp;" ratus "&amp;MID(TEXT(ABS(E83),"000000000000000"),5,1)&amp;" puluh "&amp;MID(TEXT(ABS(E83),"000000000000000"),6,1)&amp;" milyar ")&amp;IF(--MID(TEXT(ABS(E83),"000000000000000"),7,3)=0,"",MID(TEXT(ABS(E83),"000000000000000"),7,1)&amp;" ratus "&amp;MID(TEXT(ABS(E83),"000000000000000"),8,1)&amp;" puluh "&amp;MID(TEXT(ABS(E83),"000000000000000"),9,1)&amp;" juta ")&amp;IF(--MID(TEXT(ABS(E83),"000000000000000"),10,3)=0,"",IF(--MID(TEXT(ABS(E83),"000000000000000"),10,3)=1,"*",MID(TEXT(ABS(E83),"000000000000000"),10,1)&amp;" ratus "&amp;MID(TEXT(ABS(E83),"000000000000000"),11,1)&amp;" puluh ")&amp;MID(TEXT(ABS(E83),"000000000000000"),12,1)&amp;" ribu ")&amp;IF(--MID(TEXT(ABS(E83),"000000000000000"),13,3)=0,"",MID(TEXT(ABS(E83),"000000000000000"),13,1)&amp;" ratus "&amp;MID(TEXT(ABS(E83),"000000000000000"),14,1)&amp;" puluh "&amp;MID(TEXT(ABS(E83),"000000000000000"),15,1)),1,"satu"),2,"dua"),3,"tiga"),4,"empat"),5,"lima"),6,"enam"),7,"tujuh"),8,"delapan"),9,"sembilan"),"0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Sembilan Juta Delapan Ratus Lima Puluh Dua Ribu Tiga Ratus Lima Puluh Rupiah</v>
      </c>
      <c r="F84" s="37"/>
      <c r="H84" s="9"/>
      <c r="I84" s="9"/>
      <c r="J84" s="10"/>
    </row>
    <row r="85" spans="1:10" ht="15.75" x14ac:dyDescent="0.25">
      <c r="A85" s="8"/>
      <c r="B85" s="8"/>
      <c r="C85" s="11"/>
      <c r="D85" s="11"/>
      <c r="E85" s="11"/>
      <c r="F85" s="37"/>
      <c r="G85" s="47"/>
      <c r="H85" s="9"/>
      <c r="I85" s="9"/>
      <c r="J85" s="10"/>
    </row>
    <row r="86" spans="1:10" x14ac:dyDescent="0.25">
      <c r="A86" s="8" t="s">
        <v>1</v>
      </c>
      <c r="B86" s="8"/>
      <c r="C86" s="8"/>
      <c r="D86" s="8"/>
      <c r="E86" s="8"/>
      <c r="F86" s="8"/>
      <c r="G86" s="8"/>
      <c r="H86" s="9"/>
      <c r="I86" s="9"/>
      <c r="J86" s="10"/>
    </row>
    <row r="87" spans="1:10" x14ac:dyDescent="0.25">
      <c r="A87" s="68" t="s">
        <v>2</v>
      </c>
      <c r="B87" s="68"/>
      <c r="C87" s="68"/>
      <c r="D87" s="68"/>
      <c r="E87" s="68"/>
      <c r="F87" s="68"/>
      <c r="G87" s="68"/>
      <c r="H87" s="68"/>
      <c r="I87" s="68"/>
      <c r="J87" s="68"/>
    </row>
    <row r="88" spans="1:10" ht="60" x14ac:dyDescent="0.25">
      <c r="A88" s="12" t="s">
        <v>3</v>
      </c>
      <c r="B88" s="52" t="s">
        <v>24</v>
      </c>
      <c r="C88" s="71" t="s">
        <v>4</v>
      </c>
      <c r="D88" s="72"/>
      <c r="E88" s="73"/>
      <c r="F88" s="45"/>
      <c r="G88" s="38" t="s">
        <v>5</v>
      </c>
      <c r="H88" s="13" t="s">
        <v>36</v>
      </c>
      <c r="I88" s="14" t="s">
        <v>6</v>
      </c>
      <c r="J88" s="15" t="s">
        <v>7</v>
      </c>
    </row>
    <row r="89" spans="1:10" x14ac:dyDescent="0.25">
      <c r="A89" s="62">
        <v>1</v>
      </c>
      <c r="B89" s="53"/>
      <c r="C89" s="74" t="s">
        <v>39</v>
      </c>
      <c r="D89" s="75"/>
      <c r="E89" s="76"/>
      <c r="F89" s="48"/>
      <c r="G89" s="55" t="s">
        <v>34</v>
      </c>
      <c r="H89" s="55" t="s">
        <v>34</v>
      </c>
      <c r="I89" s="55" t="s">
        <v>34</v>
      </c>
      <c r="J89" s="55" t="s">
        <v>34</v>
      </c>
    </row>
    <row r="90" spans="1:10" x14ac:dyDescent="0.25">
      <c r="A90" s="49"/>
      <c r="B90" s="49" t="s">
        <v>25</v>
      </c>
      <c r="C90" s="65" t="s">
        <v>40</v>
      </c>
      <c r="D90" s="66"/>
      <c r="E90" s="67"/>
      <c r="F90" s="48"/>
      <c r="G90" s="55" t="s">
        <v>34</v>
      </c>
      <c r="H90" s="55" t="s">
        <v>34</v>
      </c>
      <c r="I90" s="55" t="s">
        <v>34</v>
      </c>
      <c r="J90" s="55" t="s">
        <v>34</v>
      </c>
    </row>
    <row r="91" spans="1:10" x14ac:dyDescent="0.25">
      <c r="A91" s="49"/>
      <c r="B91" s="49"/>
      <c r="C91" s="61" t="s">
        <v>41</v>
      </c>
      <c r="D91" s="59"/>
      <c r="E91" s="60"/>
      <c r="F91" s="48"/>
      <c r="G91" s="50">
        <v>300000000</v>
      </c>
      <c r="H91" s="41">
        <f>H25+I25</f>
        <v>0</v>
      </c>
      <c r="I91" s="41">
        <v>0</v>
      </c>
      <c r="J91" s="57">
        <f t="shared" ref="J91:J94" si="1">G91-H91-I91</f>
        <v>300000000</v>
      </c>
    </row>
    <row r="92" spans="1:10" ht="29.25" customHeight="1" x14ac:dyDescent="0.25">
      <c r="A92" s="49"/>
      <c r="B92" s="49"/>
      <c r="C92" s="65" t="s">
        <v>42</v>
      </c>
      <c r="D92" s="66"/>
      <c r="E92" s="67"/>
      <c r="F92" s="48"/>
      <c r="G92" s="50">
        <v>450000000</v>
      </c>
      <c r="H92" s="41">
        <f t="shared" ref="H92:H94" si="2">H26+I26</f>
        <v>0</v>
      </c>
      <c r="I92" s="41">
        <v>0</v>
      </c>
      <c r="J92" s="57">
        <f t="shared" si="1"/>
        <v>450000000</v>
      </c>
    </row>
    <row r="93" spans="1:10" ht="28.5" customHeight="1" x14ac:dyDescent="0.25">
      <c r="A93" s="49"/>
      <c r="B93" s="49"/>
      <c r="C93" s="65" t="s">
        <v>43</v>
      </c>
      <c r="D93" s="66"/>
      <c r="E93" s="67"/>
      <c r="F93" s="48"/>
      <c r="G93" s="50">
        <v>250000000</v>
      </c>
      <c r="H93" s="41">
        <f t="shared" si="2"/>
        <v>0</v>
      </c>
      <c r="I93" s="41">
        <v>0</v>
      </c>
      <c r="J93" s="57">
        <f t="shared" si="1"/>
        <v>250000000</v>
      </c>
    </row>
    <row r="94" spans="1:10" ht="30.75" customHeight="1" x14ac:dyDescent="0.25">
      <c r="A94" s="58"/>
      <c r="B94" s="58" t="s">
        <v>26</v>
      </c>
      <c r="C94" s="65" t="s">
        <v>44</v>
      </c>
      <c r="D94" s="66"/>
      <c r="E94" s="67"/>
      <c r="F94" s="48"/>
      <c r="G94" s="50">
        <v>100000000</v>
      </c>
      <c r="H94" s="41">
        <f t="shared" si="2"/>
        <v>0</v>
      </c>
      <c r="I94" s="41">
        <v>0</v>
      </c>
      <c r="J94" s="57">
        <f t="shared" si="1"/>
        <v>100000000</v>
      </c>
    </row>
    <row r="95" spans="1:10" x14ac:dyDescent="0.25">
      <c r="A95" s="58"/>
      <c r="B95" s="58" t="s">
        <v>27</v>
      </c>
      <c r="C95" s="61" t="s">
        <v>38</v>
      </c>
      <c r="D95" s="59"/>
      <c r="E95" s="60"/>
      <c r="F95" s="48"/>
      <c r="G95" s="55" t="s">
        <v>34</v>
      </c>
      <c r="H95" s="55" t="s">
        <v>34</v>
      </c>
      <c r="I95" s="55" t="s">
        <v>34</v>
      </c>
      <c r="J95" s="55" t="s">
        <v>34</v>
      </c>
    </row>
    <row r="96" spans="1:10" x14ac:dyDescent="0.25">
      <c r="A96" s="49"/>
      <c r="B96" s="49"/>
      <c r="C96" s="65" t="s">
        <v>45</v>
      </c>
      <c r="D96" s="66"/>
      <c r="E96" s="67"/>
      <c r="F96" s="48"/>
      <c r="G96" s="50">
        <v>550000000</v>
      </c>
      <c r="H96" s="56">
        <f>H30+I30</f>
        <v>0</v>
      </c>
      <c r="I96" s="41">
        <v>0</v>
      </c>
      <c r="J96" s="57">
        <f t="shared" ref="J96:J101" si="3">G96-H96-I96</f>
        <v>550000000</v>
      </c>
    </row>
    <row r="97" spans="1:10" x14ac:dyDescent="0.25">
      <c r="A97" s="58"/>
      <c r="B97" s="58"/>
      <c r="C97" s="65" t="s">
        <v>46</v>
      </c>
      <c r="D97" s="66"/>
      <c r="E97" s="67"/>
      <c r="F97" s="48"/>
      <c r="G97" s="50">
        <v>150000000</v>
      </c>
      <c r="H97" s="56">
        <f t="shared" ref="H97:H101" si="4">H31+I31</f>
        <v>9852350</v>
      </c>
      <c r="I97" s="41">
        <v>9852350</v>
      </c>
      <c r="J97" s="57">
        <f t="shared" si="3"/>
        <v>130295300</v>
      </c>
    </row>
    <row r="98" spans="1:10" x14ac:dyDescent="0.25">
      <c r="A98" s="49"/>
      <c r="B98" s="49"/>
      <c r="C98" s="65" t="s">
        <v>47</v>
      </c>
      <c r="D98" s="66"/>
      <c r="E98" s="67"/>
      <c r="F98" s="48"/>
      <c r="G98" s="50">
        <v>200000000</v>
      </c>
      <c r="H98" s="56">
        <f t="shared" si="4"/>
        <v>177000000</v>
      </c>
      <c r="I98" s="41">
        <v>0</v>
      </c>
      <c r="J98" s="42">
        <f t="shared" si="3"/>
        <v>23000000</v>
      </c>
    </row>
    <row r="99" spans="1:10" x14ac:dyDescent="0.25">
      <c r="A99" s="49"/>
      <c r="B99" s="49"/>
      <c r="C99" s="78" t="s">
        <v>48</v>
      </c>
      <c r="D99" s="79"/>
      <c r="E99" s="80"/>
      <c r="F99" s="48"/>
      <c r="G99" s="50">
        <v>100000000</v>
      </c>
      <c r="H99" s="56">
        <f t="shared" si="4"/>
        <v>19958500</v>
      </c>
      <c r="I99" s="41">
        <v>0</v>
      </c>
      <c r="J99" s="42">
        <f t="shared" si="3"/>
        <v>80041500</v>
      </c>
    </row>
    <row r="100" spans="1:10" x14ac:dyDescent="0.25">
      <c r="A100" s="49"/>
      <c r="B100" s="49"/>
      <c r="C100" s="65" t="s">
        <v>49</v>
      </c>
      <c r="D100" s="66"/>
      <c r="E100" s="67"/>
      <c r="F100" s="48"/>
      <c r="G100" s="50">
        <v>150000000</v>
      </c>
      <c r="H100" s="56">
        <f t="shared" si="4"/>
        <v>0</v>
      </c>
      <c r="I100" s="41">
        <v>0</v>
      </c>
      <c r="J100" s="42">
        <f t="shared" si="3"/>
        <v>150000000</v>
      </c>
    </row>
    <row r="101" spans="1:10" x14ac:dyDescent="0.25">
      <c r="A101" s="49"/>
      <c r="B101" s="49"/>
      <c r="C101" s="65" t="s">
        <v>50</v>
      </c>
      <c r="D101" s="66"/>
      <c r="E101" s="67"/>
      <c r="F101" s="48"/>
      <c r="G101" s="50">
        <v>350000000</v>
      </c>
      <c r="H101" s="56">
        <f t="shared" si="4"/>
        <v>2760000</v>
      </c>
      <c r="I101" s="41">
        <v>0</v>
      </c>
      <c r="J101" s="42">
        <f t="shared" si="3"/>
        <v>347240000</v>
      </c>
    </row>
    <row r="102" spans="1:10" ht="23.25" customHeight="1" x14ac:dyDescent="0.25">
      <c r="A102" s="49"/>
      <c r="B102" s="49" t="s">
        <v>28</v>
      </c>
      <c r="C102" s="65" t="s">
        <v>51</v>
      </c>
      <c r="D102" s="66"/>
      <c r="E102" s="67"/>
      <c r="F102" s="48"/>
      <c r="G102" s="64" t="s">
        <v>34</v>
      </c>
      <c r="H102" s="64" t="s">
        <v>34</v>
      </c>
      <c r="I102" s="64" t="s">
        <v>34</v>
      </c>
      <c r="J102" s="64" t="s">
        <v>34</v>
      </c>
    </row>
    <row r="103" spans="1:10" ht="35.25" customHeight="1" x14ac:dyDescent="0.25">
      <c r="A103" s="49"/>
      <c r="B103" s="49"/>
      <c r="C103" s="65" t="s">
        <v>52</v>
      </c>
      <c r="D103" s="66"/>
      <c r="E103" s="67"/>
      <c r="F103" s="48"/>
      <c r="G103" s="50">
        <v>200000000</v>
      </c>
      <c r="H103" s="56">
        <f>H37+I37</f>
        <v>0</v>
      </c>
      <c r="I103" s="41">
        <v>0</v>
      </c>
      <c r="J103" s="57">
        <f t="shared" ref="J103:J104" si="5">G103-H103-I103</f>
        <v>200000000</v>
      </c>
    </row>
    <row r="104" spans="1:10" ht="23.25" customHeight="1" x14ac:dyDescent="0.25">
      <c r="A104" s="49"/>
      <c r="B104" s="49"/>
      <c r="C104" s="65" t="s">
        <v>53</v>
      </c>
      <c r="D104" s="66"/>
      <c r="E104" s="67"/>
      <c r="F104" s="48"/>
      <c r="G104" s="50">
        <v>160000000</v>
      </c>
      <c r="H104" s="56">
        <f>H38+I38</f>
        <v>0</v>
      </c>
      <c r="I104" s="41">
        <v>0</v>
      </c>
      <c r="J104" s="57">
        <f t="shared" si="5"/>
        <v>160000000</v>
      </c>
    </row>
    <row r="105" spans="1:10" x14ac:dyDescent="0.25">
      <c r="A105" s="49"/>
      <c r="B105" s="49" t="s">
        <v>29</v>
      </c>
      <c r="C105" s="61" t="s">
        <v>54</v>
      </c>
      <c r="D105" s="59"/>
      <c r="E105" s="60"/>
      <c r="F105" s="48"/>
      <c r="G105" s="55" t="s">
        <v>34</v>
      </c>
      <c r="H105" s="55" t="s">
        <v>34</v>
      </c>
      <c r="I105" s="55" t="s">
        <v>34</v>
      </c>
      <c r="J105" s="55" t="s">
        <v>34</v>
      </c>
    </row>
    <row r="106" spans="1:10" ht="27.75" customHeight="1" x14ac:dyDescent="0.25">
      <c r="A106" s="49"/>
      <c r="B106" s="49"/>
      <c r="C106" s="65" t="s">
        <v>55</v>
      </c>
      <c r="D106" s="66"/>
      <c r="E106" s="67"/>
      <c r="F106" s="48"/>
      <c r="G106" s="50">
        <v>500000000</v>
      </c>
      <c r="H106" s="56">
        <f>H40+I40</f>
        <v>0</v>
      </c>
      <c r="I106" s="41">
        <v>0</v>
      </c>
      <c r="J106" s="57">
        <f t="shared" ref="J106:J110" si="6">G106-H106-I106</f>
        <v>500000000</v>
      </c>
    </row>
    <row r="107" spans="1:10" x14ac:dyDescent="0.25">
      <c r="A107" s="49"/>
      <c r="B107" s="49"/>
      <c r="C107" s="61" t="s">
        <v>56</v>
      </c>
      <c r="D107" s="59"/>
      <c r="E107" s="60"/>
      <c r="F107" s="48"/>
      <c r="G107" s="50">
        <v>500000000</v>
      </c>
      <c r="H107" s="56">
        <f t="shared" ref="H107:H110" si="7">H41+I41</f>
        <v>0</v>
      </c>
      <c r="I107" s="41">
        <v>0</v>
      </c>
      <c r="J107" s="57">
        <f t="shared" si="6"/>
        <v>500000000</v>
      </c>
    </row>
    <row r="108" spans="1:10" ht="32.25" customHeight="1" x14ac:dyDescent="0.25">
      <c r="A108" s="49"/>
      <c r="B108" s="49"/>
      <c r="C108" s="65" t="s">
        <v>57</v>
      </c>
      <c r="D108" s="66"/>
      <c r="E108" s="67"/>
      <c r="F108" s="48"/>
      <c r="G108" s="50">
        <v>750000000</v>
      </c>
      <c r="H108" s="56">
        <f t="shared" si="7"/>
        <v>0</v>
      </c>
      <c r="I108" s="41">
        <v>0</v>
      </c>
      <c r="J108" s="57">
        <f t="shared" si="6"/>
        <v>750000000</v>
      </c>
    </row>
    <row r="109" spans="1:10" ht="30" customHeight="1" x14ac:dyDescent="0.25">
      <c r="A109" s="49"/>
      <c r="B109" s="49"/>
      <c r="C109" s="65" t="s">
        <v>58</v>
      </c>
      <c r="D109" s="66"/>
      <c r="E109" s="67"/>
      <c r="F109" s="48"/>
      <c r="G109" s="50">
        <v>390000000</v>
      </c>
      <c r="H109" s="56">
        <f t="shared" si="7"/>
        <v>0</v>
      </c>
      <c r="I109" s="41">
        <v>0</v>
      </c>
      <c r="J109" s="57">
        <f t="shared" si="6"/>
        <v>390000000</v>
      </c>
    </row>
    <row r="110" spans="1:10" x14ac:dyDescent="0.25">
      <c r="A110" s="49"/>
      <c r="B110" s="49"/>
      <c r="C110" s="61" t="s">
        <v>59</v>
      </c>
      <c r="D110" s="59"/>
      <c r="E110" s="60"/>
      <c r="F110" s="48"/>
      <c r="G110" s="50">
        <v>360000000</v>
      </c>
      <c r="H110" s="56">
        <f t="shared" si="7"/>
        <v>0</v>
      </c>
      <c r="I110" s="41">
        <v>0</v>
      </c>
      <c r="J110" s="57">
        <f t="shared" si="6"/>
        <v>360000000</v>
      </c>
    </row>
    <row r="111" spans="1:10" ht="41.25" customHeight="1" x14ac:dyDescent="0.25">
      <c r="A111" s="49"/>
      <c r="B111" s="49" t="s">
        <v>30</v>
      </c>
      <c r="C111" s="65" t="s">
        <v>60</v>
      </c>
      <c r="D111" s="66"/>
      <c r="E111" s="67"/>
      <c r="F111" s="48"/>
      <c r="G111" s="64" t="s">
        <v>34</v>
      </c>
      <c r="H111" s="64" t="s">
        <v>34</v>
      </c>
      <c r="I111" s="64" t="s">
        <v>34</v>
      </c>
      <c r="J111" s="64" t="s">
        <v>34</v>
      </c>
    </row>
    <row r="112" spans="1:10" ht="32.25" customHeight="1" x14ac:dyDescent="0.25">
      <c r="A112" s="49"/>
      <c r="B112" s="49"/>
      <c r="C112" s="65" t="s">
        <v>61</v>
      </c>
      <c r="D112" s="66"/>
      <c r="E112" s="67"/>
      <c r="F112" s="48"/>
      <c r="G112" s="50">
        <v>50000000</v>
      </c>
      <c r="H112" s="56">
        <f>H46+I46</f>
        <v>0</v>
      </c>
      <c r="I112" s="41">
        <v>0</v>
      </c>
      <c r="J112" s="57">
        <f t="shared" ref="J112:J113" si="8">G112-H112-I112</f>
        <v>50000000</v>
      </c>
    </row>
    <row r="113" spans="1:10" ht="31.5" customHeight="1" x14ac:dyDescent="0.25">
      <c r="A113" s="49"/>
      <c r="B113" s="49"/>
      <c r="C113" s="81" t="s">
        <v>62</v>
      </c>
      <c r="D113" s="82"/>
      <c r="E113" s="83"/>
      <c r="F113" s="48"/>
      <c r="G113" s="50">
        <v>50000000</v>
      </c>
      <c r="H113" s="56">
        <f>H47+I47</f>
        <v>0</v>
      </c>
      <c r="I113" s="41">
        <v>0</v>
      </c>
      <c r="J113" s="57">
        <f t="shared" si="8"/>
        <v>50000000</v>
      </c>
    </row>
    <row r="114" spans="1:10" x14ac:dyDescent="0.25">
      <c r="A114" s="16"/>
      <c r="B114" s="16"/>
      <c r="C114" s="17" t="s">
        <v>8</v>
      </c>
      <c r="D114" s="17"/>
      <c r="E114" s="17"/>
      <c r="F114" s="40"/>
      <c r="G114" s="39">
        <f>SUM(G89:G113)</f>
        <v>5560000000</v>
      </c>
      <c r="H114" s="18">
        <f>SUM(H90:H101)</f>
        <v>209570850</v>
      </c>
      <c r="I114" s="18">
        <f>SUM(I90:I102)</f>
        <v>9852350</v>
      </c>
      <c r="J114" s="18">
        <f>SUM(J90:J113)</f>
        <v>5340576800</v>
      </c>
    </row>
    <row r="115" spans="1:10" x14ac:dyDescent="0.25">
      <c r="A115" s="19"/>
      <c r="B115" s="54"/>
      <c r="C115" s="6"/>
      <c r="D115" s="6"/>
      <c r="E115" s="6"/>
      <c r="F115" s="6"/>
      <c r="G115" s="20"/>
      <c r="H115" s="20"/>
      <c r="I115" s="20"/>
      <c r="J115" s="20"/>
    </row>
    <row r="116" spans="1:10" x14ac:dyDescent="0.25">
      <c r="A116" s="77" t="s">
        <v>15</v>
      </c>
      <c r="B116" s="77"/>
      <c r="C116" s="77"/>
      <c r="D116" s="33" t="s">
        <v>12</v>
      </c>
      <c r="E116" s="36">
        <f>I114</f>
        <v>9852350</v>
      </c>
      <c r="F116" s="36"/>
      <c r="G116" s="21"/>
      <c r="H116" s="21"/>
      <c r="I116" s="10"/>
      <c r="J116" s="10"/>
    </row>
    <row r="117" spans="1:10" x14ac:dyDescent="0.25">
      <c r="A117" s="8" t="s">
        <v>9</v>
      </c>
      <c r="B117" s="8"/>
      <c r="C117" s="8"/>
      <c r="D117" s="33" t="s">
        <v>12</v>
      </c>
      <c r="E117" s="34"/>
      <c r="F117" s="34"/>
      <c r="G117" s="22"/>
      <c r="H117" s="9"/>
      <c r="I117" s="10"/>
      <c r="J117" s="10"/>
    </row>
    <row r="118" spans="1:10" x14ac:dyDescent="0.25">
      <c r="A118" s="8" t="s">
        <v>17</v>
      </c>
      <c r="B118" s="8"/>
      <c r="C118" s="8"/>
      <c r="D118" s="33" t="s">
        <v>12</v>
      </c>
      <c r="E118" s="35"/>
      <c r="F118" s="35"/>
      <c r="G118" s="22"/>
      <c r="H118" s="9"/>
      <c r="I118" s="10"/>
      <c r="J118" s="10"/>
    </row>
    <row r="119" spans="1:10" x14ac:dyDescent="0.25">
      <c r="A119" s="8" t="s">
        <v>10</v>
      </c>
      <c r="B119" s="8"/>
      <c r="C119" s="8"/>
      <c r="D119" s="33" t="s">
        <v>12</v>
      </c>
      <c r="E119" s="35">
        <f>E117+E118</f>
        <v>0</v>
      </c>
      <c r="F119" s="35"/>
      <c r="G119" s="8"/>
      <c r="H119" s="9"/>
      <c r="I119" s="23"/>
      <c r="J119" s="24"/>
    </row>
    <row r="120" spans="1:10" x14ac:dyDescent="0.25">
      <c r="A120" s="43"/>
      <c r="B120" s="43"/>
      <c r="C120" s="43"/>
      <c r="D120" s="33"/>
      <c r="E120" s="43"/>
      <c r="F120" s="43"/>
      <c r="G120" s="8"/>
      <c r="H120" s="9"/>
      <c r="I120" s="23"/>
      <c r="J120" s="24"/>
    </row>
    <row r="121" spans="1:10" x14ac:dyDescent="0.25">
      <c r="A121" s="77" t="s">
        <v>16</v>
      </c>
      <c r="B121" s="77"/>
      <c r="C121" s="77"/>
      <c r="D121" s="33" t="s">
        <v>12</v>
      </c>
      <c r="E121" s="36">
        <f>E116-E119</f>
        <v>9852350</v>
      </c>
      <c r="F121" s="36"/>
      <c r="G121" s="8"/>
      <c r="H121" s="9"/>
      <c r="I121" s="23"/>
      <c r="J121" s="24"/>
    </row>
    <row r="122" spans="1:10" ht="15.75" x14ac:dyDescent="0.25">
      <c r="A122" s="43"/>
      <c r="B122" s="43"/>
      <c r="C122" s="8"/>
      <c r="D122" s="8"/>
      <c r="E122" s="47" t="str">
        <f>PROPER(IF(E121=0,"nol",IF(E121&lt;0,"minus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121),"000000000000000"),1,3)=0,"",MID(TEXT(ABS(E121),"000000000000000"),1,1)&amp;" ratus "&amp;MID(TEXT(ABS(E121),"000000000000000"),2,1)&amp;" puluh "&amp;MID(TEXT(ABS(E121),"000000000000000"),3,1)&amp;" trilyun ")&amp;IF(--MID(TEXT(ABS(E121),"000000000000000"),4,3)=0,"",MID(TEXT(ABS(E121),"000000000000000"),4,1)&amp;" ratus "&amp;MID(TEXT(ABS(E121),"000000000000000"),5,1)&amp;" puluh "&amp;MID(TEXT(ABS(E121),"000000000000000"),6,1)&amp;" milyar ")&amp;IF(--MID(TEXT(ABS(E121),"000000000000000"),7,3)=0,"",MID(TEXT(ABS(E121),"000000000000000"),7,1)&amp;" ratus "&amp;MID(TEXT(ABS(E121),"000000000000000"),8,1)&amp;" puluh "&amp;MID(TEXT(ABS(E121),"000000000000000"),9,1)&amp;" juta ")&amp;IF(--MID(TEXT(ABS(E121),"000000000000000"),10,3)=0,"",IF(--MID(TEXT(ABS(E121),"000000000000000"),10,3)=1,"*",MID(TEXT(ABS(E121),"000000000000000"),10,1)&amp;" ratus "&amp;MID(TEXT(ABS(E121),"000000000000000"),11,1)&amp;" puluh ")&amp;MID(TEXT(ABS(E121),"000000000000000"),12,1)&amp;" ribu ")&amp;IF(--MID(TEXT(ABS(E121),"000000000000000"),13,3)=0,"",MID(TEXT(ABS(E121),"000000000000000"),13,1)&amp;" ratus "&amp;MID(TEXT(ABS(E121),"000000000000000"),14,1)&amp;" puluh "&amp;MID(TEXT(ABS(E121),"000000000000000"),15,1)),1,"satu"),2,"dua"),3,"tiga"),4,"empat"),5,"lima"),6,"enam"),7,"tujuh"),8,"delapan"),9,"sembilan"),"0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Sembilan Juta Delapan Ratus Lima Puluh Dua Ribu Tiga Ratus Lima Puluh Rupiah</v>
      </c>
      <c r="F122" s="8"/>
      <c r="G122" s="8"/>
      <c r="H122" s="8"/>
      <c r="I122" s="23"/>
      <c r="J122" s="24"/>
    </row>
    <row r="123" spans="1:10" x14ac:dyDescent="0.25">
      <c r="A123" s="26"/>
      <c r="B123" s="26"/>
      <c r="C123" s="26"/>
      <c r="D123" s="26"/>
      <c r="E123" s="26"/>
      <c r="F123" s="26"/>
      <c r="G123" s="25"/>
      <c r="H123" s="24"/>
      <c r="I123" s="23"/>
      <c r="J123" s="24"/>
    </row>
    <row r="124" spans="1:10" x14ac:dyDescent="0.25">
      <c r="A124" s="25"/>
      <c r="B124" s="25"/>
      <c r="C124" s="25"/>
      <c r="D124" s="25"/>
      <c r="E124" s="25"/>
      <c r="F124" s="25"/>
      <c r="G124" s="25"/>
      <c r="H124"/>
      <c r="I124" s="24"/>
      <c r="J124" s="24"/>
    </row>
    <row r="125" spans="1:10" x14ac:dyDescent="0.25">
      <c r="A125" s="43"/>
      <c r="B125" s="43"/>
      <c r="C125" s="8"/>
      <c r="D125" s="8"/>
      <c r="E125" s="8"/>
      <c r="F125" s="8"/>
      <c r="G125" s="8"/>
      <c r="I125" s="44" t="s">
        <v>68</v>
      </c>
      <c r="J125" s="24"/>
    </row>
    <row r="126" spans="1:10" x14ac:dyDescent="0.25">
      <c r="A126" s="9" t="s">
        <v>32</v>
      </c>
      <c r="B126" s="8"/>
      <c r="C126" s="8"/>
      <c r="D126" s="8"/>
      <c r="E126" s="8"/>
      <c r="F126" s="8"/>
      <c r="G126" s="8"/>
      <c r="I126" s="9" t="s">
        <v>31</v>
      </c>
      <c r="J126" s="24"/>
    </row>
    <row r="127" spans="1:10" x14ac:dyDescent="0.25">
      <c r="A127" s="8"/>
      <c r="B127" s="8"/>
      <c r="C127" s="8"/>
      <c r="D127" s="8"/>
      <c r="E127" s="8"/>
      <c r="F127" s="8"/>
      <c r="G127" s="8"/>
      <c r="I127" s="9"/>
      <c r="J127" s="24"/>
    </row>
    <row r="128" spans="1:10" x14ac:dyDescent="0.25">
      <c r="A128" s="8"/>
      <c r="B128" s="8"/>
      <c r="C128" s="8"/>
      <c r="D128" s="8"/>
      <c r="E128" s="8"/>
      <c r="F128" s="8"/>
      <c r="G128" s="8"/>
      <c r="I128" s="9"/>
      <c r="J128" s="24"/>
    </row>
    <row r="129" spans="1:10" x14ac:dyDescent="0.25">
      <c r="A129" s="8"/>
      <c r="B129" s="8"/>
      <c r="C129" s="8"/>
      <c r="D129" s="8"/>
      <c r="E129" s="8"/>
      <c r="F129" s="8"/>
      <c r="G129" s="8"/>
      <c r="I129" s="9"/>
      <c r="J129" s="24"/>
    </row>
    <row r="130" spans="1:10" x14ac:dyDescent="0.25">
      <c r="A130" s="8"/>
      <c r="B130" s="8"/>
      <c r="C130" s="8"/>
      <c r="D130" s="8"/>
      <c r="E130" s="8"/>
      <c r="F130" s="8"/>
      <c r="G130" s="8"/>
      <c r="I130" s="9"/>
      <c r="J130" s="24"/>
    </row>
    <row r="131" spans="1:10" x14ac:dyDescent="0.25">
      <c r="A131" s="28" t="s">
        <v>37</v>
      </c>
      <c r="B131" s="28"/>
      <c r="C131" s="27"/>
      <c r="D131" s="27"/>
      <c r="E131" s="27"/>
      <c r="F131" s="27"/>
      <c r="G131" s="8" t="s">
        <v>11</v>
      </c>
      <c r="I131" s="28" t="s">
        <v>33</v>
      </c>
      <c r="J131" s="24"/>
    </row>
    <row r="136" spans="1:10" ht="15.75" x14ac:dyDescent="0.25">
      <c r="C136" s="3"/>
      <c r="D136" s="3"/>
      <c r="E136" s="3"/>
      <c r="F136" s="3"/>
    </row>
    <row r="137" spans="1:10" ht="15.75" x14ac:dyDescent="0.25">
      <c r="A137" s="2"/>
      <c r="B137" s="2"/>
      <c r="C137" s="3"/>
      <c r="D137" s="3"/>
      <c r="E137" s="3"/>
      <c r="F137" s="3"/>
      <c r="G137" s="2"/>
      <c r="H137" s="4"/>
      <c r="I137" s="4"/>
      <c r="J137" s="5"/>
    </row>
    <row r="138" spans="1:10" x14ac:dyDescent="0.25">
      <c r="H138" s="5"/>
      <c r="I138" s="5"/>
      <c r="J138" s="5"/>
    </row>
    <row r="139" spans="1:10" x14ac:dyDescent="0.25">
      <c r="H139" s="5"/>
      <c r="I139" s="5"/>
      <c r="J139" s="5"/>
    </row>
    <row r="140" spans="1:10" x14ac:dyDescent="0.25">
      <c r="A140" s="69" t="s">
        <v>35</v>
      </c>
      <c r="B140" s="69"/>
      <c r="C140" s="70"/>
      <c r="D140" s="70"/>
      <c r="E140" s="70"/>
      <c r="F140" s="70"/>
      <c r="G140" s="70"/>
      <c r="H140" s="70"/>
      <c r="I140" s="70"/>
      <c r="J140" s="70"/>
    </row>
    <row r="141" spans="1:10" x14ac:dyDescent="0.25">
      <c r="A141" s="70" t="s">
        <v>69</v>
      </c>
      <c r="B141" s="70"/>
      <c r="C141" s="70"/>
      <c r="D141" s="70"/>
      <c r="E141" s="70"/>
      <c r="F141" s="70"/>
      <c r="G141" s="70"/>
      <c r="H141" s="70"/>
      <c r="I141" s="70"/>
      <c r="J141" s="70"/>
    </row>
    <row r="142" spans="1:10" x14ac:dyDescent="0.25">
      <c r="A142" s="70" t="s">
        <v>13</v>
      </c>
      <c r="B142" s="70"/>
      <c r="C142" s="70"/>
      <c r="D142" s="70"/>
      <c r="E142" s="70"/>
      <c r="F142" s="70"/>
      <c r="G142" s="70"/>
      <c r="H142" s="70"/>
      <c r="I142" s="70"/>
      <c r="J142" s="70"/>
    </row>
    <row r="143" spans="1:10" x14ac:dyDescent="0.25">
      <c r="A143" s="70" t="s">
        <v>63</v>
      </c>
      <c r="B143" s="70"/>
      <c r="C143" s="70"/>
      <c r="D143" s="70"/>
      <c r="E143" s="70"/>
      <c r="F143" s="70"/>
      <c r="G143" s="70"/>
      <c r="H143" s="70"/>
      <c r="I143" s="70"/>
      <c r="J143" s="70"/>
    </row>
    <row r="144" spans="1:10" x14ac:dyDescent="0.25">
      <c r="A144" s="70" t="s">
        <v>14</v>
      </c>
      <c r="B144" s="70"/>
      <c r="C144" s="70"/>
      <c r="D144" s="70"/>
      <c r="E144" s="70"/>
      <c r="F144" s="70"/>
      <c r="G144" s="70"/>
      <c r="H144" s="70"/>
      <c r="I144" s="70"/>
      <c r="J144" s="70"/>
    </row>
    <row r="145" spans="1:10" x14ac:dyDescent="0.25">
      <c r="A145" s="32"/>
      <c r="B145" s="32"/>
      <c r="C145" s="7"/>
      <c r="D145" s="7"/>
      <c r="E145" s="7"/>
      <c r="F145" s="7"/>
      <c r="G145" s="6"/>
      <c r="H145" s="10"/>
      <c r="I145" s="10"/>
      <c r="J145" s="10"/>
    </row>
    <row r="146" spans="1:10" x14ac:dyDescent="0.25">
      <c r="A146" s="51" t="s">
        <v>20</v>
      </c>
      <c r="B146" s="51"/>
      <c r="C146" s="51"/>
      <c r="D146" s="46" t="s">
        <v>12</v>
      </c>
      <c r="E146" s="8" t="s">
        <v>19</v>
      </c>
      <c r="F146" s="37"/>
      <c r="H146" s="9"/>
      <c r="I146" s="9"/>
      <c r="J146" s="10"/>
    </row>
    <row r="147" spans="1:10" x14ac:dyDescent="0.25">
      <c r="A147" s="51" t="s">
        <v>21</v>
      </c>
      <c r="B147" s="51"/>
      <c r="C147" s="51"/>
      <c r="D147" s="46" t="s">
        <v>12</v>
      </c>
      <c r="E147" s="8" t="s">
        <v>18</v>
      </c>
      <c r="F147" s="37"/>
      <c r="H147" s="9"/>
      <c r="I147" s="9"/>
      <c r="J147" s="10"/>
    </row>
    <row r="148" spans="1:10" x14ac:dyDescent="0.25">
      <c r="A148" s="51" t="s">
        <v>22</v>
      </c>
      <c r="B148" s="51"/>
      <c r="C148" s="51"/>
      <c r="D148" s="46" t="s">
        <v>12</v>
      </c>
      <c r="E148" s="43">
        <v>2026</v>
      </c>
      <c r="F148" s="37"/>
      <c r="H148" s="9"/>
      <c r="I148" s="9"/>
      <c r="J148" s="10"/>
    </row>
    <row r="149" spans="1:10" x14ac:dyDescent="0.25">
      <c r="A149" s="51" t="s">
        <v>23</v>
      </c>
      <c r="B149" s="51"/>
      <c r="C149" s="51"/>
      <c r="D149" s="46" t="s">
        <v>12</v>
      </c>
      <c r="E149" s="63">
        <f>I180</f>
        <v>19958500</v>
      </c>
      <c r="F149" s="37"/>
      <c r="H149" s="9"/>
      <c r="I149" s="9"/>
      <c r="J149" s="10"/>
    </row>
    <row r="150" spans="1:10" ht="15.75" x14ac:dyDescent="0.25">
      <c r="A150" s="8"/>
      <c r="B150" s="8"/>
      <c r="C150" s="11" t="s">
        <v>0</v>
      </c>
      <c r="D150" s="11"/>
      <c r="E150" s="47" t="str">
        <f>PROPER(IF(E149=0,"nol",IF(E149&lt;0,"minus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149),"000000000000000"),1,3)=0,"",MID(TEXT(ABS(E149),"000000000000000"),1,1)&amp;" ratus "&amp;MID(TEXT(ABS(E149),"000000000000000"),2,1)&amp;" puluh "&amp;MID(TEXT(ABS(E149),"000000000000000"),3,1)&amp;" trilyun ")&amp;IF(--MID(TEXT(ABS(E149),"000000000000000"),4,3)=0,"",MID(TEXT(ABS(E149),"000000000000000"),4,1)&amp;" ratus "&amp;MID(TEXT(ABS(E149),"000000000000000"),5,1)&amp;" puluh "&amp;MID(TEXT(ABS(E149),"000000000000000"),6,1)&amp;" milyar ")&amp;IF(--MID(TEXT(ABS(E149),"000000000000000"),7,3)=0,"",MID(TEXT(ABS(E149),"000000000000000"),7,1)&amp;" ratus "&amp;MID(TEXT(ABS(E149),"000000000000000"),8,1)&amp;" puluh "&amp;MID(TEXT(ABS(E149),"000000000000000"),9,1)&amp;" juta ")&amp;IF(--MID(TEXT(ABS(E149),"000000000000000"),10,3)=0,"",IF(--MID(TEXT(ABS(E149),"000000000000000"),10,3)=1,"*",MID(TEXT(ABS(E149),"000000000000000"),10,1)&amp;" ratus "&amp;MID(TEXT(ABS(E149),"000000000000000"),11,1)&amp;" puluh ")&amp;MID(TEXT(ABS(E149),"000000000000000"),12,1)&amp;" ribu ")&amp;IF(--MID(TEXT(ABS(E149),"000000000000000"),13,3)=0,"",MID(TEXT(ABS(E149),"000000000000000"),13,1)&amp;" ratus "&amp;MID(TEXT(ABS(E149),"000000000000000"),14,1)&amp;" puluh "&amp;MID(TEXT(ABS(E149),"000000000000000"),15,1)),1,"satu"),2,"dua"),3,"tiga"),4,"empat"),5,"lima"),6,"enam"),7,"tujuh"),8,"delapan"),9,"sembilan"),"0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Sembilanbelas Juta Sembilan Ratus Lima Puluh Delapan Ribu Lima Ratus Rupiah</v>
      </c>
      <c r="F150" s="37"/>
      <c r="H150" s="9"/>
      <c r="I150" s="9"/>
      <c r="J150" s="10"/>
    </row>
    <row r="151" spans="1:10" ht="15.75" x14ac:dyDescent="0.25">
      <c r="A151" s="8"/>
      <c r="B151" s="8"/>
      <c r="C151" s="11"/>
      <c r="D151" s="11"/>
      <c r="E151" s="11"/>
      <c r="F151" s="37"/>
      <c r="G151" s="47"/>
      <c r="H151" s="9"/>
      <c r="I151" s="9"/>
      <c r="J151" s="10"/>
    </row>
    <row r="152" spans="1:10" x14ac:dyDescent="0.25">
      <c r="A152" s="8" t="s">
        <v>1</v>
      </c>
      <c r="B152" s="8"/>
      <c r="C152" s="8"/>
      <c r="D152" s="8"/>
      <c r="E152" s="8"/>
      <c r="F152" s="8"/>
      <c r="G152" s="8"/>
      <c r="H152" s="9"/>
      <c r="I152" s="9"/>
      <c r="J152" s="10"/>
    </row>
    <row r="153" spans="1:10" x14ac:dyDescent="0.25">
      <c r="A153" s="68" t="s">
        <v>2</v>
      </c>
      <c r="B153" s="68"/>
      <c r="C153" s="68"/>
      <c r="D153" s="68"/>
      <c r="E153" s="68"/>
      <c r="F153" s="68"/>
      <c r="G153" s="68"/>
      <c r="H153" s="68"/>
      <c r="I153" s="68"/>
      <c r="J153" s="68"/>
    </row>
    <row r="154" spans="1:10" ht="60" x14ac:dyDescent="0.25">
      <c r="A154" s="12" t="s">
        <v>3</v>
      </c>
      <c r="B154" s="52" t="s">
        <v>24</v>
      </c>
      <c r="C154" s="71" t="s">
        <v>4</v>
      </c>
      <c r="D154" s="72"/>
      <c r="E154" s="73"/>
      <c r="F154" s="45"/>
      <c r="G154" s="38" t="s">
        <v>5</v>
      </c>
      <c r="H154" s="13" t="s">
        <v>36</v>
      </c>
      <c r="I154" s="14" t="s">
        <v>6</v>
      </c>
      <c r="J154" s="15" t="s">
        <v>7</v>
      </c>
    </row>
    <row r="155" spans="1:10" x14ac:dyDescent="0.25">
      <c r="A155" s="62">
        <v>1</v>
      </c>
      <c r="B155" s="53"/>
      <c r="C155" s="74" t="s">
        <v>39</v>
      </c>
      <c r="D155" s="75"/>
      <c r="E155" s="76"/>
      <c r="F155" s="48"/>
      <c r="G155" s="55" t="s">
        <v>34</v>
      </c>
      <c r="H155" s="55" t="s">
        <v>34</v>
      </c>
      <c r="I155" s="55" t="s">
        <v>34</v>
      </c>
      <c r="J155" s="55" t="s">
        <v>34</v>
      </c>
    </row>
    <row r="156" spans="1:10" x14ac:dyDescent="0.25">
      <c r="A156" s="49"/>
      <c r="B156" s="49" t="s">
        <v>25</v>
      </c>
      <c r="C156" s="65" t="s">
        <v>40</v>
      </c>
      <c r="D156" s="66"/>
      <c r="E156" s="67"/>
      <c r="F156" s="48"/>
      <c r="G156" s="55" t="s">
        <v>34</v>
      </c>
      <c r="H156" s="55" t="s">
        <v>34</v>
      </c>
      <c r="I156" s="55" t="s">
        <v>34</v>
      </c>
      <c r="J156" s="55" t="s">
        <v>34</v>
      </c>
    </row>
    <row r="157" spans="1:10" x14ac:dyDescent="0.25">
      <c r="A157" s="49"/>
      <c r="B157" s="49"/>
      <c r="C157" s="61" t="s">
        <v>41</v>
      </c>
      <c r="D157" s="59"/>
      <c r="E157" s="60"/>
      <c r="F157" s="48"/>
      <c r="G157" s="50">
        <v>300000000</v>
      </c>
      <c r="H157" s="41">
        <f>H91+I91</f>
        <v>0</v>
      </c>
      <c r="I157" s="41">
        <v>0</v>
      </c>
      <c r="J157" s="57">
        <f t="shared" ref="J157:J160" si="9">G157-H157-I157</f>
        <v>300000000</v>
      </c>
    </row>
    <row r="158" spans="1:10" x14ac:dyDescent="0.25">
      <c r="A158" s="49"/>
      <c r="B158" s="49"/>
      <c r="C158" s="65" t="s">
        <v>42</v>
      </c>
      <c r="D158" s="66"/>
      <c r="E158" s="67"/>
      <c r="F158" s="48"/>
      <c r="G158" s="50">
        <v>450000000</v>
      </c>
      <c r="H158" s="41">
        <f t="shared" ref="H158:H160" si="10">H92+I92</f>
        <v>0</v>
      </c>
      <c r="I158" s="41">
        <v>0</v>
      </c>
      <c r="J158" s="57">
        <f t="shared" si="9"/>
        <v>450000000</v>
      </c>
    </row>
    <row r="159" spans="1:10" x14ac:dyDescent="0.25">
      <c r="A159" s="49"/>
      <c r="B159" s="49"/>
      <c r="C159" s="65" t="s">
        <v>43</v>
      </c>
      <c r="D159" s="66"/>
      <c r="E159" s="67"/>
      <c r="F159" s="48"/>
      <c r="G159" s="50">
        <v>250000000</v>
      </c>
      <c r="H159" s="41">
        <f t="shared" si="10"/>
        <v>0</v>
      </c>
      <c r="I159" s="41">
        <v>0</v>
      </c>
      <c r="J159" s="57">
        <f t="shared" si="9"/>
        <v>250000000</v>
      </c>
    </row>
    <row r="160" spans="1:10" x14ac:dyDescent="0.25">
      <c r="A160" s="58"/>
      <c r="B160" s="58" t="s">
        <v>26</v>
      </c>
      <c r="C160" s="65" t="s">
        <v>44</v>
      </c>
      <c r="D160" s="66"/>
      <c r="E160" s="67"/>
      <c r="F160" s="48"/>
      <c r="G160" s="50">
        <v>100000000</v>
      </c>
      <c r="H160" s="41">
        <f t="shared" si="10"/>
        <v>0</v>
      </c>
      <c r="I160" s="41">
        <v>0</v>
      </c>
      <c r="J160" s="57">
        <f t="shared" si="9"/>
        <v>100000000</v>
      </c>
    </row>
    <row r="161" spans="1:10" x14ac:dyDescent="0.25">
      <c r="A161" s="58"/>
      <c r="B161" s="58" t="s">
        <v>27</v>
      </c>
      <c r="C161" s="61" t="s">
        <v>38</v>
      </c>
      <c r="D161" s="59"/>
      <c r="E161" s="60"/>
      <c r="F161" s="48"/>
      <c r="G161" s="55" t="s">
        <v>34</v>
      </c>
      <c r="H161" s="55" t="s">
        <v>34</v>
      </c>
      <c r="I161" s="55" t="s">
        <v>34</v>
      </c>
      <c r="J161" s="55" t="s">
        <v>34</v>
      </c>
    </row>
    <row r="162" spans="1:10" x14ac:dyDescent="0.25">
      <c r="A162" s="49"/>
      <c r="B162" s="49"/>
      <c r="C162" s="65" t="s">
        <v>45</v>
      </c>
      <c r="D162" s="66"/>
      <c r="E162" s="67"/>
      <c r="F162" s="48"/>
      <c r="G162" s="50">
        <v>550000000</v>
      </c>
      <c r="H162" s="56">
        <f>H96+I96</f>
        <v>0</v>
      </c>
      <c r="I162" s="41">
        <v>0</v>
      </c>
      <c r="J162" s="57">
        <f t="shared" ref="J162:J167" si="11">G162-H162-I162</f>
        <v>550000000</v>
      </c>
    </row>
    <row r="163" spans="1:10" x14ac:dyDescent="0.25">
      <c r="A163" s="58"/>
      <c r="B163" s="58"/>
      <c r="C163" s="65" t="s">
        <v>46</v>
      </c>
      <c r="D163" s="66"/>
      <c r="E163" s="67"/>
      <c r="F163" s="48"/>
      <c r="G163" s="50">
        <v>150000000</v>
      </c>
      <c r="H163" s="56">
        <f t="shared" ref="H163:H167" si="12">H97+I97</f>
        <v>19704700</v>
      </c>
      <c r="I163" s="41">
        <v>0</v>
      </c>
      <c r="J163" s="57">
        <f t="shared" si="11"/>
        <v>130295300</v>
      </c>
    </row>
    <row r="164" spans="1:10" x14ac:dyDescent="0.25">
      <c r="A164" s="49"/>
      <c r="B164" s="49"/>
      <c r="C164" s="65" t="s">
        <v>47</v>
      </c>
      <c r="D164" s="66"/>
      <c r="E164" s="67"/>
      <c r="F164" s="48"/>
      <c r="G164" s="50">
        <v>200000000</v>
      </c>
      <c r="H164" s="56">
        <f t="shared" si="12"/>
        <v>177000000</v>
      </c>
      <c r="I164" s="41">
        <v>0</v>
      </c>
      <c r="J164" s="42">
        <f t="shared" si="11"/>
        <v>23000000</v>
      </c>
    </row>
    <row r="165" spans="1:10" x14ac:dyDescent="0.25">
      <c r="A165" s="49"/>
      <c r="B165" s="49"/>
      <c r="C165" s="78" t="s">
        <v>48</v>
      </c>
      <c r="D165" s="79"/>
      <c r="E165" s="80"/>
      <c r="F165" s="48"/>
      <c r="G165" s="50">
        <v>100000000</v>
      </c>
      <c r="H165" s="56">
        <f t="shared" si="12"/>
        <v>19958500</v>
      </c>
      <c r="I165" s="41">
        <v>19958500</v>
      </c>
      <c r="J165" s="42">
        <f t="shared" si="11"/>
        <v>60083000</v>
      </c>
    </row>
    <row r="166" spans="1:10" x14ac:dyDescent="0.25">
      <c r="A166" s="49"/>
      <c r="B166" s="49"/>
      <c r="C166" s="65" t="s">
        <v>49</v>
      </c>
      <c r="D166" s="66"/>
      <c r="E166" s="67"/>
      <c r="F166" s="48"/>
      <c r="G166" s="50">
        <v>150000000</v>
      </c>
      <c r="H166" s="56">
        <f t="shared" si="12"/>
        <v>0</v>
      </c>
      <c r="I166" s="41">
        <v>0</v>
      </c>
      <c r="J166" s="42">
        <f t="shared" si="11"/>
        <v>150000000</v>
      </c>
    </row>
    <row r="167" spans="1:10" x14ac:dyDescent="0.25">
      <c r="A167" s="49"/>
      <c r="B167" s="49"/>
      <c r="C167" s="65" t="s">
        <v>50</v>
      </c>
      <c r="D167" s="66"/>
      <c r="E167" s="67"/>
      <c r="F167" s="48"/>
      <c r="G167" s="50">
        <v>350000000</v>
      </c>
      <c r="H167" s="56">
        <f t="shared" si="12"/>
        <v>2760000</v>
      </c>
      <c r="I167" s="41">
        <v>0</v>
      </c>
      <c r="J167" s="42">
        <f t="shared" si="11"/>
        <v>347240000</v>
      </c>
    </row>
    <row r="168" spans="1:10" x14ac:dyDescent="0.25">
      <c r="A168" s="49"/>
      <c r="B168" s="49" t="s">
        <v>28</v>
      </c>
      <c r="C168" s="65" t="s">
        <v>51</v>
      </c>
      <c r="D168" s="66"/>
      <c r="E168" s="67"/>
      <c r="F168" s="48"/>
      <c r="G168" s="64" t="s">
        <v>34</v>
      </c>
      <c r="H168" s="64" t="s">
        <v>34</v>
      </c>
      <c r="I168" s="64" t="s">
        <v>34</v>
      </c>
      <c r="J168" s="64" t="s">
        <v>34</v>
      </c>
    </row>
    <row r="169" spans="1:10" x14ac:dyDescent="0.25">
      <c r="A169" s="49"/>
      <c r="B169" s="49"/>
      <c r="C169" s="65" t="s">
        <v>52</v>
      </c>
      <c r="D169" s="66"/>
      <c r="E169" s="67"/>
      <c r="F169" s="48"/>
      <c r="G169" s="50">
        <v>200000000</v>
      </c>
      <c r="H169" s="56">
        <f>H103+I103</f>
        <v>0</v>
      </c>
      <c r="I169" s="41">
        <v>0</v>
      </c>
      <c r="J169" s="57">
        <f t="shared" ref="J169:J170" si="13">G169-H169-I169</f>
        <v>200000000</v>
      </c>
    </row>
    <row r="170" spans="1:10" x14ac:dyDescent="0.25">
      <c r="A170" s="49"/>
      <c r="B170" s="49"/>
      <c r="C170" s="65" t="s">
        <v>53</v>
      </c>
      <c r="D170" s="66"/>
      <c r="E170" s="67"/>
      <c r="F170" s="48"/>
      <c r="G170" s="50">
        <v>160000000</v>
      </c>
      <c r="H170" s="56">
        <f>H104+I104</f>
        <v>0</v>
      </c>
      <c r="I170" s="41">
        <v>0</v>
      </c>
      <c r="J170" s="57">
        <f t="shared" si="13"/>
        <v>160000000</v>
      </c>
    </row>
    <row r="171" spans="1:10" x14ac:dyDescent="0.25">
      <c r="A171" s="49"/>
      <c r="B171" s="49" t="s">
        <v>29</v>
      </c>
      <c r="C171" s="61" t="s">
        <v>54</v>
      </c>
      <c r="D171" s="59"/>
      <c r="E171" s="60"/>
      <c r="F171" s="48"/>
      <c r="G171" s="55" t="s">
        <v>34</v>
      </c>
      <c r="H171" s="55" t="s">
        <v>34</v>
      </c>
      <c r="I171" s="55" t="s">
        <v>34</v>
      </c>
      <c r="J171" s="55" t="s">
        <v>34</v>
      </c>
    </row>
    <row r="172" spans="1:10" x14ac:dyDescent="0.25">
      <c r="A172" s="49"/>
      <c r="B172" s="49"/>
      <c r="C172" s="65" t="s">
        <v>55</v>
      </c>
      <c r="D172" s="66"/>
      <c r="E172" s="67"/>
      <c r="F172" s="48"/>
      <c r="G172" s="50">
        <v>500000000</v>
      </c>
      <c r="H172" s="56">
        <f>H106+I106</f>
        <v>0</v>
      </c>
      <c r="I172" s="41">
        <v>0</v>
      </c>
      <c r="J172" s="57">
        <f t="shared" ref="J172:J176" si="14">G172-H172-I172</f>
        <v>500000000</v>
      </c>
    </row>
    <row r="173" spans="1:10" x14ac:dyDescent="0.25">
      <c r="A173" s="49"/>
      <c r="B173" s="49"/>
      <c r="C173" s="61" t="s">
        <v>56</v>
      </c>
      <c r="D173" s="59"/>
      <c r="E173" s="60"/>
      <c r="F173" s="48"/>
      <c r="G173" s="50">
        <v>500000000</v>
      </c>
      <c r="H173" s="56">
        <f t="shared" ref="H173:H176" si="15">H107+I107</f>
        <v>0</v>
      </c>
      <c r="I173" s="41">
        <v>0</v>
      </c>
      <c r="J173" s="57">
        <f t="shared" si="14"/>
        <v>500000000</v>
      </c>
    </row>
    <row r="174" spans="1:10" x14ac:dyDescent="0.25">
      <c r="A174" s="49"/>
      <c r="B174" s="49"/>
      <c r="C174" s="65" t="s">
        <v>57</v>
      </c>
      <c r="D174" s="66"/>
      <c r="E174" s="67"/>
      <c r="F174" s="48"/>
      <c r="G174" s="50">
        <v>750000000</v>
      </c>
      <c r="H174" s="56">
        <f t="shared" si="15"/>
        <v>0</v>
      </c>
      <c r="I174" s="41">
        <v>0</v>
      </c>
      <c r="J174" s="57">
        <f t="shared" si="14"/>
        <v>750000000</v>
      </c>
    </row>
    <row r="175" spans="1:10" x14ac:dyDescent="0.25">
      <c r="A175" s="49"/>
      <c r="B175" s="49"/>
      <c r="C175" s="65" t="s">
        <v>58</v>
      </c>
      <c r="D175" s="66"/>
      <c r="E175" s="67"/>
      <c r="F175" s="48"/>
      <c r="G175" s="50">
        <v>390000000</v>
      </c>
      <c r="H175" s="56">
        <f t="shared" si="15"/>
        <v>0</v>
      </c>
      <c r="I175" s="41">
        <v>0</v>
      </c>
      <c r="J175" s="57">
        <f t="shared" si="14"/>
        <v>390000000</v>
      </c>
    </row>
    <row r="176" spans="1:10" x14ac:dyDescent="0.25">
      <c r="A176" s="49"/>
      <c r="B176" s="49"/>
      <c r="C176" s="61" t="s">
        <v>59</v>
      </c>
      <c r="D176" s="59"/>
      <c r="E176" s="60"/>
      <c r="F176" s="48"/>
      <c r="G176" s="50">
        <v>360000000</v>
      </c>
      <c r="H176" s="56">
        <f t="shared" si="15"/>
        <v>0</v>
      </c>
      <c r="I176" s="41">
        <v>0</v>
      </c>
      <c r="J176" s="57">
        <f t="shared" si="14"/>
        <v>360000000</v>
      </c>
    </row>
    <row r="177" spans="1:10" x14ac:dyDescent="0.25">
      <c r="A177" s="49"/>
      <c r="B177" s="49" t="s">
        <v>30</v>
      </c>
      <c r="C177" s="65" t="s">
        <v>60</v>
      </c>
      <c r="D177" s="66"/>
      <c r="E177" s="67"/>
      <c r="F177" s="48"/>
      <c r="G177" s="64" t="s">
        <v>34</v>
      </c>
      <c r="H177" s="64" t="s">
        <v>34</v>
      </c>
      <c r="I177" s="64" t="s">
        <v>34</v>
      </c>
      <c r="J177" s="64" t="s">
        <v>34</v>
      </c>
    </row>
    <row r="178" spans="1:10" x14ac:dyDescent="0.25">
      <c r="A178" s="49"/>
      <c r="B178" s="49"/>
      <c r="C178" s="65" t="s">
        <v>61</v>
      </c>
      <c r="D178" s="66"/>
      <c r="E178" s="67"/>
      <c r="F178" s="48"/>
      <c r="G178" s="50">
        <v>50000000</v>
      </c>
      <c r="H178" s="56">
        <f>H112+I112</f>
        <v>0</v>
      </c>
      <c r="I178" s="41">
        <v>0</v>
      </c>
      <c r="J178" s="57">
        <f t="shared" ref="J178:J179" si="16">G178-H178-I178</f>
        <v>50000000</v>
      </c>
    </row>
    <row r="179" spans="1:10" x14ac:dyDescent="0.25">
      <c r="A179" s="49"/>
      <c r="B179" s="49"/>
      <c r="C179" s="81" t="s">
        <v>62</v>
      </c>
      <c r="D179" s="82"/>
      <c r="E179" s="83"/>
      <c r="F179" s="48"/>
      <c r="G179" s="50">
        <v>50000000</v>
      </c>
      <c r="H179" s="56">
        <f>H113+I113</f>
        <v>0</v>
      </c>
      <c r="I179" s="41">
        <v>0</v>
      </c>
      <c r="J179" s="57">
        <f t="shared" si="16"/>
        <v>50000000</v>
      </c>
    </row>
    <row r="180" spans="1:10" x14ac:dyDescent="0.25">
      <c r="A180" s="16"/>
      <c r="B180" s="16"/>
      <c r="C180" s="17" t="s">
        <v>8</v>
      </c>
      <c r="D180" s="17"/>
      <c r="E180" s="17"/>
      <c r="F180" s="40"/>
      <c r="G180" s="39">
        <f>SUM(G155:G179)</f>
        <v>5560000000</v>
      </c>
      <c r="H180" s="18">
        <f>SUM(H156:H167)</f>
        <v>219423200</v>
      </c>
      <c r="I180" s="18">
        <f>SUM(I156:I168)</f>
        <v>19958500</v>
      </c>
      <c r="J180" s="18">
        <f>SUM(J156:J179)</f>
        <v>5320618300</v>
      </c>
    </row>
    <row r="181" spans="1:10" x14ac:dyDescent="0.25">
      <c r="A181" s="19"/>
      <c r="B181" s="54"/>
      <c r="C181" s="6"/>
      <c r="D181" s="6"/>
      <c r="E181" s="6"/>
      <c r="F181" s="6"/>
      <c r="G181" s="20"/>
      <c r="H181" s="20"/>
      <c r="I181" s="20"/>
      <c r="J181" s="20"/>
    </row>
    <row r="182" spans="1:10" x14ac:dyDescent="0.25">
      <c r="A182" s="77" t="s">
        <v>15</v>
      </c>
      <c r="B182" s="77"/>
      <c r="C182" s="77"/>
      <c r="D182" s="33" t="s">
        <v>12</v>
      </c>
      <c r="E182" s="36">
        <f>I180</f>
        <v>19958500</v>
      </c>
      <c r="F182" s="36"/>
      <c r="G182" s="21"/>
      <c r="H182" s="21"/>
      <c r="I182" s="10"/>
      <c r="J182" s="10"/>
    </row>
    <row r="183" spans="1:10" x14ac:dyDescent="0.25">
      <c r="A183" s="8" t="s">
        <v>9</v>
      </c>
      <c r="B183" s="8"/>
      <c r="C183" s="8"/>
      <c r="D183" s="33" t="s">
        <v>12</v>
      </c>
      <c r="E183" s="34"/>
      <c r="F183" s="34"/>
      <c r="G183" s="22"/>
      <c r="H183" s="9"/>
      <c r="I183" s="10"/>
      <c r="J183" s="10"/>
    </row>
    <row r="184" spans="1:10" x14ac:dyDescent="0.25">
      <c r="A184" s="8" t="s">
        <v>17</v>
      </c>
      <c r="B184" s="8"/>
      <c r="C184" s="8"/>
      <c r="D184" s="33" t="s">
        <v>12</v>
      </c>
      <c r="E184" s="35"/>
      <c r="F184" s="35"/>
      <c r="G184" s="22"/>
      <c r="H184" s="9"/>
      <c r="I184" s="10"/>
      <c r="J184" s="10"/>
    </row>
    <row r="185" spans="1:10" x14ac:dyDescent="0.25">
      <c r="A185" s="8" t="s">
        <v>10</v>
      </c>
      <c r="B185" s="8"/>
      <c r="C185" s="8"/>
      <c r="D185" s="33" t="s">
        <v>12</v>
      </c>
      <c r="E185" s="35">
        <f>E183+E184</f>
        <v>0</v>
      </c>
      <c r="F185" s="35"/>
      <c r="G185" s="8"/>
      <c r="H185" s="9"/>
      <c r="I185" s="23"/>
      <c r="J185" s="24"/>
    </row>
    <row r="186" spans="1:10" x14ac:dyDescent="0.25">
      <c r="A186" s="43"/>
      <c r="B186" s="43"/>
      <c r="C186" s="43"/>
      <c r="D186" s="33"/>
      <c r="E186" s="43"/>
      <c r="F186" s="43"/>
      <c r="G186" s="8"/>
      <c r="H186" s="9"/>
      <c r="I186" s="23"/>
      <c r="J186" s="24"/>
    </row>
    <row r="187" spans="1:10" x14ac:dyDescent="0.25">
      <c r="A187" s="77" t="s">
        <v>16</v>
      </c>
      <c r="B187" s="77"/>
      <c r="C187" s="77"/>
      <c r="D187" s="33" t="s">
        <v>12</v>
      </c>
      <c r="E187" s="36">
        <f>E182-E185</f>
        <v>19958500</v>
      </c>
      <c r="F187" s="36"/>
      <c r="G187" s="8"/>
      <c r="H187" s="9"/>
      <c r="I187" s="23"/>
      <c r="J187" s="24"/>
    </row>
    <row r="188" spans="1:10" ht="15.75" x14ac:dyDescent="0.25">
      <c r="A188" s="43"/>
      <c r="B188" s="43"/>
      <c r="C188" s="8"/>
      <c r="D188" s="8"/>
      <c r="E188" s="47" t="str">
        <f>PROPER(IF(E187=0,"nol",IF(E187&lt;0,"minus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187),"000000000000000"),1,3)=0,"",MID(TEXT(ABS(E187),"000000000000000"),1,1)&amp;" ratus "&amp;MID(TEXT(ABS(E187),"000000000000000"),2,1)&amp;" puluh "&amp;MID(TEXT(ABS(E187),"000000000000000"),3,1)&amp;" trilyun ")&amp;IF(--MID(TEXT(ABS(E187),"000000000000000"),4,3)=0,"",MID(TEXT(ABS(E187),"000000000000000"),4,1)&amp;" ratus "&amp;MID(TEXT(ABS(E187),"000000000000000"),5,1)&amp;" puluh "&amp;MID(TEXT(ABS(E187),"000000000000000"),6,1)&amp;" milyar ")&amp;IF(--MID(TEXT(ABS(E187),"000000000000000"),7,3)=0,"",MID(TEXT(ABS(E187),"000000000000000"),7,1)&amp;" ratus "&amp;MID(TEXT(ABS(E187),"000000000000000"),8,1)&amp;" puluh "&amp;MID(TEXT(ABS(E187),"000000000000000"),9,1)&amp;" juta ")&amp;IF(--MID(TEXT(ABS(E187),"000000000000000"),10,3)=0,"",IF(--MID(TEXT(ABS(E187),"000000000000000"),10,3)=1,"*",MID(TEXT(ABS(E187),"000000000000000"),10,1)&amp;" ratus "&amp;MID(TEXT(ABS(E187),"000000000000000"),11,1)&amp;" puluh ")&amp;MID(TEXT(ABS(E187),"000000000000000"),12,1)&amp;" ribu ")&amp;IF(--MID(TEXT(ABS(E187),"000000000000000"),13,3)=0,"",MID(TEXT(ABS(E187),"000000000000000"),13,1)&amp;" ratus "&amp;MID(TEXT(ABS(E187),"000000000000000"),14,1)&amp;" puluh "&amp;MID(TEXT(ABS(E187),"000000000000000"),15,1)),1,"satu"),2,"dua"),3,"tiga"),4,"empat"),5,"lima"),6,"enam"),7,"tujuh"),8,"delapan"),9,"sembilan"),"0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Sembilanbelas Juta Sembilan Ratus Lima Puluh Delapan Ribu Lima Ratus Rupiah</v>
      </c>
      <c r="F188" s="8"/>
      <c r="G188" s="8"/>
      <c r="H188" s="8"/>
      <c r="I188" s="23"/>
      <c r="J188" s="24"/>
    </row>
    <row r="189" spans="1:10" x14ac:dyDescent="0.25">
      <c r="A189" s="26"/>
      <c r="B189" s="26"/>
      <c r="C189" s="26"/>
      <c r="D189" s="26"/>
      <c r="E189" s="26"/>
      <c r="F189" s="26"/>
      <c r="G189" s="25"/>
      <c r="H189" s="24"/>
      <c r="I189" s="23"/>
      <c r="J189" s="24"/>
    </row>
    <row r="190" spans="1:10" x14ac:dyDescent="0.25">
      <c r="A190" s="25"/>
      <c r="B190" s="25"/>
      <c r="C190" s="25"/>
      <c r="D190" s="25"/>
      <c r="E190" s="25"/>
      <c r="F190" s="25"/>
      <c r="G190" s="25"/>
      <c r="H190"/>
      <c r="I190" s="24"/>
      <c r="J190" s="24"/>
    </row>
    <row r="191" spans="1:10" x14ac:dyDescent="0.25">
      <c r="A191" s="43"/>
      <c r="B191" s="43"/>
      <c r="C191" s="8"/>
      <c r="D191" s="8"/>
      <c r="E191" s="8"/>
      <c r="F191" s="8"/>
      <c r="G191" s="8"/>
      <c r="I191" s="44" t="s">
        <v>70</v>
      </c>
      <c r="J191" s="24"/>
    </row>
    <row r="192" spans="1:10" x14ac:dyDescent="0.25">
      <c r="A192" s="9" t="s">
        <v>32</v>
      </c>
      <c r="B192" s="8"/>
      <c r="C192" s="8"/>
      <c r="D192" s="8"/>
      <c r="E192" s="8"/>
      <c r="F192" s="8"/>
      <c r="G192" s="8"/>
      <c r="I192" s="9" t="s">
        <v>31</v>
      </c>
      <c r="J192" s="24"/>
    </row>
    <row r="193" spans="1:10" x14ac:dyDescent="0.25">
      <c r="A193" s="8"/>
      <c r="B193" s="8"/>
      <c r="C193" s="8"/>
      <c r="D193" s="8"/>
      <c r="E193" s="8"/>
      <c r="F193" s="8"/>
      <c r="G193" s="8"/>
      <c r="I193" s="9"/>
      <c r="J193" s="24"/>
    </row>
    <row r="194" spans="1:10" x14ac:dyDescent="0.25">
      <c r="A194" s="8"/>
      <c r="B194" s="8"/>
      <c r="C194" s="8"/>
      <c r="D194" s="8"/>
      <c r="E194" s="8"/>
      <c r="F194" s="8"/>
      <c r="G194" s="8"/>
      <c r="I194" s="9"/>
      <c r="J194" s="24"/>
    </row>
    <row r="195" spans="1:10" x14ac:dyDescent="0.25">
      <c r="A195" s="8"/>
      <c r="B195" s="8"/>
      <c r="C195" s="8"/>
      <c r="D195" s="8"/>
      <c r="E195" s="8"/>
      <c r="F195" s="8"/>
      <c r="G195" s="8"/>
      <c r="I195" s="9"/>
      <c r="J195" s="24"/>
    </row>
    <row r="196" spans="1:10" x14ac:dyDescent="0.25">
      <c r="A196" s="8"/>
      <c r="B196" s="8"/>
      <c r="C196" s="8"/>
      <c r="D196" s="8"/>
      <c r="E196" s="8"/>
      <c r="F196" s="8"/>
      <c r="G196" s="8"/>
      <c r="I196" s="9"/>
      <c r="J196" s="24"/>
    </row>
    <row r="197" spans="1:10" x14ac:dyDescent="0.25">
      <c r="A197" s="28" t="s">
        <v>37</v>
      </c>
      <c r="B197" s="28"/>
      <c r="C197" s="27"/>
      <c r="D197" s="27"/>
      <c r="E197" s="27"/>
      <c r="F197" s="27"/>
      <c r="G197" s="8" t="s">
        <v>11</v>
      </c>
      <c r="I197" s="28" t="s">
        <v>33</v>
      </c>
      <c r="J197" s="24"/>
    </row>
  </sheetData>
  <mergeCells count="87">
    <mergeCell ref="C179:E179"/>
    <mergeCell ref="A182:C182"/>
    <mergeCell ref="A187:C187"/>
    <mergeCell ref="C170:E170"/>
    <mergeCell ref="C172:E172"/>
    <mergeCell ref="C174:E174"/>
    <mergeCell ref="C175:E175"/>
    <mergeCell ref="C177:E177"/>
    <mergeCell ref="C178:E178"/>
    <mergeCell ref="C164:E164"/>
    <mergeCell ref="C165:E165"/>
    <mergeCell ref="C166:E166"/>
    <mergeCell ref="C167:E167"/>
    <mergeCell ref="C168:E168"/>
    <mergeCell ref="C169:E169"/>
    <mergeCell ref="C156:E156"/>
    <mergeCell ref="C158:E158"/>
    <mergeCell ref="C159:E159"/>
    <mergeCell ref="C160:E160"/>
    <mergeCell ref="C162:E162"/>
    <mergeCell ref="C163:E163"/>
    <mergeCell ref="A142:J142"/>
    <mergeCell ref="A143:J143"/>
    <mergeCell ref="A144:J144"/>
    <mergeCell ref="A153:J153"/>
    <mergeCell ref="C154:E154"/>
    <mergeCell ref="C155:E155"/>
    <mergeCell ref="C112:E112"/>
    <mergeCell ref="C113:E113"/>
    <mergeCell ref="A116:C116"/>
    <mergeCell ref="A121:C121"/>
    <mergeCell ref="A140:J140"/>
    <mergeCell ref="A141:J141"/>
    <mergeCell ref="C103:E103"/>
    <mergeCell ref="C104:E104"/>
    <mergeCell ref="C106:E106"/>
    <mergeCell ref="C108:E108"/>
    <mergeCell ref="C109:E109"/>
    <mergeCell ref="C111:E111"/>
    <mergeCell ref="C97:E97"/>
    <mergeCell ref="C98:E98"/>
    <mergeCell ref="C99:E99"/>
    <mergeCell ref="C100:E100"/>
    <mergeCell ref="C101:E101"/>
    <mergeCell ref="C102:E102"/>
    <mergeCell ref="C89:E89"/>
    <mergeCell ref="C90:E90"/>
    <mergeCell ref="C92:E92"/>
    <mergeCell ref="C93:E93"/>
    <mergeCell ref="C94:E94"/>
    <mergeCell ref="C96:E96"/>
    <mergeCell ref="A75:J75"/>
    <mergeCell ref="A76:J76"/>
    <mergeCell ref="A77:J77"/>
    <mergeCell ref="A78:J78"/>
    <mergeCell ref="A87:J87"/>
    <mergeCell ref="C88:E88"/>
    <mergeCell ref="C45:E45"/>
    <mergeCell ref="C46:E46"/>
    <mergeCell ref="C47:E47"/>
    <mergeCell ref="A50:C50"/>
    <mergeCell ref="A55:C55"/>
    <mergeCell ref="A74:J74"/>
    <mergeCell ref="C36:E36"/>
    <mergeCell ref="C37:E37"/>
    <mergeCell ref="C38:E38"/>
    <mergeCell ref="C40:E40"/>
    <mergeCell ref="C42:E42"/>
    <mergeCell ref="C43:E43"/>
    <mergeCell ref="C30:E30"/>
    <mergeCell ref="C31:E31"/>
    <mergeCell ref="C32:E32"/>
    <mergeCell ref="C33:E33"/>
    <mergeCell ref="C34:E34"/>
    <mergeCell ref="C35:E35"/>
    <mergeCell ref="C22:E22"/>
    <mergeCell ref="C23:E23"/>
    <mergeCell ref="C24:E24"/>
    <mergeCell ref="C26:E26"/>
    <mergeCell ref="C27:E27"/>
    <mergeCell ref="C28:E28"/>
    <mergeCell ref="A8:J8"/>
    <mergeCell ref="A9:J9"/>
    <mergeCell ref="A10:J10"/>
    <mergeCell ref="A11:J11"/>
    <mergeCell ref="A12:J12"/>
    <mergeCell ref="A21:J21"/>
  </mergeCells>
  <pageMargins left="0.23622047244094491" right="0.23622047244094491" top="0" bottom="0.74803149606299213" header="0.31496062992125984" footer="0.31496062992125984"/>
  <pageSetup paperSize="5" scale="78" orientation="portrait" horizontalDpi="4294967293" r:id="rId1"/>
  <rowBreaks count="3" manualBreakCount="3">
    <brk id="66" max="9" man="1"/>
    <brk id="132" max="9" man="1"/>
    <brk id="198" max="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JANUARI</vt:lpstr>
      <vt:lpstr>FEBRUARI</vt:lpstr>
      <vt:lpstr>MARET</vt:lpstr>
      <vt:lpstr>FEBRUARI!Print_Area</vt:lpstr>
      <vt:lpstr>JANUARI!Print_Area</vt:lpstr>
      <vt:lpstr>MARET!Print_Area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HYPE FLEX</cp:lastModifiedBy>
  <cp:lastPrinted>2026-03-04T05:33:01Z</cp:lastPrinted>
  <dcterms:created xsi:type="dcterms:W3CDTF">2017-02-01T01:06:13Z</dcterms:created>
  <dcterms:modified xsi:type="dcterms:W3CDTF">2026-03-04T05:37:06Z</dcterms:modified>
</cp:coreProperties>
</file>