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PD 2026\Beban Investasi\"/>
    </mc:Choice>
  </mc:AlternateContent>
  <xr:revisionPtr revIDLastSave="0" documentId="13_ncr:1_{86E251AB-081D-4DC8-841F-F329216FEF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NUARI" sheetId="12" r:id="rId1"/>
  </sheets>
  <definedNames>
    <definedName name="_xlnm.Print_Area" localSheetId="0">JANUARI!$A$1:$J$142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7" i="12" l="1"/>
  <c r="H68" i="12" s="1"/>
  <c r="E73" i="12"/>
  <c r="I68" i="12"/>
  <c r="E70" i="12" s="1"/>
  <c r="E75" i="12" s="1"/>
  <c r="E76" i="12" s="1"/>
  <c r="G68" i="12"/>
  <c r="E30" i="12"/>
  <c r="I25" i="12"/>
  <c r="E17" i="12" s="1"/>
  <c r="E18" i="12" s="1"/>
  <c r="G25" i="12"/>
  <c r="E60" i="12" l="1"/>
  <c r="E61" i="12" s="1"/>
  <c r="J67" i="12"/>
  <c r="J68" i="12" s="1"/>
  <c r="E27" i="12"/>
  <c r="E32" i="12" s="1"/>
  <c r="E33" i="12" s="1"/>
  <c r="J24" i="12"/>
  <c r="J25" i="12" s="1"/>
  <c r="H25" i="12"/>
</calcChain>
</file>

<file path=xl/sharedStrings.xml><?xml version="1.0" encoding="utf-8"?>
<sst xmlns="http://schemas.openxmlformats.org/spreadsheetml/2006/main" count="99" uniqueCount="41">
  <si>
    <t xml:space="preserve">                                                                                                                          </t>
  </si>
  <si>
    <t xml:space="preserve">                                                                         </t>
  </si>
  <si>
    <t xml:space="preserve">         Pembebanan Pada Kode Rekening</t>
  </si>
  <si>
    <t>NO</t>
  </si>
  <si>
    <t>Uraian</t>
  </si>
  <si>
    <t>Anggaran</t>
  </si>
  <si>
    <t>Pencairan Saat ini</t>
  </si>
  <si>
    <t>Sisa Anggaran</t>
  </si>
  <si>
    <t>JUMLAH</t>
  </si>
  <si>
    <t xml:space="preserve">PPN                                                </t>
  </si>
  <si>
    <t xml:space="preserve">Jumlah Potongan                 </t>
  </si>
  <si>
    <t xml:space="preserve">                                  </t>
  </si>
  <si>
    <t>:</t>
  </si>
  <si>
    <t>BENDAHARA PENGELUARAN</t>
  </si>
  <si>
    <t>Supaya mencairkan dana kepada</t>
  </si>
  <si>
    <t xml:space="preserve">Jumlah  Yang Diminta          </t>
  </si>
  <si>
    <t xml:space="preserve">Jumlah yang dibayarkan        </t>
  </si>
  <si>
    <t xml:space="preserve">PPh Psl 21/22/23/4(2)                    </t>
  </si>
  <si>
    <t>2.1.2</t>
  </si>
  <si>
    <t>Beban Investasi</t>
  </si>
  <si>
    <t xml:space="preserve">1. Sub Kegiatan                                                       </t>
  </si>
  <si>
    <t xml:space="preserve">2. Nomor                                                          </t>
  </si>
  <si>
    <t xml:space="preserve">3. Tahun Anggaran                                           </t>
  </si>
  <si>
    <t xml:space="preserve">4. Jumlah Yang Diminta                                    </t>
  </si>
  <si>
    <t>Kode</t>
  </si>
  <si>
    <t>YANG MEMBUAT</t>
  </si>
  <si>
    <t>MENGETAHUI</t>
  </si>
  <si>
    <t>M. ZULKIFLI</t>
  </si>
  <si>
    <t>---------------</t>
  </si>
  <si>
    <t>NOTA PENCAIRAN DANA (NPD)</t>
  </si>
  <si>
    <t>Akumulasi Pencairan dana Bulan Januari s/d Desember</t>
  </si>
  <si>
    <t>Program Usaha Perdagangan Bahan Pokok</t>
  </si>
  <si>
    <t>PERUMDA PASAR BANJARMASIN</t>
  </si>
  <si>
    <t xml:space="preserve"> </t>
  </si>
  <si>
    <t>IRNA WAHYUNI N.</t>
  </si>
  <si>
    <t>Perbaikan Gudang Bapok (Telawang/Sudirapi/Teluk Dalam/Pekauman/Lainnya)</t>
  </si>
  <si>
    <r>
      <t>Nomor : 44/DIV-KEU/PPB/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</si>
  <si>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13 Januari 2026</t>
  </si>
  <si>
    <r>
      <t>Nomor : 48/DIV-KEU/PPB/</t>
    </r>
    <r>
      <rPr>
        <sz val="11"/>
        <rFont val="Times New Roman"/>
        <family val="1"/>
      </rPr>
      <t>I</t>
    </r>
    <r>
      <rPr>
        <sz val="11"/>
        <color theme="1"/>
        <rFont val="Times New Roman"/>
        <family val="1"/>
      </rPr>
      <t>/2026</t>
    </r>
  </si>
  <si>
    <t>Banjarmasin, 14 Januari 2026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</si>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</sst>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-[$Rp-421]* #,##0_-;\-[$Rp-421]* #,##0_-;_-[$Rp-421]* &quot;-&quot;_-;_-@_-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/>
    <xf numFmtId="165" fontId="14" fillId="0" borderId="0">
      <alignment vertical="top"/>
      <protection locked="0"/>
    </xf>
  </cellStyleXfs>
  <cellXfs count="69">
    <xf numFmtId="0" fontId="0" fillId="0" borderId="0" xfId="0"/>
    <xf numFmtId="166" fontId="1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166" fontId="1" fillId="0" borderId="0" xfId="1" applyFont="1" applyBorder="1" applyAlignment="1">
      <alignment horizontal="center"/>
    </xf>
    <xf numFmtId="166" fontId="1" fillId="0" borderId="0" xfId="1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166" fontId="4" fillId="0" borderId="0" xfId="1" applyFont="1" applyBorder="1"/>
    <xf numFmtId="166" fontId="3" fillId="0" borderId="0" xfId="1" applyFont="1" applyBorder="1"/>
    <xf numFmtId="0" fontId="7" fillId="0" borderId="0" xfId="0" applyFont="1"/>
    <xf numFmtId="0" fontId="4" fillId="0" borderId="2" xfId="3" applyNumberFormat="1" applyFont="1" applyBorder="1" applyAlignment="1">
      <alignment horizontal="left" vertical="center"/>
    </xf>
    <xf numFmtId="166" fontId="4" fillId="0" borderId="2" xfId="1" applyFont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 wrapText="1"/>
    </xf>
    <xf numFmtId="166" fontId="4" fillId="0" borderId="2" xfId="1" applyFont="1" applyFill="1" applyBorder="1" applyAlignment="1">
      <alignment horizontal="center" vertical="center"/>
    </xf>
    <xf numFmtId="0" fontId="4" fillId="0" borderId="2" xfId="0" quotePrefix="1" applyFont="1" applyBorder="1"/>
    <xf numFmtId="0" fontId="4" fillId="0" borderId="2" xfId="0" applyFont="1" applyBorder="1"/>
    <xf numFmtId="167" fontId="4" fillId="0" borderId="2" xfId="2" applyNumberFormat="1" applyFont="1" applyBorder="1"/>
    <xf numFmtId="0" fontId="3" fillId="0" borderId="6" xfId="0" quotePrefix="1" applyFont="1" applyBorder="1"/>
    <xf numFmtId="167" fontId="3" fillId="0" borderId="6" xfId="2" applyNumberFormat="1" applyFont="1" applyBorder="1"/>
    <xf numFmtId="166" fontId="4" fillId="0" borderId="0" xfId="1" applyFont="1" applyBorder="1" applyAlignment="1"/>
    <xf numFmtId="166" fontId="4" fillId="0" borderId="0" xfId="0" applyNumberFormat="1" applyFont="1"/>
    <xf numFmtId="166" fontId="8" fillId="0" borderId="0" xfId="1" quotePrefix="1" applyFont="1" applyBorder="1"/>
    <xf numFmtId="166" fontId="8" fillId="0" borderId="0" xfId="1" applyFont="1" applyBorder="1"/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166" fontId="6" fillId="0" borderId="0" xfId="1" applyFont="1" applyBorder="1" applyAlignment="1">
      <alignment horizontal="left"/>
    </xf>
    <xf numFmtId="0" fontId="9" fillId="0" borderId="0" xfId="0" applyFont="1"/>
    <xf numFmtId="166" fontId="9" fillId="0" borderId="0" xfId="1" applyFont="1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7" fontId="4" fillId="0" borderId="0" xfId="0" applyNumberFormat="1" applyFont="1"/>
    <xf numFmtId="164" fontId="4" fillId="0" borderId="0" xfId="0" applyNumberFormat="1" applyFont="1"/>
    <xf numFmtId="167" fontId="4" fillId="0" borderId="0" xfId="0" applyNumberFormat="1" applyFont="1" applyAlignment="1">
      <alignment horizontal="left"/>
    </xf>
    <xf numFmtId="0" fontId="4" fillId="0" borderId="5" xfId="0" applyFont="1" applyBorder="1"/>
    <xf numFmtId="0" fontId="4" fillId="0" borderId="0" xfId="0" quotePrefix="1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0" borderId="4" xfId="2" applyNumberFormat="1" applyFont="1" applyBorder="1"/>
    <xf numFmtId="0" fontId="4" fillId="0" borderId="3" xfId="0" applyFont="1" applyBorder="1"/>
    <xf numFmtId="42" fontId="4" fillId="0" borderId="0" xfId="0" applyNumberFormat="1" applyFont="1" applyAlignment="1">
      <alignment horizontal="left"/>
    </xf>
    <xf numFmtId="168" fontId="4" fillId="0" borderId="7" xfId="1" applyNumberFormat="1" applyFont="1" applyBorder="1" applyAlignment="1">
      <alignment horizontal="right" vertical="center"/>
    </xf>
    <xf numFmtId="168" fontId="4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/>
    </xf>
    <xf numFmtId="0" fontId="4" fillId="0" borderId="2" xfId="0" quotePrefix="1" applyFont="1" applyBorder="1" applyAlignment="1">
      <alignment horizontal="center" vertical="center"/>
    </xf>
    <xf numFmtId="0" fontId="4" fillId="0" borderId="0" xfId="1" applyNumberFormat="1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0" xfId="0" quotePrefix="1" applyFont="1" applyAlignment="1">
      <alignment horizontal="left"/>
    </xf>
    <xf numFmtId="0" fontId="13" fillId="0" borderId="0" xfId="0" applyFont="1"/>
    <xf numFmtId="0" fontId="4" fillId="0" borderId="0" xfId="0" quotePrefix="1" applyFont="1"/>
    <xf numFmtId="0" fontId="4" fillId="0" borderId="3" xfId="3" applyNumberFormat="1" applyFont="1" applyBorder="1" applyAlignment="1">
      <alignment horizontal="left" vertical="center"/>
    </xf>
    <xf numFmtId="0" fontId="3" fillId="0" borderId="0" xfId="0" quotePrefix="1" applyFont="1"/>
    <xf numFmtId="0" fontId="9" fillId="0" borderId="8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165" fontId="15" fillId="0" borderId="8" xfId="5" quotePrefix="1" applyFont="1" applyBorder="1" applyAlignment="1" applyProtection="1">
      <alignment horizontal="center"/>
    </xf>
    <xf numFmtId="0" fontId="4" fillId="0" borderId="6" xfId="0" applyFont="1" applyBorder="1" applyAlignment="1">
      <alignment vertical="center"/>
    </xf>
    <xf numFmtId="165" fontId="15" fillId="0" borderId="8" xfId="5" applyFont="1" applyBorder="1" applyAlignment="1" applyProtection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6">
    <cellStyle name="Comma" xfId="1" builtinId="3"/>
    <cellStyle name="Comma [0]" xfId="2" builtinId="6"/>
    <cellStyle name="Comma [0] 2 2" xfId="5" xr:uid="{724FC97D-2618-4674-A8AC-0D5F3952EF3E}"/>
    <cellStyle name="Currency [0] 7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43</xdr:row>
      <xdr:rowOff>9525</xdr:rowOff>
    </xdr:from>
    <xdr:to>
      <xdr:col>9</xdr:col>
      <xdr:colOff>1162052</xdr:colOff>
      <xdr:row>52</xdr:row>
      <xdr:rowOff>58761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A73730-7FB9-4F70-B18A-C651FA5A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039225"/>
          <a:ext cx="8124827" cy="17827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28573</xdr:colOff>
      <xdr:row>0</xdr:row>
      <xdr:rowOff>9526</xdr:rowOff>
    </xdr:from>
    <xdr:to>
      <xdr:col>9</xdr:col>
      <xdr:colOff>1171575</xdr:colOff>
      <xdr:row>9</xdr:row>
      <xdr:rowOff>58762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91CD13-3F69-4576-AB21-7A12E5A53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3" y="9526"/>
          <a:ext cx="8124827" cy="178278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6</xdr:row>
      <xdr:rowOff>47625</xdr:rowOff>
    </xdr:from>
    <xdr:to>
      <xdr:col>9</xdr:col>
      <xdr:colOff>1162050</xdr:colOff>
      <xdr:row>6</xdr:row>
      <xdr:rowOff>47625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0618251-04C9-4EC6-8013-A56E91941AB2}"/>
            </a:ext>
          </a:extLst>
        </xdr:cNvPr>
        <xdr:cNvCxnSpPr/>
      </xdr:nvCxnSpPr>
      <xdr:spPr>
        <a:xfrm>
          <a:off x="19050" y="1409700"/>
          <a:ext cx="10191750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49</xdr:row>
      <xdr:rowOff>47625</xdr:rowOff>
    </xdr:from>
    <xdr:to>
      <xdr:col>9</xdr:col>
      <xdr:colOff>1162050</xdr:colOff>
      <xdr:row>49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F8C5388-C945-4CA9-8087-CA852E9F5286}"/>
            </a:ext>
          </a:extLst>
        </xdr:cNvPr>
        <xdr:cNvCxnSpPr/>
      </xdr:nvCxnSpPr>
      <xdr:spPr>
        <a:xfrm>
          <a:off x="19050" y="1209675"/>
          <a:ext cx="8124825" cy="0"/>
        </a:xfrm>
        <a:prstGeom prst="line">
          <a:avLst/>
        </a:prstGeom>
        <a:ln w="88900" cmpd="thinThick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BAAF-ED52-4AF5-A351-04EF0BDEE792}">
  <dimension ref="A1:V85"/>
  <sheetViews>
    <sheetView tabSelected="1" view="pageBreakPreview" topLeftCell="A77" zoomScaleNormal="100" zoomScaleSheetLayoutView="100" workbookViewId="0">
      <selection activeCell="J85" sqref="A44:J85"/>
    </sheetView>
  </sheetViews>
  <sheetFormatPr defaultRowHeight="15" x14ac:dyDescent="0.25"/>
  <cols>
    <col min="1" max="1" width="3.5703125" customWidth="1"/>
    <col min="2" max="2" width="5.5703125" bestFit="1" customWidth="1"/>
    <col min="3" max="3" width="12" customWidth="1"/>
    <col min="4" max="4" width="1.85546875" customWidth="1"/>
    <col min="5" max="5" width="30.42578125" customWidth="1"/>
    <col min="6" max="6" width="1.140625" customWidth="1"/>
    <col min="7" max="7" width="18" customWidth="1"/>
    <col min="8" max="8" width="16.5703125" style="1" customWidth="1"/>
    <col min="9" max="9" width="15.5703125" style="1" customWidth="1"/>
    <col min="10" max="10" width="18" style="1" customWidth="1"/>
    <col min="11" max="11" width="6.140625" customWidth="1"/>
    <col min="12" max="12" width="2.85546875" customWidth="1"/>
    <col min="13" max="13" width="2.5703125" customWidth="1"/>
    <col min="14" max="14" width="2.7109375" customWidth="1"/>
    <col min="15" max="15" width="2.5703125" customWidth="1"/>
    <col min="16" max="16" width="2.7109375" customWidth="1"/>
    <col min="17" max="17" width="2.85546875" customWidth="1"/>
    <col min="18" max="18" width="44.7109375" customWidth="1"/>
    <col min="19" max="19" width="12.28515625" customWidth="1"/>
    <col min="20" max="20" width="11.7109375" customWidth="1"/>
    <col min="21" max="21" width="10.85546875" customWidth="1"/>
    <col min="22" max="22" width="11.5703125" customWidth="1"/>
    <col min="23" max="23" width="11.7109375" customWidth="1"/>
  </cols>
  <sheetData>
    <row r="1" spans="1:22" x14ac:dyDescent="0.25">
      <c r="K1" s="25"/>
      <c r="L1" s="31"/>
      <c r="M1" s="31"/>
      <c r="N1" s="31"/>
      <c r="O1" s="31"/>
      <c r="P1" s="31"/>
      <c r="Q1" s="31"/>
      <c r="R1" s="31"/>
      <c r="S1" s="31"/>
      <c r="T1" s="31"/>
      <c r="U1" s="31"/>
      <c r="V1" s="25"/>
    </row>
    <row r="2" spans="1:22" x14ac:dyDescent="0.25">
      <c r="K2" s="25"/>
      <c r="L2" s="31"/>
      <c r="M2" s="31"/>
      <c r="N2" s="31"/>
      <c r="O2" s="31"/>
      <c r="P2" s="31"/>
      <c r="Q2" s="31"/>
      <c r="R2" s="31"/>
      <c r="S2" s="31"/>
      <c r="T2" s="31"/>
      <c r="U2" s="31"/>
      <c r="V2" s="25"/>
    </row>
    <row r="3" spans="1:22" x14ac:dyDescent="0.25">
      <c r="K3" s="25"/>
      <c r="L3" s="31"/>
      <c r="M3" s="31"/>
      <c r="N3" s="31"/>
      <c r="O3" s="31"/>
      <c r="P3" s="31"/>
      <c r="Q3" s="31"/>
      <c r="R3" s="31"/>
      <c r="S3" s="31"/>
      <c r="T3" s="31"/>
      <c r="U3" s="31"/>
      <c r="V3" s="25"/>
    </row>
    <row r="4" spans="1:22" ht="15.75" x14ac:dyDescent="0.25">
      <c r="C4" s="3"/>
      <c r="D4" s="3"/>
      <c r="E4" s="3"/>
      <c r="F4" s="3"/>
      <c r="K4" s="25"/>
      <c r="L4" s="31"/>
      <c r="M4" s="31"/>
      <c r="N4" s="31"/>
      <c r="O4" s="31"/>
      <c r="P4" s="31"/>
      <c r="Q4" s="31"/>
      <c r="R4" s="31"/>
      <c r="S4" s="31"/>
      <c r="T4" s="31"/>
      <c r="U4" s="31"/>
      <c r="V4" s="25"/>
    </row>
    <row r="5" spans="1:22" ht="15.75" x14ac:dyDescent="0.25">
      <c r="A5" s="2"/>
      <c r="B5" s="2"/>
      <c r="C5" s="3"/>
      <c r="D5" s="3"/>
      <c r="E5" s="3"/>
      <c r="F5" s="3"/>
      <c r="G5" s="2"/>
      <c r="H5" s="4"/>
      <c r="I5" s="4"/>
      <c r="J5" s="5"/>
      <c r="K5" s="25"/>
      <c r="L5" s="31"/>
      <c r="M5" s="31"/>
      <c r="N5" s="31"/>
      <c r="O5" s="31"/>
      <c r="P5" s="31"/>
      <c r="Q5" s="31"/>
      <c r="R5" s="31"/>
      <c r="S5" s="31"/>
      <c r="T5" s="31"/>
      <c r="U5" s="31"/>
      <c r="V5" s="25"/>
    </row>
    <row r="6" spans="1:22" x14ac:dyDescent="0.25">
      <c r="H6" s="5"/>
      <c r="I6" s="5"/>
      <c r="J6" s="5"/>
      <c r="K6" s="25"/>
      <c r="L6" s="31"/>
      <c r="M6" s="31"/>
      <c r="N6" s="31"/>
      <c r="O6" s="31"/>
      <c r="P6" s="31"/>
      <c r="Q6" s="31"/>
      <c r="R6" s="31"/>
      <c r="S6" s="31"/>
      <c r="T6" s="31"/>
      <c r="U6" s="31"/>
      <c r="V6" s="25"/>
    </row>
    <row r="7" spans="1:22" x14ac:dyDescent="0.25">
      <c r="H7" s="5"/>
      <c r="I7" s="5"/>
      <c r="J7" s="5"/>
      <c r="K7" s="25"/>
      <c r="L7" s="31"/>
      <c r="M7" s="31"/>
      <c r="N7" s="31"/>
      <c r="O7" s="31"/>
      <c r="P7" s="31"/>
      <c r="Q7" s="31"/>
      <c r="R7" s="31"/>
      <c r="S7" s="31"/>
      <c r="T7" s="31"/>
      <c r="U7" s="31"/>
      <c r="V7" s="25"/>
    </row>
    <row r="8" spans="1:22" ht="15" customHeight="1" x14ac:dyDescent="0.25">
      <c r="A8" s="67" t="s">
        <v>29</v>
      </c>
      <c r="B8" s="67"/>
      <c r="C8" s="68"/>
      <c r="D8" s="68"/>
      <c r="E8" s="68"/>
      <c r="F8" s="68"/>
      <c r="G8" s="68"/>
      <c r="H8" s="68"/>
      <c r="I8" s="68"/>
      <c r="J8" s="68"/>
      <c r="K8" s="25"/>
      <c r="L8" s="31"/>
      <c r="M8" s="31"/>
      <c r="N8" s="31"/>
      <c r="O8" s="31"/>
      <c r="P8" s="31"/>
      <c r="Q8" s="31"/>
      <c r="R8" s="31"/>
      <c r="S8" s="31"/>
      <c r="T8" s="31"/>
      <c r="U8" s="31"/>
      <c r="V8" s="25"/>
    </row>
    <row r="9" spans="1:22" ht="15" customHeight="1" x14ac:dyDescent="0.25">
      <c r="A9" s="68" t="s">
        <v>36</v>
      </c>
      <c r="B9" s="68"/>
      <c r="C9" s="68"/>
      <c r="D9" s="68"/>
      <c r="E9" s="68"/>
      <c r="F9" s="68"/>
      <c r="G9" s="68"/>
      <c r="H9" s="68"/>
      <c r="I9" s="68"/>
      <c r="J9" s="68"/>
      <c r="K9" s="25"/>
      <c r="L9" s="31"/>
      <c r="M9" s="31"/>
      <c r="N9" s="31"/>
      <c r="O9" s="31"/>
      <c r="P9" s="31"/>
      <c r="Q9" s="31"/>
      <c r="R9" s="31"/>
      <c r="S9" s="31"/>
      <c r="T9" s="31"/>
      <c r="U9" s="31"/>
      <c r="V9" s="25"/>
    </row>
    <row r="10" spans="1:22" ht="15" customHeight="1" x14ac:dyDescent="0.25">
      <c r="A10" s="68" t="s">
        <v>13</v>
      </c>
      <c r="B10" s="68"/>
      <c r="C10" s="68"/>
      <c r="D10" s="68"/>
      <c r="E10" s="68"/>
      <c r="F10" s="68"/>
      <c r="G10" s="68"/>
      <c r="H10" s="68"/>
      <c r="I10" s="68"/>
      <c r="J10" s="68"/>
      <c r="K10" s="25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25"/>
    </row>
    <row r="11" spans="1:22" ht="15" customHeight="1" x14ac:dyDescent="0.25">
      <c r="A11" s="68" t="s">
        <v>32</v>
      </c>
      <c r="B11" s="68"/>
      <c r="C11" s="68"/>
      <c r="D11" s="68"/>
      <c r="E11" s="68"/>
      <c r="F11" s="68"/>
      <c r="G11" s="68"/>
      <c r="H11" s="68"/>
      <c r="I11" s="68"/>
      <c r="J11" s="68"/>
      <c r="K11" s="25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25"/>
    </row>
    <row r="12" spans="1:22" ht="15" customHeight="1" x14ac:dyDescent="0.25">
      <c r="A12" s="68" t="s">
        <v>14</v>
      </c>
      <c r="B12" s="68"/>
      <c r="C12" s="68"/>
      <c r="D12" s="68"/>
      <c r="E12" s="68"/>
      <c r="F12" s="68"/>
      <c r="G12" s="68"/>
      <c r="H12" s="68"/>
      <c r="I12" s="68"/>
      <c r="J12" s="68"/>
      <c r="K12" s="25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25"/>
    </row>
    <row r="13" spans="1:22" x14ac:dyDescent="0.25">
      <c r="A13" s="32"/>
      <c r="B13" s="32"/>
      <c r="C13" s="7"/>
      <c r="D13" s="7"/>
      <c r="E13" s="7"/>
      <c r="F13" s="7"/>
      <c r="G13" s="6"/>
      <c r="H13" s="10"/>
      <c r="I13" s="10"/>
      <c r="J13" s="10"/>
      <c r="K13" s="25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25"/>
    </row>
    <row r="14" spans="1:22" x14ac:dyDescent="0.25">
      <c r="A14" s="51" t="s">
        <v>20</v>
      </c>
      <c r="B14" s="51"/>
      <c r="C14" s="51"/>
      <c r="D14" s="49" t="s">
        <v>12</v>
      </c>
      <c r="E14" s="8" t="s">
        <v>19</v>
      </c>
      <c r="F14" s="38"/>
      <c r="H14" s="9"/>
      <c r="I14" s="9"/>
      <c r="J14" s="10"/>
      <c r="K14" s="25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25"/>
    </row>
    <row r="15" spans="1:22" x14ac:dyDescent="0.25">
      <c r="A15" s="51" t="s">
        <v>21</v>
      </c>
      <c r="B15" s="51"/>
      <c r="C15" s="51"/>
      <c r="D15" s="49" t="s">
        <v>12</v>
      </c>
      <c r="E15" s="8" t="s">
        <v>18</v>
      </c>
      <c r="F15" s="38"/>
      <c r="H15" s="9"/>
      <c r="I15" s="9"/>
      <c r="J15" s="10"/>
      <c r="K15" s="25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25"/>
    </row>
    <row r="16" spans="1:22" x14ac:dyDescent="0.25">
      <c r="A16" s="51" t="s">
        <v>22</v>
      </c>
      <c r="B16" s="51"/>
      <c r="C16" s="51"/>
      <c r="D16" s="49" t="s">
        <v>12</v>
      </c>
      <c r="E16" s="45">
        <v>2026</v>
      </c>
      <c r="F16" s="38"/>
      <c r="G16" t="s">
        <v>33</v>
      </c>
      <c r="H16" s="9"/>
      <c r="I16" s="9"/>
      <c r="J16" s="10"/>
      <c r="K16" s="25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25"/>
    </row>
    <row r="17" spans="1:22" x14ac:dyDescent="0.25">
      <c r="A17" s="51" t="s">
        <v>23</v>
      </c>
      <c r="B17" s="51"/>
      <c r="C17" s="51"/>
      <c r="D17" s="49" t="s">
        <v>12</v>
      </c>
      <c r="E17" s="42">
        <f>I25</f>
        <v>115690000</v>
      </c>
      <c r="F17" s="38"/>
      <c r="H17" s="9"/>
      <c r="I17" s="9"/>
      <c r="J17" s="10"/>
      <c r="K17" s="25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25"/>
    </row>
    <row r="18" spans="1:22" ht="15.75" x14ac:dyDescent="0.25">
      <c r="A18" s="8"/>
      <c r="B18" s="8"/>
      <c r="C18" s="11" t="s">
        <v>0</v>
      </c>
      <c r="D18" s="11"/>
      <c r="E18" s="50" t="str">
        <f>PROPER(IF(E17=0,"nol",IF(E17&lt;0,"minus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17),"000000000000000"),1,3)=0,"",MID(TEXT(ABS(E17),"000000000000000"),1,1)&amp;" ratus "&amp;MID(TEXT(ABS(E17),"000000000000000"),2,1)&amp;" puluh "&amp;MID(TEXT(ABS(E17),"000000000000000"),3,1)&amp;" trilyun ")&amp;IF(--MID(TEXT(ABS(E17),"000000000000000"),4,3)=0,"",MID(TEXT(ABS(E17),"000000000000000"),4,1)&amp;" ratus "&amp;MID(TEXT(ABS(E17),"000000000000000"),5,1)&amp;" puluh "&amp;MID(TEXT(ABS(E17),"000000000000000"),6,1)&amp;" milyar ")&amp;IF(--MID(TEXT(ABS(E17),"000000000000000"),7,3)=0,"",MID(TEXT(ABS(E17),"000000000000000"),7,1)&amp;" ratus "&amp;MID(TEXT(ABS(E17),"000000000000000"),8,1)&amp;" puluh "&amp;MID(TEXT(ABS(E17),"000000000000000"),9,1)&amp;" juta ")&amp;IF(--MID(TEXT(ABS(E17),"000000000000000"),10,3)=0,"",IF(--MID(TEXT(ABS(E17),"000000000000000"),10,3)=1,"*",MID(TEXT(ABS(E17),"000000000000000"),10,1)&amp;" ratus "&amp;MID(TEXT(ABS(E17),"000000000000000"),11,1)&amp;" puluh ")&amp;MID(TEXT(ABS(E17),"000000000000000"),12,1)&amp;" ribu ")&amp;IF(--MID(TEXT(ABS(E17),"000000000000000"),13,3)=0,"",MID(TEXT(ABS(E17),"000000000000000"),13,1)&amp;" ratus "&amp;MID(TEXT(ABS(E17),"000000000000000"),14,1)&amp;" puluh "&amp;MID(TEXT(ABS(E17),"000000000000000"),15,1)),1,"satu"),2,"dua"),3,"tiga"),4,"empat"),5,"lima"),6,"enam"),7,"tujuh"),8,"delapan"),9,"sembilan"),"0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Limabelas Juta Enam Ratus Sembilan Puluh Ribu Rupiah</v>
      </c>
      <c r="F18" s="38"/>
      <c r="H18" s="9"/>
      <c r="I18" s="9"/>
      <c r="J18" s="10"/>
      <c r="K18" s="25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25"/>
    </row>
    <row r="19" spans="1:22" ht="15.75" x14ac:dyDescent="0.25">
      <c r="A19" s="8"/>
      <c r="B19" s="8"/>
      <c r="C19" s="11"/>
      <c r="D19" s="11"/>
      <c r="E19" s="11"/>
      <c r="F19" s="38"/>
      <c r="G19" s="50"/>
      <c r="H19" s="9"/>
      <c r="I19" s="9"/>
      <c r="J19" s="10"/>
      <c r="K19" s="25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25"/>
    </row>
    <row r="20" spans="1:22" x14ac:dyDescent="0.25">
      <c r="A20" s="8" t="s">
        <v>1</v>
      </c>
      <c r="B20" s="8"/>
      <c r="C20" s="8"/>
      <c r="D20" s="8"/>
      <c r="E20" s="8"/>
      <c r="F20" s="8"/>
      <c r="G20" s="8"/>
      <c r="H20" s="9"/>
      <c r="I20" s="9"/>
      <c r="J20" s="10"/>
      <c r="K20" s="2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25"/>
    </row>
    <row r="21" spans="1:22" x14ac:dyDescent="0.25">
      <c r="A21" s="66" t="s">
        <v>2</v>
      </c>
      <c r="B21" s="66"/>
      <c r="C21" s="66"/>
      <c r="D21" s="66"/>
      <c r="E21" s="66"/>
      <c r="F21" s="66"/>
      <c r="G21" s="66"/>
      <c r="H21" s="66"/>
      <c r="I21" s="66"/>
      <c r="J21" s="66"/>
      <c r="K21" s="25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25"/>
    </row>
    <row r="22" spans="1:22" ht="60" x14ac:dyDescent="0.25">
      <c r="A22" s="12" t="s">
        <v>3</v>
      </c>
      <c r="B22" s="52" t="s">
        <v>24</v>
      </c>
      <c r="C22" s="59" t="s">
        <v>4</v>
      </c>
      <c r="D22" s="60"/>
      <c r="E22" s="61"/>
      <c r="F22" s="48"/>
      <c r="G22" s="39" t="s">
        <v>5</v>
      </c>
      <c r="H22" s="13" t="s">
        <v>30</v>
      </c>
      <c r="I22" s="14" t="s">
        <v>6</v>
      </c>
      <c r="J22" s="15" t="s">
        <v>7</v>
      </c>
      <c r="K22" s="2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25"/>
    </row>
    <row r="23" spans="1:22" x14ac:dyDescent="0.25">
      <c r="A23" s="46">
        <v>1</v>
      </c>
      <c r="B23" s="46"/>
      <c r="C23" s="55" t="s">
        <v>31</v>
      </c>
      <c r="D23" s="57"/>
      <c r="E23" s="54"/>
      <c r="F23" s="37"/>
      <c r="G23" s="56" t="s">
        <v>28</v>
      </c>
      <c r="H23" s="56" t="s">
        <v>28</v>
      </c>
      <c r="I23" s="56" t="s">
        <v>28</v>
      </c>
      <c r="J23" s="56" t="s">
        <v>28</v>
      </c>
      <c r="K23" s="2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25"/>
    </row>
    <row r="24" spans="1:22" ht="32.25" customHeight="1" x14ac:dyDescent="0.25">
      <c r="A24" s="46"/>
      <c r="B24" s="46"/>
      <c r="C24" s="63" t="s">
        <v>35</v>
      </c>
      <c r="D24" s="64"/>
      <c r="E24" s="65"/>
      <c r="F24" s="37"/>
      <c r="G24" s="58">
        <v>500000000</v>
      </c>
      <c r="H24" s="43">
        <v>0</v>
      </c>
      <c r="I24" s="43">
        <v>115690000</v>
      </c>
      <c r="J24" s="44">
        <f t="shared" ref="J24" si="0">G24-H24-I24</f>
        <v>384310000</v>
      </c>
      <c r="K24" s="25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25"/>
    </row>
    <row r="25" spans="1:22" x14ac:dyDescent="0.25">
      <c r="A25" s="16"/>
      <c r="B25" s="16"/>
      <c r="C25" s="17" t="s">
        <v>8</v>
      </c>
      <c r="D25" s="17"/>
      <c r="E25" s="17"/>
      <c r="F25" s="41"/>
      <c r="G25" s="40">
        <f>SUM(G23:G24)</f>
        <v>500000000</v>
      </c>
      <c r="H25" s="18">
        <f>SUM(H23:H24)</f>
        <v>0</v>
      </c>
      <c r="I25" s="18">
        <f>SUM(I23:I24)</f>
        <v>115690000</v>
      </c>
      <c r="J25" s="18">
        <f>SUM(J23:J24)</f>
        <v>384310000</v>
      </c>
      <c r="K25" s="25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25"/>
    </row>
    <row r="26" spans="1:22" x14ac:dyDescent="0.25">
      <c r="A26" s="19"/>
      <c r="B26" s="53"/>
      <c r="C26" s="6"/>
      <c r="D26" s="6"/>
      <c r="E26" s="6"/>
      <c r="F26" s="6"/>
      <c r="G26" s="20"/>
      <c r="H26" s="20"/>
      <c r="I26" s="20"/>
      <c r="J26" s="20"/>
      <c r="K26" s="2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25"/>
    </row>
    <row r="27" spans="1:22" x14ac:dyDescent="0.25">
      <c r="A27" s="62" t="s">
        <v>15</v>
      </c>
      <c r="B27" s="62"/>
      <c r="C27" s="62"/>
      <c r="D27" s="33" t="s">
        <v>12</v>
      </c>
      <c r="E27" s="36">
        <f>I25</f>
        <v>115690000</v>
      </c>
      <c r="F27" s="36"/>
      <c r="G27" s="21"/>
      <c r="H27" s="21"/>
      <c r="I27" s="10"/>
      <c r="J27" s="10"/>
      <c r="K27" s="25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25"/>
    </row>
    <row r="28" spans="1:22" x14ac:dyDescent="0.25">
      <c r="A28" s="8" t="s">
        <v>9</v>
      </c>
      <c r="B28" s="8"/>
      <c r="C28" s="8"/>
      <c r="D28" s="33" t="s">
        <v>12</v>
      </c>
      <c r="E28" s="34"/>
      <c r="F28" s="34"/>
      <c r="G28" s="22"/>
      <c r="H28" s="9"/>
      <c r="I28" s="10"/>
      <c r="J28" s="10"/>
      <c r="K28" s="25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25"/>
    </row>
    <row r="29" spans="1:22" x14ac:dyDescent="0.25">
      <c r="A29" s="8" t="s">
        <v>17</v>
      </c>
      <c r="B29" s="8"/>
      <c r="C29" s="8"/>
      <c r="D29" s="33" t="s">
        <v>12</v>
      </c>
      <c r="E29" s="35"/>
      <c r="F29" s="35"/>
      <c r="G29" s="22"/>
      <c r="H29" s="9"/>
      <c r="I29" s="10"/>
      <c r="J29" s="10"/>
      <c r="K29" s="25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25"/>
    </row>
    <row r="30" spans="1:22" x14ac:dyDescent="0.25">
      <c r="A30" s="8" t="s">
        <v>10</v>
      </c>
      <c r="B30" s="8"/>
      <c r="C30" s="8"/>
      <c r="D30" s="33" t="s">
        <v>12</v>
      </c>
      <c r="E30" s="35">
        <f>E28+E29</f>
        <v>0</v>
      </c>
      <c r="F30" s="35"/>
      <c r="G30" s="8"/>
      <c r="H30" s="9"/>
      <c r="I30" s="23"/>
      <c r="J30" s="24"/>
      <c r="K30" s="25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25"/>
    </row>
    <row r="31" spans="1:22" x14ac:dyDescent="0.25">
      <c r="A31" s="45"/>
      <c r="B31" s="45"/>
      <c r="C31" s="45"/>
      <c r="D31" s="33"/>
      <c r="E31" s="45"/>
      <c r="F31" s="45"/>
      <c r="G31" s="8"/>
      <c r="H31" s="9"/>
      <c r="I31" s="23"/>
      <c r="J31" s="24"/>
      <c r="K31" s="25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25"/>
    </row>
    <row r="32" spans="1:22" x14ac:dyDescent="0.25">
      <c r="A32" s="62" t="s">
        <v>16</v>
      </c>
      <c r="B32" s="62"/>
      <c r="C32" s="62"/>
      <c r="D32" s="33" t="s">
        <v>12</v>
      </c>
      <c r="E32" s="36">
        <f>E27-E30</f>
        <v>115690000</v>
      </c>
      <c r="F32" s="36"/>
      <c r="G32" s="8"/>
      <c r="H32" s="9"/>
      <c r="I32" s="23"/>
      <c r="J32" s="24"/>
      <c r="K32" s="25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25"/>
    </row>
    <row r="33" spans="1:22" ht="15.75" x14ac:dyDescent="0.25">
      <c r="A33" s="45"/>
      <c r="B33" s="45"/>
      <c r="C33" s="8"/>
      <c r="D33" s="8"/>
      <c r="E33" s="50" t="str">
        <f>PROPER(IF(E32=0,"nol",IF(E32&lt;0,"minus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32),"000000000000000"),1,3)=0,"",MID(TEXT(ABS(E32),"000000000000000"),1,1)&amp;" ratus "&amp;MID(TEXT(ABS(E32),"000000000000000"),2,1)&amp;" puluh "&amp;MID(TEXT(ABS(E32),"000000000000000"),3,1)&amp;" trilyun ")&amp;IF(--MID(TEXT(ABS(E32),"000000000000000"),4,3)=0,"",MID(TEXT(ABS(E32),"000000000000000"),4,1)&amp;" ratus "&amp;MID(TEXT(ABS(E32),"000000000000000"),5,1)&amp;" puluh "&amp;MID(TEXT(ABS(E32),"000000000000000"),6,1)&amp;" milyar ")&amp;IF(--MID(TEXT(ABS(E32),"000000000000000"),7,3)=0,"",MID(TEXT(ABS(E32),"000000000000000"),7,1)&amp;" ratus "&amp;MID(TEXT(ABS(E32),"000000000000000"),8,1)&amp;" puluh "&amp;MID(TEXT(ABS(E32),"000000000000000"),9,1)&amp;" juta ")&amp;IF(--MID(TEXT(ABS(E32),"000000000000000"),10,3)=0,"",IF(--MID(TEXT(ABS(E32),"000000000000000"),10,3)=1,"*",MID(TEXT(ABS(E32),"000000000000000"),10,1)&amp;" ratus "&amp;MID(TEXT(ABS(E32),"000000000000000"),11,1)&amp;" puluh ")&amp;MID(TEXT(ABS(E32),"000000000000000"),12,1)&amp;" ribu ")&amp;IF(--MID(TEXT(ABS(E32),"000000000000000"),13,3)=0,"",MID(TEXT(ABS(E32),"000000000000000"),13,1)&amp;" ratus "&amp;MID(TEXT(ABS(E32),"000000000000000"),14,1)&amp;" puluh "&amp;MID(TEXT(ABS(E32),"000000000000000"),15,1)),1,"satu"),2,"dua"),3,"tiga"),4,"empat"),5,"lima"),6,"enam"),7,"tujuh"),8,"delapan"),9,"sembilan"),"0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Seratus Limabelas Juta Enam Ratus Sembilan Puluh Ribu Rupiah</v>
      </c>
      <c r="F33" s="8"/>
      <c r="G33" s="8"/>
      <c r="H33" s="8"/>
      <c r="I33" s="23"/>
      <c r="J33" s="24"/>
      <c r="K33" s="25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25"/>
    </row>
    <row r="34" spans="1:22" x14ac:dyDescent="0.25">
      <c r="A34" s="26"/>
      <c r="B34" s="26"/>
      <c r="C34" s="26"/>
      <c r="D34" s="26"/>
      <c r="E34" s="26"/>
      <c r="F34" s="26"/>
      <c r="G34" s="25"/>
      <c r="H34" s="24"/>
      <c r="I34" s="23"/>
      <c r="J34" s="24"/>
      <c r="K34" s="25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25"/>
    </row>
    <row r="35" spans="1:22" x14ac:dyDescent="0.25">
      <c r="A35" s="25"/>
      <c r="B35" s="25"/>
      <c r="C35" s="25"/>
      <c r="D35" s="25"/>
      <c r="E35" s="25"/>
      <c r="F35" s="25"/>
      <c r="G35" s="25"/>
      <c r="H35"/>
      <c r="I35" s="24"/>
      <c r="J35" s="24"/>
      <c r="K35" s="25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25"/>
    </row>
    <row r="36" spans="1:22" x14ac:dyDescent="0.25">
      <c r="A36" s="45"/>
      <c r="B36" s="45"/>
      <c r="C36" s="8"/>
      <c r="D36" s="8"/>
      <c r="E36" s="8"/>
      <c r="F36" s="8"/>
      <c r="G36" s="8"/>
      <c r="I36" s="47" t="s">
        <v>37</v>
      </c>
      <c r="J36" s="24"/>
      <c r="K36" s="25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25"/>
    </row>
    <row r="37" spans="1:22" x14ac:dyDescent="0.25">
      <c r="A37" s="9" t="s">
        <v>26</v>
      </c>
      <c r="B37" s="8"/>
      <c r="C37" s="8"/>
      <c r="D37" s="8"/>
      <c r="E37" s="8"/>
      <c r="F37" s="8"/>
      <c r="G37" s="8"/>
      <c r="I37" s="9" t="s">
        <v>25</v>
      </c>
      <c r="J37" s="24"/>
      <c r="K37" s="25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25"/>
    </row>
    <row r="38" spans="1:22" x14ac:dyDescent="0.25">
      <c r="A38" s="8"/>
      <c r="B38" s="8"/>
      <c r="C38" s="8"/>
      <c r="D38" s="8"/>
      <c r="E38" s="8"/>
      <c r="F38" s="8"/>
      <c r="G38" s="8"/>
      <c r="I38" s="9"/>
      <c r="J38" s="24"/>
      <c r="K38" s="25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25"/>
    </row>
    <row r="39" spans="1:22" x14ac:dyDescent="0.25">
      <c r="A39" s="8"/>
      <c r="B39" s="8"/>
      <c r="C39" s="8"/>
      <c r="D39" s="8"/>
      <c r="E39" s="8"/>
      <c r="F39" s="8"/>
      <c r="G39" s="8"/>
      <c r="I39" s="9"/>
      <c r="J39" s="24"/>
      <c r="K39" s="25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25"/>
    </row>
    <row r="40" spans="1:22" x14ac:dyDescent="0.25">
      <c r="A40" s="8"/>
      <c r="B40" s="8"/>
      <c r="C40" s="8"/>
      <c r="D40" s="8"/>
      <c r="E40" s="8"/>
      <c r="F40" s="8"/>
      <c r="G40" s="8"/>
      <c r="I40" s="9"/>
      <c r="J40" s="24"/>
      <c r="K40" s="25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25"/>
    </row>
    <row r="41" spans="1:22" x14ac:dyDescent="0.25">
      <c r="A41" s="8"/>
      <c r="B41" s="8"/>
      <c r="C41" s="8"/>
      <c r="D41" s="8"/>
      <c r="E41" s="8"/>
      <c r="F41" s="8"/>
      <c r="G41" s="8"/>
      <c r="I41" s="9"/>
      <c r="J41" s="24"/>
      <c r="K41" s="25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25"/>
    </row>
    <row r="42" spans="1:22" x14ac:dyDescent="0.25">
      <c r="A42" s="28" t="s">
        <v>34</v>
      </c>
      <c r="B42" s="28"/>
      <c r="C42" s="27"/>
      <c r="D42" s="27"/>
      <c r="E42" s="27"/>
      <c r="F42" s="27"/>
      <c r="G42" s="8" t="s">
        <v>11</v>
      </c>
      <c r="I42" s="28" t="s">
        <v>27</v>
      </c>
      <c r="J42" s="24"/>
      <c r="K42" s="25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25"/>
    </row>
    <row r="43" spans="1:22" x14ac:dyDescent="0.25">
      <c r="A43" s="30"/>
      <c r="B43" s="30"/>
      <c r="C43" s="29"/>
      <c r="D43" s="29"/>
      <c r="E43" s="29"/>
      <c r="F43" s="29"/>
      <c r="G43" s="29"/>
      <c r="H43" s="30"/>
      <c r="I43" s="30"/>
      <c r="J43" s="24"/>
      <c r="K43" s="25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25"/>
    </row>
    <row r="47" spans="1:22" ht="15.75" x14ac:dyDescent="0.25">
      <c r="C47" s="3"/>
      <c r="D47" s="3"/>
      <c r="E47" s="3"/>
      <c r="F47" s="3"/>
    </row>
    <row r="48" spans="1:22" ht="15.75" x14ac:dyDescent="0.25">
      <c r="A48" s="2"/>
      <c r="B48" s="2"/>
      <c r="C48" s="3"/>
      <c r="D48" s="3"/>
      <c r="E48" s="3"/>
      <c r="F48" s="3"/>
      <c r="G48" s="2"/>
      <c r="H48" s="4"/>
      <c r="I48" s="4"/>
      <c r="J48" s="5"/>
    </row>
    <row r="49" spans="1:10" x14ac:dyDescent="0.25">
      <c r="H49" s="5"/>
      <c r="I49" s="5"/>
      <c r="J49" s="5"/>
    </row>
    <row r="50" spans="1:10" x14ac:dyDescent="0.25">
      <c r="H50" s="5"/>
      <c r="I50" s="5"/>
      <c r="J50" s="5"/>
    </row>
    <row r="51" spans="1:10" x14ac:dyDescent="0.25">
      <c r="A51" s="67" t="s">
        <v>29</v>
      </c>
      <c r="B51" s="67"/>
      <c r="C51" s="68"/>
      <c r="D51" s="68"/>
      <c r="E51" s="68"/>
      <c r="F51" s="68"/>
      <c r="G51" s="68"/>
      <c r="H51" s="68"/>
      <c r="I51" s="68"/>
      <c r="J51" s="68"/>
    </row>
    <row r="52" spans="1:10" x14ac:dyDescent="0.25">
      <c r="A52" s="68" t="s">
        <v>38</v>
      </c>
      <c r="B52" s="68"/>
      <c r="C52" s="68"/>
      <c r="D52" s="68"/>
      <c r="E52" s="68"/>
      <c r="F52" s="68"/>
      <c r="G52" s="68"/>
      <c r="H52" s="68"/>
      <c r="I52" s="68"/>
      <c r="J52" s="68"/>
    </row>
    <row r="53" spans="1:10" x14ac:dyDescent="0.25">
      <c r="A53" s="68" t="s">
        <v>13</v>
      </c>
      <c r="B53" s="68"/>
      <c r="C53" s="68"/>
      <c r="D53" s="68"/>
      <c r="E53" s="68"/>
      <c r="F53" s="68"/>
      <c r="G53" s="68"/>
      <c r="H53" s="68"/>
      <c r="I53" s="68"/>
      <c r="J53" s="68"/>
    </row>
    <row r="54" spans="1:10" x14ac:dyDescent="0.25">
      <c r="A54" s="68" t="s">
        <v>32</v>
      </c>
      <c r="B54" s="68"/>
      <c r="C54" s="68"/>
      <c r="D54" s="68"/>
      <c r="E54" s="68"/>
      <c r="F54" s="68"/>
      <c r="G54" s="68"/>
      <c r="H54" s="68"/>
      <c r="I54" s="68"/>
      <c r="J54" s="68"/>
    </row>
    <row r="55" spans="1:10" x14ac:dyDescent="0.25">
      <c r="A55" s="68" t="s">
        <v>14</v>
      </c>
      <c r="B55" s="68"/>
      <c r="C55" s="68"/>
      <c r="D55" s="68"/>
      <c r="E55" s="68"/>
      <c r="F55" s="68"/>
      <c r="G55" s="68"/>
      <c r="H55" s="68"/>
      <c r="I55" s="68"/>
      <c r="J55" s="68"/>
    </row>
    <row r="56" spans="1:10" x14ac:dyDescent="0.25">
      <c r="A56" s="32"/>
      <c r="B56" s="32"/>
      <c r="C56" s="7"/>
      <c r="D56" s="7"/>
      <c r="E56" s="7"/>
      <c r="F56" s="7"/>
      <c r="G56" s="6"/>
      <c r="H56" s="10"/>
      <c r="I56" s="10"/>
      <c r="J56" s="10"/>
    </row>
    <row r="57" spans="1:10" x14ac:dyDescent="0.25">
      <c r="A57" s="51" t="s">
        <v>20</v>
      </c>
      <c r="B57" s="51"/>
      <c r="C57" s="51"/>
      <c r="D57" s="49" t="s">
        <v>12</v>
      </c>
      <c r="E57" s="8" t="s">
        <v>19</v>
      </c>
      <c r="F57" s="38"/>
      <c r="H57" s="9"/>
      <c r="I57" s="9"/>
      <c r="J57" s="10"/>
    </row>
    <row r="58" spans="1:10" x14ac:dyDescent="0.25">
      <c r="A58" s="51" t="s">
        <v>21</v>
      </c>
      <c r="B58" s="51"/>
      <c r="C58" s="51"/>
      <c r="D58" s="49" t="s">
        <v>12</v>
      </c>
      <c r="E58" s="8" t="s">
        <v>18</v>
      </c>
      <c r="F58" s="38"/>
      <c r="H58" s="9"/>
      <c r="I58" s="9"/>
      <c r="J58" s="10"/>
    </row>
    <row r="59" spans="1:10" x14ac:dyDescent="0.25">
      <c r="A59" s="51" t="s">
        <v>22</v>
      </c>
      <c r="B59" s="51"/>
      <c r="C59" s="51"/>
      <c r="D59" s="49" t="s">
        <v>12</v>
      </c>
      <c r="E59" s="45">
        <v>2026</v>
      </c>
      <c r="F59" s="38"/>
      <c r="G59" t="s">
        <v>33</v>
      </c>
      <c r="H59" s="9"/>
      <c r="I59" s="9"/>
      <c r="J59" s="10"/>
    </row>
    <row r="60" spans="1:10" x14ac:dyDescent="0.25">
      <c r="A60" s="51" t="s">
        <v>23</v>
      </c>
      <c r="B60" s="51"/>
      <c r="C60" s="51"/>
      <c r="D60" s="49" t="s">
        <v>12</v>
      </c>
      <c r="E60" s="42">
        <f>I68</f>
        <v>43980000</v>
      </c>
      <c r="F60" s="38"/>
      <c r="H60" s="9"/>
      <c r="I60" s="9"/>
      <c r="J60" s="10"/>
    </row>
    <row r="61" spans="1:10" ht="15.75" x14ac:dyDescent="0.25">
      <c r="A61" s="8"/>
      <c r="B61" s="8"/>
      <c r="C61" s="11" t="s">
        <v>0</v>
      </c>
      <c r="D61" s="11"/>
      <c r="E61" s="50" t="str">
        <f>PROPER(IF(E60=0,"nol",IF(E60&lt;0,"minus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60),"000000000000000"),1,3)=0,"",MID(TEXT(ABS(E60),"000000000000000"),1,1)&amp;" ratus "&amp;MID(TEXT(ABS(E60),"000000000000000"),2,1)&amp;" puluh "&amp;MID(TEXT(ABS(E60),"000000000000000"),3,1)&amp;" trilyun ")&amp;IF(--MID(TEXT(ABS(E60),"000000000000000"),4,3)=0,"",MID(TEXT(ABS(E60),"000000000000000"),4,1)&amp;" ratus "&amp;MID(TEXT(ABS(E60),"000000000000000"),5,1)&amp;" puluh "&amp;MID(TEXT(ABS(E60),"000000000000000"),6,1)&amp;" milyar ")&amp;IF(--MID(TEXT(ABS(E60),"000000000000000"),7,3)=0,"",MID(TEXT(ABS(E60),"000000000000000"),7,1)&amp;" ratus "&amp;MID(TEXT(ABS(E60),"000000000000000"),8,1)&amp;" puluh "&amp;MID(TEXT(ABS(E60),"000000000000000"),9,1)&amp;" juta ")&amp;IF(--MID(TEXT(ABS(E60),"000000000000000"),10,3)=0,"",IF(--MID(TEXT(ABS(E60),"000000000000000"),10,3)=1,"*",MID(TEXT(ABS(E60),"000000000000000"),10,1)&amp;" ratus "&amp;MID(TEXT(ABS(E60),"000000000000000"),11,1)&amp;" puluh ")&amp;MID(TEXT(ABS(E60),"000000000000000"),12,1)&amp;" ribu ")&amp;IF(--MID(TEXT(ABS(E60),"000000000000000"),13,3)=0,"",MID(TEXT(ABS(E60),"000000000000000"),13,1)&amp;" ratus "&amp;MID(TEXT(ABS(E60),"000000000000000"),14,1)&amp;" puluh "&amp;MID(TEXT(ABS(E60),"000000000000000"),15,1)),1,"satu"),2,"dua"),3,"tiga"),4,"empat"),5,"lima"),6,"enam"),7,"tujuh"),8,"delapan"),9,"sembilan"),"0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Tiga Juta Sembilan Ratus Delapan Puluh Ribu Rupiah</v>
      </c>
      <c r="F61" s="38"/>
      <c r="H61" s="9"/>
      <c r="I61" s="9"/>
      <c r="J61" s="10"/>
    </row>
    <row r="62" spans="1:10" ht="15.75" x14ac:dyDescent="0.25">
      <c r="A62" s="8"/>
      <c r="B62" s="8"/>
      <c r="C62" s="11"/>
      <c r="D62" s="11"/>
      <c r="E62" s="11"/>
      <c r="F62" s="38"/>
      <c r="G62" s="50"/>
      <c r="H62" s="9"/>
      <c r="I62" s="9"/>
      <c r="J62" s="10"/>
    </row>
    <row r="63" spans="1:10" x14ac:dyDescent="0.25">
      <c r="A63" s="8" t="s">
        <v>1</v>
      </c>
      <c r="B63" s="8"/>
      <c r="C63" s="8"/>
      <c r="D63" s="8"/>
      <c r="E63" s="8"/>
      <c r="F63" s="8"/>
      <c r="G63" s="8"/>
      <c r="H63" s="9"/>
      <c r="I63" s="9"/>
      <c r="J63" s="10"/>
    </row>
    <row r="64" spans="1:10" x14ac:dyDescent="0.25">
      <c r="A64" s="66" t="s">
        <v>2</v>
      </c>
      <c r="B64" s="66"/>
      <c r="C64" s="66"/>
      <c r="D64" s="66"/>
      <c r="E64" s="66"/>
      <c r="F64" s="66"/>
      <c r="G64" s="66"/>
      <c r="H64" s="66"/>
      <c r="I64" s="66"/>
      <c r="J64" s="66"/>
    </row>
    <row r="65" spans="1:10" ht="60" x14ac:dyDescent="0.25">
      <c r="A65" s="12" t="s">
        <v>3</v>
      </c>
      <c r="B65" s="52" t="s">
        <v>24</v>
      </c>
      <c r="C65" s="59" t="s">
        <v>4</v>
      </c>
      <c r="D65" s="60"/>
      <c r="E65" s="61"/>
      <c r="F65" s="48"/>
      <c r="G65" s="39" t="s">
        <v>5</v>
      </c>
      <c r="H65" s="13" t="s">
        <v>30</v>
      </c>
      <c r="I65" s="14" t="s">
        <v>6</v>
      </c>
      <c r="J65" s="15" t="s">
        <v>7</v>
      </c>
    </row>
    <row r="66" spans="1:10" x14ac:dyDescent="0.25">
      <c r="A66" s="46">
        <v>1</v>
      </c>
      <c r="B66" s="46"/>
      <c r="C66" s="55" t="s">
        <v>31</v>
      </c>
      <c r="D66" s="57"/>
      <c r="E66" s="54"/>
      <c r="F66" s="37"/>
      <c r="G66" s="56" t="s">
        <v>28</v>
      </c>
      <c r="H66" s="56" t="s">
        <v>28</v>
      </c>
      <c r="I66" s="56" t="s">
        <v>28</v>
      </c>
      <c r="J66" s="56" t="s">
        <v>28</v>
      </c>
    </row>
    <row r="67" spans="1:10" ht="33" customHeight="1" x14ac:dyDescent="0.25">
      <c r="A67" s="46"/>
      <c r="B67" s="46"/>
      <c r="C67" s="63" t="s">
        <v>35</v>
      </c>
      <c r="D67" s="64"/>
      <c r="E67" s="65"/>
      <c r="F67" s="37"/>
      <c r="G67" s="58">
        <v>500000000</v>
      </c>
      <c r="H67" s="43">
        <f>H24+I24</f>
        <v>115690000</v>
      </c>
      <c r="I67" s="43">
        <v>43980000</v>
      </c>
      <c r="J67" s="44">
        <f t="shared" ref="J67" si="1">G67-H67-I67</f>
        <v>340330000</v>
      </c>
    </row>
    <row r="68" spans="1:10" x14ac:dyDescent="0.25">
      <c r="A68" s="16"/>
      <c r="B68" s="16"/>
      <c r="C68" s="17" t="s">
        <v>8</v>
      </c>
      <c r="D68" s="17"/>
      <c r="E68" s="17"/>
      <c r="F68" s="41"/>
      <c r="G68" s="40">
        <f>SUM(G66:G67)</f>
        <v>500000000</v>
      </c>
      <c r="H68" s="18">
        <f>SUM(H66:H67)</f>
        <v>115690000</v>
      </c>
      <c r="I68" s="18">
        <f>SUM(I66:I67)</f>
        <v>43980000</v>
      </c>
      <c r="J68" s="18">
        <f>SUM(J66:J67)</f>
        <v>340330000</v>
      </c>
    </row>
    <row r="69" spans="1:10" x14ac:dyDescent="0.25">
      <c r="A69" s="19"/>
      <c r="B69" s="53"/>
      <c r="C69" s="6"/>
      <c r="D69" s="6"/>
      <c r="E69" s="6"/>
      <c r="F69" s="6"/>
      <c r="G69" s="20"/>
      <c r="H69" s="20"/>
      <c r="I69" s="20"/>
      <c r="J69" s="20"/>
    </row>
    <row r="70" spans="1:10" x14ac:dyDescent="0.25">
      <c r="A70" s="62" t="s">
        <v>15</v>
      </c>
      <c r="B70" s="62"/>
      <c r="C70" s="62"/>
      <c r="D70" s="33" t="s">
        <v>12</v>
      </c>
      <c r="E70" s="36">
        <f>I68</f>
        <v>43980000</v>
      </c>
      <c r="F70" s="36"/>
      <c r="G70" s="21"/>
      <c r="H70" s="21"/>
      <c r="I70" s="10"/>
      <c r="J70" s="10"/>
    </row>
    <row r="71" spans="1:10" x14ac:dyDescent="0.25">
      <c r="A71" s="8" t="s">
        <v>9</v>
      </c>
      <c r="B71" s="8"/>
      <c r="C71" s="8"/>
      <c r="D71" s="33" t="s">
        <v>12</v>
      </c>
      <c r="E71" s="34"/>
      <c r="F71" s="34"/>
      <c r="G71" s="22"/>
      <c r="H71" s="9"/>
      <c r="I71" s="10"/>
      <c r="J71" s="10"/>
    </row>
    <row r="72" spans="1:10" x14ac:dyDescent="0.25">
      <c r="A72" s="8" t="s">
        <v>17</v>
      </c>
      <c r="B72" s="8"/>
      <c r="C72" s="8"/>
      <c r="D72" s="33" t="s">
        <v>12</v>
      </c>
      <c r="E72" s="35"/>
      <c r="F72" s="35"/>
      <c r="G72" s="22"/>
      <c r="H72" s="9"/>
      <c r="I72" s="10"/>
      <c r="J72" s="10"/>
    </row>
    <row r="73" spans="1:10" x14ac:dyDescent="0.25">
      <c r="A73" s="8" t="s">
        <v>10</v>
      </c>
      <c r="B73" s="8"/>
      <c r="C73" s="8"/>
      <c r="D73" s="33" t="s">
        <v>12</v>
      </c>
      <c r="E73" s="35">
        <f>E71+E72</f>
        <v>0</v>
      </c>
      <c r="F73" s="35"/>
      <c r="G73" s="8"/>
      <c r="H73" s="9"/>
      <c r="I73" s="23"/>
      <c r="J73" s="24"/>
    </row>
    <row r="74" spans="1:10" x14ac:dyDescent="0.25">
      <c r="A74" s="45"/>
      <c r="B74" s="45"/>
      <c r="C74" s="45"/>
      <c r="D74" s="33"/>
      <c r="E74" s="45"/>
      <c r="F74" s="45"/>
      <c r="G74" s="8"/>
      <c r="H74" s="9"/>
      <c r="I74" s="23"/>
      <c r="J74" s="24"/>
    </row>
    <row r="75" spans="1:10" x14ac:dyDescent="0.25">
      <c r="A75" s="62" t="s">
        <v>16</v>
      </c>
      <c r="B75" s="62"/>
      <c r="C75" s="62"/>
      <c r="D75" s="33" t="s">
        <v>12</v>
      </c>
      <c r="E75" s="36">
        <f>E70-E73</f>
        <v>43980000</v>
      </c>
      <c r="F75" s="36"/>
      <c r="G75" s="8"/>
      <c r="H75" s="9"/>
      <c r="I75" s="23"/>
      <c r="J75" s="24"/>
    </row>
    <row r="76" spans="1:10" ht="15.75" x14ac:dyDescent="0.25">
      <c r="A76" s="45"/>
      <c r="B76" s="45"/>
      <c r="C76" s="8"/>
      <c r="D76" s="8"/>
      <c r="E76" s="50" t="str">
        <f>PROPER(IF(E75=0,"nol",IF(E75&lt;0,"minus ","")&amp;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IF(--MID(TEXT(ABS(E75),"000000000000000"),1,3)=0,"",MID(TEXT(ABS(E75),"000000000000000"),1,1)&amp;" ratus "&amp;MID(TEXT(ABS(E75),"000000000000000"),2,1)&amp;" puluh "&amp;MID(TEXT(ABS(E75),"000000000000000"),3,1)&amp;" trilyun ")&amp;IF(--MID(TEXT(ABS(E75),"000000000000000"),4,3)=0,"",MID(TEXT(ABS(E75),"000000000000000"),4,1)&amp;" ratus "&amp;MID(TEXT(ABS(E75),"000000000000000"),5,1)&amp;" puluh "&amp;MID(TEXT(ABS(E75),"000000000000000"),6,1)&amp;" milyar ")&amp;IF(--MID(TEXT(ABS(E75),"000000000000000"),7,3)=0,"",MID(TEXT(ABS(E75),"000000000000000"),7,1)&amp;" ratus "&amp;MID(TEXT(ABS(E75),"000000000000000"),8,1)&amp;" puluh "&amp;MID(TEXT(ABS(E75),"000000000000000"),9,1)&amp;" juta ")&amp;IF(--MID(TEXT(ABS(E75),"000000000000000"),10,3)=0,"",IF(--MID(TEXT(ABS(E75),"000000000000000"),10,3)=1,"*",MID(TEXT(ABS(E75),"000000000000000"),10,1)&amp;" ratus "&amp;MID(TEXT(ABS(E75),"000000000000000"),11,1)&amp;" puluh ")&amp;MID(TEXT(ABS(E75),"000000000000000"),12,1)&amp;" ribu ")&amp;IF(--MID(TEXT(ABS(E75),"000000000000000"),13,3)=0,"",MID(TEXT(ABS(E75),"000000000000000"),13,1)&amp;" ratus "&amp;MID(TEXT(ABS(E75),"000000000000000"),14,1)&amp;" puluh "&amp;MID(TEXT(ABS(E75),"000000000000000"),15,1)),1,"satu"),2,"dua"),3,"tiga"),4,"empat"),5,"lima"),6,"enam"),7,"tujuh"),8,"delapan"),9,"sembilan"),"0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"))&amp;" Rupiah")</f>
        <v>Empat Puluh Tiga Juta Sembilan Ratus Delapan Puluh Ribu Rupiah</v>
      </c>
      <c r="F76" s="8"/>
      <c r="G76" s="8"/>
      <c r="H76" s="8"/>
      <c r="I76" s="23"/>
      <c r="J76" s="24"/>
    </row>
    <row r="77" spans="1:10" x14ac:dyDescent="0.25">
      <c r="A77" s="26"/>
      <c r="B77" s="26"/>
      <c r="C77" s="26"/>
      <c r="D77" s="26"/>
      <c r="E77" s="26"/>
      <c r="F77" s="26"/>
      <c r="G77" s="25"/>
      <c r="H77" s="24"/>
      <c r="I77" s="23"/>
      <c r="J77" s="24"/>
    </row>
    <row r="78" spans="1:10" x14ac:dyDescent="0.25">
      <c r="A78" s="25"/>
      <c r="B78" s="25"/>
      <c r="C78" s="25"/>
      <c r="D78" s="25"/>
      <c r="E78" s="25"/>
      <c r="F78" s="25"/>
      <c r="G78" s="25"/>
      <c r="H78"/>
      <c r="I78" s="24"/>
      <c r="J78" s="24"/>
    </row>
    <row r="79" spans="1:10" x14ac:dyDescent="0.25">
      <c r="A79" s="45"/>
      <c r="B79" s="45"/>
      <c r="C79" s="8"/>
      <c r="D79" s="8"/>
      <c r="E79" s="8"/>
      <c r="F79" s="8"/>
      <c r="G79" s="8"/>
      <c r="I79" s="47" t="s">
        <v>39</v>
      </c>
      <c r="J79" s="24"/>
    </row>
    <row r="80" spans="1:10" x14ac:dyDescent="0.25">
      <c r="A80" s="9" t="s">
        <v>26</v>
      </c>
      <c r="B80" s="8"/>
      <c r="C80" s="8"/>
      <c r="D80" s="8"/>
      <c r="E80" s="8"/>
      <c r="F80" s="8"/>
      <c r="G80" s="8"/>
      <c r="I80" s="9" t="s">
        <v>25</v>
      </c>
      <c r="J80" s="24"/>
    </row>
    <row r="81" spans="1:10" x14ac:dyDescent="0.25">
      <c r="A81" s="8"/>
      <c r="B81" s="8"/>
      <c r="C81" s="8"/>
      <c r="D81" s="8"/>
      <c r="E81" s="8"/>
      <c r="F81" s="8"/>
      <c r="G81" s="8"/>
      <c r="I81" s="9"/>
      <c r="J81" s="24"/>
    </row>
    <row r="82" spans="1:10" x14ac:dyDescent="0.25">
      <c r="A82" s="8"/>
      <c r="B82" s="8"/>
      <c r="C82" s="8"/>
      <c r="D82" s="8"/>
      <c r="E82" s="8"/>
      <c r="F82" s="8"/>
      <c r="G82" s="8"/>
      <c r="I82" s="9"/>
      <c r="J82" s="24"/>
    </row>
    <row r="83" spans="1:10" x14ac:dyDescent="0.25">
      <c r="A83" s="8"/>
      <c r="B83" s="8"/>
      <c r="C83" s="8"/>
      <c r="D83" s="8"/>
      <c r="E83" s="8"/>
      <c r="F83" s="8"/>
      <c r="G83" s="8"/>
      <c r="I83" s="9"/>
      <c r="J83" s="24"/>
    </row>
    <row r="84" spans="1:10" x14ac:dyDescent="0.25">
      <c r="A84" s="8"/>
      <c r="B84" s="8"/>
      <c r="C84" s="8"/>
      <c r="D84" s="8"/>
      <c r="E84" s="8"/>
      <c r="F84" s="8"/>
      <c r="G84" s="8"/>
      <c r="I84" s="9"/>
      <c r="J84" s="24"/>
    </row>
    <row r="85" spans="1:10" x14ac:dyDescent="0.25">
      <c r="A85" s="28" t="s">
        <v>34</v>
      </c>
      <c r="B85" s="28"/>
      <c r="C85" s="27"/>
      <c r="D85" s="27"/>
      <c r="E85" s="27"/>
      <c r="F85" s="27"/>
      <c r="G85" s="8" t="s">
        <v>11</v>
      </c>
      <c r="I85" s="28" t="s">
        <v>27</v>
      </c>
      <c r="J85" s="24" t="s">
        <v>40</v>
      </c>
    </row>
  </sheetData>
  <mergeCells count="20">
    <mergeCell ref="A64:J64"/>
    <mergeCell ref="C65:E65"/>
    <mergeCell ref="C67:E67"/>
    <mergeCell ref="A70:C70"/>
    <mergeCell ref="A75:C75"/>
    <mergeCell ref="A51:J51"/>
    <mergeCell ref="A52:J52"/>
    <mergeCell ref="A53:J53"/>
    <mergeCell ref="A54:J54"/>
    <mergeCell ref="A55:J55"/>
    <mergeCell ref="A8:J8"/>
    <mergeCell ref="A9:J9"/>
    <mergeCell ref="A10:J10"/>
    <mergeCell ref="A11:J11"/>
    <mergeCell ref="A12:J12"/>
    <mergeCell ref="C22:E22"/>
    <mergeCell ref="A27:C27"/>
    <mergeCell ref="A32:C32"/>
    <mergeCell ref="C24:E24"/>
    <mergeCell ref="A21:J21"/>
  </mergeCells>
  <pageMargins left="0.23622047244094491" right="0.23622047244094491" top="0.74803149606299213" bottom="0.74803149606299213" header="0.31496062992125984" footer="0.31496062992125984"/>
  <pageSetup paperSize="9" scale="80" orientation="portrait" horizontalDpi="4294967293" r:id="rId1"/>
  <rowBreaks count="2" manualBreakCount="2">
    <brk id="43" max="9" man="1"/>
    <brk id="86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JANUARI</vt:lpstr>
      <vt:lpstr>JANUARI!Print_Area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HYPE FLEX</cp:lastModifiedBy>
  <cp:lastPrinted>2026-01-14T02:00:53Z</cp:lastPrinted>
  <dcterms:created xsi:type="dcterms:W3CDTF">2017-02-01T01:06:13Z</dcterms:created>
  <dcterms:modified xsi:type="dcterms:W3CDTF">2026-01-14T10:27:41Z</dcterms:modified>
</cp:coreProperties>
</file>