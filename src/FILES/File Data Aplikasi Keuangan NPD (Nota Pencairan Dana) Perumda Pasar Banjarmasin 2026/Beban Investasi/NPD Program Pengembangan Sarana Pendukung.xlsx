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EB75BD07-1A4C-42F0-9FC3-F2A8C8FB6E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JANUARI" sheetId="13" r:id="rId1"/>
    <sheet name="MARET" sheetId="14" r:id="rId2"/>
  </sheets>
  <definedNames>
    <definedName name="_xlnm.Print_Area" localSheetId="0">JANUARI!$A$1:$J$294</definedName>
    <definedName name="_xlnm.Print_Area" localSheetId="1">MARET!$A$1:$J$294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4" l="1"/>
  <c r="H24" i="14"/>
  <c r="E119" i="14"/>
  <c r="I114" i="14"/>
  <c r="E116" i="14" s="1"/>
  <c r="E121" i="14" s="1"/>
  <c r="E122" i="14" s="1"/>
  <c r="G114" i="14"/>
  <c r="E105" i="14"/>
  <c r="E106" i="14" s="1"/>
  <c r="E75" i="14"/>
  <c r="E72" i="14"/>
  <c r="E77" i="14" s="1"/>
  <c r="E78" i="14" s="1"/>
  <c r="I70" i="14"/>
  <c r="G70" i="14"/>
  <c r="H69" i="14"/>
  <c r="H68" i="14"/>
  <c r="E62" i="14"/>
  <c r="E61" i="14"/>
  <c r="E31" i="14"/>
  <c r="I26" i="14"/>
  <c r="E28" i="14" s="1"/>
  <c r="E33" i="14" s="1"/>
  <c r="E34" i="14" s="1"/>
  <c r="H26" i="14"/>
  <c r="G26" i="14"/>
  <c r="J25" i="14"/>
  <c r="J24" i="14"/>
  <c r="J26" i="14" s="1"/>
  <c r="E17" i="14"/>
  <c r="E18" i="14" s="1"/>
  <c r="H113" i="13"/>
  <c r="E119" i="13"/>
  <c r="I114" i="13"/>
  <c r="E116" i="13" s="1"/>
  <c r="E121" i="13" s="1"/>
  <c r="E122" i="13" s="1"/>
  <c r="G114" i="13"/>
  <c r="J113" i="13"/>
  <c r="H112" i="13"/>
  <c r="J112" i="13" s="1"/>
  <c r="J114" i="13" s="1"/>
  <c r="H69" i="13"/>
  <c r="J69" i="13" s="1"/>
  <c r="H68" i="13"/>
  <c r="H70" i="13" s="1"/>
  <c r="E75" i="13"/>
  <c r="I70" i="13"/>
  <c r="E61" i="13" s="1"/>
  <c r="E62" i="13" s="1"/>
  <c r="G70" i="13"/>
  <c r="J24" i="13"/>
  <c r="E31" i="13"/>
  <c r="I26" i="13"/>
  <c r="E17" i="13" s="1"/>
  <c r="E18" i="13" s="1"/>
  <c r="G26" i="13"/>
  <c r="J69" i="14" l="1"/>
  <c r="H113" i="14"/>
  <c r="J113" i="14" s="1"/>
  <c r="H70" i="14"/>
  <c r="J68" i="14"/>
  <c r="J70" i="14" s="1"/>
  <c r="H112" i="14"/>
  <c r="E105" i="13"/>
  <c r="E106" i="13" s="1"/>
  <c r="H114" i="13"/>
  <c r="J68" i="13"/>
  <c r="J70" i="13" s="1"/>
  <c r="E72" i="13"/>
  <c r="E77" i="13" s="1"/>
  <c r="E78" i="13" s="1"/>
  <c r="E28" i="13"/>
  <c r="E33" i="13" s="1"/>
  <c r="E34" i="13" s="1"/>
  <c r="H114" i="14" l="1"/>
  <c r="J112" i="14"/>
  <c r="J114" i="14" s="1"/>
  <c r="H26" i="13"/>
  <c r="J25" i="13"/>
  <c r="J26" i="13" s="1"/>
</calcChain>
</file>

<file path=xl/sharedStrings.xml><?xml version="1.0" encoding="utf-8"?>
<sst xmlns="http://schemas.openxmlformats.org/spreadsheetml/2006/main" count="306" uniqueCount="46">
  <si>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</si>
  <si>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</si>
  <si>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</si>
  <si>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</si>
  <si>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</si>
  <si>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</si>
  <si>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</si>
  <si>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</si>
  <si>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</si>
  <si>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</si>
  <si>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</si>
  <si>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</si>
  <si>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</si>
  <si>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</si>
  <si>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</si>
  <si>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</si>
  <si>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</si>
  <si>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</si>
  <si>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</si>
  <si>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</si>
  <si>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</si>
  <si>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</si>
  <si>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</si>
  <si>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</si>
  <si>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</si>
  <si>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1.1</t>
  </si>
  <si>
    <t>1.2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</si>
  <si>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</si>
  <si>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</si>
  <si>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</si>
  <si>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</si>
  <si>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</si>
  <si>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</si>
  <si>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Pengembangan Sarana Pendukung</t>
  </si>
  <si>
    <t>Renovasi Gedung Kantor</t>
  </si>
  <si>
    <t>Pengadaan Perlengkapan Kantor</t>
  </si>
  <si>
    <t>IRNA WAHYUNI N.</t>
  </si>
  <si>
    <t>PERUMDA PASAR BANJARMASIN</t>
  </si>
  <si>
    <r>
      <t>Nomor : 20/DIV-KEU/PPB/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</si>
  <si>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09 Januari 2026</t>
  </si>
  <si>
    <r>
      <t>Nomor : 29/DIV-KEU/PPB/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</si>
  <si>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</si>
  <si>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03/DIV-KEU/PPB/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</si>
  <si>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2 Januari 2026</t>
  </si>
  <si>
    <r>
      <t>Nomor : 060/DIV-KEU/PPB/</t>
    </r>
    <r>
      <rPr>
        <sz val="11"/>
        <rFont val="Times New Roman"/>
        <family val="1"/>
      </rPr>
      <t>III</t>
    </r>
    <r>
      <rPr>
        <sz val="11"/>
        <color theme="1"/>
        <rFont val="Times New Roman"/>
        <family val="1"/>
      </rPr>
      <t>/2026</t>
    </r>
  </si>
  <si>
    <t>Banjarmasin, 27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</si>
</sst>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7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8" fontId="4" fillId="0" borderId="7" xfId="1" applyNumberFormat="1" applyFont="1" applyBorder="1" applyAlignment="1">
      <alignment horizontal="right"/>
    </xf>
    <xf numFmtId="168" fontId="4" fillId="0" borderId="7" xfId="1" applyNumberFormat="1" applyFont="1" applyBorder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0" fontId="4" fillId="0" borderId="8" xfId="0" applyFont="1" applyBorder="1"/>
    <xf numFmtId="168" fontId="4" fillId="0" borderId="7" xfId="1" applyNumberFormat="1" applyFont="1" applyBorder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165" fontId="15" fillId="0" borderId="8" xfId="5" applyFont="1" applyBorder="1" applyAlignment="1" applyProtection="1">
      <alignment horizontal="center"/>
    </xf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5" xfId="0" applyFont="1" applyBorder="1"/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88</xdr:row>
      <xdr:rowOff>9525</xdr:rowOff>
    </xdr:from>
    <xdr:to>
      <xdr:col>9</xdr:col>
      <xdr:colOff>1162052</xdr:colOff>
      <xdr:row>97</xdr:row>
      <xdr:rowOff>14871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FA894C-5DB9-469C-AD88-D810346FB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8011775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44</xdr:row>
      <xdr:rowOff>9525</xdr:rowOff>
    </xdr:from>
    <xdr:to>
      <xdr:col>9</xdr:col>
      <xdr:colOff>1162052</xdr:colOff>
      <xdr:row>53</xdr:row>
      <xdr:rowOff>14871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A38F43-22CF-4973-8FC3-77FC61CD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010650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28573</xdr:colOff>
      <xdr:row>0</xdr:row>
      <xdr:rowOff>9525</xdr:rowOff>
    </xdr:from>
    <xdr:to>
      <xdr:col>9</xdr:col>
      <xdr:colOff>1162050</xdr:colOff>
      <xdr:row>9</xdr:row>
      <xdr:rowOff>14871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CD1D3E-E6BD-4F6F-8EDE-75726A156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5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4925884-EE8E-46B1-A4E2-1588D01F8211}"/>
            </a:ext>
          </a:extLst>
        </xdr:cNvPr>
        <xdr:cNvCxnSpPr/>
      </xdr:nvCxnSpPr>
      <xdr:spPr>
        <a:xfrm>
          <a:off x="19050" y="1409700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3C4CC34-FD0D-4F55-A482-876B4AF812BA}"/>
            </a:ext>
          </a:extLst>
        </xdr:cNvPr>
        <xdr:cNvCxnSpPr/>
      </xdr:nvCxnSpPr>
      <xdr:spPr>
        <a:xfrm>
          <a:off x="19050" y="1209675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1F0688E-7D06-4CDB-9A0D-7892CBDC009F}"/>
            </a:ext>
          </a:extLst>
        </xdr:cNvPr>
        <xdr:cNvCxnSpPr/>
      </xdr:nvCxnSpPr>
      <xdr:spPr>
        <a:xfrm>
          <a:off x="19050" y="10210800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88</xdr:row>
      <xdr:rowOff>9525</xdr:rowOff>
    </xdr:from>
    <xdr:to>
      <xdr:col>9</xdr:col>
      <xdr:colOff>1162052</xdr:colOff>
      <xdr:row>97</xdr:row>
      <xdr:rowOff>14871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45B59-766D-46B0-A1B0-840DA387E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8011775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44</xdr:row>
      <xdr:rowOff>9525</xdr:rowOff>
    </xdr:from>
    <xdr:to>
      <xdr:col>9</xdr:col>
      <xdr:colOff>1162052</xdr:colOff>
      <xdr:row>53</xdr:row>
      <xdr:rowOff>14871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C161FC-C717-47F7-87C7-973D15B0A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010650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28573</xdr:colOff>
      <xdr:row>0</xdr:row>
      <xdr:rowOff>9525</xdr:rowOff>
    </xdr:from>
    <xdr:to>
      <xdr:col>9</xdr:col>
      <xdr:colOff>1162050</xdr:colOff>
      <xdr:row>9</xdr:row>
      <xdr:rowOff>14871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86AF01-22A2-4B8E-AFF8-3AEE730C4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5"/>
          <a:ext cx="7924802" cy="173889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D3A6B1A-CF0B-4F8B-9D6D-0E2329F83214}"/>
            </a:ext>
          </a:extLst>
        </xdr:cNvPr>
        <xdr:cNvCxnSpPr/>
      </xdr:nvCxnSpPr>
      <xdr:spPr>
        <a:xfrm>
          <a:off x="19050" y="1209675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50</xdr:row>
      <xdr:rowOff>47625</xdr:rowOff>
    </xdr:from>
    <xdr:to>
      <xdr:col>9</xdr:col>
      <xdr:colOff>1162050</xdr:colOff>
      <xdr:row>50</xdr:row>
      <xdr:rowOff>47625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36F384C-AC13-47A9-8D10-CEE848ADB16A}"/>
            </a:ext>
          </a:extLst>
        </xdr:cNvPr>
        <xdr:cNvCxnSpPr/>
      </xdr:nvCxnSpPr>
      <xdr:spPr>
        <a:xfrm>
          <a:off x="19050" y="10210800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94</xdr:row>
      <xdr:rowOff>47625</xdr:rowOff>
    </xdr:from>
    <xdr:to>
      <xdr:col>9</xdr:col>
      <xdr:colOff>1162050</xdr:colOff>
      <xdr:row>94</xdr:row>
      <xdr:rowOff>47625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78050FF-42E0-4C37-9FA4-D94764141758}"/>
            </a:ext>
          </a:extLst>
        </xdr:cNvPr>
        <xdr:cNvCxnSpPr/>
      </xdr:nvCxnSpPr>
      <xdr:spPr>
        <a:xfrm>
          <a:off x="19050" y="19211925"/>
          <a:ext cx="79343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1346-BC39-4276-818C-E689882608ED}">
  <dimension ref="A1:V131"/>
  <sheetViews>
    <sheetView view="pageBreakPreview" topLeftCell="A107" zoomScaleNormal="100" zoomScaleSheetLayoutView="100" workbookViewId="0">
      <selection activeCell="J131" sqref="A89:J131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27.5703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31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38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37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14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20</v>
      </c>
      <c r="B14" s="54"/>
      <c r="C14" s="54"/>
      <c r="D14" s="51" t="s">
        <v>12</v>
      </c>
      <c r="E14" s="8" t="s">
        <v>19</v>
      </c>
      <c r="F14" s="40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21</v>
      </c>
      <c r="B15" s="54"/>
      <c r="C15" s="54"/>
      <c r="D15" s="51" t="s">
        <v>12</v>
      </c>
      <c r="E15" s="8" t="s">
        <v>18</v>
      </c>
      <c r="F15" s="40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22</v>
      </c>
      <c r="B16" s="54"/>
      <c r="C16" s="54"/>
      <c r="D16" s="51" t="s">
        <v>12</v>
      </c>
      <c r="E16" s="47">
        <v>2026</v>
      </c>
      <c r="F16" s="40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23</v>
      </c>
      <c r="B17" s="54"/>
      <c r="C17" s="54"/>
      <c r="D17" s="51" t="s">
        <v>12</v>
      </c>
      <c r="E17" s="44">
        <f>I26</f>
        <v>3140000</v>
      </c>
      <c r="F17" s="40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2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Empat Puluh Ribu Rupiah</v>
      </c>
      <c r="F18" s="40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2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0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5" t="s">
        <v>24</v>
      </c>
      <c r="C22" s="61" t="s">
        <v>4</v>
      </c>
      <c r="D22" s="62"/>
      <c r="E22" s="63"/>
      <c r="F22" s="50"/>
      <c r="G22" s="41" t="s">
        <v>5</v>
      </c>
      <c r="H22" s="13" t="s">
        <v>32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8">
        <v>1</v>
      </c>
      <c r="B23" s="48"/>
      <c r="C23" s="57" t="s">
        <v>33</v>
      </c>
      <c r="D23" s="59"/>
      <c r="E23" s="45"/>
      <c r="F23" s="39"/>
      <c r="G23" s="58" t="s">
        <v>30</v>
      </c>
      <c r="H23" s="58" t="s">
        <v>30</v>
      </c>
      <c r="I23" s="58" t="s">
        <v>30</v>
      </c>
      <c r="J23" s="58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25</v>
      </c>
      <c r="C24" s="39" t="s">
        <v>34</v>
      </c>
      <c r="D24" s="8"/>
      <c r="E24" s="45"/>
      <c r="F24" s="39"/>
      <c r="G24" s="53">
        <v>300000000</v>
      </c>
      <c r="H24" s="46">
        <v>0</v>
      </c>
      <c r="I24" s="36">
        <v>0</v>
      </c>
      <c r="J24" s="37">
        <f t="shared" ref="J24:J25" si="0">G24-H24-I24</f>
        <v>300000000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26</v>
      </c>
      <c r="C25" s="39" t="s">
        <v>35</v>
      </c>
      <c r="D25" s="8"/>
      <c r="E25" s="45"/>
      <c r="F25" s="39"/>
      <c r="G25" s="53">
        <v>440000000</v>
      </c>
      <c r="H25" s="46">
        <v>0</v>
      </c>
      <c r="I25" s="36">
        <v>3140000</v>
      </c>
      <c r="J25" s="37">
        <f t="shared" si="0"/>
        <v>436860000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740000000</v>
      </c>
      <c r="H26" s="18">
        <f>SUM(H23:H25)</f>
        <v>0</v>
      </c>
      <c r="I26" s="18">
        <f>SUM(I23:I25)</f>
        <v>3140000</v>
      </c>
      <c r="J26" s="18">
        <f>SUM(J23:J25)</f>
        <v>736860000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6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4" t="s">
        <v>15</v>
      </c>
      <c r="B28" s="64"/>
      <c r="C28" s="64"/>
      <c r="D28" s="33" t="s">
        <v>12</v>
      </c>
      <c r="E28" s="38">
        <f>I26</f>
        <v>3140000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17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4" t="s">
        <v>16</v>
      </c>
      <c r="B33" s="64"/>
      <c r="C33" s="64"/>
      <c r="D33" s="33" t="s">
        <v>12</v>
      </c>
      <c r="E33" s="38">
        <f>E28-E31</f>
        <v>3140000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2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Tiga Juta Seratus Empat Puluh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39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8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36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5" t="s">
        <v>31</v>
      </c>
      <c r="B52" s="65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40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13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37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66" t="s">
        <v>14</v>
      </c>
      <c r="B56" s="66"/>
      <c r="C56" s="66"/>
      <c r="D56" s="66"/>
      <c r="E56" s="66"/>
      <c r="F56" s="66"/>
      <c r="G56" s="66"/>
      <c r="H56" s="66"/>
      <c r="I56" s="66"/>
      <c r="J56" s="66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4" t="s">
        <v>20</v>
      </c>
      <c r="B58" s="54"/>
      <c r="C58" s="54"/>
      <c r="D58" s="51" t="s">
        <v>12</v>
      </c>
      <c r="E58" s="8" t="s">
        <v>19</v>
      </c>
      <c r="F58" s="40"/>
      <c r="H58" s="9"/>
      <c r="I58" s="9"/>
      <c r="J58" s="10"/>
    </row>
    <row r="59" spans="1:10" x14ac:dyDescent="0.25">
      <c r="A59" s="54" t="s">
        <v>21</v>
      </c>
      <c r="B59" s="54"/>
      <c r="C59" s="54"/>
      <c r="D59" s="51" t="s">
        <v>12</v>
      </c>
      <c r="E59" s="8" t="s">
        <v>18</v>
      </c>
      <c r="F59" s="40"/>
      <c r="H59" s="9"/>
      <c r="I59" s="9"/>
      <c r="J59" s="10"/>
    </row>
    <row r="60" spans="1:10" x14ac:dyDescent="0.25">
      <c r="A60" s="54" t="s">
        <v>22</v>
      </c>
      <c r="B60" s="54"/>
      <c r="C60" s="54"/>
      <c r="D60" s="51" t="s">
        <v>12</v>
      </c>
      <c r="E60" s="47">
        <v>2026</v>
      </c>
      <c r="F60" s="40"/>
      <c r="H60" s="9"/>
      <c r="I60" s="9"/>
      <c r="J60" s="10"/>
    </row>
    <row r="61" spans="1:10" x14ac:dyDescent="0.25">
      <c r="A61" s="54" t="s">
        <v>23</v>
      </c>
      <c r="B61" s="54"/>
      <c r="C61" s="54"/>
      <c r="D61" s="51" t="s">
        <v>12</v>
      </c>
      <c r="E61" s="44">
        <f>I70</f>
        <v>9850000</v>
      </c>
      <c r="F61" s="40"/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11"/>
      <c r="E62" s="52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Ribu Rupiah</v>
      </c>
      <c r="F62" s="40"/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2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0" t="s">
        <v>2</v>
      </c>
      <c r="B65" s="60"/>
      <c r="C65" s="60"/>
      <c r="D65" s="60"/>
      <c r="E65" s="60"/>
      <c r="F65" s="60"/>
      <c r="G65" s="60"/>
      <c r="H65" s="60"/>
      <c r="I65" s="60"/>
      <c r="J65" s="60"/>
    </row>
    <row r="66" spans="1:10" ht="60" x14ac:dyDescent="0.25">
      <c r="A66" s="12" t="s">
        <v>3</v>
      </c>
      <c r="B66" s="55" t="s">
        <v>24</v>
      </c>
      <c r="C66" s="61" t="s">
        <v>4</v>
      </c>
      <c r="D66" s="62"/>
      <c r="E66" s="63"/>
      <c r="F66" s="50"/>
      <c r="G66" s="41" t="s">
        <v>5</v>
      </c>
      <c r="H66" s="13" t="s">
        <v>32</v>
      </c>
      <c r="I66" s="14" t="s">
        <v>6</v>
      </c>
      <c r="J66" s="15" t="s">
        <v>7</v>
      </c>
    </row>
    <row r="67" spans="1:10" x14ac:dyDescent="0.25">
      <c r="A67" s="48">
        <v>1</v>
      </c>
      <c r="B67" s="48"/>
      <c r="C67" s="57" t="s">
        <v>33</v>
      </c>
      <c r="D67" s="59"/>
      <c r="E67" s="45"/>
      <c r="F67" s="39"/>
      <c r="G67" s="58" t="s">
        <v>30</v>
      </c>
      <c r="H67" s="58" t="s">
        <v>30</v>
      </c>
      <c r="I67" s="58" t="s">
        <v>30</v>
      </c>
      <c r="J67" s="58" t="s">
        <v>30</v>
      </c>
    </row>
    <row r="68" spans="1:10" x14ac:dyDescent="0.25">
      <c r="A68" s="48"/>
      <c r="B68" s="48" t="s">
        <v>25</v>
      </c>
      <c r="C68" s="39" t="s">
        <v>34</v>
      </c>
      <c r="D68" s="8"/>
      <c r="E68" s="45"/>
      <c r="F68" s="39"/>
      <c r="G68" s="53">
        <v>300000000</v>
      </c>
      <c r="H68" s="46">
        <f>H24+I24</f>
        <v>0</v>
      </c>
      <c r="I68" s="36">
        <v>0</v>
      </c>
      <c r="J68" s="37">
        <f t="shared" ref="J68:J69" si="1">G68-H68-I68</f>
        <v>300000000</v>
      </c>
    </row>
    <row r="69" spans="1:10" x14ac:dyDescent="0.25">
      <c r="A69" s="48"/>
      <c r="B69" s="48" t="s">
        <v>26</v>
      </c>
      <c r="C69" s="39" t="s">
        <v>35</v>
      </c>
      <c r="D69" s="8"/>
      <c r="E69" s="45"/>
      <c r="F69" s="39"/>
      <c r="G69" s="53">
        <v>440000000</v>
      </c>
      <c r="H69" s="46">
        <f>H25+I25</f>
        <v>3140000</v>
      </c>
      <c r="I69" s="36">
        <v>9850000</v>
      </c>
      <c r="J69" s="37">
        <f t="shared" si="1"/>
        <v>427010000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740000000</v>
      </c>
      <c r="H70" s="18">
        <f>SUM(H67:H69)</f>
        <v>3140000</v>
      </c>
      <c r="I70" s="18">
        <f>SUM(I67:I69)</f>
        <v>9850000</v>
      </c>
      <c r="J70" s="18">
        <f>SUM(J67:J69)</f>
        <v>727010000</v>
      </c>
    </row>
    <row r="71" spans="1:10" x14ac:dyDescent="0.25">
      <c r="A71" s="19"/>
      <c r="B71" s="56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4" t="s">
        <v>15</v>
      </c>
      <c r="B72" s="64"/>
      <c r="C72" s="64"/>
      <c r="D72" s="33" t="s">
        <v>12</v>
      </c>
      <c r="E72" s="38">
        <f>I70</f>
        <v>9850000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17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4" t="s">
        <v>16</v>
      </c>
      <c r="B77" s="64"/>
      <c r="C77" s="64"/>
      <c r="D77" s="33" t="s">
        <v>12</v>
      </c>
      <c r="E77" s="38">
        <f>E72-E75</f>
        <v>9850000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2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41</v>
      </c>
      <c r="J81" s="24"/>
    </row>
    <row r="82" spans="1:10" x14ac:dyDescent="0.25">
      <c r="A82" s="9" t="s">
        <v>28</v>
      </c>
      <c r="B82" s="8"/>
      <c r="C82" s="8"/>
      <c r="D82" s="8"/>
      <c r="E82" s="8"/>
      <c r="F82" s="8"/>
      <c r="G82" s="8"/>
      <c r="I82" s="9" t="s">
        <v>27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36</v>
      </c>
      <c r="B87" s="28"/>
      <c r="C87" s="27"/>
      <c r="D87" s="27"/>
      <c r="E87" s="27"/>
      <c r="F87" s="27"/>
      <c r="G87" s="8" t="s">
        <v>11</v>
      </c>
      <c r="I87" s="28" t="s">
        <v>29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5" t="s">
        <v>31</v>
      </c>
      <c r="B96" s="65"/>
      <c r="C96" s="66"/>
      <c r="D96" s="66"/>
      <c r="E96" s="66"/>
      <c r="F96" s="66"/>
      <c r="G96" s="66"/>
      <c r="H96" s="66"/>
      <c r="I96" s="66"/>
      <c r="J96" s="66"/>
    </row>
    <row r="97" spans="1:10" x14ac:dyDescent="0.25">
      <c r="A97" s="66" t="s">
        <v>42</v>
      </c>
      <c r="B97" s="66"/>
      <c r="C97" s="66"/>
      <c r="D97" s="66"/>
      <c r="E97" s="66"/>
      <c r="F97" s="66"/>
      <c r="G97" s="66"/>
      <c r="H97" s="66"/>
      <c r="I97" s="66"/>
      <c r="J97" s="66"/>
    </row>
    <row r="98" spans="1:10" x14ac:dyDescent="0.25">
      <c r="A98" s="66" t="s">
        <v>13</v>
      </c>
      <c r="B98" s="66"/>
      <c r="C98" s="66"/>
      <c r="D98" s="66"/>
      <c r="E98" s="66"/>
      <c r="F98" s="66"/>
      <c r="G98" s="66"/>
      <c r="H98" s="66"/>
      <c r="I98" s="66"/>
      <c r="J98" s="66"/>
    </row>
    <row r="99" spans="1:10" x14ac:dyDescent="0.25">
      <c r="A99" s="66" t="s">
        <v>37</v>
      </c>
      <c r="B99" s="66"/>
      <c r="C99" s="66"/>
      <c r="D99" s="66"/>
      <c r="E99" s="66"/>
      <c r="F99" s="66"/>
      <c r="G99" s="66"/>
      <c r="H99" s="66"/>
      <c r="I99" s="66"/>
      <c r="J99" s="66"/>
    </row>
    <row r="100" spans="1:10" x14ac:dyDescent="0.25">
      <c r="A100" s="66" t="s">
        <v>14</v>
      </c>
      <c r="B100" s="66"/>
      <c r="C100" s="66"/>
      <c r="D100" s="66"/>
      <c r="E100" s="66"/>
      <c r="F100" s="66"/>
      <c r="G100" s="66"/>
      <c r="H100" s="66"/>
      <c r="I100" s="66"/>
      <c r="J100" s="66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4" t="s">
        <v>20</v>
      </c>
      <c r="B102" s="54"/>
      <c r="C102" s="54"/>
      <c r="D102" s="51" t="s">
        <v>12</v>
      </c>
      <c r="E102" s="8" t="s">
        <v>19</v>
      </c>
      <c r="F102" s="40"/>
      <c r="H102" s="9"/>
      <c r="I102" s="9"/>
      <c r="J102" s="10"/>
    </row>
    <row r="103" spans="1:10" x14ac:dyDescent="0.25">
      <c r="A103" s="54" t="s">
        <v>21</v>
      </c>
      <c r="B103" s="54"/>
      <c r="C103" s="54"/>
      <c r="D103" s="51" t="s">
        <v>12</v>
      </c>
      <c r="E103" s="8" t="s">
        <v>18</v>
      </c>
      <c r="F103" s="40"/>
      <c r="H103" s="9"/>
      <c r="I103" s="9"/>
      <c r="J103" s="10"/>
    </row>
    <row r="104" spans="1:10" x14ac:dyDescent="0.25">
      <c r="A104" s="54" t="s">
        <v>22</v>
      </c>
      <c r="B104" s="54"/>
      <c r="C104" s="54"/>
      <c r="D104" s="51" t="s">
        <v>12</v>
      </c>
      <c r="E104" s="47">
        <v>2026</v>
      </c>
      <c r="F104" s="40"/>
      <c r="H104" s="9"/>
      <c r="I104" s="9"/>
      <c r="J104" s="10"/>
    </row>
    <row r="105" spans="1:10" x14ac:dyDescent="0.25">
      <c r="A105" s="54" t="s">
        <v>23</v>
      </c>
      <c r="B105" s="54"/>
      <c r="C105" s="54"/>
      <c r="D105" s="51" t="s">
        <v>12</v>
      </c>
      <c r="E105" s="44">
        <f>I114</f>
        <v>9779350</v>
      </c>
      <c r="F105" s="40"/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11"/>
      <c r="E106" s="52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Tujuh Ratus Tujuh Puluh Sembilan Ribu Tiga Ratus Lima Puluh Rupiah</v>
      </c>
      <c r="F106" s="40"/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2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0" t="s">
        <v>2</v>
      </c>
      <c r="B109" s="60"/>
      <c r="C109" s="60"/>
      <c r="D109" s="60"/>
      <c r="E109" s="60"/>
      <c r="F109" s="60"/>
      <c r="G109" s="60"/>
      <c r="H109" s="60"/>
      <c r="I109" s="60"/>
      <c r="J109" s="60"/>
    </row>
    <row r="110" spans="1:10" ht="60" x14ac:dyDescent="0.25">
      <c r="A110" s="12" t="s">
        <v>3</v>
      </c>
      <c r="B110" s="55" t="s">
        <v>24</v>
      </c>
      <c r="C110" s="61" t="s">
        <v>4</v>
      </c>
      <c r="D110" s="62"/>
      <c r="E110" s="63"/>
      <c r="F110" s="50"/>
      <c r="G110" s="41" t="s">
        <v>5</v>
      </c>
      <c r="H110" s="13" t="s">
        <v>32</v>
      </c>
      <c r="I110" s="14" t="s">
        <v>6</v>
      </c>
      <c r="J110" s="15" t="s">
        <v>7</v>
      </c>
    </row>
    <row r="111" spans="1:10" x14ac:dyDescent="0.25">
      <c r="A111" s="48">
        <v>1</v>
      </c>
      <c r="B111" s="48"/>
      <c r="C111" s="57" t="s">
        <v>33</v>
      </c>
      <c r="D111" s="59"/>
      <c r="E111" s="45"/>
      <c r="F111" s="39"/>
      <c r="G111" s="58" t="s">
        <v>30</v>
      </c>
      <c r="H111" s="58" t="s">
        <v>30</v>
      </c>
      <c r="I111" s="58" t="s">
        <v>30</v>
      </c>
      <c r="J111" s="58" t="s">
        <v>30</v>
      </c>
    </row>
    <row r="112" spans="1:10" x14ac:dyDescent="0.25">
      <c r="A112" s="48"/>
      <c r="B112" s="48" t="s">
        <v>25</v>
      </c>
      <c r="C112" s="39" t="s">
        <v>34</v>
      </c>
      <c r="D112" s="8"/>
      <c r="E112" s="45"/>
      <c r="F112" s="39"/>
      <c r="G112" s="53">
        <v>300000000</v>
      </c>
      <c r="H112" s="46">
        <f>H68+I68</f>
        <v>0</v>
      </c>
      <c r="I112" s="36">
        <v>0</v>
      </c>
      <c r="J112" s="37">
        <f t="shared" ref="J112:J113" si="2">G112-H112-I112</f>
        <v>300000000</v>
      </c>
    </row>
    <row r="113" spans="1:10" x14ac:dyDescent="0.25">
      <c r="A113" s="48"/>
      <c r="B113" s="48" t="s">
        <v>26</v>
      </c>
      <c r="C113" s="39" t="s">
        <v>35</v>
      </c>
      <c r="D113" s="8"/>
      <c r="E113" s="45"/>
      <c r="F113" s="39"/>
      <c r="G113" s="53">
        <v>440000000</v>
      </c>
      <c r="H113" s="46">
        <f>H69+I69</f>
        <v>12990000</v>
      </c>
      <c r="I113" s="36">
        <v>9779350</v>
      </c>
      <c r="J113" s="37">
        <f t="shared" si="2"/>
        <v>417230650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740000000</v>
      </c>
      <c r="H114" s="18">
        <f>SUM(H111:H113)</f>
        <v>12990000</v>
      </c>
      <c r="I114" s="18">
        <f>SUM(I111:I113)</f>
        <v>9779350</v>
      </c>
      <c r="J114" s="18">
        <f>SUM(J111:J113)</f>
        <v>717230650</v>
      </c>
    </row>
    <row r="115" spans="1:10" x14ac:dyDescent="0.25">
      <c r="A115" s="19"/>
      <c r="B115" s="56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4" t="s">
        <v>15</v>
      </c>
      <c r="B116" s="64"/>
      <c r="C116" s="64"/>
      <c r="D116" s="33" t="s">
        <v>12</v>
      </c>
      <c r="E116" s="38">
        <f>I114</f>
        <v>9779350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17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4" t="s">
        <v>16</v>
      </c>
      <c r="B121" s="64"/>
      <c r="C121" s="64"/>
      <c r="D121" s="33" t="s">
        <v>12</v>
      </c>
      <c r="E121" s="38">
        <f>E116-E119</f>
        <v>9779350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2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Tujuh Ratus Tujuh Puluh Sembilan Ribu Tiga Ratus Lima Puluh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43</v>
      </c>
      <c r="J125" s="24"/>
    </row>
    <row r="126" spans="1:10" x14ac:dyDescent="0.25">
      <c r="A126" s="9" t="s">
        <v>28</v>
      </c>
      <c r="B126" s="8"/>
      <c r="C126" s="8"/>
      <c r="D126" s="8"/>
      <c r="E126" s="8"/>
      <c r="F126" s="8"/>
      <c r="G126" s="8"/>
      <c r="I126" s="9" t="s">
        <v>27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36</v>
      </c>
      <c r="B131" s="28"/>
      <c r="C131" s="27"/>
      <c r="D131" s="27"/>
      <c r="E131" s="27"/>
      <c r="F131" s="27"/>
      <c r="G131" s="8" t="s">
        <v>11</v>
      </c>
      <c r="I131" s="28" t="s">
        <v>29</v>
      </c>
      <c r="J131" s="24"/>
    </row>
  </sheetData>
  <mergeCells count="27">
    <mergeCell ref="A65:J65"/>
    <mergeCell ref="C66:E66"/>
    <mergeCell ref="A72:C72"/>
    <mergeCell ref="A77:C77"/>
    <mergeCell ref="A52:J52"/>
    <mergeCell ref="A53:J53"/>
    <mergeCell ref="A54:J54"/>
    <mergeCell ref="A55:J55"/>
    <mergeCell ref="A56:J56"/>
    <mergeCell ref="A21:J21"/>
    <mergeCell ref="C22:E22"/>
    <mergeCell ref="A28:C28"/>
    <mergeCell ref="A33:C33"/>
    <mergeCell ref="A8:J8"/>
    <mergeCell ref="A9:J9"/>
    <mergeCell ref="A10:J10"/>
    <mergeCell ref="A11:J11"/>
    <mergeCell ref="A12:J12"/>
    <mergeCell ref="A109:J109"/>
    <mergeCell ref="C110:E110"/>
    <mergeCell ref="A116:C116"/>
    <mergeCell ref="A121:C121"/>
    <mergeCell ref="A96:J96"/>
    <mergeCell ref="A97:J97"/>
    <mergeCell ref="A98:J98"/>
    <mergeCell ref="A99:J99"/>
    <mergeCell ref="A100:J100"/>
  </mergeCells>
  <pageMargins left="0.23622047244094491" right="0.23622047244094491" top="0.74803149606299213" bottom="0.74803149606299213" header="0.31496062992125984" footer="0.31496062992125984"/>
  <pageSetup paperSize="9" scale="82" orientation="portrait" horizontalDpi="4294967293" r:id="rId1"/>
  <rowBreaks count="2" manualBreakCount="2">
    <brk id="44" max="9" man="1"/>
    <brk id="88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E7D3-03D8-45D8-8B02-B28140016819}">
  <dimension ref="A1:V131"/>
  <sheetViews>
    <sheetView tabSelected="1" view="pageBreakPreview" zoomScaleNormal="100" zoomScaleSheetLayoutView="100" workbookViewId="0">
      <selection activeCell="J43" sqref="A1:J43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27.5703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5" t="s">
        <v>31</v>
      </c>
      <c r="B8" s="65"/>
      <c r="C8" s="66"/>
      <c r="D8" s="66"/>
      <c r="E8" s="66"/>
      <c r="F8" s="66"/>
      <c r="G8" s="66"/>
      <c r="H8" s="66"/>
      <c r="I8" s="66"/>
      <c r="J8" s="66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6" t="s">
        <v>44</v>
      </c>
      <c r="B9" s="66"/>
      <c r="C9" s="66"/>
      <c r="D9" s="66"/>
      <c r="E9" s="66"/>
      <c r="F9" s="66"/>
      <c r="G9" s="66"/>
      <c r="H9" s="66"/>
      <c r="I9" s="66"/>
      <c r="J9" s="66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6" t="s">
        <v>13</v>
      </c>
      <c r="B10" s="66"/>
      <c r="C10" s="66"/>
      <c r="D10" s="66"/>
      <c r="E10" s="66"/>
      <c r="F10" s="66"/>
      <c r="G10" s="66"/>
      <c r="H10" s="66"/>
      <c r="I10" s="66"/>
      <c r="J10" s="66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6" t="s">
        <v>37</v>
      </c>
      <c r="B11" s="66"/>
      <c r="C11" s="66"/>
      <c r="D11" s="66"/>
      <c r="E11" s="66"/>
      <c r="F11" s="66"/>
      <c r="G11" s="66"/>
      <c r="H11" s="66"/>
      <c r="I11" s="66"/>
      <c r="J11" s="66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6" t="s">
        <v>14</v>
      </c>
      <c r="B12" s="66"/>
      <c r="C12" s="66"/>
      <c r="D12" s="66"/>
      <c r="E12" s="66"/>
      <c r="F12" s="66"/>
      <c r="G12" s="66"/>
      <c r="H12" s="66"/>
      <c r="I12" s="66"/>
      <c r="J12" s="66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4" t="s">
        <v>20</v>
      </c>
      <c r="B14" s="54"/>
      <c r="C14" s="54"/>
      <c r="D14" s="51" t="s">
        <v>12</v>
      </c>
      <c r="E14" s="8" t="s">
        <v>19</v>
      </c>
      <c r="F14" s="40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4" t="s">
        <v>21</v>
      </c>
      <c r="B15" s="54"/>
      <c r="C15" s="54"/>
      <c r="D15" s="51" t="s">
        <v>12</v>
      </c>
      <c r="E15" s="8" t="s">
        <v>18</v>
      </c>
      <c r="F15" s="40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4" t="s">
        <v>22</v>
      </c>
      <c r="B16" s="54"/>
      <c r="C16" s="54"/>
      <c r="D16" s="51" t="s">
        <v>12</v>
      </c>
      <c r="E16" s="47">
        <v>2026</v>
      </c>
      <c r="F16" s="40"/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4" t="s">
        <v>23</v>
      </c>
      <c r="B17" s="54"/>
      <c r="C17" s="54"/>
      <c r="D17" s="51" t="s">
        <v>12</v>
      </c>
      <c r="E17" s="44">
        <f>I26</f>
        <v>900000</v>
      </c>
      <c r="F17" s="40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2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Ribu Rupiah</v>
      </c>
      <c r="F18" s="40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40"/>
      <c r="G19" s="52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0" t="s">
        <v>2</v>
      </c>
      <c r="B21" s="60"/>
      <c r="C21" s="60"/>
      <c r="D21" s="60"/>
      <c r="E21" s="60"/>
      <c r="F21" s="60"/>
      <c r="G21" s="60"/>
      <c r="H21" s="60"/>
      <c r="I21" s="60"/>
      <c r="J21" s="60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5" t="s">
        <v>24</v>
      </c>
      <c r="C22" s="61" t="s">
        <v>4</v>
      </c>
      <c r="D22" s="62"/>
      <c r="E22" s="63"/>
      <c r="F22" s="50"/>
      <c r="G22" s="41" t="s">
        <v>5</v>
      </c>
      <c r="H22" s="13" t="s">
        <v>32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8">
        <v>1</v>
      </c>
      <c r="B23" s="48"/>
      <c r="C23" s="57" t="s">
        <v>33</v>
      </c>
      <c r="D23" s="59"/>
      <c r="E23" s="45"/>
      <c r="F23" s="39"/>
      <c r="G23" s="58" t="s">
        <v>30</v>
      </c>
      <c r="H23" s="58" t="s">
        <v>30</v>
      </c>
      <c r="I23" s="58" t="s">
        <v>30</v>
      </c>
      <c r="J23" s="58" t="s">
        <v>30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x14ac:dyDescent="0.25">
      <c r="A24" s="48"/>
      <c r="B24" s="48" t="s">
        <v>25</v>
      </c>
      <c r="C24" s="39" t="s">
        <v>34</v>
      </c>
      <c r="D24" s="8"/>
      <c r="E24" s="45"/>
      <c r="F24" s="39"/>
      <c r="G24" s="53">
        <v>300000000</v>
      </c>
      <c r="H24" s="46">
        <f>JANUARI!H112+JANUARI!I112</f>
        <v>0</v>
      </c>
      <c r="I24" s="36">
        <v>0</v>
      </c>
      <c r="J24" s="37">
        <f t="shared" ref="J24:J25" si="0">G24-H24-I24</f>
        <v>300000000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48"/>
      <c r="B25" s="48" t="s">
        <v>26</v>
      </c>
      <c r="C25" s="39" t="s">
        <v>35</v>
      </c>
      <c r="D25" s="8"/>
      <c r="E25" s="45"/>
      <c r="F25" s="39"/>
      <c r="G25" s="53">
        <v>440000000</v>
      </c>
      <c r="H25" s="46">
        <f>JANUARI!H113+JANUARI!I113</f>
        <v>22769350</v>
      </c>
      <c r="I25" s="36">
        <v>900000</v>
      </c>
      <c r="J25" s="37">
        <f t="shared" si="0"/>
        <v>416330650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6"/>
      <c r="B26" s="16"/>
      <c r="C26" s="17" t="s">
        <v>8</v>
      </c>
      <c r="D26" s="17"/>
      <c r="E26" s="17"/>
      <c r="F26" s="43"/>
      <c r="G26" s="42">
        <f>SUM(G23:G25)</f>
        <v>740000000</v>
      </c>
      <c r="H26" s="18">
        <f>SUM(H23:H25)</f>
        <v>22769350</v>
      </c>
      <c r="I26" s="18">
        <f>SUM(I23:I25)</f>
        <v>900000</v>
      </c>
      <c r="J26" s="18">
        <f>SUM(J23:J25)</f>
        <v>716330650</v>
      </c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19"/>
      <c r="B27" s="56"/>
      <c r="C27" s="6"/>
      <c r="D27" s="6"/>
      <c r="E27" s="6"/>
      <c r="F27" s="6"/>
      <c r="G27" s="20"/>
      <c r="H27" s="20"/>
      <c r="I27" s="20"/>
      <c r="J27" s="2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64" t="s">
        <v>15</v>
      </c>
      <c r="B28" s="64"/>
      <c r="C28" s="64"/>
      <c r="D28" s="33" t="s">
        <v>12</v>
      </c>
      <c r="E28" s="38">
        <f>I26</f>
        <v>900000</v>
      </c>
      <c r="F28" s="38"/>
      <c r="G28" s="21"/>
      <c r="H28" s="21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9</v>
      </c>
      <c r="B29" s="8"/>
      <c r="C29" s="8"/>
      <c r="D29" s="33" t="s">
        <v>12</v>
      </c>
      <c r="E29" s="34"/>
      <c r="F29" s="34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17</v>
      </c>
      <c r="B30" s="8"/>
      <c r="C30" s="8"/>
      <c r="D30" s="33" t="s">
        <v>12</v>
      </c>
      <c r="E30" s="35"/>
      <c r="F30" s="35"/>
      <c r="G30" s="22"/>
      <c r="H30" s="9"/>
      <c r="I30" s="10"/>
      <c r="J30" s="10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8" t="s">
        <v>10</v>
      </c>
      <c r="B31" s="8"/>
      <c r="C31" s="8"/>
      <c r="D31" s="33" t="s">
        <v>12</v>
      </c>
      <c r="E31" s="35">
        <f>E29+E30</f>
        <v>0</v>
      </c>
      <c r="F31" s="3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47"/>
      <c r="B32" s="47"/>
      <c r="C32" s="47"/>
      <c r="D32" s="33"/>
      <c r="E32" s="47"/>
      <c r="F32" s="47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x14ac:dyDescent="0.25">
      <c r="A33" s="64" t="s">
        <v>16</v>
      </c>
      <c r="B33" s="64"/>
      <c r="C33" s="64"/>
      <c r="D33" s="33" t="s">
        <v>12</v>
      </c>
      <c r="E33" s="38">
        <f>E28-E31</f>
        <v>900000</v>
      </c>
      <c r="F33" s="38"/>
      <c r="G33" s="8"/>
      <c r="H33" s="9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ht="15.75" x14ac:dyDescent="0.25">
      <c r="A34" s="47"/>
      <c r="B34" s="47"/>
      <c r="C34" s="8"/>
      <c r="D34" s="8"/>
      <c r="E34" s="52" t="str">
        <f>PROPER(IF(E33=0,"nol",IF(E33&lt;0,"minus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33),"000000000000000"),1,3)=0,"",MID(TEXT(ABS(E33),"000000000000000"),1,1)&amp;" ratus "&amp;MID(TEXT(ABS(E33),"000000000000000"),2,1)&amp;" puluh "&amp;MID(TEXT(ABS(E33),"000000000000000"),3,1)&amp;" trilyun ")&amp;IF(--MID(TEXT(ABS(E33),"000000000000000"),4,3)=0,"",MID(TEXT(ABS(E33),"000000000000000"),4,1)&amp;" ratus "&amp;MID(TEXT(ABS(E33),"000000000000000"),5,1)&amp;" puluh "&amp;MID(TEXT(ABS(E33),"000000000000000"),6,1)&amp;" milyar ")&amp;IF(--MID(TEXT(ABS(E33),"000000000000000"),7,3)=0,"",MID(TEXT(ABS(E33),"000000000000000"),7,1)&amp;" ratus "&amp;MID(TEXT(ABS(E33),"000000000000000"),8,1)&amp;" puluh "&amp;MID(TEXT(ABS(E33),"000000000000000"),9,1)&amp;" juta ")&amp;IF(--MID(TEXT(ABS(E33),"000000000000000"),10,3)=0,"",IF(--MID(TEXT(ABS(E33),"000000000000000"),10,3)=1,"*",MID(TEXT(ABS(E33),"000000000000000"),10,1)&amp;" ratus "&amp;MID(TEXT(ABS(E33),"000000000000000"),11,1)&amp;" puluh ")&amp;MID(TEXT(ABS(E33),"000000000000000"),12,1)&amp;" ribu ")&amp;IF(--MID(TEXT(ABS(E33),"000000000000000"),13,3)=0,"",MID(TEXT(ABS(E33),"000000000000000"),13,1)&amp;" ratus "&amp;MID(TEXT(ABS(E33),"000000000000000"),14,1)&amp;" puluh "&amp;MID(TEXT(ABS(E33),"000000000000000"),15,1)),1,"satu"),2,"dua"),3,"tiga"),4,"empat"),5,"lima"),6,"enam"),7,"tujuh"),8,"delapan"),9,"sembilan"),"0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Ratus Ribu Rupiah</v>
      </c>
      <c r="F34" s="8"/>
      <c r="G34" s="8"/>
      <c r="H34" s="8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6"/>
      <c r="B35" s="26"/>
      <c r="C35" s="26"/>
      <c r="D35" s="26"/>
      <c r="E35" s="26"/>
      <c r="F35" s="26"/>
      <c r="G35" s="25"/>
      <c r="H35" s="24"/>
      <c r="I35" s="23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25"/>
      <c r="B36" s="25"/>
      <c r="C36" s="25"/>
      <c r="D36" s="25"/>
      <c r="E36" s="25"/>
      <c r="F36" s="25"/>
      <c r="G36" s="25"/>
      <c r="H36"/>
      <c r="I36" s="24"/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47"/>
      <c r="B37" s="47"/>
      <c r="C37" s="8"/>
      <c r="D37" s="8"/>
      <c r="E37" s="8"/>
      <c r="F37" s="8"/>
      <c r="G37" s="8"/>
      <c r="I37" s="49" t="s">
        <v>45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9" t="s">
        <v>28</v>
      </c>
      <c r="B38" s="8"/>
      <c r="C38" s="8"/>
      <c r="D38" s="8"/>
      <c r="E38" s="8"/>
      <c r="F38" s="8"/>
      <c r="G38" s="8"/>
      <c r="I38" s="9" t="s">
        <v>27</v>
      </c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8"/>
      <c r="B42" s="8"/>
      <c r="C42" s="8"/>
      <c r="D42" s="8"/>
      <c r="E42" s="8"/>
      <c r="F42" s="8"/>
      <c r="G42" s="8"/>
      <c r="I42" s="9"/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28" t="s">
        <v>36</v>
      </c>
      <c r="B43" s="28"/>
      <c r="C43" s="27"/>
      <c r="D43" s="27"/>
      <c r="E43" s="27"/>
      <c r="F43" s="27"/>
      <c r="G43" s="8" t="s">
        <v>11</v>
      </c>
      <c r="I43" s="28" t="s">
        <v>29</v>
      </c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4" spans="1:22" x14ac:dyDescent="0.25">
      <c r="A44" s="30"/>
      <c r="B44" s="30"/>
      <c r="C44" s="29"/>
      <c r="D44" s="29"/>
      <c r="E44" s="29"/>
      <c r="F44" s="29"/>
      <c r="G44" s="29"/>
      <c r="H44" s="30"/>
      <c r="I44" s="30"/>
      <c r="J44" s="24"/>
      <c r="K44" s="25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25"/>
    </row>
    <row r="48" spans="1:22" ht="15.75" x14ac:dyDescent="0.25">
      <c r="C48" s="3"/>
      <c r="D48" s="3"/>
      <c r="E48" s="3"/>
      <c r="F48" s="3"/>
    </row>
    <row r="49" spans="1:10" ht="15.75" x14ac:dyDescent="0.25">
      <c r="A49" s="2"/>
      <c r="B49" s="2"/>
      <c r="C49" s="3"/>
      <c r="D49" s="3"/>
      <c r="E49" s="3"/>
      <c r="F49" s="3"/>
      <c r="G49" s="2"/>
      <c r="H49" s="4"/>
      <c r="I49" s="4"/>
      <c r="J49" s="5"/>
    </row>
    <row r="50" spans="1:10" x14ac:dyDescent="0.25">
      <c r="H50" s="5"/>
      <c r="I50" s="5"/>
      <c r="J50" s="5"/>
    </row>
    <row r="51" spans="1:10" x14ac:dyDescent="0.25">
      <c r="H51" s="5"/>
      <c r="I51" s="5"/>
      <c r="J51" s="5"/>
    </row>
    <row r="52" spans="1:10" x14ac:dyDescent="0.25">
      <c r="A52" s="65" t="s">
        <v>31</v>
      </c>
      <c r="B52" s="65"/>
      <c r="C52" s="66"/>
      <c r="D52" s="66"/>
      <c r="E52" s="66"/>
      <c r="F52" s="66"/>
      <c r="G52" s="66"/>
      <c r="H52" s="66"/>
      <c r="I52" s="66"/>
      <c r="J52" s="66"/>
    </row>
    <row r="53" spans="1:10" x14ac:dyDescent="0.25">
      <c r="A53" s="66" t="s">
        <v>40</v>
      </c>
      <c r="B53" s="66"/>
      <c r="C53" s="66"/>
      <c r="D53" s="66"/>
      <c r="E53" s="66"/>
      <c r="F53" s="66"/>
      <c r="G53" s="66"/>
      <c r="H53" s="66"/>
      <c r="I53" s="66"/>
      <c r="J53" s="66"/>
    </row>
    <row r="54" spans="1:10" x14ac:dyDescent="0.25">
      <c r="A54" s="66" t="s">
        <v>13</v>
      </c>
      <c r="B54" s="66"/>
      <c r="C54" s="66"/>
      <c r="D54" s="66"/>
      <c r="E54" s="66"/>
      <c r="F54" s="66"/>
      <c r="G54" s="66"/>
      <c r="H54" s="66"/>
      <c r="I54" s="66"/>
      <c r="J54" s="66"/>
    </row>
    <row r="55" spans="1:10" x14ac:dyDescent="0.25">
      <c r="A55" s="66" t="s">
        <v>37</v>
      </c>
      <c r="B55" s="66"/>
      <c r="C55" s="66"/>
      <c r="D55" s="66"/>
      <c r="E55" s="66"/>
      <c r="F55" s="66"/>
      <c r="G55" s="66"/>
      <c r="H55" s="66"/>
      <c r="I55" s="66"/>
      <c r="J55" s="66"/>
    </row>
    <row r="56" spans="1:10" x14ac:dyDescent="0.25">
      <c r="A56" s="66" t="s">
        <v>14</v>
      </c>
      <c r="B56" s="66"/>
      <c r="C56" s="66"/>
      <c r="D56" s="66"/>
      <c r="E56" s="66"/>
      <c r="F56" s="66"/>
      <c r="G56" s="66"/>
      <c r="H56" s="66"/>
      <c r="I56" s="66"/>
      <c r="J56" s="66"/>
    </row>
    <row r="57" spans="1:10" x14ac:dyDescent="0.25">
      <c r="A57" s="32"/>
      <c r="B57" s="32"/>
      <c r="C57" s="7"/>
      <c r="D57" s="7"/>
      <c r="E57" s="7"/>
      <c r="F57" s="7"/>
      <c r="G57" s="6"/>
      <c r="H57" s="10"/>
      <c r="I57" s="10"/>
      <c r="J57" s="10"/>
    </row>
    <row r="58" spans="1:10" x14ac:dyDescent="0.25">
      <c r="A58" s="54" t="s">
        <v>20</v>
      </c>
      <c r="B58" s="54"/>
      <c r="C58" s="54"/>
      <c r="D58" s="51" t="s">
        <v>12</v>
      </c>
      <c r="E58" s="8" t="s">
        <v>19</v>
      </c>
      <c r="F58" s="40"/>
      <c r="H58" s="9"/>
      <c r="I58" s="9"/>
      <c r="J58" s="10"/>
    </row>
    <row r="59" spans="1:10" x14ac:dyDescent="0.25">
      <c r="A59" s="54" t="s">
        <v>21</v>
      </c>
      <c r="B59" s="54"/>
      <c r="C59" s="54"/>
      <c r="D59" s="51" t="s">
        <v>12</v>
      </c>
      <c r="E59" s="8" t="s">
        <v>18</v>
      </c>
      <c r="F59" s="40"/>
      <c r="H59" s="9"/>
      <c r="I59" s="9"/>
      <c r="J59" s="10"/>
    </row>
    <row r="60" spans="1:10" x14ac:dyDescent="0.25">
      <c r="A60" s="54" t="s">
        <v>22</v>
      </c>
      <c r="B60" s="54"/>
      <c r="C60" s="54"/>
      <c r="D60" s="51" t="s">
        <v>12</v>
      </c>
      <c r="E60" s="47">
        <v>2026</v>
      </c>
      <c r="F60" s="40"/>
      <c r="H60" s="9"/>
      <c r="I60" s="9"/>
      <c r="J60" s="10"/>
    </row>
    <row r="61" spans="1:10" x14ac:dyDescent="0.25">
      <c r="A61" s="54" t="s">
        <v>23</v>
      </c>
      <c r="B61" s="54"/>
      <c r="C61" s="54"/>
      <c r="D61" s="51" t="s">
        <v>12</v>
      </c>
      <c r="E61" s="44">
        <f>I70</f>
        <v>9850000</v>
      </c>
      <c r="F61" s="40"/>
      <c r="H61" s="9"/>
      <c r="I61" s="9"/>
      <c r="J61" s="10"/>
    </row>
    <row r="62" spans="1:10" ht="15.75" x14ac:dyDescent="0.25">
      <c r="A62" s="8"/>
      <c r="B62" s="8"/>
      <c r="C62" s="11" t="s">
        <v>0</v>
      </c>
      <c r="D62" s="11"/>
      <c r="E62" s="52" t="str">
        <f>PROPER(IF(E61=0,"nol",IF(E61&lt;0,"minus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61),"000000000000000"),1,3)=0,"",MID(TEXT(ABS(E61),"000000000000000"),1,1)&amp;" ratus "&amp;MID(TEXT(ABS(E61),"000000000000000"),2,1)&amp;" puluh "&amp;MID(TEXT(ABS(E61),"000000000000000"),3,1)&amp;" trilyun ")&amp;IF(--MID(TEXT(ABS(E61),"000000000000000"),4,3)=0,"",MID(TEXT(ABS(E61),"000000000000000"),4,1)&amp;" ratus "&amp;MID(TEXT(ABS(E61),"000000000000000"),5,1)&amp;" puluh "&amp;MID(TEXT(ABS(E61),"000000000000000"),6,1)&amp;" milyar ")&amp;IF(--MID(TEXT(ABS(E61),"000000000000000"),7,3)=0,"",MID(TEXT(ABS(E61),"000000000000000"),7,1)&amp;" ratus "&amp;MID(TEXT(ABS(E61),"000000000000000"),8,1)&amp;" puluh "&amp;MID(TEXT(ABS(E61),"000000000000000"),9,1)&amp;" juta ")&amp;IF(--MID(TEXT(ABS(E61),"000000000000000"),10,3)=0,"",IF(--MID(TEXT(ABS(E61),"000000000000000"),10,3)=1,"*",MID(TEXT(ABS(E61),"000000000000000"),10,1)&amp;" ratus "&amp;MID(TEXT(ABS(E61),"000000000000000"),11,1)&amp;" puluh ")&amp;MID(TEXT(ABS(E61),"000000000000000"),12,1)&amp;" ribu ")&amp;IF(--MID(TEXT(ABS(E61),"000000000000000"),13,3)=0,"",MID(TEXT(ABS(E61),"000000000000000"),13,1)&amp;" ratus "&amp;MID(TEXT(ABS(E61),"000000000000000"),14,1)&amp;" puluh "&amp;MID(TEXT(ABS(E61),"000000000000000"),15,1)),1,"satu"),2,"dua"),3,"tiga"),4,"empat"),5,"lima"),6,"enam"),7,"tujuh"),8,"delapan"),9,"sembilan"),"0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Ribu Rupiah</v>
      </c>
      <c r="F62" s="40"/>
      <c r="H62" s="9"/>
      <c r="I62" s="9"/>
      <c r="J62" s="10"/>
    </row>
    <row r="63" spans="1:10" ht="15.75" x14ac:dyDescent="0.25">
      <c r="A63" s="8"/>
      <c r="B63" s="8"/>
      <c r="C63" s="11"/>
      <c r="D63" s="11"/>
      <c r="E63" s="11"/>
      <c r="F63" s="40"/>
      <c r="G63" s="52"/>
      <c r="H63" s="9"/>
      <c r="I63" s="9"/>
      <c r="J63" s="10"/>
    </row>
    <row r="64" spans="1:10" x14ac:dyDescent="0.25">
      <c r="A64" s="8" t="s">
        <v>1</v>
      </c>
      <c r="B64" s="8"/>
      <c r="C64" s="8"/>
      <c r="D64" s="8"/>
      <c r="E64" s="8"/>
      <c r="F64" s="8"/>
      <c r="G64" s="8"/>
      <c r="H64" s="9"/>
      <c r="I64" s="9"/>
      <c r="J64" s="10"/>
    </row>
    <row r="65" spans="1:10" x14ac:dyDescent="0.25">
      <c r="A65" s="60" t="s">
        <v>2</v>
      </c>
      <c r="B65" s="60"/>
      <c r="C65" s="60"/>
      <c r="D65" s="60"/>
      <c r="E65" s="60"/>
      <c r="F65" s="60"/>
      <c r="G65" s="60"/>
      <c r="H65" s="60"/>
      <c r="I65" s="60"/>
      <c r="J65" s="60"/>
    </row>
    <row r="66" spans="1:10" ht="60" x14ac:dyDescent="0.25">
      <c r="A66" s="12" t="s">
        <v>3</v>
      </c>
      <c r="B66" s="55" t="s">
        <v>24</v>
      </c>
      <c r="C66" s="61" t="s">
        <v>4</v>
      </c>
      <c r="D66" s="62"/>
      <c r="E66" s="63"/>
      <c r="F66" s="50"/>
      <c r="G66" s="41" t="s">
        <v>5</v>
      </c>
      <c r="H66" s="13" t="s">
        <v>32</v>
      </c>
      <c r="I66" s="14" t="s">
        <v>6</v>
      </c>
      <c r="J66" s="15" t="s">
        <v>7</v>
      </c>
    </row>
    <row r="67" spans="1:10" x14ac:dyDescent="0.25">
      <c r="A67" s="48">
        <v>1</v>
      </c>
      <c r="B67" s="48"/>
      <c r="C67" s="57" t="s">
        <v>33</v>
      </c>
      <c r="D67" s="59"/>
      <c r="E67" s="45"/>
      <c r="F67" s="39"/>
      <c r="G67" s="58" t="s">
        <v>30</v>
      </c>
      <c r="H67" s="58" t="s">
        <v>30</v>
      </c>
      <c r="I67" s="58" t="s">
        <v>30</v>
      </c>
      <c r="J67" s="58" t="s">
        <v>30</v>
      </c>
    </row>
    <row r="68" spans="1:10" x14ac:dyDescent="0.25">
      <c r="A68" s="48"/>
      <c r="B68" s="48" t="s">
        <v>25</v>
      </c>
      <c r="C68" s="39" t="s">
        <v>34</v>
      </c>
      <c r="D68" s="8"/>
      <c r="E68" s="45"/>
      <c r="F68" s="39"/>
      <c r="G68" s="53">
        <v>300000000</v>
      </c>
      <c r="H68" s="46">
        <f>H24+I24</f>
        <v>0</v>
      </c>
      <c r="I68" s="36">
        <v>0</v>
      </c>
      <c r="J68" s="37">
        <f t="shared" ref="J68:J69" si="1">G68-H68-I68</f>
        <v>300000000</v>
      </c>
    </row>
    <row r="69" spans="1:10" x14ac:dyDescent="0.25">
      <c r="A69" s="48"/>
      <c r="B69" s="48" t="s">
        <v>26</v>
      </c>
      <c r="C69" s="39" t="s">
        <v>35</v>
      </c>
      <c r="D69" s="8"/>
      <c r="E69" s="45"/>
      <c r="F69" s="39"/>
      <c r="G69" s="53">
        <v>440000000</v>
      </c>
      <c r="H69" s="46">
        <f>H25+I25</f>
        <v>23669350</v>
      </c>
      <c r="I69" s="36">
        <v>9850000</v>
      </c>
      <c r="J69" s="37">
        <f t="shared" si="1"/>
        <v>406480650</v>
      </c>
    </row>
    <row r="70" spans="1:10" x14ac:dyDescent="0.25">
      <c r="A70" s="16"/>
      <c r="B70" s="16"/>
      <c r="C70" s="17" t="s">
        <v>8</v>
      </c>
      <c r="D70" s="17"/>
      <c r="E70" s="17"/>
      <c r="F70" s="43"/>
      <c r="G70" s="42">
        <f>SUM(G67:G69)</f>
        <v>740000000</v>
      </c>
      <c r="H70" s="18">
        <f>SUM(H67:H69)</f>
        <v>23669350</v>
      </c>
      <c r="I70" s="18">
        <f>SUM(I67:I69)</f>
        <v>9850000</v>
      </c>
      <c r="J70" s="18">
        <f>SUM(J67:J69)</f>
        <v>706480650</v>
      </c>
    </row>
    <row r="71" spans="1:10" x14ac:dyDescent="0.25">
      <c r="A71" s="19"/>
      <c r="B71" s="56"/>
      <c r="C71" s="6"/>
      <c r="D71" s="6"/>
      <c r="E71" s="6"/>
      <c r="F71" s="6"/>
      <c r="G71" s="20"/>
      <c r="H71" s="20"/>
      <c r="I71" s="20"/>
      <c r="J71" s="20"/>
    </row>
    <row r="72" spans="1:10" x14ac:dyDescent="0.25">
      <c r="A72" s="64" t="s">
        <v>15</v>
      </c>
      <c r="B72" s="64"/>
      <c r="C72" s="64"/>
      <c r="D72" s="33" t="s">
        <v>12</v>
      </c>
      <c r="E72" s="38">
        <f>I70</f>
        <v>9850000</v>
      </c>
      <c r="F72" s="38"/>
      <c r="G72" s="21"/>
      <c r="H72" s="21"/>
      <c r="I72" s="10"/>
      <c r="J72" s="10"/>
    </row>
    <row r="73" spans="1:10" x14ac:dyDescent="0.25">
      <c r="A73" s="8" t="s">
        <v>9</v>
      </c>
      <c r="B73" s="8"/>
      <c r="C73" s="8"/>
      <c r="D73" s="33" t="s">
        <v>12</v>
      </c>
      <c r="E73" s="34"/>
      <c r="F73" s="34"/>
      <c r="G73" s="22"/>
      <c r="H73" s="9"/>
      <c r="I73" s="10"/>
      <c r="J73" s="10"/>
    </row>
    <row r="74" spans="1:10" x14ac:dyDescent="0.25">
      <c r="A74" s="8" t="s">
        <v>17</v>
      </c>
      <c r="B74" s="8"/>
      <c r="C74" s="8"/>
      <c r="D74" s="33" t="s">
        <v>12</v>
      </c>
      <c r="E74" s="35"/>
      <c r="F74" s="35"/>
      <c r="G74" s="22"/>
      <c r="H74" s="9"/>
      <c r="I74" s="10"/>
      <c r="J74" s="10"/>
    </row>
    <row r="75" spans="1:10" x14ac:dyDescent="0.25">
      <c r="A75" s="8" t="s">
        <v>10</v>
      </c>
      <c r="B75" s="8"/>
      <c r="C75" s="8"/>
      <c r="D75" s="33" t="s">
        <v>12</v>
      </c>
      <c r="E75" s="35">
        <f>E73+E74</f>
        <v>0</v>
      </c>
      <c r="F75" s="35"/>
      <c r="G75" s="8"/>
      <c r="H75" s="9"/>
      <c r="I75" s="23"/>
      <c r="J75" s="24"/>
    </row>
    <row r="76" spans="1:10" x14ac:dyDescent="0.25">
      <c r="A76" s="47"/>
      <c r="B76" s="47"/>
      <c r="C76" s="47"/>
      <c r="D76" s="33"/>
      <c r="E76" s="47"/>
      <c r="F76" s="47"/>
      <c r="G76" s="8"/>
      <c r="H76" s="9"/>
      <c r="I76" s="23"/>
      <c r="J76" s="24"/>
    </row>
    <row r="77" spans="1:10" x14ac:dyDescent="0.25">
      <c r="A77" s="64" t="s">
        <v>16</v>
      </c>
      <c r="B77" s="64"/>
      <c r="C77" s="64"/>
      <c r="D77" s="33" t="s">
        <v>12</v>
      </c>
      <c r="E77" s="38">
        <f>E72-E75</f>
        <v>9850000</v>
      </c>
      <c r="F77" s="38"/>
      <c r="G77" s="8"/>
      <c r="H77" s="9"/>
      <c r="I77" s="23"/>
      <c r="J77" s="24"/>
    </row>
    <row r="78" spans="1:10" ht="15.75" x14ac:dyDescent="0.25">
      <c r="A78" s="47"/>
      <c r="B78" s="47"/>
      <c r="C78" s="8"/>
      <c r="D78" s="8"/>
      <c r="E78" s="52" t="str">
        <f>PROPER(IF(E77=0,"nol",IF(E77&lt;0,"minus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77),"000000000000000"),1,3)=0,"",MID(TEXT(ABS(E77),"000000000000000"),1,1)&amp;" ratus "&amp;MID(TEXT(ABS(E77),"000000000000000"),2,1)&amp;" puluh "&amp;MID(TEXT(ABS(E77),"000000000000000"),3,1)&amp;" trilyun ")&amp;IF(--MID(TEXT(ABS(E77),"000000000000000"),4,3)=0,"",MID(TEXT(ABS(E77),"000000000000000"),4,1)&amp;" ratus "&amp;MID(TEXT(ABS(E77),"000000000000000"),5,1)&amp;" puluh "&amp;MID(TEXT(ABS(E77),"000000000000000"),6,1)&amp;" milyar ")&amp;IF(--MID(TEXT(ABS(E77),"000000000000000"),7,3)=0,"",MID(TEXT(ABS(E77),"000000000000000"),7,1)&amp;" ratus "&amp;MID(TEXT(ABS(E77),"000000000000000"),8,1)&amp;" puluh "&amp;MID(TEXT(ABS(E77),"000000000000000"),9,1)&amp;" juta ")&amp;IF(--MID(TEXT(ABS(E77),"000000000000000"),10,3)=0,"",IF(--MID(TEXT(ABS(E77),"000000000000000"),10,3)=1,"*",MID(TEXT(ABS(E77),"000000000000000"),10,1)&amp;" ratus "&amp;MID(TEXT(ABS(E77),"000000000000000"),11,1)&amp;" puluh ")&amp;MID(TEXT(ABS(E77),"000000000000000"),12,1)&amp;" ribu ")&amp;IF(--MID(TEXT(ABS(E77),"000000000000000"),13,3)=0,"",MID(TEXT(ABS(E77),"000000000000000"),13,1)&amp;" ratus "&amp;MID(TEXT(ABS(E77),"000000000000000"),14,1)&amp;" puluh "&amp;MID(TEXT(ABS(E77),"000000000000000"),15,1)),1,"satu"),2,"dua"),3,"tiga"),4,"empat"),5,"lima"),6,"enam"),7,"tujuh"),8,"delapan"),9,"sembilan"),"0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Delapan Ratus Lima Puluh Ribu Rupiah</v>
      </c>
      <c r="F78" s="8"/>
      <c r="G78" s="8"/>
      <c r="H78" s="8"/>
      <c r="I78" s="23"/>
      <c r="J78" s="24"/>
    </row>
    <row r="79" spans="1:10" x14ac:dyDescent="0.25">
      <c r="A79" s="26"/>
      <c r="B79" s="26"/>
      <c r="C79" s="26"/>
      <c r="D79" s="26"/>
      <c r="E79" s="26"/>
      <c r="F79" s="26"/>
      <c r="G79" s="25"/>
      <c r="H79" s="24"/>
      <c r="I79" s="23"/>
      <c r="J79" s="24"/>
    </row>
    <row r="80" spans="1:10" x14ac:dyDescent="0.25">
      <c r="A80" s="25"/>
      <c r="B80" s="25"/>
      <c r="C80" s="25"/>
      <c r="D80" s="25"/>
      <c r="E80" s="25"/>
      <c r="F80" s="25"/>
      <c r="G80" s="25"/>
      <c r="H80"/>
      <c r="I80" s="24"/>
      <c r="J80" s="24"/>
    </row>
    <row r="81" spans="1:10" x14ac:dyDescent="0.25">
      <c r="A81" s="47"/>
      <c r="B81" s="47"/>
      <c r="C81" s="8"/>
      <c r="D81" s="8"/>
      <c r="E81" s="8"/>
      <c r="F81" s="8"/>
      <c r="G81" s="8"/>
      <c r="I81" s="49" t="s">
        <v>41</v>
      </c>
      <c r="J81" s="24"/>
    </row>
    <row r="82" spans="1:10" x14ac:dyDescent="0.25">
      <c r="A82" s="9" t="s">
        <v>28</v>
      </c>
      <c r="B82" s="8"/>
      <c r="C82" s="8"/>
      <c r="D82" s="8"/>
      <c r="E82" s="8"/>
      <c r="F82" s="8"/>
      <c r="G82" s="8"/>
      <c r="I82" s="9" t="s">
        <v>27</v>
      </c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8"/>
      <c r="B85" s="8"/>
      <c r="C85" s="8"/>
      <c r="D85" s="8"/>
      <c r="E85" s="8"/>
      <c r="F85" s="8"/>
      <c r="G85" s="8"/>
      <c r="I85" s="9"/>
      <c r="J85" s="24"/>
    </row>
    <row r="86" spans="1:10" x14ac:dyDescent="0.25">
      <c r="A86" s="8"/>
      <c r="B86" s="8"/>
      <c r="C86" s="8"/>
      <c r="D86" s="8"/>
      <c r="E86" s="8"/>
      <c r="F86" s="8"/>
      <c r="G86" s="8"/>
      <c r="I86" s="9"/>
      <c r="J86" s="24"/>
    </row>
    <row r="87" spans="1:10" x14ac:dyDescent="0.25">
      <c r="A87" s="28" t="s">
        <v>36</v>
      </c>
      <c r="B87" s="28"/>
      <c r="C87" s="27"/>
      <c r="D87" s="27"/>
      <c r="E87" s="27"/>
      <c r="F87" s="27"/>
      <c r="G87" s="8" t="s">
        <v>11</v>
      </c>
      <c r="I87" s="28" t="s">
        <v>29</v>
      </c>
      <c r="J87" s="24"/>
    </row>
    <row r="92" spans="1:10" ht="15.75" x14ac:dyDescent="0.25">
      <c r="C92" s="3"/>
      <c r="D92" s="3"/>
      <c r="E92" s="3"/>
      <c r="F92" s="3"/>
    </row>
    <row r="93" spans="1:10" ht="15.75" x14ac:dyDescent="0.25">
      <c r="A93" s="2"/>
      <c r="B93" s="2"/>
      <c r="C93" s="3"/>
      <c r="D93" s="3"/>
      <c r="E93" s="3"/>
      <c r="F93" s="3"/>
      <c r="G93" s="2"/>
      <c r="H93" s="4"/>
      <c r="I93" s="4"/>
      <c r="J93" s="5"/>
    </row>
    <row r="94" spans="1:10" x14ac:dyDescent="0.25">
      <c r="H94" s="5"/>
      <c r="I94" s="5"/>
      <c r="J94" s="5"/>
    </row>
    <row r="95" spans="1:10" x14ac:dyDescent="0.25">
      <c r="H95" s="5"/>
      <c r="I95" s="5"/>
      <c r="J95" s="5"/>
    </row>
    <row r="96" spans="1:10" x14ac:dyDescent="0.25">
      <c r="A96" s="65" t="s">
        <v>31</v>
      </c>
      <c r="B96" s="65"/>
      <c r="C96" s="66"/>
      <c r="D96" s="66"/>
      <c r="E96" s="66"/>
      <c r="F96" s="66"/>
      <c r="G96" s="66"/>
      <c r="H96" s="66"/>
      <c r="I96" s="66"/>
      <c r="J96" s="66"/>
    </row>
    <row r="97" spans="1:10" x14ac:dyDescent="0.25">
      <c r="A97" s="66" t="s">
        <v>42</v>
      </c>
      <c r="B97" s="66"/>
      <c r="C97" s="66"/>
      <c r="D97" s="66"/>
      <c r="E97" s="66"/>
      <c r="F97" s="66"/>
      <c r="G97" s="66"/>
      <c r="H97" s="66"/>
      <c r="I97" s="66"/>
      <c r="J97" s="66"/>
    </row>
    <row r="98" spans="1:10" x14ac:dyDescent="0.25">
      <c r="A98" s="66" t="s">
        <v>13</v>
      </c>
      <c r="B98" s="66"/>
      <c r="C98" s="66"/>
      <c r="D98" s="66"/>
      <c r="E98" s="66"/>
      <c r="F98" s="66"/>
      <c r="G98" s="66"/>
      <c r="H98" s="66"/>
      <c r="I98" s="66"/>
      <c r="J98" s="66"/>
    </row>
    <row r="99" spans="1:10" x14ac:dyDescent="0.25">
      <c r="A99" s="66" t="s">
        <v>37</v>
      </c>
      <c r="B99" s="66"/>
      <c r="C99" s="66"/>
      <c r="D99" s="66"/>
      <c r="E99" s="66"/>
      <c r="F99" s="66"/>
      <c r="G99" s="66"/>
      <c r="H99" s="66"/>
      <c r="I99" s="66"/>
      <c r="J99" s="66"/>
    </row>
    <row r="100" spans="1:10" x14ac:dyDescent="0.25">
      <c r="A100" s="66" t="s">
        <v>14</v>
      </c>
      <c r="B100" s="66"/>
      <c r="C100" s="66"/>
      <c r="D100" s="66"/>
      <c r="E100" s="66"/>
      <c r="F100" s="66"/>
      <c r="G100" s="66"/>
      <c r="H100" s="66"/>
      <c r="I100" s="66"/>
      <c r="J100" s="66"/>
    </row>
    <row r="101" spans="1:10" x14ac:dyDescent="0.25">
      <c r="A101" s="32"/>
      <c r="B101" s="32"/>
      <c r="C101" s="7"/>
      <c r="D101" s="7"/>
      <c r="E101" s="7"/>
      <c r="F101" s="7"/>
      <c r="G101" s="6"/>
      <c r="H101" s="10"/>
      <c r="I101" s="10"/>
      <c r="J101" s="10"/>
    </row>
    <row r="102" spans="1:10" x14ac:dyDescent="0.25">
      <c r="A102" s="54" t="s">
        <v>20</v>
      </c>
      <c r="B102" s="54"/>
      <c r="C102" s="54"/>
      <c r="D102" s="51" t="s">
        <v>12</v>
      </c>
      <c r="E102" s="8" t="s">
        <v>19</v>
      </c>
      <c r="F102" s="40"/>
      <c r="H102" s="9"/>
      <c r="I102" s="9"/>
      <c r="J102" s="10"/>
    </row>
    <row r="103" spans="1:10" x14ac:dyDescent="0.25">
      <c r="A103" s="54" t="s">
        <v>21</v>
      </c>
      <c r="B103" s="54"/>
      <c r="C103" s="54"/>
      <c r="D103" s="51" t="s">
        <v>12</v>
      </c>
      <c r="E103" s="8" t="s">
        <v>18</v>
      </c>
      <c r="F103" s="40"/>
      <c r="H103" s="9"/>
      <c r="I103" s="9"/>
      <c r="J103" s="10"/>
    </row>
    <row r="104" spans="1:10" x14ac:dyDescent="0.25">
      <c r="A104" s="54" t="s">
        <v>22</v>
      </c>
      <c r="B104" s="54"/>
      <c r="C104" s="54"/>
      <c r="D104" s="51" t="s">
        <v>12</v>
      </c>
      <c r="E104" s="47">
        <v>2026</v>
      </c>
      <c r="F104" s="40"/>
      <c r="H104" s="9"/>
      <c r="I104" s="9"/>
      <c r="J104" s="10"/>
    </row>
    <row r="105" spans="1:10" x14ac:dyDescent="0.25">
      <c r="A105" s="54" t="s">
        <v>23</v>
      </c>
      <c r="B105" s="54"/>
      <c r="C105" s="54"/>
      <c r="D105" s="51" t="s">
        <v>12</v>
      </c>
      <c r="E105" s="44">
        <f>I114</f>
        <v>9779350</v>
      </c>
      <c r="F105" s="40"/>
      <c r="H105" s="9"/>
      <c r="I105" s="9"/>
      <c r="J105" s="10"/>
    </row>
    <row r="106" spans="1:10" ht="15.75" x14ac:dyDescent="0.25">
      <c r="A106" s="8"/>
      <c r="B106" s="8"/>
      <c r="C106" s="11" t="s">
        <v>0</v>
      </c>
      <c r="D106" s="11"/>
      <c r="E106" s="52" t="str">
        <f>PROPER(IF(E105=0,"nol",IF(E105&lt;0,"minus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105),"000000000000000"),1,3)=0,"",MID(TEXT(ABS(E105),"000000000000000"),1,1)&amp;" ratus "&amp;MID(TEXT(ABS(E105),"000000000000000"),2,1)&amp;" puluh "&amp;MID(TEXT(ABS(E105),"000000000000000"),3,1)&amp;" trilyun ")&amp;IF(--MID(TEXT(ABS(E105),"000000000000000"),4,3)=0,"",MID(TEXT(ABS(E105),"000000000000000"),4,1)&amp;" ratus "&amp;MID(TEXT(ABS(E105),"000000000000000"),5,1)&amp;" puluh "&amp;MID(TEXT(ABS(E105),"000000000000000"),6,1)&amp;" milyar ")&amp;IF(--MID(TEXT(ABS(E105),"000000000000000"),7,3)=0,"",MID(TEXT(ABS(E105),"000000000000000"),7,1)&amp;" ratus "&amp;MID(TEXT(ABS(E105),"000000000000000"),8,1)&amp;" puluh "&amp;MID(TEXT(ABS(E105),"000000000000000"),9,1)&amp;" juta ")&amp;IF(--MID(TEXT(ABS(E105),"000000000000000"),10,3)=0,"",IF(--MID(TEXT(ABS(E105),"000000000000000"),10,3)=1,"*",MID(TEXT(ABS(E105),"000000000000000"),10,1)&amp;" ratus "&amp;MID(TEXT(ABS(E105),"000000000000000"),11,1)&amp;" puluh ")&amp;MID(TEXT(ABS(E105),"000000000000000"),12,1)&amp;" ribu ")&amp;IF(--MID(TEXT(ABS(E105),"000000000000000"),13,3)=0,"",MID(TEXT(ABS(E105),"000000000000000"),13,1)&amp;" ratus "&amp;MID(TEXT(ABS(E105),"000000000000000"),14,1)&amp;" puluh "&amp;MID(TEXT(ABS(E105),"000000000000000"),15,1)),1,"satu"),2,"dua"),3,"tiga"),4,"empat"),5,"lima"),6,"enam"),7,"tujuh"),8,"delapan"),9,"sembilan"),"0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Tujuh Ratus Tujuh Puluh Sembilan Ribu Tiga Ratus Lima Puluh Rupiah</v>
      </c>
      <c r="F106" s="40"/>
      <c r="H106" s="9"/>
      <c r="I106" s="9"/>
      <c r="J106" s="10"/>
    </row>
    <row r="107" spans="1:10" ht="15.75" x14ac:dyDescent="0.25">
      <c r="A107" s="8"/>
      <c r="B107" s="8"/>
      <c r="C107" s="11"/>
      <c r="D107" s="11"/>
      <c r="E107" s="11"/>
      <c r="F107" s="40"/>
      <c r="G107" s="52"/>
      <c r="H107" s="9"/>
      <c r="I107" s="9"/>
      <c r="J107" s="10"/>
    </row>
    <row r="108" spans="1:10" x14ac:dyDescent="0.25">
      <c r="A108" s="8" t="s">
        <v>1</v>
      </c>
      <c r="B108" s="8"/>
      <c r="C108" s="8"/>
      <c r="D108" s="8"/>
      <c r="E108" s="8"/>
      <c r="F108" s="8"/>
      <c r="G108" s="8"/>
      <c r="H108" s="9"/>
      <c r="I108" s="9"/>
      <c r="J108" s="10"/>
    </row>
    <row r="109" spans="1:10" x14ac:dyDescent="0.25">
      <c r="A109" s="60" t="s">
        <v>2</v>
      </c>
      <c r="B109" s="60"/>
      <c r="C109" s="60"/>
      <c r="D109" s="60"/>
      <c r="E109" s="60"/>
      <c r="F109" s="60"/>
      <c r="G109" s="60"/>
      <c r="H109" s="60"/>
      <c r="I109" s="60"/>
      <c r="J109" s="60"/>
    </row>
    <row r="110" spans="1:10" ht="60" x14ac:dyDescent="0.25">
      <c r="A110" s="12" t="s">
        <v>3</v>
      </c>
      <c r="B110" s="55" t="s">
        <v>24</v>
      </c>
      <c r="C110" s="61" t="s">
        <v>4</v>
      </c>
      <c r="D110" s="62"/>
      <c r="E110" s="63"/>
      <c r="F110" s="50"/>
      <c r="G110" s="41" t="s">
        <v>5</v>
      </c>
      <c r="H110" s="13" t="s">
        <v>32</v>
      </c>
      <c r="I110" s="14" t="s">
        <v>6</v>
      </c>
      <c r="J110" s="15" t="s">
        <v>7</v>
      </c>
    </row>
    <row r="111" spans="1:10" x14ac:dyDescent="0.25">
      <c r="A111" s="48">
        <v>1</v>
      </c>
      <c r="B111" s="48"/>
      <c r="C111" s="57" t="s">
        <v>33</v>
      </c>
      <c r="D111" s="59"/>
      <c r="E111" s="45"/>
      <c r="F111" s="39"/>
      <c r="G111" s="58" t="s">
        <v>30</v>
      </c>
      <c r="H111" s="58" t="s">
        <v>30</v>
      </c>
      <c r="I111" s="58" t="s">
        <v>30</v>
      </c>
      <c r="J111" s="58" t="s">
        <v>30</v>
      </c>
    </row>
    <row r="112" spans="1:10" x14ac:dyDescent="0.25">
      <c r="A112" s="48"/>
      <c r="B112" s="48" t="s">
        <v>25</v>
      </c>
      <c r="C112" s="39" t="s">
        <v>34</v>
      </c>
      <c r="D112" s="8"/>
      <c r="E112" s="45"/>
      <c r="F112" s="39"/>
      <c r="G112" s="53">
        <v>300000000</v>
      </c>
      <c r="H112" s="46">
        <f>H68+I68</f>
        <v>0</v>
      </c>
      <c r="I112" s="36">
        <v>0</v>
      </c>
      <c r="J112" s="37">
        <f t="shared" ref="J112:J113" si="2">G112-H112-I112</f>
        <v>300000000</v>
      </c>
    </row>
    <row r="113" spans="1:10" x14ac:dyDescent="0.25">
      <c r="A113" s="48"/>
      <c r="B113" s="48" t="s">
        <v>26</v>
      </c>
      <c r="C113" s="39" t="s">
        <v>35</v>
      </c>
      <c r="D113" s="8"/>
      <c r="E113" s="45"/>
      <c r="F113" s="39"/>
      <c r="G113" s="53">
        <v>440000000</v>
      </c>
      <c r="H113" s="46">
        <f>H69+I69</f>
        <v>33519350</v>
      </c>
      <c r="I113" s="36">
        <v>9779350</v>
      </c>
      <c r="J113" s="37">
        <f t="shared" si="2"/>
        <v>396701300</v>
      </c>
    </row>
    <row r="114" spans="1:10" x14ac:dyDescent="0.25">
      <c r="A114" s="16"/>
      <c r="B114" s="16"/>
      <c r="C114" s="17" t="s">
        <v>8</v>
      </c>
      <c r="D114" s="17"/>
      <c r="E114" s="17"/>
      <c r="F114" s="43"/>
      <c r="G114" s="42">
        <f>SUM(G111:G113)</f>
        <v>740000000</v>
      </c>
      <c r="H114" s="18">
        <f>SUM(H111:H113)</f>
        <v>33519350</v>
      </c>
      <c r="I114" s="18">
        <f>SUM(I111:I113)</f>
        <v>9779350</v>
      </c>
      <c r="J114" s="18">
        <f>SUM(J111:J113)</f>
        <v>696701300</v>
      </c>
    </row>
    <row r="115" spans="1:10" x14ac:dyDescent="0.25">
      <c r="A115" s="19"/>
      <c r="B115" s="56"/>
      <c r="C115" s="6"/>
      <c r="D115" s="6"/>
      <c r="E115" s="6"/>
      <c r="F115" s="6"/>
      <c r="G115" s="20"/>
      <c r="H115" s="20"/>
      <c r="I115" s="20"/>
      <c r="J115" s="20"/>
    </row>
    <row r="116" spans="1:10" x14ac:dyDescent="0.25">
      <c r="A116" s="64" t="s">
        <v>15</v>
      </c>
      <c r="B116" s="64"/>
      <c r="C116" s="64"/>
      <c r="D116" s="33" t="s">
        <v>12</v>
      </c>
      <c r="E116" s="38">
        <f>I114</f>
        <v>9779350</v>
      </c>
      <c r="F116" s="38"/>
      <c r="G116" s="21"/>
      <c r="H116" s="21"/>
      <c r="I116" s="10"/>
      <c r="J116" s="10"/>
    </row>
    <row r="117" spans="1:10" x14ac:dyDescent="0.25">
      <c r="A117" s="8" t="s">
        <v>9</v>
      </c>
      <c r="B117" s="8"/>
      <c r="C117" s="8"/>
      <c r="D117" s="33" t="s">
        <v>12</v>
      </c>
      <c r="E117" s="34"/>
      <c r="F117" s="34"/>
      <c r="G117" s="22"/>
      <c r="H117" s="9"/>
      <c r="I117" s="10"/>
      <c r="J117" s="10"/>
    </row>
    <row r="118" spans="1:10" x14ac:dyDescent="0.25">
      <c r="A118" s="8" t="s">
        <v>17</v>
      </c>
      <c r="B118" s="8"/>
      <c r="C118" s="8"/>
      <c r="D118" s="33" t="s">
        <v>12</v>
      </c>
      <c r="E118" s="35"/>
      <c r="F118" s="35"/>
      <c r="G118" s="22"/>
      <c r="H118" s="9"/>
      <c r="I118" s="10"/>
      <c r="J118" s="10"/>
    </row>
    <row r="119" spans="1:10" x14ac:dyDescent="0.25">
      <c r="A119" s="8" t="s">
        <v>10</v>
      </c>
      <c r="B119" s="8"/>
      <c r="C119" s="8"/>
      <c r="D119" s="33" t="s">
        <v>12</v>
      </c>
      <c r="E119" s="35">
        <f>E117+E118</f>
        <v>0</v>
      </c>
      <c r="F119" s="35"/>
      <c r="G119" s="8"/>
      <c r="H119" s="9"/>
      <c r="I119" s="23"/>
      <c r="J119" s="24"/>
    </row>
    <row r="120" spans="1:10" x14ac:dyDescent="0.25">
      <c r="A120" s="47"/>
      <c r="B120" s="47"/>
      <c r="C120" s="47"/>
      <c r="D120" s="33"/>
      <c r="E120" s="47"/>
      <c r="F120" s="47"/>
      <c r="G120" s="8"/>
      <c r="H120" s="9"/>
      <c r="I120" s="23"/>
      <c r="J120" s="24"/>
    </row>
    <row r="121" spans="1:10" x14ac:dyDescent="0.25">
      <c r="A121" s="64" t="s">
        <v>16</v>
      </c>
      <c r="B121" s="64"/>
      <c r="C121" s="64"/>
      <c r="D121" s="33" t="s">
        <v>12</v>
      </c>
      <c r="E121" s="38">
        <f>E116-E119</f>
        <v>9779350</v>
      </c>
      <c r="F121" s="38"/>
      <c r="G121" s="8"/>
      <c r="H121" s="9"/>
      <c r="I121" s="23"/>
      <c r="J121" s="24"/>
    </row>
    <row r="122" spans="1:10" ht="15.75" x14ac:dyDescent="0.25">
      <c r="A122" s="47"/>
      <c r="B122" s="47"/>
      <c r="C122" s="8"/>
      <c r="D122" s="8"/>
      <c r="E122" s="52" t="str">
        <f>PROPER(IF(E121=0,"nol",IF(E121&lt;0,"minus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121),"000000000000000"),1,3)=0,"",MID(TEXT(ABS(E121),"000000000000000"),1,1)&amp;" ratus "&amp;MID(TEXT(ABS(E121),"000000000000000"),2,1)&amp;" puluh "&amp;MID(TEXT(ABS(E121),"000000000000000"),3,1)&amp;" trilyun ")&amp;IF(--MID(TEXT(ABS(E121),"000000000000000"),4,3)=0,"",MID(TEXT(ABS(E121),"000000000000000"),4,1)&amp;" ratus "&amp;MID(TEXT(ABS(E121),"000000000000000"),5,1)&amp;" puluh "&amp;MID(TEXT(ABS(E121),"000000000000000"),6,1)&amp;" milyar ")&amp;IF(--MID(TEXT(ABS(E121),"000000000000000"),7,3)=0,"",MID(TEXT(ABS(E121),"000000000000000"),7,1)&amp;" ratus "&amp;MID(TEXT(ABS(E121),"000000000000000"),8,1)&amp;" puluh "&amp;MID(TEXT(ABS(E121),"000000000000000"),9,1)&amp;" juta ")&amp;IF(--MID(TEXT(ABS(E121),"000000000000000"),10,3)=0,"",IF(--MID(TEXT(ABS(E121),"000000000000000"),10,3)=1,"*",MID(TEXT(ABS(E121),"000000000000000"),10,1)&amp;" ratus "&amp;MID(TEXT(ABS(E121),"000000000000000"),11,1)&amp;" puluh ")&amp;MID(TEXT(ABS(E121),"000000000000000"),12,1)&amp;" ribu ")&amp;IF(--MID(TEXT(ABS(E121),"000000000000000"),13,3)=0,"",MID(TEXT(ABS(E121),"000000000000000"),13,1)&amp;" ratus "&amp;MID(TEXT(ABS(E121),"000000000000000"),14,1)&amp;" puluh "&amp;MID(TEXT(ABS(E121),"000000000000000"),15,1)),1,"satu"),2,"dua"),3,"tiga"),4,"empat"),5,"lima"),6,"enam"),7,"tujuh"),8,"delapan"),9,"sembilan"),"0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Sembilan Juta Tujuh Ratus Tujuh Puluh Sembilan Ribu Tiga Ratus Lima Puluh Rupiah</v>
      </c>
      <c r="F122" s="8"/>
      <c r="G122" s="8"/>
      <c r="H122" s="8"/>
      <c r="I122" s="23"/>
      <c r="J122" s="24"/>
    </row>
    <row r="123" spans="1:10" x14ac:dyDescent="0.25">
      <c r="A123" s="26"/>
      <c r="B123" s="26"/>
      <c r="C123" s="26"/>
      <c r="D123" s="26"/>
      <c r="E123" s="26"/>
      <c r="F123" s="26"/>
      <c r="G123" s="25"/>
      <c r="H123" s="24"/>
      <c r="I123" s="23"/>
      <c r="J123" s="24"/>
    </row>
    <row r="124" spans="1:10" x14ac:dyDescent="0.25">
      <c r="A124" s="25"/>
      <c r="B124" s="25"/>
      <c r="C124" s="25"/>
      <c r="D124" s="25"/>
      <c r="E124" s="25"/>
      <c r="F124" s="25"/>
      <c r="G124" s="25"/>
      <c r="H124"/>
      <c r="I124" s="24"/>
      <c r="J124" s="24"/>
    </row>
    <row r="125" spans="1:10" x14ac:dyDescent="0.25">
      <c r="A125" s="47"/>
      <c r="B125" s="47"/>
      <c r="C125" s="8"/>
      <c r="D125" s="8"/>
      <c r="E125" s="8"/>
      <c r="F125" s="8"/>
      <c r="G125" s="8"/>
      <c r="I125" s="49" t="s">
        <v>43</v>
      </c>
      <c r="J125" s="24"/>
    </row>
    <row r="126" spans="1:10" x14ac:dyDescent="0.25">
      <c r="A126" s="9" t="s">
        <v>28</v>
      </c>
      <c r="B126" s="8"/>
      <c r="C126" s="8"/>
      <c r="D126" s="8"/>
      <c r="E126" s="8"/>
      <c r="F126" s="8"/>
      <c r="G126" s="8"/>
      <c r="I126" s="9" t="s">
        <v>27</v>
      </c>
      <c r="J126" s="24"/>
    </row>
    <row r="127" spans="1:10" x14ac:dyDescent="0.25">
      <c r="A127" s="8"/>
      <c r="B127" s="8"/>
      <c r="C127" s="8"/>
      <c r="D127" s="8"/>
      <c r="E127" s="8"/>
      <c r="F127" s="8"/>
      <c r="G127" s="8"/>
      <c r="I127" s="9"/>
      <c r="J127" s="24"/>
    </row>
    <row r="128" spans="1:10" x14ac:dyDescent="0.25">
      <c r="A128" s="8"/>
      <c r="B128" s="8"/>
      <c r="C128" s="8"/>
      <c r="D128" s="8"/>
      <c r="E128" s="8"/>
      <c r="F128" s="8"/>
      <c r="G128" s="8"/>
      <c r="I128" s="9"/>
      <c r="J128" s="24"/>
    </row>
    <row r="129" spans="1:10" x14ac:dyDescent="0.25">
      <c r="A129" s="8"/>
      <c r="B129" s="8"/>
      <c r="C129" s="8"/>
      <c r="D129" s="8"/>
      <c r="E129" s="8"/>
      <c r="F129" s="8"/>
      <c r="G129" s="8"/>
      <c r="I129" s="9"/>
      <c r="J129" s="24"/>
    </row>
    <row r="130" spans="1:10" x14ac:dyDescent="0.25">
      <c r="A130" s="8"/>
      <c r="B130" s="8"/>
      <c r="C130" s="8"/>
      <c r="D130" s="8"/>
      <c r="E130" s="8"/>
      <c r="F130" s="8"/>
      <c r="G130" s="8"/>
      <c r="I130" s="9"/>
      <c r="J130" s="24"/>
    </row>
    <row r="131" spans="1:10" x14ac:dyDescent="0.25">
      <c r="A131" s="28" t="s">
        <v>36</v>
      </c>
      <c r="B131" s="28"/>
      <c r="C131" s="27"/>
      <c r="D131" s="27"/>
      <c r="E131" s="27"/>
      <c r="F131" s="27"/>
      <c r="G131" s="8" t="s">
        <v>11</v>
      </c>
      <c r="I131" s="28" t="s">
        <v>29</v>
      </c>
      <c r="J131" s="24"/>
    </row>
  </sheetData>
  <mergeCells count="27">
    <mergeCell ref="C110:E110"/>
    <mergeCell ref="A116:C116"/>
    <mergeCell ref="A121:C121"/>
    <mergeCell ref="A96:J96"/>
    <mergeCell ref="A97:J97"/>
    <mergeCell ref="A98:J98"/>
    <mergeCell ref="A99:J99"/>
    <mergeCell ref="A100:J100"/>
    <mergeCell ref="A109:J109"/>
    <mergeCell ref="A55:J55"/>
    <mergeCell ref="A56:J56"/>
    <mergeCell ref="A65:J65"/>
    <mergeCell ref="C66:E66"/>
    <mergeCell ref="A72:C72"/>
    <mergeCell ref="A77:C77"/>
    <mergeCell ref="C22:E22"/>
    <mergeCell ref="A28:C28"/>
    <mergeCell ref="A33:C33"/>
    <mergeCell ref="A52:J52"/>
    <mergeCell ref="A53:J53"/>
    <mergeCell ref="A54:J54"/>
    <mergeCell ref="A8:J8"/>
    <mergeCell ref="A9:J9"/>
    <mergeCell ref="A10:J10"/>
    <mergeCell ref="A11:J11"/>
    <mergeCell ref="A12:J12"/>
    <mergeCell ref="A21:J21"/>
  </mergeCells>
  <pageMargins left="0.23622047244094491" right="0.23622047244094491" top="0" bottom="0.74803149606299213" header="0.31496062992125984" footer="0.31496062992125984"/>
  <pageSetup paperSize="9" scale="82" orientation="portrait" horizontalDpi="4294967293" r:id="rId1"/>
  <rowBreaks count="2" manualBreakCount="2">
    <brk id="44" max="9" man="1"/>
    <brk id="8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JANUARI</vt:lpstr>
      <vt:lpstr>MARET</vt:lpstr>
      <vt:lpstr>JANUARI!Print_Area</vt:lpstr>
      <vt:lpstr>MARET!Print_Area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2026-03-27T06:42:10Z</cp:lastPrinted>
  <dcterms:created xsi:type="dcterms:W3CDTF">2017-02-01T01:06:13Z</dcterms:created>
  <dcterms:modified xsi:type="dcterms:W3CDTF">2026-03-27T06:55:04Z</dcterms:modified>
</cp:coreProperties>
</file>