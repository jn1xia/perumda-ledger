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PD 2026\Beban Investasi\"/>
    </mc:Choice>
  </mc:AlternateContent>
  <xr:revisionPtr revIDLastSave="0" documentId="13_ncr:1_{32F0E137-E4BE-4912-A4D3-7DBFDFD278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NUARI" sheetId="12" r:id="rId1"/>
  </sheets>
  <definedNames>
    <definedName name="_xlnm.Print_Area" localSheetId="0">JANUARI!$A$1:$J$96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3" i="12" l="1"/>
  <c r="J73" i="12" s="1"/>
  <c r="H74" i="12"/>
  <c r="J74" i="12" s="1"/>
  <c r="H75" i="12"/>
  <c r="J75" i="12" s="1"/>
  <c r="H76" i="12"/>
  <c r="J76" i="12" s="1"/>
  <c r="H77" i="12"/>
  <c r="H72" i="12"/>
  <c r="J72" i="12" s="1"/>
  <c r="J77" i="12"/>
  <c r="J29" i="12"/>
  <c r="E83" i="12"/>
  <c r="I78" i="12"/>
  <c r="E80" i="12" s="1"/>
  <c r="E85" i="12" s="1"/>
  <c r="E86" i="12" s="1"/>
  <c r="G78" i="12"/>
  <c r="E65" i="12"/>
  <c r="E66" i="12" s="1"/>
  <c r="H78" i="12" l="1"/>
  <c r="J78" i="12"/>
  <c r="J25" i="12"/>
  <c r="J26" i="12"/>
  <c r="J27" i="12"/>
  <c r="J28" i="12"/>
  <c r="E35" i="12"/>
  <c r="I30" i="12"/>
  <c r="E32" i="12" s="1"/>
  <c r="E37" i="12" s="1"/>
  <c r="E38" i="12" s="1"/>
  <c r="G30" i="12"/>
  <c r="H30" i="12" l="1"/>
  <c r="J24" i="12"/>
  <c r="J30" i="12" s="1"/>
  <c r="E17" i="12"/>
  <c r="E18" i="12" s="1"/>
</calcChain>
</file>

<file path=xl/sharedStrings.xml><?xml version="1.0" encoding="utf-8"?>
<sst xmlns="http://schemas.openxmlformats.org/spreadsheetml/2006/main" count="118" uniqueCount="50">
  <si>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</si>
  <si>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</si>
  <si>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</si>
  <si>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</si>
  <si>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Uraian</t>
  </si>
  <si>
    <t>Anggaran</t>
  </si>
  <si>
    <t>Pencairan Saat ini</t>
  </si>
  <si>
    <t>Sisa Anggaran</t>
  </si>
  <si>
    <t>JUMLAH</t>
  </si>
  <si>
    <t xml:space="preserve">PPN                                                </t>
  </si>
  <si>
    <t xml:space="preserve">Jumlah Potongan                 </t>
  </si>
  <si>
    <t xml:space="preserve">                                  </t>
  </si>
  <si>
    <t>:</t>
  </si>
  <si>
    <t>BENDAHARA PENGELUARAN</t>
  </si>
  <si>
    <t>Supaya mencairkan dana kepada</t>
  </si>
  <si>
    <t xml:space="preserve">Jumlah  Yang Diminta          </t>
  </si>
  <si>
    <t xml:space="preserve">Jumlah yang dibayarkan        </t>
  </si>
  <si>
    <t xml:space="preserve">PPh Psl 21/22/23/4(2)                    </t>
  </si>
  <si>
    <t>2.1.2</t>
  </si>
  <si>
    <t>Beban Investasi</t>
  </si>
  <si>
    <t xml:space="preserve">1. Sub Kegiatan                                                       </t>
  </si>
  <si>
    <t xml:space="preserve">2. Nomor                                                          </t>
  </si>
  <si>
    <t xml:space="preserve">3. Tahun Anggaran                                           </t>
  </si>
  <si>
    <t xml:space="preserve">4. Jumlah Yang Diminta                                    </t>
  </si>
  <si>
    <t>Kode</t>
  </si>
  <si>
    <t>1.1</t>
  </si>
  <si>
    <t>1.2</t>
  </si>
  <si>
    <t>1.3</t>
  </si>
  <si>
    <t>1.4</t>
  </si>
  <si>
    <t>1.5</t>
  </si>
  <si>
    <t>1.6</t>
  </si>
  <si>
    <t>Prasarana Tempat Iklan/Reklame/Promosi</t>
  </si>
  <si>
    <t>Prasarana Tempat Event Khusus, Ruang Kreasi Komunitas, Hobi, Olahraga dan Fashion</t>
  </si>
  <si>
    <t>YANG MEMBUAT</t>
  </si>
  <si>
    <t>MENGETAHUI</t>
  </si>
  <si>
    <t>M. ZULKIFLI</t>
  </si>
  <si>
    <t>---------------</t>
  </si>
  <si>
    <t>NOTA PENCAIRAN DANA (NPD)</t>
  </si>
  <si>
    <t>Akumulasi Pencairan dana Bulan Januari s/d Desember</t>
  </si>
  <si>
    <t>Program Pengembangan Usaha Baru</t>
  </si>
  <si>
    <t>Revitalisasi Kawasan Food Court dan Lahan Lainnya</t>
  </si>
  <si>
    <t>Sarana Gerai Inflasi</t>
  </si>
  <si>
    <t>Mesin Isi Ulang Air Galon</t>
  </si>
  <si>
    <t>Tabung Gas LPG</t>
  </si>
  <si>
    <t>PERUMDA PASAR BANJARMASIN</t>
  </si>
  <si>
    <t>IRNA WAHYUNI. N</t>
  </si>
  <si>
    <t>Banjarmasin, 15 Januari 2026</t>
  </si>
  <si>
    <t>Banjarmasin, 26 Januari 2026</t>
  </si>
  <si>
    <r>
      <t>Nomor : 018/DIV-KEU/PPB/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</si>
  <si>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067/DIV-KEU/PPB/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</si>
</sst>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_-[$Rp-421]* #,##0_-;\-[$Rp-421]* #,##0_-;_-[$Rp-421]* &quot;-&quot;_-;_-@_-"/>
    <numFmt numFmtId="168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165" fontId="13" fillId="0" borderId="0">
      <alignment vertical="top"/>
      <protection locked="0"/>
    </xf>
  </cellStyleXfs>
  <cellXfs count="70">
    <xf numFmtId="0" fontId="0" fillId="0" borderId="0" xfId="0"/>
    <xf numFmtId="166" fontId="1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166" fontId="1" fillId="0" borderId="0" xfId="1" applyFont="1" applyBorder="1" applyAlignment="1">
      <alignment horizontal="center"/>
    </xf>
    <xf numFmtId="166" fontId="1" fillId="0" borderId="0" xfId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66" fontId="4" fillId="0" borderId="0" xfId="1" applyFont="1" applyBorder="1"/>
    <xf numFmtId="166" fontId="3" fillId="0" borderId="0" xfId="1" applyFont="1" applyBorder="1"/>
    <xf numFmtId="0" fontId="7" fillId="0" borderId="0" xfId="0" applyFont="1"/>
    <xf numFmtId="0" fontId="4" fillId="0" borderId="2" xfId="3" applyNumberFormat="1" applyFont="1" applyBorder="1" applyAlignment="1">
      <alignment horizontal="left" vertical="center"/>
    </xf>
    <xf numFmtId="166" fontId="4" fillId="0" borderId="2" xfId="1" applyFont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0" fontId="4" fillId="0" borderId="2" xfId="0" quotePrefix="1" applyFont="1" applyBorder="1"/>
    <xf numFmtId="0" fontId="4" fillId="0" borderId="2" xfId="0" applyFont="1" applyBorder="1"/>
    <xf numFmtId="167" fontId="4" fillId="0" borderId="2" xfId="2" applyNumberFormat="1" applyFont="1" applyBorder="1"/>
    <xf numFmtId="0" fontId="3" fillId="0" borderId="6" xfId="0" quotePrefix="1" applyFont="1" applyBorder="1"/>
    <xf numFmtId="167" fontId="3" fillId="0" borderId="6" xfId="2" applyNumberFormat="1" applyFont="1" applyBorder="1"/>
    <xf numFmtId="166" fontId="4" fillId="0" borderId="0" xfId="1" applyFont="1" applyBorder="1" applyAlignment="1"/>
    <xf numFmtId="166" fontId="4" fillId="0" borderId="0" xfId="0" applyNumberFormat="1" applyFont="1"/>
    <xf numFmtId="166" fontId="8" fillId="0" borderId="0" xfId="1" quotePrefix="1" applyFont="1" applyBorder="1"/>
    <xf numFmtId="166" fontId="8" fillId="0" borderId="0" xfId="1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/>
    <xf numFmtId="166" fontId="6" fillId="0" borderId="0" xfId="1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/>
    <xf numFmtId="164" fontId="4" fillId="0" borderId="0" xfId="0" applyNumberFormat="1" applyFont="1"/>
    <xf numFmtId="168" fontId="4" fillId="0" borderId="7" xfId="1" applyNumberFormat="1" applyFont="1" applyBorder="1" applyAlignment="1">
      <alignment horizontal="right"/>
    </xf>
    <xf numFmtId="168" fontId="4" fillId="0" borderId="7" xfId="1" applyNumberFormat="1" applyFont="1" applyBorder="1"/>
    <xf numFmtId="167" fontId="4" fillId="0" borderId="0" xfId="0" applyNumberFormat="1" applyFont="1" applyAlignment="1">
      <alignment horizontal="left"/>
    </xf>
    <xf numFmtId="0" fontId="4" fillId="0" borderId="5" xfId="0" applyFont="1" applyBorder="1"/>
    <xf numFmtId="0" fontId="4" fillId="0" borderId="0" xfId="0" quotePrefix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4" fillId="0" borderId="4" xfId="2" applyNumberFormat="1" applyFont="1" applyBorder="1"/>
    <xf numFmtId="0" fontId="4" fillId="0" borderId="3" xfId="0" applyFont="1" applyBorder="1"/>
    <xf numFmtId="42" fontId="4" fillId="0" borderId="0" xfId="0" applyNumberFormat="1" applyFont="1" applyAlignment="1">
      <alignment horizontal="left"/>
    </xf>
    <xf numFmtId="0" fontId="4" fillId="0" borderId="8" xfId="0" applyFont="1" applyBorder="1"/>
    <xf numFmtId="168" fontId="4" fillId="0" borderId="7" xfId="1" applyNumberFormat="1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4" fillId="0" borderId="2" xfId="0" quotePrefix="1" applyFont="1" applyBorder="1" applyAlignment="1">
      <alignment horizontal="center" vertical="center"/>
    </xf>
    <xf numFmtId="0" fontId="4" fillId="0" borderId="0" xfId="1" applyNumberFormat="1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0" xfId="0" quotePrefix="1" applyFont="1" applyAlignment="1">
      <alignment horizontal="left"/>
    </xf>
    <xf numFmtId="0" fontId="12" fillId="0" borderId="0" xfId="0" applyFont="1"/>
    <xf numFmtId="0" fontId="4" fillId="0" borderId="0" xfId="0" quotePrefix="1" applyFont="1"/>
    <xf numFmtId="0" fontId="4" fillId="0" borderId="3" xfId="3" applyNumberFormat="1" applyFont="1" applyBorder="1" applyAlignment="1">
      <alignment horizontal="left" vertical="center"/>
    </xf>
    <xf numFmtId="0" fontId="3" fillId="0" borderId="0" xfId="0" quotePrefix="1" applyFont="1"/>
    <xf numFmtId="0" fontId="9" fillId="0" borderId="5" xfId="0" applyFont="1" applyBorder="1"/>
    <xf numFmtId="165" fontId="14" fillId="0" borderId="8" xfId="5" quotePrefix="1" applyFont="1" applyBorder="1" applyAlignment="1" applyProtection="1">
      <alignment horizontal="center"/>
    </xf>
    <xf numFmtId="0" fontId="4" fillId="0" borderId="6" xfId="0" applyFont="1" applyBorder="1"/>
    <xf numFmtId="0" fontId="4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165" fontId="14" fillId="0" borderId="8" xfId="5" applyFont="1" applyBorder="1" applyAlignment="1" applyProtection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</cellXfs>
  <cellStyles count="6">
    <cellStyle name="Comma" xfId="1" builtinId="3"/>
    <cellStyle name="Comma [0]" xfId="2" builtinId="6"/>
    <cellStyle name="Comma [0] 2 2" xfId="5" xr:uid="{724FC97D-2618-4674-A8AC-0D5F3952EF3E}"/>
    <cellStyle name="Currency [0] 7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48</xdr:row>
      <xdr:rowOff>9525</xdr:rowOff>
    </xdr:from>
    <xdr:to>
      <xdr:col>9</xdr:col>
      <xdr:colOff>1009652</xdr:colOff>
      <xdr:row>57</xdr:row>
      <xdr:rowOff>104742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EA600F-5FA8-4664-A939-3B9E104E6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972675"/>
          <a:ext cx="8334377" cy="182876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9525</xdr:rowOff>
    </xdr:from>
    <xdr:to>
      <xdr:col>9</xdr:col>
      <xdr:colOff>1009652</xdr:colOff>
      <xdr:row>9</xdr:row>
      <xdr:rowOff>104742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C5EC6ED-1991-4B8A-999F-7CAE3322B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972675"/>
          <a:ext cx="8334377" cy="18287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1009650</xdr:colOff>
      <xdr:row>6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9B4A295-E173-4E06-A6EA-8B3D5989B8BE}"/>
            </a:ext>
          </a:extLst>
        </xdr:cNvPr>
        <xdr:cNvCxnSpPr/>
      </xdr:nvCxnSpPr>
      <xdr:spPr>
        <a:xfrm>
          <a:off x="19050" y="1209675"/>
          <a:ext cx="83439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54</xdr:row>
      <xdr:rowOff>47625</xdr:rowOff>
    </xdr:from>
    <xdr:to>
      <xdr:col>9</xdr:col>
      <xdr:colOff>1009650</xdr:colOff>
      <xdr:row>54</xdr:row>
      <xdr:rowOff>47625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6734E00-A031-4EAA-BAD5-BD3F5A527C86}"/>
            </a:ext>
          </a:extLst>
        </xdr:cNvPr>
        <xdr:cNvCxnSpPr/>
      </xdr:nvCxnSpPr>
      <xdr:spPr>
        <a:xfrm>
          <a:off x="19050" y="1209675"/>
          <a:ext cx="83439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D8A7-8949-42D1-A00C-688A680D73AB}">
  <dimension ref="A4:J95"/>
  <sheetViews>
    <sheetView tabSelected="1" view="pageBreakPreview" topLeftCell="A56" zoomScaleNormal="100" zoomScaleSheetLayoutView="100" workbookViewId="0">
      <selection activeCell="J95" sqref="A49:J95"/>
    </sheetView>
  </sheetViews>
  <sheetFormatPr defaultRowHeight="15" x14ac:dyDescent="0.25"/>
  <cols>
    <col min="1" max="1" width="3.5703125" customWidth="1"/>
    <col min="2" max="2" width="5.5703125" bestFit="1" customWidth="1"/>
    <col min="3" max="3" width="12" customWidth="1"/>
    <col min="4" max="4" width="1.85546875" customWidth="1"/>
    <col min="5" max="5" width="37.28515625" customWidth="1"/>
    <col min="6" max="6" width="1.140625" customWidth="1"/>
    <col min="7" max="7" width="16.7109375" customWidth="1"/>
    <col min="8" max="8" width="16.5703125" style="1" customWidth="1"/>
    <col min="9" max="10" width="15.5703125" style="1" customWidth="1"/>
    <col min="11" max="11" width="6.140625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4" spans="1:10" ht="15.75" x14ac:dyDescent="0.25">
      <c r="C4" s="3"/>
      <c r="D4" s="3"/>
      <c r="E4" s="3"/>
      <c r="F4" s="3"/>
    </row>
    <row r="5" spans="1:10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</row>
    <row r="6" spans="1:10" x14ac:dyDescent="0.25">
      <c r="H6" s="5"/>
      <c r="I6" s="5"/>
      <c r="J6" s="5"/>
    </row>
    <row r="7" spans="1:10" x14ac:dyDescent="0.25">
      <c r="H7" s="5"/>
      <c r="I7" s="5"/>
      <c r="J7" s="5"/>
    </row>
    <row r="8" spans="1:10" x14ac:dyDescent="0.25">
      <c r="A8" s="60" t="s">
        <v>37</v>
      </c>
      <c r="B8" s="60"/>
      <c r="C8" s="61"/>
      <c r="D8" s="61"/>
      <c r="E8" s="61"/>
      <c r="F8" s="61"/>
      <c r="G8" s="61"/>
      <c r="H8" s="61"/>
      <c r="I8" s="61"/>
      <c r="J8" s="61"/>
    </row>
    <row r="9" spans="1:10" x14ac:dyDescent="0.25">
      <c r="A9" s="61" t="s">
        <v>48</v>
      </c>
      <c r="B9" s="61"/>
      <c r="C9" s="61"/>
      <c r="D9" s="61"/>
      <c r="E9" s="61"/>
      <c r="F9" s="61"/>
      <c r="G9" s="61"/>
      <c r="H9" s="61"/>
      <c r="I9" s="61"/>
      <c r="J9" s="61"/>
    </row>
    <row r="10" spans="1:10" x14ac:dyDescent="0.25">
      <c r="A10" s="61" t="s">
        <v>13</v>
      </c>
      <c r="B10" s="61"/>
      <c r="C10" s="61"/>
      <c r="D10" s="61"/>
      <c r="E10" s="61"/>
      <c r="F10" s="61"/>
      <c r="G10" s="61"/>
      <c r="H10" s="61"/>
      <c r="I10" s="61"/>
      <c r="J10" s="61"/>
    </row>
    <row r="11" spans="1:10" x14ac:dyDescent="0.25">
      <c r="A11" s="61" t="s">
        <v>44</v>
      </c>
      <c r="B11" s="61"/>
      <c r="C11" s="61"/>
      <c r="D11" s="61"/>
      <c r="E11" s="61"/>
      <c r="F11" s="61"/>
      <c r="G11" s="61"/>
      <c r="H11" s="61"/>
      <c r="I11" s="61"/>
      <c r="J11" s="61"/>
    </row>
    <row r="12" spans="1:10" x14ac:dyDescent="0.25">
      <c r="A12" s="61" t="s">
        <v>14</v>
      </c>
      <c r="B12" s="61"/>
      <c r="C12" s="61"/>
      <c r="D12" s="61"/>
      <c r="E12" s="61"/>
      <c r="F12" s="61"/>
      <c r="G12" s="61"/>
      <c r="H12" s="61"/>
      <c r="I12" s="61"/>
      <c r="J12" s="61"/>
    </row>
    <row r="13" spans="1:10" x14ac:dyDescent="0.25">
      <c r="A13" s="29"/>
      <c r="B13" s="29"/>
      <c r="C13" s="7"/>
      <c r="D13" s="7"/>
      <c r="E13" s="7"/>
      <c r="F13" s="7"/>
      <c r="G13" s="6"/>
      <c r="H13" s="10"/>
      <c r="I13" s="10"/>
      <c r="J13" s="10"/>
    </row>
    <row r="14" spans="1:10" x14ac:dyDescent="0.25">
      <c r="A14" s="50" t="s">
        <v>20</v>
      </c>
      <c r="B14" s="50"/>
      <c r="C14" s="50"/>
      <c r="D14" s="48" t="s">
        <v>12</v>
      </c>
      <c r="E14" s="8" t="s">
        <v>19</v>
      </c>
      <c r="F14" s="37"/>
      <c r="H14" s="9"/>
      <c r="I14" s="9"/>
      <c r="J14" s="10"/>
    </row>
    <row r="15" spans="1:10" x14ac:dyDescent="0.25">
      <c r="A15" s="50" t="s">
        <v>21</v>
      </c>
      <c r="B15" s="50"/>
      <c r="C15" s="50"/>
      <c r="D15" s="48" t="s">
        <v>12</v>
      </c>
      <c r="E15" s="8" t="s">
        <v>18</v>
      </c>
      <c r="F15" s="37"/>
      <c r="H15" s="9"/>
      <c r="I15" s="9"/>
      <c r="J15" s="10"/>
    </row>
    <row r="16" spans="1:10" x14ac:dyDescent="0.25">
      <c r="A16" s="50" t="s">
        <v>22</v>
      </c>
      <c r="B16" s="50"/>
      <c r="C16" s="50"/>
      <c r="D16" s="48" t="s">
        <v>12</v>
      </c>
      <c r="E16" s="44">
        <v>2026</v>
      </c>
      <c r="F16" s="37"/>
      <c r="H16" s="9"/>
      <c r="I16" s="9"/>
      <c r="J16" s="10"/>
    </row>
    <row r="17" spans="1:10" x14ac:dyDescent="0.25">
      <c r="A17" s="50" t="s">
        <v>23</v>
      </c>
      <c r="B17" s="50"/>
      <c r="C17" s="50"/>
      <c r="D17" s="48" t="s">
        <v>12</v>
      </c>
      <c r="E17" s="41">
        <f>I30</f>
        <v>46500000</v>
      </c>
      <c r="F17" s="37"/>
      <c r="H17" s="9"/>
      <c r="I17" s="9"/>
      <c r="J17" s="10"/>
    </row>
    <row r="18" spans="1:10" ht="15.75" x14ac:dyDescent="0.25">
      <c r="A18" s="8"/>
      <c r="B18" s="8"/>
      <c r="C18" s="11" t="s">
        <v>0</v>
      </c>
      <c r="D18" s="11"/>
      <c r="E18" s="49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Enam Juta Lima Ratus Ribu Rupiah</v>
      </c>
      <c r="F18" s="37"/>
      <c r="H18" s="9"/>
      <c r="I18" s="9"/>
      <c r="J18" s="10"/>
    </row>
    <row r="19" spans="1:10" ht="15.75" x14ac:dyDescent="0.25">
      <c r="A19" s="8"/>
      <c r="B19" s="8"/>
      <c r="C19" s="11"/>
      <c r="D19" s="11"/>
      <c r="E19" s="11"/>
      <c r="F19" s="37"/>
      <c r="G19" s="49"/>
      <c r="H19" s="9"/>
      <c r="I19" s="9"/>
      <c r="J19" s="10"/>
    </row>
    <row r="20" spans="1:10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</row>
    <row r="21" spans="1:10" x14ac:dyDescent="0.25">
      <c r="A21" s="62" t="s">
        <v>2</v>
      </c>
      <c r="B21" s="62"/>
      <c r="C21" s="62"/>
      <c r="D21" s="62"/>
      <c r="E21" s="62"/>
      <c r="F21" s="62"/>
      <c r="G21" s="62"/>
      <c r="H21" s="62"/>
      <c r="I21" s="62"/>
      <c r="J21" s="62"/>
    </row>
    <row r="22" spans="1:10" ht="60" x14ac:dyDescent="0.25">
      <c r="A22" s="12" t="s">
        <v>3</v>
      </c>
      <c r="B22" s="51" t="s">
        <v>24</v>
      </c>
      <c r="C22" s="63" t="s">
        <v>4</v>
      </c>
      <c r="D22" s="64"/>
      <c r="E22" s="65"/>
      <c r="F22" s="47"/>
      <c r="G22" s="38" t="s">
        <v>5</v>
      </c>
      <c r="H22" s="13" t="s">
        <v>38</v>
      </c>
      <c r="I22" s="14" t="s">
        <v>6</v>
      </c>
      <c r="J22" s="15" t="s">
        <v>7</v>
      </c>
    </row>
    <row r="23" spans="1:10" x14ac:dyDescent="0.25">
      <c r="A23" s="45">
        <v>1</v>
      </c>
      <c r="B23" s="45"/>
      <c r="C23" s="53" t="s">
        <v>39</v>
      </c>
      <c r="D23" s="55"/>
      <c r="E23" s="42"/>
      <c r="F23" s="36"/>
      <c r="G23" s="54" t="s">
        <v>36</v>
      </c>
      <c r="H23" s="54" t="s">
        <v>36</v>
      </c>
      <c r="I23" s="54" t="s">
        <v>36</v>
      </c>
      <c r="J23" s="54" t="s">
        <v>36</v>
      </c>
    </row>
    <row r="24" spans="1:10" ht="30.75" customHeight="1" x14ac:dyDescent="0.25">
      <c r="A24" s="45"/>
      <c r="B24" s="45" t="s">
        <v>25</v>
      </c>
      <c r="C24" s="66" t="s">
        <v>32</v>
      </c>
      <c r="D24" s="67"/>
      <c r="E24" s="68"/>
      <c r="F24" s="36"/>
      <c r="G24" s="59">
        <v>130000000</v>
      </c>
      <c r="H24" s="43">
        <v>0</v>
      </c>
      <c r="I24" s="33">
        <v>0</v>
      </c>
      <c r="J24" s="34">
        <f t="shared" ref="J24:J28" si="0">G24-H24-I24</f>
        <v>130000000</v>
      </c>
    </row>
    <row r="25" spans="1:10" x14ac:dyDescent="0.25">
      <c r="A25" s="45"/>
      <c r="B25" s="45" t="s">
        <v>26</v>
      </c>
      <c r="C25" s="56" t="s">
        <v>40</v>
      </c>
      <c r="D25" s="57"/>
      <c r="E25" s="58"/>
      <c r="F25" s="36"/>
      <c r="G25" s="59">
        <v>50000000</v>
      </c>
      <c r="H25" s="43">
        <v>0</v>
      </c>
      <c r="I25" s="33">
        <v>0</v>
      </c>
      <c r="J25" s="34">
        <f t="shared" si="0"/>
        <v>50000000</v>
      </c>
    </row>
    <row r="26" spans="1:10" x14ac:dyDescent="0.25">
      <c r="A26" s="45"/>
      <c r="B26" s="45" t="s">
        <v>27</v>
      </c>
      <c r="C26" s="56" t="s">
        <v>41</v>
      </c>
      <c r="D26" s="57"/>
      <c r="E26" s="58"/>
      <c r="F26" s="36"/>
      <c r="G26" s="59">
        <v>50000000</v>
      </c>
      <c r="H26" s="43">
        <v>0</v>
      </c>
      <c r="I26" s="33">
        <v>0</v>
      </c>
      <c r="J26" s="34">
        <f t="shared" si="0"/>
        <v>50000000</v>
      </c>
    </row>
    <row r="27" spans="1:10" x14ac:dyDescent="0.25">
      <c r="A27" s="45"/>
      <c r="B27" s="45" t="s">
        <v>28</v>
      </c>
      <c r="C27" s="56" t="s">
        <v>31</v>
      </c>
      <c r="D27" s="57"/>
      <c r="E27" s="58"/>
      <c r="F27" s="36"/>
      <c r="G27" s="59">
        <v>150000000</v>
      </c>
      <c r="H27" s="43">
        <v>0</v>
      </c>
      <c r="I27" s="33">
        <v>0</v>
      </c>
      <c r="J27" s="34">
        <f t="shared" si="0"/>
        <v>150000000</v>
      </c>
    </row>
    <row r="28" spans="1:10" x14ac:dyDescent="0.25">
      <c r="A28" s="45"/>
      <c r="B28" s="45" t="s">
        <v>29</v>
      </c>
      <c r="C28" s="56" t="s">
        <v>42</v>
      </c>
      <c r="D28" s="57"/>
      <c r="E28" s="58"/>
      <c r="F28" s="36"/>
      <c r="G28" s="59">
        <v>20000000</v>
      </c>
      <c r="H28" s="43">
        <v>0</v>
      </c>
      <c r="I28" s="33">
        <v>0</v>
      </c>
      <c r="J28" s="34">
        <f t="shared" si="0"/>
        <v>20000000</v>
      </c>
    </row>
    <row r="29" spans="1:10" x14ac:dyDescent="0.25">
      <c r="A29" s="45"/>
      <c r="B29" s="45" t="s">
        <v>30</v>
      </c>
      <c r="C29" s="56" t="s">
        <v>43</v>
      </c>
      <c r="D29" s="57"/>
      <c r="E29" s="58"/>
      <c r="F29" s="36"/>
      <c r="G29" s="59">
        <v>100000000</v>
      </c>
      <c r="H29" s="43">
        <v>0</v>
      </c>
      <c r="I29" s="33">
        <v>46500000</v>
      </c>
      <c r="J29" s="34">
        <f>G29-I29</f>
        <v>53500000</v>
      </c>
    </row>
    <row r="30" spans="1:10" x14ac:dyDescent="0.25">
      <c r="A30" s="16"/>
      <c r="B30" s="16"/>
      <c r="C30" s="17" t="s">
        <v>8</v>
      </c>
      <c r="D30" s="17"/>
      <c r="E30" s="17"/>
      <c r="F30" s="40"/>
      <c r="G30" s="39">
        <f>SUM(G23:G29)</f>
        <v>500000000</v>
      </c>
      <c r="H30" s="18">
        <f>SUM(H23:H29)</f>
        <v>0</v>
      </c>
      <c r="I30" s="18">
        <f>SUM(I23:I29)</f>
        <v>46500000</v>
      </c>
      <c r="J30" s="18">
        <f>SUM(J23:J29)</f>
        <v>453500000</v>
      </c>
    </row>
    <row r="31" spans="1:10" x14ac:dyDescent="0.25">
      <c r="A31" s="19"/>
      <c r="B31" s="52"/>
      <c r="C31" s="6"/>
      <c r="D31" s="6"/>
      <c r="E31" s="6"/>
      <c r="F31" s="6"/>
      <c r="G31" s="20"/>
      <c r="H31" s="20"/>
      <c r="I31" s="20"/>
      <c r="J31" s="20"/>
    </row>
    <row r="32" spans="1:10" x14ac:dyDescent="0.25">
      <c r="A32" s="69" t="s">
        <v>15</v>
      </c>
      <c r="B32" s="69"/>
      <c r="C32" s="69"/>
      <c r="D32" s="30" t="s">
        <v>12</v>
      </c>
      <c r="E32" s="35">
        <f>I30</f>
        <v>46500000</v>
      </c>
      <c r="F32" s="35"/>
      <c r="G32" s="21"/>
      <c r="H32" s="21"/>
      <c r="I32" s="10"/>
      <c r="J32" s="10"/>
    </row>
    <row r="33" spans="1:10" x14ac:dyDescent="0.25">
      <c r="A33" s="8" t="s">
        <v>9</v>
      </c>
      <c r="B33" s="8"/>
      <c r="C33" s="8"/>
      <c r="D33" s="30" t="s">
        <v>12</v>
      </c>
      <c r="E33" s="31"/>
      <c r="F33" s="31"/>
      <c r="G33" s="22"/>
      <c r="H33" s="9"/>
      <c r="I33" s="10"/>
      <c r="J33" s="10"/>
    </row>
    <row r="34" spans="1:10" x14ac:dyDescent="0.25">
      <c r="A34" s="8" t="s">
        <v>17</v>
      </c>
      <c r="B34" s="8"/>
      <c r="C34" s="8"/>
      <c r="D34" s="30" t="s">
        <v>12</v>
      </c>
      <c r="E34" s="32"/>
      <c r="F34" s="32"/>
      <c r="G34" s="22"/>
      <c r="H34" s="9"/>
      <c r="I34" s="10"/>
      <c r="J34" s="10"/>
    </row>
    <row r="35" spans="1:10" x14ac:dyDescent="0.25">
      <c r="A35" s="8" t="s">
        <v>10</v>
      </c>
      <c r="B35" s="8"/>
      <c r="C35" s="8"/>
      <c r="D35" s="30" t="s">
        <v>12</v>
      </c>
      <c r="E35" s="32">
        <f>E33+E34</f>
        <v>0</v>
      </c>
      <c r="F35" s="32"/>
      <c r="G35" s="8"/>
      <c r="H35" s="9"/>
      <c r="I35" s="23"/>
      <c r="J35" s="24"/>
    </row>
    <row r="36" spans="1:10" x14ac:dyDescent="0.25">
      <c r="A36" s="44"/>
      <c r="B36" s="44"/>
      <c r="C36" s="44"/>
      <c r="D36" s="30"/>
      <c r="E36" s="44"/>
      <c r="F36" s="44"/>
      <c r="G36" s="8"/>
      <c r="H36" s="9"/>
      <c r="I36" s="23"/>
      <c r="J36" s="24"/>
    </row>
    <row r="37" spans="1:10" x14ac:dyDescent="0.25">
      <c r="A37" s="69" t="s">
        <v>16</v>
      </c>
      <c r="B37" s="69"/>
      <c r="C37" s="69"/>
      <c r="D37" s="30" t="s">
        <v>12</v>
      </c>
      <c r="E37" s="35">
        <f>E32-E35</f>
        <v>46500000</v>
      </c>
      <c r="F37" s="35"/>
      <c r="G37" s="8"/>
      <c r="H37" s="9"/>
      <c r="I37" s="23"/>
      <c r="J37" s="24"/>
    </row>
    <row r="38" spans="1:10" ht="15.75" x14ac:dyDescent="0.25">
      <c r="A38" s="44"/>
      <c r="B38" s="44"/>
      <c r="C38" s="8"/>
      <c r="D38" s="8"/>
      <c r="E38" s="49" t="str">
        <f>PROPER(IF(E37=0,"nol",IF(E37&lt;0,"minus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37),"000000000000000"),1,3)=0,"",MID(TEXT(ABS(E37),"000000000000000"),1,1)&amp;" ratus "&amp;MID(TEXT(ABS(E37),"000000000000000"),2,1)&amp;" puluh "&amp;MID(TEXT(ABS(E37),"000000000000000"),3,1)&amp;" trilyun ")&amp;IF(--MID(TEXT(ABS(E37),"000000000000000"),4,3)=0,"",MID(TEXT(ABS(E37),"000000000000000"),4,1)&amp;" ratus "&amp;MID(TEXT(ABS(E37),"000000000000000"),5,1)&amp;" puluh "&amp;MID(TEXT(ABS(E37),"000000000000000"),6,1)&amp;" milyar ")&amp;IF(--MID(TEXT(ABS(E37),"000000000000000"),7,3)=0,"",MID(TEXT(ABS(E37),"000000000000000"),7,1)&amp;" ratus "&amp;MID(TEXT(ABS(E37),"000000000000000"),8,1)&amp;" puluh "&amp;MID(TEXT(ABS(E37),"000000000000000"),9,1)&amp;" juta ")&amp;IF(--MID(TEXT(ABS(E37),"000000000000000"),10,3)=0,"",IF(--MID(TEXT(ABS(E37),"000000000000000"),10,3)=1,"*",MID(TEXT(ABS(E37),"000000000000000"),10,1)&amp;" ratus "&amp;MID(TEXT(ABS(E37),"000000000000000"),11,1)&amp;" puluh ")&amp;MID(TEXT(ABS(E37),"000000000000000"),12,1)&amp;" ribu ")&amp;IF(--MID(TEXT(ABS(E37),"000000000000000"),13,3)=0,"",MID(TEXT(ABS(E37),"000000000000000"),13,1)&amp;" ratus "&amp;MID(TEXT(ABS(E37),"000000000000000"),14,1)&amp;" puluh "&amp;MID(TEXT(ABS(E37),"000000000000000"),15,1)),1,"satu"),2,"dua"),3,"tiga"),4,"empat"),5,"lima"),6,"enam"),7,"tujuh"),8,"delapan"),9,"sembilan"),"0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Enam Juta Lima Ratus Ribu Rupiah</v>
      </c>
      <c r="F38" s="8"/>
      <c r="G38" s="8"/>
      <c r="H38" s="8"/>
      <c r="I38" s="23"/>
      <c r="J38" s="24"/>
    </row>
    <row r="39" spans="1:10" x14ac:dyDescent="0.25">
      <c r="A39" s="26"/>
      <c r="B39" s="26"/>
      <c r="C39" s="26"/>
      <c r="D39" s="26"/>
      <c r="E39" s="26"/>
      <c r="F39" s="26"/>
      <c r="G39" s="25"/>
      <c r="H39" s="24"/>
      <c r="I39" s="23"/>
      <c r="J39" s="24"/>
    </row>
    <row r="40" spans="1:10" x14ac:dyDescent="0.25">
      <c r="A40" s="25"/>
      <c r="B40" s="25"/>
      <c r="C40" s="25"/>
      <c r="D40" s="25"/>
      <c r="E40" s="25"/>
      <c r="F40" s="25"/>
      <c r="G40" s="25"/>
      <c r="H40"/>
      <c r="I40" s="24"/>
      <c r="J40" s="24"/>
    </row>
    <row r="41" spans="1:10" x14ac:dyDescent="0.25">
      <c r="A41" s="44"/>
      <c r="B41" s="44"/>
      <c r="C41" s="8"/>
      <c r="D41" s="8"/>
      <c r="E41" s="8"/>
      <c r="F41" s="8"/>
      <c r="G41" s="8"/>
      <c r="I41" s="46" t="s">
        <v>46</v>
      </c>
      <c r="J41" s="24"/>
    </row>
    <row r="42" spans="1:10" x14ac:dyDescent="0.25">
      <c r="A42" s="9" t="s">
        <v>34</v>
      </c>
      <c r="B42" s="8"/>
      <c r="C42" s="8"/>
      <c r="D42" s="8"/>
      <c r="E42" s="8"/>
      <c r="F42" s="8"/>
      <c r="G42" s="8"/>
      <c r="I42" s="9" t="s">
        <v>33</v>
      </c>
      <c r="J42" s="24"/>
    </row>
    <row r="43" spans="1:10" x14ac:dyDescent="0.25">
      <c r="A43" s="8"/>
      <c r="B43" s="8"/>
      <c r="C43" s="8"/>
      <c r="D43" s="8"/>
      <c r="E43" s="8"/>
      <c r="F43" s="8"/>
      <c r="G43" s="8"/>
      <c r="I43" s="9"/>
      <c r="J43" s="24"/>
    </row>
    <row r="44" spans="1:10" x14ac:dyDescent="0.25">
      <c r="A44" s="8"/>
      <c r="B44" s="8"/>
      <c r="C44" s="8"/>
      <c r="D44" s="8"/>
      <c r="E44" s="8"/>
      <c r="F44" s="8"/>
      <c r="G44" s="8"/>
      <c r="I44" s="9"/>
      <c r="J44" s="24"/>
    </row>
    <row r="45" spans="1:10" x14ac:dyDescent="0.25">
      <c r="A45" s="8"/>
      <c r="B45" s="8"/>
      <c r="C45" s="8"/>
      <c r="D45" s="8"/>
      <c r="E45" s="8"/>
      <c r="F45" s="8"/>
      <c r="G45" s="8"/>
      <c r="I45" s="9"/>
      <c r="J45" s="24"/>
    </row>
    <row r="46" spans="1:10" x14ac:dyDescent="0.25">
      <c r="A46" s="8"/>
      <c r="B46" s="8"/>
      <c r="C46" s="8"/>
      <c r="D46" s="8"/>
      <c r="E46" s="8"/>
      <c r="F46" s="8"/>
      <c r="G46" s="8"/>
      <c r="I46" s="9"/>
      <c r="J46" s="24"/>
    </row>
    <row r="47" spans="1:10" x14ac:dyDescent="0.25">
      <c r="A47" s="28" t="s">
        <v>45</v>
      </c>
      <c r="B47" s="28"/>
      <c r="C47" s="27"/>
      <c r="D47" s="27"/>
      <c r="E47" s="27"/>
      <c r="F47" s="27"/>
      <c r="G47" s="8" t="s">
        <v>11</v>
      </c>
      <c r="I47" s="28" t="s">
        <v>35</v>
      </c>
      <c r="J47" s="24"/>
    </row>
    <row r="52" spans="1:10" ht="15.75" x14ac:dyDescent="0.25">
      <c r="C52" s="3"/>
      <c r="D52" s="3"/>
      <c r="E52" s="3"/>
      <c r="F52" s="3"/>
    </row>
    <row r="53" spans="1:10" ht="15.75" x14ac:dyDescent="0.25">
      <c r="A53" s="2"/>
      <c r="B53" s="2"/>
      <c r="C53" s="3"/>
      <c r="D53" s="3"/>
      <c r="E53" s="3"/>
      <c r="F53" s="3"/>
      <c r="G53" s="2"/>
      <c r="H53" s="4"/>
      <c r="I53" s="4"/>
      <c r="J53" s="5"/>
    </row>
    <row r="54" spans="1:10" x14ac:dyDescent="0.25">
      <c r="H54" s="5"/>
      <c r="I54" s="5"/>
      <c r="J54" s="5"/>
    </row>
    <row r="55" spans="1:10" x14ac:dyDescent="0.25">
      <c r="H55" s="5"/>
      <c r="I55" s="5"/>
      <c r="J55" s="5"/>
    </row>
    <row r="56" spans="1:10" x14ac:dyDescent="0.25">
      <c r="A56" s="60" t="s">
        <v>37</v>
      </c>
      <c r="B56" s="60"/>
      <c r="C56" s="61"/>
      <c r="D56" s="61"/>
      <c r="E56" s="61"/>
      <c r="F56" s="61"/>
      <c r="G56" s="61"/>
      <c r="H56" s="61"/>
      <c r="I56" s="61"/>
      <c r="J56" s="61"/>
    </row>
    <row r="57" spans="1:10" x14ac:dyDescent="0.25">
      <c r="A57" s="61" t="s">
        <v>49</v>
      </c>
      <c r="B57" s="61"/>
      <c r="C57" s="61"/>
      <c r="D57" s="61"/>
      <c r="E57" s="61"/>
      <c r="F57" s="61"/>
      <c r="G57" s="61"/>
      <c r="H57" s="61"/>
      <c r="I57" s="61"/>
      <c r="J57" s="61"/>
    </row>
    <row r="58" spans="1:10" x14ac:dyDescent="0.25">
      <c r="A58" s="61" t="s">
        <v>13</v>
      </c>
      <c r="B58" s="61"/>
      <c r="C58" s="61"/>
      <c r="D58" s="61"/>
      <c r="E58" s="61"/>
      <c r="F58" s="61"/>
      <c r="G58" s="61"/>
      <c r="H58" s="61"/>
      <c r="I58" s="61"/>
      <c r="J58" s="61"/>
    </row>
    <row r="59" spans="1:10" x14ac:dyDescent="0.25">
      <c r="A59" s="61" t="s">
        <v>44</v>
      </c>
      <c r="B59" s="61"/>
      <c r="C59" s="61"/>
      <c r="D59" s="61"/>
      <c r="E59" s="61"/>
      <c r="F59" s="61"/>
      <c r="G59" s="61"/>
      <c r="H59" s="61"/>
      <c r="I59" s="61"/>
      <c r="J59" s="61"/>
    </row>
    <row r="60" spans="1:10" x14ac:dyDescent="0.25">
      <c r="A60" s="61" t="s">
        <v>14</v>
      </c>
      <c r="B60" s="61"/>
      <c r="C60" s="61"/>
      <c r="D60" s="61"/>
      <c r="E60" s="61"/>
      <c r="F60" s="61"/>
      <c r="G60" s="61"/>
      <c r="H60" s="61"/>
      <c r="I60" s="61"/>
      <c r="J60" s="61"/>
    </row>
    <row r="61" spans="1:10" x14ac:dyDescent="0.25">
      <c r="A61" s="29"/>
      <c r="B61" s="29"/>
      <c r="C61" s="7"/>
      <c r="D61" s="7"/>
      <c r="E61" s="7"/>
      <c r="F61" s="7"/>
      <c r="G61" s="6"/>
      <c r="H61" s="10"/>
      <c r="I61" s="10"/>
      <c r="J61" s="10"/>
    </row>
    <row r="62" spans="1:10" x14ac:dyDescent="0.25">
      <c r="A62" s="50" t="s">
        <v>20</v>
      </c>
      <c r="B62" s="50"/>
      <c r="C62" s="50"/>
      <c r="D62" s="48" t="s">
        <v>12</v>
      </c>
      <c r="E62" s="8" t="s">
        <v>19</v>
      </c>
      <c r="F62" s="37"/>
      <c r="H62" s="9"/>
      <c r="I62" s="9"/>
      <c r="J62" s="10"/>
    </row>
    <row r="63" spans="1:10" x14ac:dyDescent="0.25">
      <c r="A63" s="50" t="s">
        <v>21</v>
      </c>
      <c r="B63" s="50"/>
      <c r="C63" s="50"/>
      <c r="D63" s="48" t="s">
        <v>12</v>
      </c>
      <c r="E63" s="8" t="s">
        <v>18</v>
      </c>
      <c r="F63" s="37"/>
      <c r="H63" s="9"/>
      <c r="I63" s="9"/>
      <c r="J63" s="10"/>
    </row>
    <row r="64" spans="1:10" x14ac:dyDescent="0.25">
      <c r="A64" s="50" t="s">
        <v>22</v>
      </c>
      <c r="B64" s="50"/>
      <c r="C64" s="50"/>
      <c r="D64" s="48" t="s">
        <v>12</v>
      </c>
      <c r="E64" s="44">
        <v>2026</v>
      </c>
      <c r="F64" s="37"/>
      <c r="H64" s="9"/>
      <c r="I64" s="9"/>
      <c r="J64" s="10"/>
    </row>
    <row r="65" spans="1:10" x14ac:dyDescent="0.25">
      <c r="A65" s="50" t="s">
        <v>23</v>
      </c>
      <c r="B65" s="50"/>
      <c r="C65" s="50"/>
      <c r="D65" s="48" t="s">
        <v>12</v>
      </c>
      <c r="E65" s="41">
        <f>I78</f>
        <v>1525000</v>
      </c>
      <c r="F65" s="37"/>
      <c r="H65" s="9"/>
      <c r="I65" s="9"/>
      <c r="J65" s="10"/>
    </row>
    <row r="66" spans="1:10" ht="15.75" x14ac:dyDescent="0.25">
      <c r="A66" s="8"/>
      <c r="B66" s="8"/>
      <c r="C66" s="11" t="s">
        <v>0</v>
      </c>
      <c r="D66" s="11"/>
      <c r="E66" s="49" t="str">
        <f>PROPER(IF(E65=0,"nol",IF(E65&lt;0,"minus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65),"000000000000000"),1,3)=0,"",MID(TEXT(ABS(E65),"000000000000000"),1,1)&amp;" ratus "&amp;MID(TEXT(ABS(E65),"000000000000000"),2,1)&amp;" puluh "&amp;MID(TEXT(ABS(E65),"000000000000000"),3,1)&amp;" trilyun ")&amp;IF(--MID(TEXT(ABS(E65),"000000000000000"),4,3)=0,"",MID(TEXT(ABS(E65),"000000000000000"),4,1)&amp;" ratus "&amp;MID(TEXT(ABS(E65),"000000000000000"),5,1)&amp;" puluh "&amp;MID(TEXT(ABS(E65),"000000000000000"),6,1)&amp;" milyar ")&amp;IF(--MID(TEXT(ABS(E65),"000000000000000"),7,3)=0,"",MID(TEXT(ABS(E65),"000000000000000"),7,1)&amp;" ratus "&amp;MID(TEXT(ABS(E65),"000000000000000"),8,1)&amp;" puluh "&amp;MID(TEXT(ABS(E65),"000000000000000"),9,1)&amp;" juta ")&amp;IF(--MID(TEXT(ABS(E65),"000000000000000"),10,3)=0,"",IF(--MID(TEXT(ABS(E65),"000000000000000"),10,3)=1,"*",MID(TEXT(ABS(E65),"000000000000000"),10,1)&amp;" ratus "&amp;MID(TEXT(ABS(E65),"000000000000000"),11,1)&amp;" puluh ")&amp;MID(TEXT(ABS(E65),"000000000000000"),12,1)&amp;" ribu ")&amp;IF(--MID(TEXT(ABS(E65),"000000000000000"),13,3)=0,"",MID(TEXT(ABS(E65),"000000000000000"),13,1)&amp;" ratus "&amp;MID(TEXT(ABS(E65),"000000000000000"),14,1)&amp;" puluh "&amp;MID(TEXT(ABS(E65),"000000000000000"),15,1)),1,"satu"),2,"dua"),3,"tiga"),4,"empat"),5,"lima"),6,"enam"),7,"tujuh"),8,"delapan"),9,"sembilan"),"0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Lima Ratus Dua Puluh Lima Ribu Rupiah</v>
      </c>
      <c r="F66" s="37"/>
      <c r="H66" s="9"/>
      <c r="I66" s="9"/>
      <c r="J66" s="10"/>
    </row>
    <row r="67" spans="1:10" ht="15.75" x14ac:dyDescent="0.25">
      <c r="A67" s="8"/>
      <c r="B67" s="8"/>
      <c r="C67" s="11"/>
      <c r="D67" s="11"/>
      <c r="E67" s="11"/>
      <c r="F67" s="37"/>
      <c r="G67" s="49"/>
      <c r="H67" s="9"/>
      <c r="I67" s="9"/>
      <c r="J67" s="10"/>
    </row>
    <row r="68" spans="1:10" x14ac:dyDescent="0.25">
      <c r="A68" s="8" t="s">
        <v>1</v>
      </c>
      <c r="B68" s="8"/>
      <c r="C68" s="8"/>
      <c r="D68" s="8"/>
      <c r="E68" s="8"/>
      <c r="F68" s="8"/>
      <c r="G68" s="8"/>
      <c r="H68" s="9"/>
      <c r="I68" s="9"/>
      <c r="J68" s="10"/>
    </row>
    <row r="69" spans="1:10" x14ac:dyDescent="0.25">
      <c r="A69" s="62" t="s">
        <v>2</v>
      </c>
      <c r="B69" s="62"/>
      <c r="C69" s="62"/>
      <c r="D69" s="62"/>
      <c r="E69" s="62"/>
      <c r="F69" s="62"/>
      <c r="G69" s="62"/>
      <c r="H69" s="62"/>
      <c r="I69" s="62"/>
      <c r="J69" s="62"/>
    </row>
    <row r="70" spans="1:10" ht="60" x14ac:dyDescent="0.25">
      <c r="A70" s="12" t="s">
        <v>3</v>
      </c>
      <c r="B70" s="51" t="s">
        <v>24</v>
      </c>
      <c r="C70" s="63" t="s">
        <v>4</v>
      </c>
      <c r="D70" s="64"/>
      <c r="E70" s="65"/>
      <c r="F70" s="47"/>
      <c r="G70" s="38" t="s">
        <v>5</v>
      </c>
      <c r="H70" s="13" t="s">
        <v>38</v>
      </c>
      <c r="I70" s="14" t="s">
        <v>6</v>
      </c>
      <c r="J70" s="15" t="s">
        <v>7</v>
      </c>
    </row>
    <row r="71" spans="1:10" x14ac:dyDescent="0.25">
      <c r="A71" s="45">
        <v>1</v>
      </c>
      <c r="B71" s="45"/>
      <c r="C71" s="53" t="s">
        <v>39</v>
      </c>
      <c r="D71" s="55"/>
      <c r="E71" s="42"/>
      <c r="F71" s="36"/>
      <c r="G71" s="54" t="s">
        <v>36</v>
      </c>
      <c r="H71" s="54" t="s">
        <v>36</v>
      </c>
      <c r="I71" s="54" t="s">
        <v>36</v>
      </c>
      <c r="J71" s="54" t="s">
        <v>36</v>
      </c>
    </row>
    <row r="72" spans="1:10" x14ac:dyDescent="0.25">
      <c r="A72" s="45"/>
      <c r="B72" s="45" t="s">
        <v>25</v>
      </c>
      <c r="C72" s="66" t="s">
        <v>32</v>
      </c>
      <c r="D72" s="67"/>
      <c r="E72" s="68"/>
      <c r="F72" s="36"/>
      <c r="G72" s="59">
        <v>130000000</v>
      </c>
      <c r="H72" s="43">
        <f>H24+I24</f>
        <v>0</v>
      </c>
      <c r="I72" s="33">
        <v>0</v>
      </c>
      <c r="J72" s="34">
        <f>G72-H72-I72</f>
        <v>130000000</v>
      </c>
    </row>
    <row r="73" spans="1:10" x14ac:dyDescent="0.25">
      <c r="A73" s="45"/>
      <c r="B73" s="45" t="s">
        <v>26</v>
      </c>
      <c r="C73" s="56" t="s">
        <v>40</v>
      </c>
      <c r="D73" s="57"/>
      <c r="E73" s="58"/>
      <c r="F73" s="36"/>
      <c r="G73" s="59">
        <v>50000000</v>
      </c>
      <c r="H73" s="43">
        <f t="shared" ref="H73:H77" si="1">H25+I25</f>
        <v>0</v>
      </c>
      <c r="I73" s="33">
        <v>0</v>
      </c>
      <c r="J73" s="34">
        <f t="shared" ref="J73:J77" si="2">G73-H73-I73</f>
        <v>50000000</v>
      </c>
    </row>
    <row r="74" spans="1:10" x14ac:dyDescent="0.25">
      <c r="A74" s="45"/>
      <c r="B74" s="45" t="s">
        <v>27</v>
      </c>
      <c r="C74" s="56" t="s">
        <v>41</v>
      </c>
      <c r="D74" s="57"/>
      <c r="E74" s="58"/>
      <c r="F74" s="36"/>
      <c r="G74" s="59">
        <v>50000000</v>
      </c>
      <c r="H74" s="43">
        <f t="shared" si="1"/>
        <v>0</v>
      </c>
      <c r="I74" s="33">
        <v>0</v>
      </c>
      <c r="J74" s="34">
        <f t="shared" si="2"/>
        <v>50000000</v>
      </c>
    </row>
    <row r="75" spans="1:10" x14ac:dyDescent="0.25">
      <c r="A75" s="45"/>
      <c r="B75" s="45" t="s">
        <v>28</v>
      </c>
      <c r="C75" s="56" t="s">
        <v>31</v>
      </c>
      <c r="D75" s="57"/>
      <c r="E75" s="58"/>
      <c r="F75" s="36"/>
      <c r="G75" s="59">
        <v>150000000</v>
      </c>
      <c r="H75" s="43">
        <f t="shared" si="1"/>
        <v>0</v>
      </c>
      <c r="I75" s="33">
        <v>0</v>
      </c>
      <c r="J75" s="34">
        <f t="shared" si="2"/>
        <v>150000000</v>
      </c>
    </row>
    <row r="76" spans="1:10" x14ac:dyDescent="0.25">
      <c r="A76" s="45"/>
      <c r="B76" s="45" t="s">
        <v>29</v>
      </c>
      <c r="C76" s="56" t="s">
        <v>42</v>
      </c>
      <c r="D76" s="57"/>
      <c r="E76" s="58"/>
      <c r="F76" s="36"/>
      <c r="G76" s="59">
        <v>20000000</v>
      </c>
      <c r="H76" s="43">
        <f t="shared" si="1"/>
        <v>0</v>
      </c>
      <c r="I76" s="33">
        <v>0</v>
      </c>
      <c r="J76" s="34">
        <f t="shared" si="2"/>
        <v>20000000</v>
      </c>
    </row>
    <row r="77" spans="1:10" x14ac:dyDescent="0.25">
      <c r="A77" s="45"/>
      <c r="B77" s="45" t="s">
        <v>30</v>
      </c>
      <c r="C77" s="56" t="s">
        <v>43</v>
      </c>
      <c r="D77" s="57"/>
      <c r="E77" s="58"/>
      <c r="F77" s="36"/>
      <c r="G77" s="59">
        <v>100000000</v>
      </c>
      <c r="H77" s="43">
        <f t="shared" si="1"/>
        <v>46500000</v>
      </c>
      <c r="I77" s="33">
        <v>1525000</v>
      </c>
      <c r="J77" s="34">
        <f t="shared" si="2"/>
        <v>51975000</v>
      </c>
    </row>
    <row r="78" spans="1:10" x14ac:dyDescent="0.25">
      <c r="A78" s="16"/>
      <c r="B78" s="16"/>
      <c r="C78" s="17" t="s">
        <v>8</v>
      </c>
      <c r="D78" s="17"/>
      <c r="E78" s="17"/>
      <c r="F78" s="40"/>
      <c r="G78" s="39">
        <f>SUM(G71:G77)</f>
        <v>500000000</v>
      </c>
      <c r="H78" s="18">
        <f>SUM(H71:H77)</f>
        <v>46500000</v>
      </c>
      <c r="I78" s="18">
        <f>SUM(I71:I77)</f>
        <v>1525000</v>
      </c>
      <c r="J78" s="18">
        <f>SUM(J71:J77)</f>
        <v>451975000</v>
      </c>
    </row>
    <row r="79" spans="1:10" x14ac:dyDescent="0.25">
      <c r="A79" s="19"/>
      <c r="B79" s="52"/>
      <c r="C79" s="6"/>
      <c r="D79" s="6"/>
      <c r="E79" s="6"/>
      <c r="F79" s="6"/>
      <c r="G79" s="20"/>
      <c r="H79" s="20"/>
      <c r="I79" s="20"/>
      <c r="J79" s="20"/>
    </row>
    <row r="80" spans="1:10" x14ac:dyDescent="0.25">
      <c r="A80" s="69" t="s">
        <v>15</v>
      </c>
      <c r="B80" s="69"/>
      <c r="C80" s="69"/>
      <c r="D80" s="30" t="s">
        <v>12</v>
      </c>
      <c r="E80" s="35">
        <f>I78</f>
        <v>1525000</v>
      </c>
      <c r="F80" s="35"/>
      <c r="G80" s="21"/>
      <c r="H80" s="21"/>
      <c r="I80" s="10"/>
      <c r="J80" s="10"/>
    </row>
    <row r="81" spans="1:10" x14ac:dyDescent="0.25">
      <c r="A81" s="8" t="s">
        <v>9</v>
      </c>
      <c r="B81" s="8"/>
      <c r="C81" s="8"/>
      <c r="D81" s="30" t="s">
        <v>12</v>
      </c>
      <c r="E81" s="31"/>
      <c r="F81" s="31"/>
      <c r="G81" s="22"/>
      <c r="H81" s="9"/>
      <c r="I81" s="10"/>
      <c r="J81" s="10"/>
    </row>
    <row r="82" spans="1:10" x14ac:dyDescent="0.25">
      <c r="A82" s="8" t="s">
        <v>17</v>
      </c>
      <c r="B82" s="8"/>
      <c r="C82" s="8"/>
      <c r="D82" s="30" t="s">
        <v>12</v>
      </c>
      <c r="E82" s="32"/>
      <c r="F82" s="32"/>
      <c r="G82" s="22"/>
      <c r="H82" s="9"/>
      <c r="I82" s="10"/>
      <c r="J82" s="10"/>
    </row>
    <row r="83" spans="1:10" x14ac:dyDescent="0.25">
      <c r="A83" s="8" t="s">
        <v>10</v>
      </c>
      <c r="B83" s="8"/>
      <c r="C83" s="8"/>
      <c r="D83" s="30" t="s">
        <v>12</v>
      </c>
      <c r="E83" s="32">
        <f>E81+E82</f>
        <v>0</v>
      </c>
      <c r="F83" s="32"/>
      <c r="G83" s="8"/>
      <c r="H83" s="9"/>
      <c r="I83" s="23"/>
      <c r="J83" s="24"/>
    </row>
    <row r="84" spans="1:10" x14ac:dyDescent="0.25">
      <c r="A84" s="44"/>
      <c r="B84" s="44"/>
      <c r="C84" s="44"/>
      <c r="D84" s="30"/>
      <c r="E84" s="44"/>
      <c r="F84" s="44"/>
      <c r="G84" s="8"/>
      <c r="H84" s="9"/>
      <c r="I84" s="23"/>
      <c r="J84" s="24"/>
    </row>
    <row r="85" spans="1:10" x14ac:dyDescent="0.25">
      <c r="A85" s="69" t="s">
        <v>16</v>
      </c>
      <c r="B85" s="69"/>
      <c r="C85" s="69"/>
      <c r="D85" s="30" t="s">
        <v>12</v>
      </c>
      <c r="E85" s="35">
        <f>E80-E83</f>
        <v>1525000</v>
      </c>
      <c r="F85" s="35"/>
      <c r="G85" s="8"/>
      <c r="H85" s="9"/>
      <c r="I85" s="23"/>
      <c r="J85" s="24"/>
    </row>
    <row r="86" spans="1:10" ht="15.75" x14ac:dyDescent="0.25">
      <c r="A86" s="44"/>
      <c r="B86" s="44"/>
      <c r="C86" s="8"/>
      <c r="D86" s="8"/>
      <c r="E86" s="49" t="str">
        <f>PROPER(IF(E85=0,"nol",IF(E85&lt;0,"minus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85),"000000000000000"),1,3)=0,"",MID(TEXT(ABS(E85),"000000000000000"),1,1)&amp;" ratus "&amp;MID(TEXT(ABS(E85),"000000000000000"),2,1)&amp;" puluh "&amp;MID(TEXT(ABS(E85),"000000000000000"),3,1)&amp;" trilyun ")&amp;IF(--MID(TEXT(ABS(E85),"000000000000000"),4,3)=0,"",MID(TEXT(ABS(E85),"000000000000000"),4,1)&amp;" ratus "&amp;MID(TEXT(ABS(E85),"000000000000000"),5,1)&amp;" puluh "&amp;MID(TEXT(ABS(E85),"000000000000000"),6,1)&amp;" milyar ")&amp;IF(--MID(TEXT(ABS(E85),"000000000000000"),7,3)=0,"",MID(TEXT(ABS(E85),"000000000000000"),7,1)&amp;" ratus "&amp;MID(TEXT(ABS(E85),"000000000000000"),8,1)&amp;" puluh "&amp;MID(TEXT(ABS(E85),"000000000000000"),9,1)&amp;" juta ")&amp;IF(--MID(TEXT(ABS(E85),"000000000000000"),10,3)=0,"",IF(--MID(TEXT(ABS(E85),"000000000000000"),10,3)=1,"*",MID(TEXT(ABS(E85),"000000000000000"),10,1)&amp;" ratus "&amp;MID(TEXT(ABS(E85),"000000000000000"),11,1)&amp;" puluh ")&amp;MID(TEXT(ABS(E85),"000000000000000"),12,1)&amp;" ribu ")&amp;IF(--MID(TEXT(ABS(E85),"000000000000000"),13,3)=0,"",MID(TEXT(ABS(E85),"000000000000000"),13,1)&amp;" ratus "&amp;MID(TEXT(ABS(E85),"000000000000000"),14,1)&amp;" puluh "&amp;MID(TEXT(ABS(E85),"000000000000000"),15,1)),1,"satu"),2,"dua"),3,"tiga"),4,"empat"),5,"lima"),6,"enam"),7,"tujuh"),8,"delapan"),9,"sembilan"),"0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Lima Ratus Dua Puluh Lima Ribu Rupiah</v>
      </c>
      <c r="F86" s="8"/>
      <c r="G86" s="8"/>
      <c r="H86" s="8"/>
      <c r="I86" s="23"/>
      <c r="J86" s="24"/>
    </row>
    <row r="87" spans="1:10" x14ac:dyDescent="0.25">
      <c r="A87" s="26"/>
      <c r="B87" s="26"/>
      <c r="C87" s="26"/>
      <c r="D87" s="26"/>
      <c r="E87" s="26"/>
      <c r="F87" s="26"/>
      <c r="G87" s="25"/>
      <c r="H87" s="24"/>
      <c r="I87" s="23"/>
      <c r="J87" s="24"/>
    </row>
    <row r="88" spans="1:10" x14ac:dyDescent="0.25">
      <c r="A88" s="25"/>
      <c r="B88" s="25"/>
      <c r="C88" s="25"/>
      <c r="D88" s="25"/>
      <c r="E88" s="25"/>
      <c r="F88" s="25"/>
      <c r="G88" s="25"/>
      <c r="H88"/>
      <c r="I88" s="24"/>
      <c r="J88" s="24"/>
    </row>
    <row r="89" spans="1:10" x14ac:dyDescent="0.25">
      <c r="A89" s="44"/>
      <c r="B89" s="44"/>
      <c r="C89" s="8"/>
      <c r="D89" s="8"/>
      <c r="E89" s="8"/>
      <c r="F89" s="8"/>
      <c r="G89" s="8"/>
      <c r="I89" s="46" t="s">
        <v>47</v>
      </c>
      <c r="J89" s="24"/>
    </row>
    <row r="90" spans="1:10" x14ac:dyDescent="0.25">
      <c r="A90" s="9" t="s">
        <v>34</v>
      </c>
      <c r="B90" s="8"/>
      <c r="C90" s="8"/>
      <c r="D90" s="8"/>
      <c r="E90" s="8"/>
      <c r="F90" s="8"/>
      <c r="G90" s="8"/>
      <c r="I90" s="9" t="s">
        <v>33</v>
      </c>
      <c r="J90" s="24"/>
    </row>
    <row r="91" spans="1:10" x14ac:dyDescent="0.25">
      <c r="A91" s="8"/>
      <c r="B91" s="8"/>
      <c r="C91" s="8"/>
      <c r="D91" s="8"/>
      <c r="E91" s="8"/>
      <c r="F91" s="8"/>
      <c r="G91" s="8"/>
      <c r="I91" s="9"/>
      <c r="J91" s="24"/>
    </row>
    <row r="92" spans="1:10" x14ac:dyDescent="0.25">
      <c r="A92" s="8"/>
      <c r="B92" s="8"/>
      <c r="C92" s="8"/>
      <c r="D92" s="8"/>
      <c r="E92" s="8"/>
      <c r="F92" s="8"/>
      <c r="G92" s="8"/>
      <c r="I92" s="9"/>
      <c r="J92" s="24"/>
    </row>
    <row r="93" spans="1:10" x14ac:dyDescent="0.25">
      <c r="A93" s="8"/>
      <c r="B93" s="8"/>
      <c r="C93" s="8"/>
      <c r="D93" s="8"/>
      <c r="E93" s="8"/>
      <c r="F93" s="8"/>
      <c r="G93" s="8"/>
      <c r="I93" s="9"/>
      <c r="J93" s="24"/>
    </row>
    <row r="94" spans="1:10" x14ac:dyDescent="0.25">
      <c r="A94" s="8"/>
      <c r="B94" s="8"/>
      <c r="C94" s="8"/>
      <c r="D94" s="8"/>
      <c r="E94" s="8"/>
      <c r="F94" s="8"/>
      <c r="G94" s="8"/>
      <c r="I94" s="9"/>
      <c r="J94" s="24"/>
    </row>
    <row r="95" spans="1:10" x14ac:dyDescent="0.25">
      <c r="A95" s="28" t="s">
        <v>45</v>
      </c>
      <c r="B95" s="28"/>
      <c r="C95" s="27"/>
      <c r="D95" s="27"/>
      <c r="E95" s="27"/>
      <c r="F95" s="27"/>
      <c r="G95" s="8" t="s">
        <v>11</v>
      </c>
      <c r="I95" s="28" t="s">
        <v>35</v>
      </c>
      <c r="J95" s="24"/>
    </row>
  </sheetData>
  <mergeCells count="20">
    <mergeCell ref="A69:J69"/>
    <mergeCell ref="C70:E70"/>
    <mergeCell ref="C72:E72"/>
    <mergeCell ref="A80:C80"/>
    <mergeCell ref="A85:C85"/>
    <mergeCell ref="A56:J56"/>
    <mergeCell ref="A57:J57"/>
    <mergeCell ref="A58:J58"/>
    <mergeCell ref="A59:J59"/>
    <mergeCell ref="A60:J60"/>
    <mergeCell ref="A21:J21"/>
    <mergeCell ref="C22:E22"/>
    <mergeCell ref="C24:E24"/>
    <mergeCell ref="A32:C32"/>
    <mergeCell ref="A37:C37"/>
    <mergeCell ref="A8:J8"/>
    <mergeCell ref="A9:J9"/>
    <mergeCell ref="A10:J10"/>
    <mergeCell ref="A11:J11"/>
    <mergeCell ref="A12:J12"/>
  </mergeCells>
  <pageMargins left="0.23622047244094491" right="0.23622047244094491" top="0.15748031496062992" bottom="0.74803149606299213" header="0.31496062992125984" footer="0.31496062992125984"/>
  <pageSetup paperSize="9" scale="78" orientation="portrait" horizontalDpi="4294967293" r:id="rId1"/>
  <rowBreaks count="1" manualBreakCount="1">
    <brk id="48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JANUARI</vt:lpstr>
      <vt:lpstr>JANUARI!Print_Area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2026-02-23T01:40:17Z</cp:lastPrinted>
  <dcterms:created xsi:type="dcterms:W3CDTF">2017-02-01T01:06:13Z</dcterms:created>
  <dcterms:modified xsi:type="dcterms:W3CDTF">2026-02-23T02:55:24Z</dcterms:modified>
</cp:coreProperties>
</file>