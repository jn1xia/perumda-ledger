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Investasi\"/>
    </mc:Choice>
  </mc:AlternateContent>
  <xr:revisionPtr revIDLastSave="0" documentId="13_ncr:1_{51A898A5-B43E-461E-AA97-7E8C61D5B4A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JANUARI" sheetId="12" r:id="rId1"/>
  </sheets>
  <definedNames>
    <definedName name="_xlnm.Print_Area" localSheetId="0">JANUARI!$A$1:$J$71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2" l="1"/>
  <c r="I26" i="12"/>
  <c r="E17" i="12" s="1"/>
  <c r="E18" i="12" s="1"/>
  <c r="G26" i="12"/>
  <c r="J24" i="12"/>
  <c r="H26" i="12" l="1"/>
  <c r="J25" i="12"/>
  <c r="J26" i="12" s="1"/>
  <c r="E28" i="12"/>
  <c r="E33" i="12" s="1"/>
  <c r="E34" i="12" s="1"/>
</calcChain>
</file>

<file path=xl/sharedStrings.xml><?xml version="1.0" encoding="utf-8"?>
<sst xmlns="http://schemas.openxmlformats.org/spreadsheetml/2006/main" count="51" uniqueCount="40">
  <si>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</si>
  <si>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</si>
  <si>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</si>
  <si>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</si>
  <si>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</si>
  <si>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</si>
  <si>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</si>
  <si>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</si>
  <si>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</si>
  <si>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</si>
  <si>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</si>
  <si>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</si>
  <si>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</si>
  <si>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</si>
  <si>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>Supaya mencairkan dana kepada</t>
  </si>
  <si>
    <t xml:space="preserve">Jumlah  Yang Diminta          </t>
  </si>
  <si>
    <t xml:space="preserve">Jumlah yang dibayarkan        </t>
  </si>
  <si>
    <t xml:space="preserve">PPh Psl 21/22/23/4(2)                    </t>
  </si>
  <si>
    <t>2.1.2</t>
  </si>
  <si>
    <t>Beban Investasi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</si>
  <si>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</si>
  <si>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</si>
  <si>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</si>
  <si>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</si>
  <si>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</si>
  <si>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1.1</t>
  </si>
  <si>
    <t>1.2</t>
  </si>
  <si>
    <t>Sarana Studio Live Selling</t>
  </si>
  <si>
    <t>Sarana Tempat Layanan Pengiriman Barang</t>
  </si>
  <si>
    <t>YANG MEMBUAT</t>
  </si>
  <si>
    <t>MENGETAHUI</t>
  </si>
  <si>
    <t>M. ZULKIFLI</t>
  </si>
  <si>
    <t>---------------</t>
  </si>
  <si>
    <t>NOTA PENCAIRAN DANA (NPD)</t>
  </si>
  <si>
    <t>Akumulasi Pencairan dana Bulan Januari s/d Desember</t>
  </si>
  <si>
    <t>Program Pembinaan Pedagang Pasar</t>
  </si>
  <si>
    <r>
      <t>Nomor :      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</si>
  <si>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PERUMDA PASAR BANJARMASIN</t>
  </si>
  <si>
    <t>Banjarmasin,      Januari 2026</t>
  </si>
  <si>
    <t>IRNA WAHYUNI.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</si>
</sst>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67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8" fontId="4" fillId="0" borderId="7" xfId="1" applyNumberFormat="1" applyFont="1" applyBorder="1" applyAlignment="1">
      <alignment horizontal="right"/>
    </xf>
    <xf numFmtId="168" fontId="4" fillId="0" borderId="7" xfId="1" applyNumberFormat="1" applyFont="1" applyBorder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0" fontId="4" fillId="0" borderId="8" xfId="0" applyFont="1" applyBorder="1"/>
    <xf numFmtId="168" fontId="4" fillId="0" borderId="7" xfId="1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left"/>
    </xf>
    <xf numFmtId="0" fontId="13" fillId="0" borderId="0" xfId="0" applyFont="1"/>
    <xf numFmtId="165" fontId="15" fillId="0" borderId="8" xfId="5" applyFont="1" applyBorder="1" applyAlignment="1" applyProtection="1">
      <alignment horizontal="center"/>
    </xf>
    <xf numFmtId="0" fontId="4" fillId="0" borderId="0" xfId="0" quotePrefix="1" applyFont="1"/>
    <xf numFmtId="0" fontId="4" fillId="0" borderId="3" xfId="3" applyNumberFormat="1" applyFont="1" applyBorder="1" applyAlignment="1">
      <alignment horizontal="left" vertical="center"/>
    </xf>
    <xf numFmtId="0" fontId="3" fillId="0" borderId="0" xfId="0" quotePrefix="1" applyFont="1"/>
    <xf numFmtId="0" fontId="9" fillId="0" borderId="5" xfId="0" applyFont="1" applyBorder="1"/>
    <xf numFmtId="165" fontId="15" fillId="0" borderId="8" xfId="5" quotePrefix="1" applyFont="1" applyBorder="1" applyAlignment="1" applyProtection="1">
      <alignment horizontal="center"/>
    </xf>
    <xf numFmtId="0" fontId="4" fillId="0" borderId="6" xfId="0" applyFont="1" applyBorder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0</xdr:row>
      <xdr:rowOff>9525</xdr:rowOff>
    </xdr:from>
    <xdr:to>
      <xdr:col>9</xdr:col>
      <xdr:colOff>1162050</xdr:colOff>
      <xdr:row>8</xdr:row>
      <xdr:rowOff>167750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D004EB-9B0C-4ED6-BB5D-DC4853919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3" y="9525"/>
          <a:ext cx="7753352" cy="17012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5289A85-7460-487D-96F7-E6B3AEF4458A}"/>
            </a:ext>
          </a:extLst>
        </xdr:cNvPr>
        <xdr:cNvCxnSpPr/>
      </xdr:nvCxnSpPr>
      <xdr:spPr>
        <a:xfrm>
          <a:off x="19050" y="1409700"/>
          <a:ext cx="101917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2FB4-FC4F-4120-8A12-6B531F1D60A7}">
  <dimension ref="A1:V44"/>
  <sheetViews>
    <sheetView tabSelected="1" view="pageBreakPreview" zoomScaleNormal="100" zoomScaleSheetLayoutView="100" workbookViewId="0">
      <selection activeCell="A5" sqref="A5:XFD5"/>
    </sheetView>
  </sheetViews>
  <sheetFormatPr defaultRowHeight="15" x14ac:dyDescent="0.25"/>
  <cols>
    <col min="1" max="1" width="3.5703125" customWidth="1"/>
    <col min="2" max="2" width="5.5703125" bestFit="1" customWidth="1"/>
    <col min="3" max="3" width="12" customWidth="1"/>
    <col min="4" max="4" width="1.85546875" customWidth="1"/>
    <col min="5" max="5" width="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6.140625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5" t="s">
        <v>33</v>
      </c>
      <c r="B8" s="65"/>
      <c r="C8" s="66"/>
      <c r="D8" s="66"/>
      <c r="E8" s="66"/>
      <c r="F8" s="66"/>
      <c r="G8" s="66"/>
      <c r="H8" s="66"/>
      <c r="I8" s="66"/>
      <c r="J8" s="66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6" t="s">
        <v>36</v>
      </c>
      <c r="B9" s="66"/>
      <c r="C9" s="66"/>
      <c r="D9" s="66"/>
      <c r="E9" s="66"/>
      <c r="F9" s="66"/>
      <c r="G9" s="66"/>
      <c r="H9" s="66"/>
      <c r="I9" s="66"/>
      <c r="J9" s="66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6" t="s">
        <v>13</v>
      </c>
      <c r="B10" s="66"/>
      <c r="C10" s="66"/>
      <c r="D10" s="66"/>
      <c r="E10" s="66"/>
      <c r="F10" s="66"/>
      <c r="G10" s="66"/>
      <c r="H10" s="66"/>
      <c r="I10" s="66"/>
      <c r="J10" s="66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6" t="s">
        <v>37</v>
      </c>
      <c r="B11" s="66"/>
      <c r="C11" s="66"/>
      <c r="D11" s="66"/>
      <c r="E11" s="66"/>
      <c r="F11" s="66"/>
      <c r="G11" s="66"/>
      <c r="H11" s="66"/>
      <c r="I11" s="66"/>
      <c r="J11" s="66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6" t="s">
        <v>14</v>
      </c>
      <c r="B12" s="66"/>
      <c r="C12" s="66"/>
      <c r="D12" s="66"/>
      <c r="E12" s="66"/>
      <c r="F12" s="66"/>
      <c r="G12" s="66"/>
      <c r="H12" s="66"/>
      <c r="I12" s="66"/>
      <c r="J12" s="66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4" t="s">
        <v>20</v>
      </c>
      <c r="B14" s="54"/>
      <c r="C14" s="54"/>
      <c r="D14" s="51" t="s">
        <v>12</v>
      </c>
      <c r="E14" s="8" t="s">
        <v>19</v>
      </c>
      <c r="F14" s="40"/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4" t="s">
        <v>21</v>
      </c>
      <c r="B15" s="54"/>
      <c r="C15" s="54"/>
      <c r="D15" s="51" t="s">
        <v>12</v>
      </c>
      <c r="E15" s="8" t="s">
        <v>18</v>
      </c>
      <c r="F15" s="40"/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4" t="s">
        <v>22</v>
      </c>
      <c r="B16" s="54"/>
      <c r="C16" s="54"/>
      <c r="D16" s="51" t="s">
        <v>12</v>
      </c>
      <c r="E16" s="47">
        <v>2026</v>
      </c>
      <c r="F16" s="40"/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4" t="s">
        <v>23</v>
      </c>
      <c r="B17" s="54"/>
      <c r="C17" s="54"/>
      <c r="D17" s="51" t="s">
        <v>12</v>
      </c>
      <c r="E17" s="44">
        <f>I26</f>
        <v>0</v>
      </c>
      <c r="F17" s="40"/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11"/>
      <c r="E18" s="52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Nol Rupiah</v>
      </c>
      <c r="F18" s="40"/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2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1" t="s">
        <v>2</v>
      </c>
      <c r="B21" s="61"/>
      <c r="C21" s="61"/>
      <c r="D21" s="61"/>
      <c r="E21" s="61"/>
      <c r="F21" s="61"/>
      <c r="G21" s="61"/>
      <c r="H21" s="61"/>
      <c r="I21" s="61"/>
      <c r="J21" s="61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60" x14ac:dyDescent="0.25">
      <c r="A22" s="12" t="s">
        <v>3</v>
      </c>
      <c r="B22" s="55" t="s">
        <v>24</v>
      </c>
      <c r="C22" s="62" t="s">
        <v>4</v>
      </c>
      <c r="D22" s="63"/>
      <c r="E22" s="64"/>
      <c r="F22" s="50"/>
      <c r="G22" s="41" t="s">
        <v>5</v>
      </c>
      <c r="H22" s="13" t="s">
        <v>34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48">
        <v>1</v>
      </c>
      <c r="B23" s="48"/>
      <c r="C23" s="57" t="s">
        <v>35</v>
      </c>
      <c r="D23" s="59"/>
      <c r="E23" s="45"/>
      <c r="F23" s="39"/>
      <c r="G23" s="58" t="s">
        <v>32</v>
      </c>
      <c r="H23" s="58" t="s">
        <v>32</v>
      </c>
      <c r="I23" s="58" t="s">
        <v>32</v>
      </c>
      <c r="J23" s="58" t="s">
        <v>32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25</v>
      </c>
      <c r="C24" s="39" t="s">
        <v>27</v>
      </c>
      <c r="D24" s="8"/>
      <c r="E24" s="45"/>
      <c r="F24" s="39"/>
      <c r="G24" s="53">
        <v>40000000</v>
      </c>
      <c r="H24" s="46">
        <v>0</v>
      </c>
      <c r="I24" s="36">
        <v>0</v>
      </c>
      <c r="J24" s="37">
        <f t="shared" ref="J24:J25" si="0">G24-H24-I24</f>
        <v>40000000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26</v>
      </c>
      <c r="C25" s="39" t="s">
        <v>28</v>
      </c>
      <c r="D25" s="8"/>
      <c r="E25" s="45"/>
      <c r="F25" s="39"/>
      <c r="G25" s="53">
        <v>10000000</v>
      </c>
      <c r="H25" s="46">
        <v>0</v>
      </c>
      <c r="I25" s="36">
        <v>0</v>
      </c>
      <c r="J25" s="37">
        <f t="shared" si="0"/>
        <v>10000000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3"/>
      <c r="G26" s="42">
        <f>SUM(G23:G25)</f>
        <v>50000000</v>
      </c>
      <c r="H26" s="18">
        <f>SUM(H23:H25)</f>
        <v>0</v>
      </c>
      <c r="I26" s="18">
        <f>SUM(I23:I25)</f>
        <v>0</v>
      </c>
      <c r="J26" s="18">
        <f>SUM(J23:J25)</f>
        <v>50000000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6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60" t="s">
        <v>15</v>
      </c>
      <c r="B28" s="60"/>
      <c r="C28" s="60"/>
      <c r="D28" s="33" t="s">
        <v>12</v>
      </c>
      <c r="E28" s="38">
        <f>I26</f>
        <v>0</v>
      </c>
      <c r="F28" s="38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17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7"/>
      <c r="B32" s="47"/>
      <c r="C32" s="47"/>
      <c r="D32" s="33"/>
      <c r="E32" s="47"/>
      <c r="F32" s="47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60" t="s">
        <v>16</v>
      </c>
      <c r="B33" s="60"/>
      <c r="C33" s="60"/>
      <c r="D33" s="33" t="s">
        <v>12</v>
      </c>
      <c r="E33" s="38">
        <f>E28-E31</f>
        <v>0</v>
      </c>
      <c r="F33" s="38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7"/>
      <c r="B34" s="47"/>
      <c r="C34" s="8"/>
      <c r="D34" s="8"/>
      <c r="E34" s="52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Nol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7"/>
      <c r="B37" s="47"/>
      <c r="C37" s="8"/>
      <c r="D37" s="8"/>
      <c r="E37" s="8"/>
      <c r="F37" s="8"/>
      <c r="G37" s="8"/>
      <c r="I37" s="49" t="s">
        <v>38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30</v>
      </c>
      <c r="B38" s="8"/>
      <c r="C38" s="8"/>
      <c r="D38" s="8"/>
      <c r="E38" s="8"/>
      <c r="F38" s="8"/>
      <c r="G38" s="8"/>
      <c r="I38" s="9" t="s">
        <v>29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39</v>
      </c>
      <c r="B43" s="28"/>
      <c r="C43" s="27"/>
      <c r="D43" s="27"/>
      <c r="E43" s="27"/>
      <c r="F43" s="27"/>
      <c r="G43" s="8" t="s">
        <v>11</v>
      </c>
      <c r="I43" s="28" t="s">
        <v>31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</sheetData>
  <mergeCells count="9">
    <mergeCell ref="C22:E22"/>
    <mergeCell ref="A28:C28"/>
    <mergeCell ref="A33:C33"/>
    <mergeCell ref="A21:J21"/>
    <mergeCell ref="A8:J8"/>
    <mergeCell ref="A9:J9"/>
    <mergeCell ref="A10:J10"/>
    <mergeCell ref="A11:J11"/>
    <mergeCell ref="A12:J12"/>
  </mergeCells>
  <pageMargins left="0.23622047244094491" right="0.23622047244094491" top="0.74803149606299213" bottom="0.74803149606299213" header="0.31496062992125984" footer="0.31496062992125984"/>
  <pageSetup paperSize="9" scale="84" orientation="portrait" horizontalDpi="4294967293" r:id="rId1"/>
  <rowBreaks count="1" manualBreakCount="1">
    <brk id="44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JANUARI</vt:lpstr>
      <vt:lpstr>JANUARI!Print_Area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2025-12-22T07:48:56Z</cp:lastPrinted>
  <dcterms:created xsi:type="dcterms:W3CDTF">2017-02-01T01:06:13Z</dcterms:created>
  <dcterms:modified xsi:type="dcterms:W3CDTF">2026-01-02T07:50:04Z</dcterms:modified>
</cp:coreProperties>
</file>